
<file path=[Content_Types].xml><?xml version="1.0" encoding="utf-8"?>
<Types xmlns="http://schemas.openxmlformats.org/package/2006/content-types">
  <Default Extension="bin" ContentType="application/vnd.openxmlformats-officedocument.spreadsheetml.customProperty"/>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printerSettings/printerSettings1.bin" ContentType="application/vnd.openxmlformats-officedocument.spreadsheetml.printerSettings"/>
  <Override PartName="/xl/printerSettings/printerSettings2.bin" ContentType="application/vnd.openxmlformats-officedocument.spreadsheetml.printerSettings"/>
  <Override PartName="/xl/printerSettings/printerSettings3.bin" ContentType="application/vnd.openxmlformats-officedocument.spreadsheetml.printerSettings"/>
  <Override PartName="/xl/printerSettings/printerSettings4.bin" ContentType="application/vnd.openxmlformats-officedocument.spreadsheetml.printerSettings"/>
  <Override PartName="/xl/printerSettings/printerSettings5.bin" ContentType="application/vnd.openxmlformats-officedocument.spreadsheetml.printerSettings"/>
  <Override PartName="/xl/printerSettings/printerSettings6.bin" ContentType="application/vnd.openxmlformats-officedocument.spreadsheetml.printerSettings"/>
  <Override PartName="/xl/printerSettings/printerSettings7.bin" ContentType="application/vnd.openxmlformats-officedocument.spreadsheetml.printerSettings"/>
  <Override PartName="/xl/comments1.xml" ContentType="application/vnd.openxmlformats-officedocument.spreadsheetml.comments+xml"/>
  <Override PartName="/xl/printerSettings/printerSettings8.bin" ContentType="application/vnd.openxmlformats-officedocument.spreadsheetml.printerSettings"/>
  <Override PartName="/xl/comments2.xml" ContentType="application/vnd.openxmlformats-officedocument.spreadsheetml.comments+xml"/>
  <Override PartName="/xl/comments3.xml" ContentType="application/vnd.openxmlformats-officedocument.spreadsheetml.comments+xml"/>
  <Override PartName="/xl/comments4.xml" ContentType="application/vnd.openxmlformats-officedocument.spreadsheetml.comments+xml"/>
  <Override PartName="/xl/comments5.xml" ContentType="application/vnd.openxmlformats-officedocument.spreadsheetml.comments+xml"/>
  <Override PartName="/xl/printerSettings/printerSettings9.bin" ContentType="application/vnd.openxmlformats-officedocument.spreadsheetml.printerSettings"/>
  <Override PartName="/xl/comments6.xml" ContentType="application/vnd.openxmlformats-officedocument.spreadsheetml.comments+xml"/>
  <Override PartName="/xl/printerSettings/printerSettings10.bin" ContentType="application/vnd.openxmlformats-officedocument.spreadsheetml.printerSettings"/>
  <Override PartName="/xl/comments7.xml" ContentType="application/vnd.openxmlformats-officedocument.spreadsheetml.comments+xml"/>
  <Override PartName="/xl/printerSettings/printerSettings11.bin" ContentType="application/vnd.openxmlformats-officedocument.spreadsheetml.printerSettings"/>
  <Override PartName="/xl/comments8.xml" ContentType="application/vnd.openxmlformats-officedocument.spreadsheetml.comments+xml"/>
  <Override PartName="/xl/printerSettings/printerSettings12.bin" ContentType="application/vnd.openxmlformats-officedocument.spreadsheetml.printerSettings"/>
  <Override PartName="/xl/comments9.xml" ContentType="application/vnd.openxmlformats-officedocument.spreadsheetml.comments+xml"/>
  <Override PartName="/xl/printerSettings/printerSettings13.bin" ContentType="application/vnd.openxmlformats-officedocument.spreadsheetml.printerSettings"/>
  <Override PartName="/xl/comments10.xml" ContentType="application/vnd.openxmlformats-officedocument.spreadsheetml.comments+xml"/>
  <Override PartName="/xl/printerSettings/printerSettings14.bin" ContentType="application/vnd.openxmlformats-officedocument.spreadsheetml.printerSettings"/>
  <Override PartName="/xl/comments11.xml" ContentType="application/vnd.openxmlformats-officedocument.spreadsheetml.comments+xml"/>
  <Override PartName="/xl/comments12.xml" ContentType="application/vnd.openxmlformats-officedocument.spreadsheetml.comments+xml"/>
  <Override PartName="/xl/printerSettings/printerSettings15.bin" ContentType="application/vnd.openxmlformats-officedocument.spreadsheetml.printerSettings"/>
  <Override PartName="/xl/comments13.xml" ContentType="application/vnd.openxmlformats-officedocument.spreadsheetml.comments+xml"/>
  <Override PartName="/xl/printerSettings/printerSettings16.bin" ContentType="application/vnd.openxmlformats-officedocument.spreadsheetml.printerSettings"/>
  <Override PartName="/xl/comments14.xml" ContentType="application/vnd.openxmlformats-officedocument.spreadsheetml.comments+xml"/>
  <Override PartName="/xl/comments15.xml" ContentType="application/vnd.openxmlformats-officedocument.spreadsheetml.comments+xml"/>
  <Override PartName="/xl/printerSettings/printerSettings17.bin" ContentType="application/vnd.openxmlformats-officedocument.spreadsheetml.printerSettings"/>
  <Override PartName="/xl/comments16.xml" ContentType="application/vnd.openxmlformats-officedocument.spreadsheetml.comments+xml"/>
  <Override PartName="/xl/comments17.xml" ContentType="application/vnd.openxmlformats-officedocument.spreadsheetml.comments+xml"/>
  <Override PartName="/xl/printerSettings/printerSettings18.bin" ContentType="application/vnd.openxmlformats-officedocument.spreadsheetml.printerSettings"/>
  <Override PartName="/xl/comments18.xml" ContentType="application/vnd.openxmlformats-officedocument.spreadsheetml.comments+xml"/>
  <Override PartName="/xl/comments19.xml" ContentType="application/vnd.openxmlformats-officedocument.spreadsheetml.comments+xml"/>
  <Override PartName="/xl/comments20.xml" ContentType="application/vnd.openxmlformats-officedocument.spreadsheetml.comments+xml"/>
  <Override PartName="/xl/comments21.xml" ContentType="application/vnd.openxmlformats-officedocument.spreadsheetml.comments+xml"/>
  <Override PartName="/xl/comments22.xml" ContentType="application/vnd.openxmlformats-officedocument.spreadsheetml.comments+xml"/>
  <Override PartName="/xl/comments23.xml" ContentType="application/vnd.openxmlformats-officedocument.spreadsheetml.comments+xml"/>
  <Override PartName="/xl/comments24.xml" ContentType="application/vnd.openxmlformats-officedocument.spreadsheetml.comments+xml"/>
  <Override PartName="/xl/comments25.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725"/>
  <workbookPr/>
  <mc:AlternateContent xmlns:mc="http://schemas.openxmlformats.org/markup-compatibility/2006">
    <mc:Choice Requires="x15">
      <x15ac:absPath xmlns:x15ac="http://schemas.microsoft.com/office/spreadsheetml/2010/11/ac" url="C:\Users\ctobil\Downloads\"/>
    </mc:Choice>
  </mc:AlternateContent>
  <xr:revisionPtr revIDLastSave="0" documentId="13_ncr:1_{94EE7461-D090-4A48-894C-1904A55299D0}" xr6:coauthVersionLast="47" xr6:coauthVersionMax="47" xr10:uidLastSave="{00000000-0000-0000-0000-000000000000}"/>
  <bookViews>
    <workbookView xWindow="-98" yWindow="-98" windowWidth="21795" windowHeight="12975" firstSheet="51" activeTab="54" xr2:uid="{00000000-000D-0000-FFFF-FFFF00000000}"/>
  </bookViews>
  <sheets>
    <sheet name=" Introduction " sheetId="31" r:id="rId1"/>
    <sheet name="Reliance and Limitation" sheetId="32" r:id="rId2"/>
    <sheet name="PERIOD SHORTCUTS" sheetId="21" r:id="rId3"/>
    <sheet name="Q1, 2013" sheetId="16" r:id="rId4"/>
    <sheet name="Q2, 2013" sheetId="15" r:id="rId5"/>
    <sheet name="Q3, 2013" sheetId="14" r:id="rId6"/>
    <sheet name="Q4, 2013" sheetId="13" r:id="rId7"/>
    <sheet name="Q1 2014" sheetId="1" r:id="rId8"/>
    <sheet name="Q2, 2014" sheetId="2" r:id="rId9"/>
    <sheet name="Q3, 2014" sheetId="3" r:id="rId10"/>
    <sheet name="Q4,2014" sheetId="4" r:id="rId11"/>
    <sheet name="Q1, 2015" sheetId="5" r:id="rId12"/>
    <sheet name="Q2, 2015" sheetId="6" r:id="rId13"/>
    <sheet name="Q3, 2015" sheetId="7" r:id="rId14"/>
    <sheet name="Q4, 2015" sheetId="8" r:id="rId15"/>
    <sheet name="Q1, 2016" sheetId="9" r:id="rId16"/>
    <sheet name="Q2, 2016" sheetId="10" r:id="rId17"/>
    <sheet name="Q3, 2016" sheetId="11" r:id="rId18"/>
    <sheet name="Q4, 2016" sheetId="12" r:id="rId19"/>
    <sheet name="Q1, 2017" sheetId="17" r:id="rId20"/>
    <sheet name="Q2, 2017" sheetId="18" r:id="rId21"/>
    <sheet name="Q3, 2017" sheetId="19" r:id="rId22"/>
    <sheet name="Q4, 2017" sheetId="20" r:id="rId23"/>
    <sheet name="Q1, 2018" sheetId="33" r:id="rId24"/>
    <sheet name="Q2,2018" sheetId="34" r:id="rId25"/>
    <sheet name="Q3,2018" sheetId="35" r:id="rId26"/>
    <sheet name="Q4, 2018" sheetId="36" r:id="rId27"/>
    <sheet name="Q1, 2019" sheetId="37" r:id="rId28"/>
    <sheet name="Q2,2019" sheetId="39" r:id="rId29"/>
    <sheet name="Q3,2019" sheetId="41" r:id="rId30"/>
    <sheet name="Q4, 2019" sheetId="42" r:id="rId31"/>
    <sheet name="Q1, 2020" sheetId="43" r:id="rId32"/>
    <sheet name="Q2, 2020" sheetId="44" r:id="rId33"/>
    <sheet name="Q3 2020" sheetId="45" r:id="rId34"/>
    <sheet name="Q4 2020" sheetId="46" r:id="rId35"/>
    <sheet name="Q1 2021" sheetId="47" r:id="rId36"/>
    <sheet name="Q2 2021" sheetId="48" r:id="rId37"/>
    <sheet name="Q3 2021" sheetId="49" r:id="rId38"/>
    <sheet name="Q4 2021" sheetId="50" r:id="rId39"/>
    <sheet name="Q1 2022" sheetId="51" r:id="rId40"/>
    <sheet name="Q2 2022" sheetId="52" r:id="rId41"/>
    <sheet name="Q3 2022" sheetId="53" r:id="rId42"/>
    <sheet name="Q4 2022" sheetId="54" r:id="rId43"/>
    <sheet name="Q1 2023" sheetId="55" r:id="rId44"/>
    <sheet name="Q2 2023" sheetId="56" r:id="rId45"/>
    <sheet name="Q3 2023" sheetId="57" r:id="rId46"/>
    <sheet name="Q4 2023" sheetId="58" r:id="rId47"/>
    <sheet name="Q1 2024" sheetId="59" r:id="rId48"/>
    <sheet name="Q2 2024" sheetId="60" r:id="rId49"/>
    <sheet name="Q3 2024" sheetId="61" r:id="rId50"/>
    <sheet name="Q4 2024" sheetId="62" r:id="rId51"/>
    <sheet name="Q1 2025" sheetId="63" r:id="rId52"/>
    <sheet name="Q2 2025" sheetId="64" r:id="rId53"/>
    <sheet name="Q3 2025" sheetId="65" r:id="rId54"/>
    <sheet name="Q4 2025" sheetId="66" r:id="rId55"/>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A3" i="66" l="1"/>
  <c r="AZ3" i="66"/>
  <c r="AY3" i="66"/>
  <c r="AX3" i="66"/>
  <c r="AW3" i="66"/>
  <c r="AV3" i="66"/>
  <c r="AU3" i="66"/>
  <c r="AT3" i="66"/>
  <c r="AS3" i="66"/>
  <c r="AR3" i="66"/>
  <c r="AQ3" i="66"/>
  <c r="AP3" i="66"/>
  <c r="AO3" i="66"/>
  <c r="AN3" i="66"/>
  <c r="AM3" i="66"/>
  <c r="AL3" i="66"/>
  <c r="AK3" i="66"/>
  <c r="AJ3" i="66"/>
  <c r="AI3" i="66"/>
  <c r="AH3" i="66"/>
  <c r="AG3" i="66"/>
  <c r="AF3" i="66"/>
  <c r="AE3" i="66"/>
  <c r="AD3" i="66"/>
  <c r="AC3" i="66"/>
  <c r="AB3" i="66"/>
  <c r="AA3" i="66"/>
  <c r="Z3" i="66"/>
  <c r="Y3" i="66"/>
  <c r="X3" i="66"/>
  <c r="W3" i="66"/>
  <c r="V3" i="66"/>
  <c r="U3" i="66"/>
  <c r="T3" i="66"/>
  <c r="S3" i="66"/>
  <c r="R3" i="66"/>
  <c r="Q3" i="66"/>
  <c r="P3" i="66"/>
  <c r="O3" i="66"/>
  <c r="N3" i="66"/>
  <c r="M3" i="66"/>
  <c r="L3" i="66"/>
  <c r="K3" i="66"/>
  <c r="J3" i="66"/>
  <c r="I3" i="66"/>
  <c r="H3" i="66"/>
  <c r="G3" i="66"/>
  <c r="F3" i="66"/>
  <c r="E3" i="66"/>
  <c r="D3" i="66"/>
  <c r="C3" i="66"/>
  <c r="B3" i="66"/>
  <c r="BA2" i="66"/>
  <c r="AZ2" i="66"/>
  <c r="AY2" i="66"/>
  <c r="AX2" i="66"/>
  <c r="AW2" i="66"/>
  <c r="AV2" i="66"/>
  <c r="AU2" i="66"/>
  <c r="AT2" i="66"/>
  <c r="AS2" i="66"/>
  <c r="AR2" i="66"/>
  <c r="AQ2" i="66"/>
  <c r="AP2" i="66"/>
  <c r="AO2" i="66"/>
  <c r="AN2" i="66"/>
  <c r="AM2" i="66"/>
  <c r="AL2" i="66"/>
  <c r="AK2" i="66"/>
  <c r="AJ2" i="66"/>
  <c r="AI2" i="66"/>
  <c r="AH2" i="66"/>
  <c r="AG2" i="66"/>
  <c r="AF2" i="66"/>
  <c r="AE2" i="66"/>
  <c r="AD2" i="66"/>
  <c r="AC2" i="66"/>
  <c r="AB2" i="66"/>
  <c r="AA2" i="66"/>
  <c r="Z2" i="66"/>
  <c r="Y2" i="66"/>
  <c r="X2" i="66"/>
  <c r="W2" i="66"/>
  <c r="V2" i="66"/>
  <c r="U2" i="66"/>
  <c r="T2" i="66"/>
  <c r="S2" i="66"/>
  <c r="R2" i="66"/>
  <c r="Q2" i="66"/>
  <c r="P2" i="66"/>
  <c r="O2" i="66"/>
  <c r="N2" i="66"/>
  <c r="M2" i="66"/>
  <c r="L2" i="66"/>
  <c r="K2" i="66"/>
  <c r="J2" i="66"/>
  <c r="I2" i="66"/>
  <c r="H2" i="66"/>
  <c r="G2" i="66"/>
  <c r="F2" i="66"/>
  <c r="E2" i="66"/>
  <c r="D2" i="66"/>
  <c r="C2" i="66"/>
  <c r="B2" i="66"/>
  <c r="C2" i="65"/>
  <c r="D2" i="65"/>
  <c r="E2" i="65"/>
  <c r="F2" i="65"/>
  <c r="G2" i="65"/>
  <c r="H2" i="65"/>
  <c r="I2" i="65"/>
  <c r="J2" i="65"/>
  <c r="K2" i="65"/>
  <c r="L2" i="65"/>
  <c r="M2" i="65"/>
  <c r="N2" i="65"/>
  <c r="O2" i="65"/>
  <c r="P2" i="65"/>
  <c r="Q2" i="65"/>
  <c r="R2" i="65"/>
  <c r="S2" i="65"/>
  <c r="T2" i="65"/>
  <c r="U2" i="65"/>
  <c r="V2" i="65"/>
  <c r="W2" i="65"/>
  <c r="X2" i="65"/>
  <c r="Y2" i="65"/>
  <c r="Z2" i="65"/>
  <c r="AA2" i="65"/>
  <c r="AB2" i="65"/>
  <c r="AC2" i="65"/>
  <c r="AD2" i="65"/>
  <c r="AE2" i="65"/>
  <c r="AF2" i="65"/>
  <c r="AG2" i="65"/>
  <c r="AH2" i="65"/>
  <c r="AI2" i="65"/>
  <c r="AJ2" i="65"/>
  <c r="AK2" i="65"/>
  <c r="AL2" i="65"/>
  <c r="AM2" i="65"/>
  <c r="AN2" i="65"/>
  <c r="AO2" i="65"/>
  <c r="AP2" i="65"/>
  <c r="AQ2" i="65"/>
  <c r="AR2" i="65"/>
  <c r="AS2" i="65"/>
  <c r="AT2" i="65"/>
  <c r="AU2" i="65"/>
  <c r="AV2" i="65"/>
  <c r="AW2" i="65"/>
  <c r="AX2" i="65"/>
  <c r="AY2" i="65"/>
  <c r="AZ2" i="65"/>
  <c r="BA2" i="65"/>
  <c r="B2" i="65"/>
  <c r="AU3" i="65"/>
  <c r="C3" i="65"/>
  <c r="D3" i="65"/>
  <c r="E3" i="65"/>
  <c r="F3" i="65"/>
  <c r="G3" i="65"/>
  <c r="H3" i="65"/>
  <c r="I3" i="65"/>
  <c r="J3" i="65"/>
  <c r="K3" i="65"/>
  <c r="L3" i="65"/>
  <c r="M3" i="65"/>
  <c r="N3" i="65"/>
  <c r="O3" i="65"/>
  <c r="P3" i="65"/>
  <c r="Q3" i="65"/>
  <c r="R3" i="65"/>
  <c r="S3" i="65"/>
  <c r="T3" i="65"/>
  <c r="U3" i="65"/>
  <c r="V3" i="65"/>
  <c r="W3" i="65"/>
  <c r="X3" i="65"/>
  <c r="Y3" i="65"/>
  <c r="Z3" i="65"/>
  <c r="AA3" i="65"/>
  <c r="AB3" i="65"/>
  <c r="AC3" i="65"/>
  <c r="AD3" i="65"/>
  <c r="AE3" i="65"/>
  <c r="AF3" i="65"/>
  <c r="AG3" i="65"/>
  <c r="AH3" i="65"/>
  <c r="AI3" i="65"/>
  <c r="AJ3" i="65"/>
  <c r="AK3" i="65"/>
  <c r="AL3" i="65"/>
  <c r="AM3" i="65"/>
  <c r="AN3" i="65"/>
  <c r="AO3" i="65"/>
  <c r="AP3" i="65"/>
  <c r="AQ3" i="65"/>
  <c r="AR3" i="65"/>
  <c r="AS3" i="65"/>
  <c r="AT3" i="65"/>
  <c r="AV3" i="65"/>
  <c r="AW3" i="65"/>
  <c r="AX3" i="65"/>
  <c r="AY3" i="65"/>
  <c r="AZ3" i="65"/>
  <c r="BA3" i="65"/>
  <c r="B3" i="65"/>
  <c r="BA7" i="64"/>
  <c r="BA8" i="64"/>
  <c r="BA9" i="64"/>
  <c r="BA10" i="64"/>
  <c r="BA11" i="64"/>
  <c r="BA12" i="64"/>
  <c r="BA13" i="64"/>
  <c r="BA15" i="64"/>
  <c r="BA16" i="64"/>
  <c r="BA17" i="64"/>
  <c r="BA18" i="64"/>
  <c r="BA19" i="64"/>
  <c r="BA21" i="64"/>
  <c r="BA22" i="64"/>
  <c r="BA23" i="64"/>
  <c r="BA24" i="64"/>
  <c r="BA25" i="64"/>
  <c r="BA27" i="64"/>
  <c r="BA28" i="64"/>
  <c r="BA29" i="64"/>
  <c r="BA30" i="64"/>
  <c r="BA6" i="64"/>
  <c r="AZ7" i="64"/>
  <c r="AZ8" i="64"/>
  <c r="AZ9" i="64"/>
  <c r="AZ10" i="64"/>
  <c r="AZ11" i="64"/>
  <c r="AZ12" i="64"/>
  <c r="AZ13" i="64"/>
  <c r="AZ15" i="64"/>
  <c r="AZ16" i="64"/>
  <c r="AZ17" i="64"/>
  <c r="AZ18" i="64"/>
  <c r="AZ19" i="64"/>
  <c r="AZ21" i="64"/>
  <c r="AZ22" i="64"/>
  <c r="AZ24" i="64"/>
  <c r="AZ25" i="64"/>
  <c r="AZ27" i="64"/>
  <c r="AZ28" i="64"/>
  <c r="AZ29" i="64"/>
  <c r="AZ30" i="64"/>
  <c r="AZ6" i="64"/>
  <c r="AY31" i="64"/>
  <c r="AX31" i="64"/>
  <c r="AW31" i="64"/>
  <c r="AV31" i="64"/>
  <c r="AU31" i="64"/>
  <c r="AT31" i="64"/>
  <c r="AS31" i="64"/>
  <c r="AR31" i="64"/>
  <c r="AQ31" i="64"/>
  <c r="AP31" i="64"/>
  <c r="AO31" i="64"/>
  <c r="AN31" i="64"/>
  <c r="AM31" i="64"/>
  <c r="AL31" i="64"/>
  <c r="AK31" i="64"/>
  <c r="AJ31" i="64"/>
  <c r="AI31" i="64"/>
  <c r="AH31" i="64"/>
  <c r="AG31" i="64"/>
  <c r="AF31" i="64"/>
  <c r="AE31" i="64"/>
  <c r="AD31" i="64"/>
  <c r="AC31" i="64"/>
  <c r="AB31" i="64"/>
  <c r="AA31" i="64"/>
  <c r="Z31" i="64"/>
  <c r="Y31" i="64"/>
  <c r="X31" i="64"/>
  <c r="W31" i="64"/>
  <c r="V31" i="64"/>
  <c r="U31" i="64"/>
  <c r="T31" i="64"/>
  <c r="S31" i="64"/>
  <c r="R31" i="64"/>
  <c r="Q31" i="64"/>
  <c r="P31" i="64"/>
  <c r="O31" i="64"/>
  <c r="N31" i="64"/>
  <c r="M31" i="64"/>
  <c r="L31" i="64"/>
  <c r="K31" i="64"/>
  <c r="J31" i="64"/>
  <c r="I31" i="64"/>
  <c r="H31" i="64"/>
  <c r="G31" i="64"/>
  <c r="F31" i="64"/>
  <c r="E31" i="64"/>
  <c r="D31" i="64"/>
  <c r="C31" i="64"/>
  <c r="B31" i="64"/>
  <c r="BA3" i="64"/>
  <c r="AZ3" i="64"/>
  <c r="AY3" i="64"/>
  <c r="AX3" i="64"/>
  <c r="AW3" i="64"/>
  <c r="AV3" i="64"/>
  <c r="AU3" i="64"/>
  <c r="AT3" i="64"/>
  <c r="AS3" i="64"/>
  <c r="AR3" i="64"/>
  <c r="AQ3" i="64"/>
  <c r="AP3" i="64"/>
  <c r="AO3" i="64"/>
  <c r="AN3" i="64"/>
  <c r="AM3" i="64"/>
  <c r="AL3" i="64"/>
  <c r="AK3" i="64"/>
  <c r="AJ3" i="64"/>
  <c r="AI3" i="64"/>
  <c r="AH3" i="64"/>
  <c r="AG3" i="64"/>
  <c r="AF3" i="64"/>
  <c r="AE3" i="64"/>
  <c r="AD3" i="64"/>
  <c r="AC3" i="64"/>
  <c r="AB3" i="64"/>
  <c r="AA3" i="64"/>
  <c r="Z3" i="64"/>
  <c r="Y3" i="64"/>
  <c r="X3" i="64"/>
  <c r="W3" i="64"/>
  <c r="V3" i="64"/>
  <c r="U3" i="64"/>
  <c r="T3" i="64"/>
  <c r="S3" i="64"/>
  <c r="R3" i="64"/>
  <c r="Q3" i="64"/>
  <c r="P3" i="64"/>
  <c r="O3" i="64"/>
  <c r="N3" i="64"/>
  <c r="M3" i="64"/>
  <c r="L3" i="64"/>
  <c r="K3" i="64"/>
  <c r="J3" i="64"/>
  <c r="I3" i="64"/>
  <c r="H3" i="64"/>
  <c r="G3" i="64"/>
  <c r="F3" i="64"/>
  <c r="E3" i="64"/>
  <c r="D3" i="64"/>
  <c r="C3" i="64"/>
  <c r="B3" i="64"/>
  <c r="AY31" i="63"/>
  <c r="AX31" i="63"/>
  <c r="AW31" i="63"/>
  <c r="AV31" i="63"/>
  <c r="AU31" i="63"/>
  <c r="AT31" i="63"/>
  <c r="AS31" i="63"/>
  <c r="AQ31" i="63"/>
  <c r="AP31" i="63"/>
  <c r="AO31" i="63"/>
  <c r="AN31" i="63"/>
  <c r="AM31" i="63"/>
  <c r="AL31" i="63"/>
  <c r="AK31" i="63"/>
  <c r="AJ31" i="63"/>
  <c r="AI31" i="63"/>
  <c r="AH31" i="63"/>
  <c r="AG31" i="63"/>
  <c r="AF31" i="63"/>
  <c r="BA28" i="63" s="1"/>
  <c r="AE31" i="63"/>
  <c r="AD31" i="63"/>
  <c r="AC31" i="63"/>
  <c r="AB31" i="63"/>
  <c r="AA31" i="63"/>
  <c r="Z31" i="63"/>
  <c r="Y31" i="63"/>
  <c r="AZ29" i="63" s="1"/>
  <c r="X31" i="63"/>
  <c r="W31" i="63"/>
  <c r="V31" i="63"/>
  <c r="U31" i="63"/>
  <c r="T31" i="63"/>
  <c r="S31" i="63"/>
  <c r="R31" i="63"/>
  <c r="Q31" i="63"/>
  <c r="P31" i="63"/>
  <c r="O31" i="63"/>
  <c r="N31" i="63"/>
  <c r="M31" i="63"/>
  <c r="L31" i="63"/>
  <c r="K31" i="63"/>
  <c r="J31" i="63"/>
  <c r="I31" i="63"/>
  <c r="H31" i="63"/>
  <c r="G31" i="63"/>
  <c r="F31" i="63"/>
  <c r="E31" i="63"/>
  <c r="D31" i="63"/>
  <c r="C31" i="63"/>
  <c r="B31" i="63"/>
  <c r="AZ30" i="63"/>
  <c r="AZ7" i="63"/>
  <c r="AY3" i="63"/>
  <c r="AX3" i="63"/>
  <c r="AW3" i="63"/>
  <c r="AV3" i="63"/>
  <c r="AU3" i="63"/>
  <c r="AT3" i="63"/>
  <c r="AS3" i="63"/>
  <c r="AR3" i="63"/>
  <c r="AQ3" i="63"/>
  <c r="AP3" i="63"/>
  <c r="AO3" i="63"/>
  <c r="AN3" i="63"/>
  <c r="AM3" i="63"/>
  <c r="AL3" i="63"/>
  <c r="AK3" i="63"/>
  <c r="AJ3" i="63"/>
  <c r="AI3" i="63"/>
  <c r="AH3" i="63"/>
  <c r="AG3" i="63"/>
  <c r="AF3" i="63"/>
  <c r="AE3" i="63"/>
  <c r="AD3" i="63"/>
  <c r="AC3" i="63"/>
  <c r="AB3" i="63"/>
  <c r="AA3" i="63"/>
  <c r="Z3" i="63"/>
  <c r="Y3" i="63"/>
  <c r="X3" i="63"/>
  <c r="W3" i="63"/>
  <c r="V3" i="63"/>
  <c r="U3" i="63"/>
  <c r="T3" i="63"/>
  <c r="S3" i="63"/>
  <c r="R3" i="63"/>
  <c r="Q3" i="63"/>
  <c r="P3" i="63"/>
  <c r="O3" i="63"/>
  <c r="N3" i="63"/>
  <c r="M3" i="63"/>
  <c r="L3" i="63"/>
  <c r="K3" i="63"/>
  <c r="J3" i="63"/>
  <c r="I3" i="63"/>
  <c r="H3" i="63"/>
  <c r="G3" i="63"/>
  <c r="F3" i="63"/>
  <c r="E3" i="63"/>
  <c r="D3" i="63"/>
  <c r="C3" i="63"/>
  <c r="B3" i="63"/>
  <c r="AZ31" i="64" l="1"/>
  <c r="BA31" i="64"/>
  <c r="BA6" i="63"/>
  <c r="BA23" i="63"/>
  <c r="BA24" i="63"/>
  <c r="AR31" i="63"/>
  <c r="BA7" i="63"/>
  <c r="BA25" i="63"/>
  <c r="BA29" i="63"/>
  <c r="BA12" i="63"/>
  <c r="BA13" i="63"/>
  <c r="BA16" i="63"/>
  <c r="BA18" i="63"/>
  <c r="AZ19" i="63"/>
  <c r="BA10" i="63"/>
  <c r="BA3" i="63" s="1"/>
  <c r="BA26" i="63"/>
  <c r="BA11" i="63"/>
  <c r="BA30" i="63"/>
  <c r="BA19" i="63"/>
  <c r="BA20" i="63"/>
  <c r="AZ11" i="63"/>
  <c r="AZ12" i="63"/>
  <c r="AZ24" i="63"/>
  <c r="AZ20" i="63"/>
  <c r="AZ13" i="63"/>
  <c r="AZ25" i="63"/>
  <c r="AZ26" i="63"/>
  <c r="AZ6" i="63"/>
  <c r="AZ18" i="63"/>
  <c r="AZ8" i="63"/>
  <c r="AZ14" i="63"/>
  <c r="AZ21" i="63"/>
  <c r="AZ27" i="63"/>
  <c r="BA8" i="63"/>
  <c r="BA14" i="63"/>
  <c r="BA21" i="63"/>
  <c r="BA27" i="63"/>
  <c r="AZ9" i="63"/>
  <c r="AZ15" i="63"/>
  <c r="AZ22" i="63"/>
  <c r="AZ28" i="63"/>
  <c r="BA9" i="63"/>
  <c r="BA15" i="63"/>
  <c r="BA22" i="63"/>
  <c r="AZ10" i="63"/>
  <c r="AZ3" i="63" s="1"/>
  <c r="AZ16" i="63"/>
  <c r="AZ23" i="63"/>
  <c r="AR3" i="62"/>
  <c r="AR31" i="62"/>
  <c r="BA31" i="63" l="1"/>
  <c r="AZ31" i="63"/>
  <c r="AY31" i="62"/>
  <c r="AX31" i="62"/>
  <c r="AW31" i="62"/>
  <c r="AV31" i="62"/>
  <c r="AU31" i="62"/>
  <c r="AT31" i="62"/>
  <c r="AS31" i="62"/>
  <c r="AQ31" i="62"/>
  <c r="AP31" i="62"/>
  <c r="AO31" i="62"/>
  <c r="AN31" i="62"/>
  <c r="AM31" i="62"/>
  <c r="AL31" i="62"/>
  <c r="AK31" i="62"/>
  <c r="AJ31" i="62"/>
  <c r="AI31" i="62"/>
  <c r="AH31" i="62"/>
  <c r="AG31" i="62"/>
  <c r="AF31" i="62"/>
  <c r="BA10" i="62" s="1"/>
  <c r="BA3" i="62" s="1"/>
  <c r="AE31" i="62"/>
  <c r="AD31" i="62"/>
  <c r="AC31" i="62"/>
  <c r="AB31" i="62"/>
  <c r="AA31" i="62"/>
  <c r="Z31" i="62"/>
  <c r="Y31" i="62"/>
  <c r="AZ7" i="62" s="1"/>
  <c r="X31" i="62"/>
  <c r="W31" i="62"/>
  <c r="V31" i="62"/>
  <c r="U31" i="62"/>
  <c r="T31" i="62"/>
  <c r="S31" i="62"/>
  <c r="R31" i="62"/>
  <c r="Q31" i="62"/>
  <c r="P31" i="62"/>
  <c r="O31" i="62"/>
  <c r="N31" i="62"/>
  <c r="M31" i="62"/>
  <c r="L31" i="62"/>
  <c r="K31" i="62"/>
  <c r="J31" i="62"/>
  <c r="I31" i="62"/>
  <c r="H31" i="62"/>
  <c r="G31" i="62"/>
  <c r="F31" i="62"/>
  <c r="E31" i="62"/>
  <c r="D31" i="62"/>
  <c r="C31" i="62"/>
  <c r="B31" i="62"/>
  <c r="AY3" i="62"/>
  <c r="AX3" i="62"/>
  <c r="AW3" i="62"/>
  <c r="AV3" i="62"/>
  <c r="AU3" i="62"/>
  <c r="AT3" i="62"/>
  <c r="AS3" i="62"/>
  <c r="AQ3" i="62"/>
  <c r="AP3" i="62"/>
  <c r="AO3" i="62"/>
  <c r="AN3" i="62"/>
  <c r="AM3" i="62"/>
  <c r="AL3" i="62"/>
  <c r="AK3" i="62"/>
  <c r="AJ3" i="62"/>
  <c r="AI3" i="62"/>
  <c r="AH3" i="62"/>
  <c r="AG3" i="62"/>
  <c r="AF3" i="62"/>
  <c r="AE3" i="62"/>
  <c r="AD3" i="62"/>
  <c r="AC3" i="62"/>
  <c r="AB3" i="62"/>
  <c r="AA3" i="62"/>
  <c r="Z3" i="62"/>
  <c r="Y3" i="62"/>
  <c r="X3" i="62"/>
  <c r="W3" i="62"/>
  <c r="V3" i="62"/>
  <c r="U3" i="62"/>
  <c r="T3" i="62"/>
  <c r="S3" i="62"/>
  <c r="R3" i="62"/>
  <c r="Q3" i="62"/>
  <c r="P3" i="62"/>
  <c r="O3" i="62"/>
  <c r="N3" i="62"/>
  <c r="M3" i="62"/>
  <c r="L3" i="62"/>
  <c r="K3" i="62"/>
  <c r="J3" i="62"/>
  <c r="I3" i="62"/>
  <c r="H3" i="62"/>
  <c r="G3" i="62"/>
  <c r="F3" i="62"/>
  <c r="E3" i="62"/>
  <c r="D3" i="62"/>
  <c r="C3" i="62"/>
  <c r="B3" i="62"/>
  <c r="AU3" i="60"/>
  <c r="AV3" i="60"/>
  <c r="AW31" i="61"/>
  <c r="AT31" i="61"/>
  <c r="AZ27" i="62" l="1"/>
  <c r="BA30" i="62"/>
  <c r="BA26" i="62"/>
  <c r="BA18" i="62"/>
  <c r="BA13" i="62"/>
  <c r="BA9" i="62"/>
  <c r="AZ26" i="62"/>
  <c r="BA29" i="62"/>
  <c r="BA25" i="62"/>
  <c r="BA21" i="62"/>
  <c r="BA16" i="62"/>
  <c r="BA12" i="62"/>
  <c r="BA8" i="62"/>
  <c r="AZ29" i="62"/>
  <c r="BA28" i="62"/>
  <c r="BA24" i="62"/>
  <c r="BA20" i="62"/>
  <c r="BA15" i="62"/>
  <c r="BA11" i="62"/>
  <c r="BA7" i="62"/>
  <c r="BA22" i="62"/>
  <c r="AZ6" i="62"/>
  <c r="BA6" i="62"/>
  <c r="BA27" i="62"/>
  <c r="BA23" i="62"/>
  <c r="BA19" i="62"/>
  <c r="BA14" i="62"/>
  <c r="AZ23" i="62"/>
  <c r="AZ19" i="62"/>
  <c r="AZ14" i="62"/>
  <c r="AZ10" i="62"/>
  <c r="AZ3" i="62" s="1"/>
  <c r="AZ9" i="62"/>
  <c r="AZ22" i="62"/>
  <c r="AZ18" i="62"/>
  <c r="AZ13" i="62"/>
  <c r="AZ30" i="62"/>
  <c r="AZ25" i="62"/>
  <c r="AZ21" i="62"/>
  <c r="AZ16" i="62"/>
  <c r="AZ12" i="62"/>
  <c r="AZ8" i="62"/>
  <c r="AZ28" i="62"/>
  <c r="AZ24" i="62"/>
  <c r="AZ20" i="62"/>
  <c r="AZ15" i="62"/>
  <c r="AZ11" i="62"/>
  <c r="AU32" i="60"/>
  <c r="AV32" i="60"/>
  <c r="AW3" i="61"/>
  <c r="AT3" i="61"/>
  <c r="AW32" i="59"/>
  <c r="AX32" i="59"/>
  <c r="AW3" i="59"/>
  <c r="AX3" i="59"/>
  <c r="AX3" i="60"/>
  <c r="AR32" i="60"/>
  <c r="AT3" i="60"/>
  <c r="AV31" i="61"/>
  <c r="AU31" i="61"/>
  <c r="AX3" i="61"/>
  <c r="AU32" i="59"/>
  <c r="AV32" i="59"/>
  <c r="AT32" i="59"/>
  <c r="AV3" i="59"/>
  <c r="AS32" i="60"/>
  <c r="B32" i="60"/>
  <c r="C32" i="60"/>
  <c r="D32" i="60"/>
  <c r="E32" i="60"/>
  <c r="F32" i="60"/>
  <c r="G32" i="60"/>
  <c r="H32" i="60"/>
  <c r="I32" i="60"/>
  <c r="J32" i="60"/>
  <c r="K32" i="60"/>
  <c r="L32" i="60"/>
  <c r="M32" i="60"/>
  <c r="N32" i="60"/>
  <c r="O32" i="60"/>
  <c r="P32" i="60"/>
  <c r="Q32" i="60"/>
  <c r="R32" i="60"/>
  <c r="S32" i="60"/>
  <c r="T32" i="60"/>
  <c r="U32" i="60"/>
  <c r="V32" i="60"/>
  <c r="W32" i="60"/>
  <c r="X32" i="60"/>
  <c r="Y32" i="60"/>
  <c r="AY18" i="60" s="1"/>
  <c r="AW3" i="60"/>
  <c r="AT3" i="59"/>
  <c r="AU3" i="59"/>
  <c r="AU3" i="61"/>
  <c r="AV3" i="61"/>
  <c r="AS31" i="61"/>
  <c r="AR31" i="61"/>
  <c r="AR32" i="59"/>
  <c r="AS32" i="59"/>
  <c r="C32" i="59"/>
  <c r="D32" i="59"/>
  <c r="E32" i="59"/>
  <c r="F32" i="59"/>
  <c r="G32" i="59"/>
  <c r="H32" i="59"/>
  <c r="I32" i="59"/>
  <c r="J32" i="59"/>
  <c r="K32" i="59"/>
  <c r="L32" i="59"/>
  <c r="M32" i="59"/>
  <c r="N32" i="59"/>
  <c r="O32" i="59"/>
  <c r="P32" i="59"/>
  <c r="Q32" i="59"/>
  <c r="R32" i="59"/>
  <c r="S32" i="59"/>
  <c r="T32" i="59"/>
  <c r="U32" i="59"/>
  <c r="V32" i="59"/>
  <c r="W32" i="59"/>
  <c r="X32" i="59"/>
  <c r="Y32" i="59"/>
  <c r="B32" i="59"/>
  <c r="AS3" i="60"/>
  <c r="AR3" i="60"/>
  <c r="AQ3" i="60"/>
  <c r="AP3" i="60"/>
  <c r="AO3" i="60"/>
  <c r="AN3" i="60"/>
  <c r="AM3" i="60"/>
  <c r="AL3" i="60"/>
  <c r="AK3" i="60"/>
  <c r="AJ3" i="60"/>
  <c r="AI3" i="60"/>
  <c r="AH3" i="60"/>
  <c r="AG3" i="60"/>
  <c r="AF3" i="60"/>
  <c r="AE3" i="60"/>
  <c r="AD3" i="60"/>
  <c r="AC3" i="60"/>
  <c r="AB3" i="60"/>
  <c r="AA3" i="60"/>
  <c r="Z3" i="60"/>
  <c r="Y3" i="60"/>
  <c r="X3" i="60"/>
  <c r="W3" i="60"/>
  <c r="V3" i="60"/>
  <c r="U3" i="60"/>
  <c r="T3" i="60"/>
  <c r="S3" i="60"/>
  <c r="R3" i="60"/>
  <c r="Q3" i="60"/>
  <c r="P3" i="60"/>
  <c r="O3" i="60"/>
  <c r="N3" i="60"/>
  <c r="M3" i="60"/>
  <c r="L3" i="60"/>
  <c r="K3" i="60"/>
  <c r="J3" i="60"/>
  <c r="I3" i="60"/>
  <c r="H3" i="60"/>
  <c r="G3" i="60"/>
  <c r="F3" i="60"/>
  <c r="E3" i="60"/>
  <c r="D3" i="60"/>
  <c r="C3" i="60"/>
  <c r="B3" i="60"/>
  <c r="AS3" i="59"/>
  <c r="AR3" i="59"/>
  <c r="AQ3" i="59"/>
  <c r="AP3" i="59"/>
  <c r="AO3" i="59"/>
  <c r="AN3" i="59"/>
  <c r="AM3" i="59"/>
  <c r="AL3" i="59"/>
  <c r="AK3" i="59"/>
  <c r="AJ3" i="59"/>
  <c r="AI3" i="59"/>
  <c r="AH3" i="59"/>
  <c r="AG3" i="59"/>
  <c r="AF3" i="59"/>
  <c r="AE3" i="59"/>
  <c r="AD3" i="59"/>
  <c r="AC3" i="59"/>
  <c r="AB3" i="59"/>
  <c r="AA3" i="59"/>
  <c r="Z3" i="59"/>
  <c r="Y3" i="59"/>
  <c r="X3" i="59"/>
  <c r="W3" i="59"/>
  <c r="V3" i="59"/>
  <c r="U3" i="59"/>
  <c r="T3" i="59"/>
  <c r="S3" i="59"/>
  <c r="R3" i="59"/>
  <c r="Q3" i="59"/>
  <c r="P3" i="59"/>
  <c r="O3" i="59"/>
  <c r="N3" i="59"/>
  <c r="M3" i="59"/>
  <c r="L3" i="59"/>
  <c r="K3" i="59"/>
  <c r="J3" i="59"/>
  <c r="I3" i="59"/>
  <c r="H3" i="59"/>
  <c r="G3" i="59"/>
  <c r="F3" i="59"/>
  <c r="E3" i="59"/>
  <c r="D3" i="59"/>
  <c r="C3" i="59"/>
  <c r="B3" i="59"/>
  <c r="B3" i="61"/>
  <c r="C3" i="61"/>
  <c r="D3" i="61"/>
  <c r="E3" i="61"/>
  <c r="F3" i="61"/>
  <c r="G3" i="61"/>
  <c r="H3" i="61"/>
  <c r="I3" i="61"/>
  <c r="J3" i="61"/>
  <c r="K3" i="61"/>
  <c r="L3" i="61"/>
  <c r="M3" i="61"/>
  <c r="N3" i="61"/>
  <c r="O3" i="61"/>
  <c r="P3" i="61"/>
  <c r="Q3" i="61"/>
  <c r="R3" i="61"/>
  <c r="S3" i="61"/>
  <c r="T3" i="61"/>
  <c r="U3" i="61"/>
  <c r="V3" i="61"/>
  <c r="W3" i="61"/>
  <c r="X3" i="61"/>
  <c r="Y3" i="61"/>
  <c r="AH31" i="61"/>
  <c r="C31" i="61"/>
  <c r="D31" i="61"/>
  <c r="E31" i="61"/>
  <c r="F31" i="61"/>
  <c r="G31" i="61"/>
  <c r="H31" i="61"/>
  <c r="I31" i="61"/>
  <c r="J31" i="61"/>
  <c r="K31" i="61"/>
  <c r="L31" i="61"/>
  <c r="M31" i="61"/>
  <c r="N31" i="61"/>
  <c r="O31" i="61"/>
  <c r="P31" i="61"/>
  <c r="Q31" i="61"/>
  <c r="R31" i="61"/>
  <c r="S31" i="61"/>
  <c r="T31" i="61"/>
  <c r="U31" i="61"/>
  <c r="V31" i="61"/>
  <c r="W31" i="61"/>
  <c r="X31" i="61"/>
  <c r="Y31" i="61"/>
  <c r="B31" i="61"/>
  <c r="AY25" i="59" l="1"/>
  <c r="AY27" i="59"/>
  <c r="AY7" i="59"/>
  <c r="AZ31" i="62"/>
  <c r="BA31" i="62"/>
  <c r="AY23" i="61"/>
  <c r="AY24" i="61"/>
  <c r="AY26" i="61"/>
  <c r="AY18" i="61"/>
  <c r="AY27" i="60"/>
  <c r="AY25" i="60"/>
  <c r="AY7" i="60"/>
  <c r="AY11" i="60"/>
  <c r="AY3" i="60" s="1"/>
  <c r="AY16" i="60"/>
  <c r="AY20" i="61"/>
  <c r="AY17" i="59"/>
  <c r="AY16" i="59"/>
  <c r="AY16" i="61"/>
  <c r="AY29" i="61"/>
  <c r="AY19" i="61"/>
  <c r="AY21" i="61"/>
  <c r="AY28" i="61"/>
  <c r="AY8" i="61"/>
  <c r="AY17" i="61"/>
  <c r="AY30" i="61"/>
  <c r="AY10" i="61"/>
  <c r="AY3" i="61" s="1"/>
  <c r="AY22" i="61"/>
  <c r="AY9" i="61"/>
  <c r="AY11" i="61"/>
  <c r="AY12" i="61"/>
  <c r="AY25" i="61"/>
  <c r="AY13" i="61"/>
  <c r="AY27" i="61"/>
  <c r="AY15" i="61"/>
  <c r="AY6" i="59"/>
  <c r="AY18" i="59"/>
  <c r="AY9" i="59"/>
  <c r="AY10" i="59"/>
  <c r="AY22" i="59"/>
  <c r="AY23" i="59"/>
  <c r="AY26" i="59"/>
  <c r="AY28" i="59"/>
  <c r="AY11" i="59"/>
  <c r="AY3" i="59" s="1"/>
  <c r="AY12" i="59"/>
  <c r="AY13" i="59"/>
  <c r="AY14" i="59"/>
  <c r="AY29" i="59"/>
  <c r="AY30" i="59"/>
  <c r="AY31" i="59"/>
  <c r="AY20" i="59"/>
  <c r="AY6" i="61"/>
  <c r="AY22" i="60"/>
  <c r="AX31" i="61"/>
  <c r="AY23" i="60"/>
  <c r="AW32" i="60"/>
  <c r="AX32" i="60"/>
  <c r="AT32" i="60"/>
  <c r="AY31" i="60"/>
  <c r="AY10" i="60"/>
  <c r="AY6" i="60"/>
  <c r="AY30" i="60"/>
  <c r="AY17" i="60"/>
  <c r="AY29" i="60"/>
  <c r="AY26" i="60"/>
  <c r="AY9" i="60"/>
  <c r="AY14" i="60"/>
  <c r="AY13" i="60"/>
  <c r="AY12" i="60"/>
  <c r="AY28" i="60"/>
  <c r="AY20" i="60"/>
  <c r="AQ31" i="61"/>
  <c r="AP31" i="61"/>
  <c r="AO31" i="61"/>
  <c r="AN31" i="61"/>
  <c r="AM31" i="61"/>
  <c r="AL31" i="61"/>
  <c r="AK31" i="61"/>
  <c r="AJ31" i="61"/>
  <c r="AI31" i="61"/>
  <c r="AG31" i="61"/>
  <c r="AF31" i="61"/>
  <c r="AE31" i="61"/>
  <c r="AD31" i="61"/>
  <c r="AC31" i="61"/>
  <c r="AB31" i="61"/>
  <c r="AA31" i="61"/>
  <c r="Z31" i="61"/>
  <c r="AS3" i="61"/>
  <c r="AR3" i="61"/>
  <c r="AQ3" i="61"/>
  <c r="AP3" i="61"/>
  <c r="AO3" i="61"/>
  <c r="AN3" i="61"/>
  <c r="AM3" i="61"/>
  <c r="AL3" i="61"/>
  <c r="AK3" i="61"/>
  <c r="AJ3" i="61"/>
  <c r="AI3" i="61"/>
  <c r="AH3" i="61"/>
  <c r="AG3" i="61"/>
  <c r="AF3" i="61"/>
  <c r="AE3" i="61"/>
  <c r="AD3" i="61"/>
  <c r="AC3" i="61"/>
  <c r="AB3" i="61"/>
  <c r="AA3" i="61"/>
  <c r="Z3" i="61"/>
  <c r="AQ32" i="60"/>
  <c r="AP32" i="60"/>
  <c r="AO32" i="60"/>
  <c r="AN32" i="60"/>
  <c r="AM32" i="60"/>
  <c r="AL32" i="60"/>
  <c r="AK32" i="60"/>
  <c r="AJ32" i="60"/>
  <c r="AI32" i="60"/>
  <c r="AH32" i="60"/>
  <c r="AG32" i="60"/>
  <c r="AF32" i="60"/>
  <c r="AE32" i="60"/>
  <c r="AD32" i="60"/>
  <c r="AC32" i="60"/>
  <c r="AB32" i="60"/>
  <c r="AA32" i="60"/>
  <c r="Z32" i="60"/>
  <c r="AQ32" i="59"/>
  <c r="AP32" i="59"/>
  <c r="AO32" i="59"/>
  <c r="AN32" i="59"/>
  <c r="AM32" i="59"/>
  <c r="AL32" i="59"/>
  <c r="AK32" i="59"/>
  <c r="AJ32" i="59"/>
  <c r="AI32" i="59"/>
  <c r="AH32" i="59"/>
  <c r="AG32" i="59"/>
  <c r="AF32" i="59"/>
  <c r="AE32" i="59"/>
  <c r="AD32" i="59"/>
  <c r="AC32" i="59"/>
  <c r="AB32" i="59"/>
  <c r="AA32" i="59"/>
  <c r="Z32" i="59"/>
  <c r="AD32" i="58"/>
  <c r="AC32" i="58"/>
  <c r="AB32" i="58"/>
  <c r="AA32" i="58"/>
  <c r="Z32" i="58"/>
  <c r="Y32" i="58"/>
  <c r="X32" i="58"/>
  <c r="W32" i="58"/>
  <c r="V32" i="58"/>
  <c r="U32" i="58"/>
  <c r="T32" i="58"/>
  <c r="S32" i="58"/>
  <c r="R32" i="58"/>
  <c r="Q32" i="58"/>
  <c r="P32" i="58"/>
  <c r="O32" i="58"/>
  <c r="N32" i="58"/>
  <c r="M32" i="58"/>
  <c r="L32" i="58"/>
  <c r="K32" i="58"/>
  <c r="J32" i="58"/>
  <c r="AE7" i="58" s="1"/>
  <c r="I32" i="58"/>
  <c r="H32" i="58"/>
  <c r="G32" i="58"/>
  <c r="F32" i="58"/>
  <c r="E32" i="58"/>
  <c r="D32" i="58"/>
  <c r="C32" i="58"/>
  <c r="B32" i="58"/>
  <c r="AD3" i="58"/>
  <c r="AC3" i="58"/>
  <c r="AB3" i="58"/>
  <c r="AA3" i="58"/>
  <c r="Z3" i="58"/>
  <c r="Y3" i="58"/>
  <c r="X3" i="58"/>
  <c r="W3" i="58"/>
  <c r="V3" i="58"/>
  <c r="U3" i="58"/>
  <c r="T3" i="58"/>
  <c r="S3" i="58"/>
  <c r="R3" i="58"/>
  <c r="Q3" i="58"/>
  <c r="P3" i="58"/>
  <c r="O3" i="58"/>
  <c r="N3" i="58"/>
  <c r="M3" i="58"/>
  <c r="L3" i="58"/>
  <c r="K3" i="58"/>
  <c r="J3" i="58"/>
  <c r="I3" i="58"/>
  <c r="H3" i="58"/>
  <c r="G3" i="58"/>
  <c r="F3" i="58"/>
  <c r="E3" i="58"/>
  <c r="D3" i="58"/>
  <c r="B3" i="58"/>
  <c r="AY32" i="60" l="1"/>
  <c r="AY32" i="59"/>
  <c r="AY31" i="61"/>
  <c r="AE28" i="58"/>
  <c r="AE22" i="58"/>
  <c r="AE20" i="58"/>
  <c r="AE14" i="58"/>
  <c r="AE12" i="58"/>
  <c r="AE30" i="58"/>
  <c r="AE29" i="58"/>
  <c r="AE21" i="58"/>
  <c r="AE13" i="58"/>
  <c r="AE3" i="58" s="1"/>
  <c r="AE27" i="58"/>
  <c r="AE19" i="58"/>
  <c r="AE11" i="58"/>
  <c r="AE26" i="58"/>
  <c r="AE18" i="58"/>
  <c r="AE10" i="58"/>
  <c r="AE25" i="58"/>
  <c r="AE17" i="58"/>
  <c r="AE9" i="58"/>
  <c r="AE6" i="58"/>
  <c r="AE24" i="58"/>
  <c r="AE16" i="58"/>
  <c r="AE8" i="58"/>
  <c r="AE31" i="58"/>
  <c r="AE23" i="58"/>
  <c r="AE15" i="58"/>
  <c r="AD32" i="57" l="1"/>
  <c r="AC32" i="57"/>
  <c r="C32" i="57"/>
  <c r="D32" i="57"/>
  <c r="E32" i="57"/>
  <c r="F32" i="57"/>
  <c r="G32" i="57"/>
  <c r="H32" i="57"/>
  <c r="I32" i="57"/>
  <c r="J32" i="57"/>
  <c r="K32" i="57"/>
  <c r="L32" i="57"/>
  <c r="M32" i="57"/>
  <c r="N32" i="57"/>
  <c r="O32" i="57"/>
  <c r="P32" i="57"/>
  <c r="Q32" i="57"/>
  <c r="R32" i="57"/>
  <c r="S32" i="57"/>
  <c r="T32" i="57"/>
  <c r="U32" i="57"/>
  <c r="V32" i="57"/>
  <c r="W32" i="57"/>
  <c r="X32" i="57"/>
  <c r="Y32" i="57"/>
  <c r="Z32" i="57"/>
  <c r="AA32" i="57"/>
  <c r="AB32" i="57"/>
  <c r="B32" i="57"/>
  <c r="AE11" i="57" l="1"/>
  <c r="AE19" i="57"/>
  <c r="AE27" i="57"/>
  <c r="AE14" i="57"/>
  <c r="AE23" i="57"/>
  <c r="AE12" i="57"/>
  <c r="AE20" i="57"/>
  <c r="AE28" i="57"/>
  <c r="AE22" i="57"/>
  <c r="AE15" i="57"/>
  <c r="AE25" i="57"/>
  <c r="AE18" i="57"/>
  <c r="AE13" i="57"/>
  <c r="AE21" i="57"/>
  <c r="AE29" i="57"/>
  <c r="AE30" i="57"/>
  <c r="AE31" i="57"/>
  <c r="AE10" i="57"/>
  <c r="AE26" i="57"/>
  <c r="AE7" i="57"/>
  <c r="AE8" i="57"/>
  <c r="AE16" i="57"/>
  <c r="AE24" i="57"/>
  <c r="AE17" i="57"/>
  <c r="AE9" i="57"/>
  <c r="AE6" i="57"/>
  <c r="AD3" i="57"/>
  <c r="AC3" i="57"/>
  <c r="AB3" i="57"/>
  <c r="AA3" i="57"/>
  <c r="Z3" i="57"/>
  <c r="Y3" i="57"/>
  <c r="X3" i="57"/>
  <c r="W3" i="57"/>
  <c r="V3" i="57"/>
  <c r="U3" i="57"/>
  <c r="T3" i="57"/>
  <c r="S3" i="57"/>
  <c r="R3" i="57"/>
  <c r="Q3" i="57"/>
  <c r="P3" i="57"/>
  <c r="O3" i="57"/>
  <c r="N3" i="57"/>
  <c r="M3" i="57"/>
  <c r="L3" i="57"/>
  <c r="K3" i="57"/>
  <c r="J3" i="57"/>
  <c r="I3" i="57"/>
  <c r="H3" i="57"/>
  <c r="G3" i="57"/>
  <c r="F3" i="57"/>
  <c r="E3" i="57"/>
  <c r="D3" i="57"/>
  <c r="B3" i="57"/>
  <c r="AE3" i="57" l="1"/>
  <c r="C32" i="56"/>
  <c r="AD32" i="56"/>
  <c r="AC32" i="56"/>
  <c r="AB32" i="56" l="1"/>
  <c r="AA32" i="56"/>
  <c r="Z32" i="56"/>
  <c r="Y32" i="56"/>
  <c r="X32" i="56"/>
  <c r="W32" i="56"/>
  <c r="V32" i="56"/>
  <c r="U32" i="56"/>
  <c r="T32" i="56"/>
  <c r="S32" i="56"/>
  <c r="R32" i="56"/>
  <c r="Q32" i="56"/>
  <c r="P32" i="56"/>
  <c r="O32" i="56"/>
  <c r="N32" i="56"/>
  <c r="M32" i="56"/>
  <c r="L32" i="56"/>
  <c r="K32" i="56"/>
  <c r="J32" i="56"/>
  <c r="AE26" i="56" s="1"/>
  <c r="I32" i="56"/>
  <c r="H32" i="56"/>
  <c r="G32" i="56"/>
  <c r="F32" i="56"/>
  <c r="E32" i="56"/>
  <c r="D32" i="56"/>
  <c r="B32" i="56"/>
  <c r="AD3" i="56"/>
  <c r="AC3" i="56"/>
  <c r="AB3" i="56"/>
  <c r="AA3" i="56"/>
  <c r="Z3" i="56"/>
  <c r="Y3" i="56"/>
  <c r="X3" i="56"/>
  <c r="W3" i="56"/>
  <c r="V3" i="56"/>
  <c r="U3" i="56"/>
  <c r="T3" i="56"/>
  <c r="S3" i="56"/>
  <c r="R3" i="56"/>
  <c r="Q3" i="56"/>
  <c r="P3" i="56"/>
  <c r="O3" i="56"/>
  <c r="N3" i="56"/>
  <c r="M3" i="56"/>
  <c r="L3" i="56"/>
  <c r="K3" i="56"/>
  <c r="J3" i="56"/>
  <c r="I3" i="56"/>
  <c r="H3" i="56"/>
  <c r="G3" i="56"/>
  <c r="F3" i="56"/>
  <c r="E3" i="56"/>
  <c r="D3" i="56"/>
  <c r="B3" i="56"/>
  <c r="AE8" i="56" l="1"/>
  <c r="AE16" i="56"/>
  <c r="AE24" i="56"/>
  <c r="AE11" i="56"/>
  <c r="AE20" i="56"/>
  <c r="AE28" i="56"/>
  <c r="AE21" i="56"/>
  <c r="AE29" i="56"/>
  <c r="AE6" i="56"/>
  <c r="AE14" i="56"/>
  <c r="AE22" i="56"/>
  <c r="AE30" i="56"/>
  <c r="AE19" i="56"/>
  <c r="AE27" i="56"/>
  <c r="AE12" i="56"/>
  <c r="AE13" i="56"/>
  <c r="AE3" i="56" s="1"/>
  <c r="AE7" i="56"/>
  <c r="AE15" i="56"/>
  <c r="AE23" i="56"/>
  <c r="AE31" i="56"/>
  <c r="AE9" i="56"/>
  <c r="AE17" i="56"/>
  <c r="AE25" i="56"/>
  <c r="AE10" i="56"/>
  <c r="AE18" i="56"/>
  <c r="C32" i="55"/>
  <c r="D32" i="55"/>
  <c r="E32" i="55"/>
  <c r="F32" i="55"/>
  <c r="G32" i="55"/>
  <c r="H32" i="55"/>
  <c r="I32" i="55"/>
  <c r="J32" i="55"/>
  <c r="AE7" i="55" s="1"/>
  <c r="K32" i="55"/>
  <c r="L32" i="55"/>
  <c r="M32" i="55"/>
  <c r="N32" i="55"/>
  <c r="O32" i="55"/>
  <c r="P32" i="55"/>
  <c r="Q32" i="55"/>
  <c r="R32" i="55"/>
  <c r="S32" i="55"/>
  <c r="T32" i="55"/>
  <c r="U32" i="55"/>
  <c r="V32" i="55"/>
  <c r="W32" i="55"/>
  <c r="X32" i="55"/>
  <c r="Y32" i="55"/>
  <c r="Z32" i="55"/>
  <c r="AA32" i="55"/>
  <c r="AB32" i="55"/>
  <c r="AC32" i="55"/>
  <c r="AD32" i="55"/>
  <c r="AE10" i="55"/>
  <c r="AE11" i="55"/>
  <c r="AE12" i="55"/>
  <c r="AE13" i="55"/>
  <c r="AE14" i="55"/>
  <c r="AE18" i="55"/>
  <c r="AE19" i="55"/>
  <c r="AE20" i="55"/>
  <c r="AE21" i="55"/>
  <c r="AE22" i="55"/>
  <c r="AE26" i="55"/>
  <c r="AE27" i="55"/>
  <c r="AE28" i="55"/>
  <c r="AE29" i="55"/>
  <c r="AE30" i="55"/>
  <c r="B32" i="55"/>
  <c r="AE25" i="55" l="1"/>
  <c r="AE9" i="55"/>
  <c r="AE24" i="55"/>
  <c r="AE16" i="55"/>
  <c r="AE8" i="55"/>
  <c r="AE6" i="55"/>
  <c r="AE17" i="55"/>
  <c r="AE31" i="55"/>
  <c r="AE23" i="55"/>
  <c r="AE15" i="55"/>
  <c r="AE32" i="56"/>
  <c r="AD3" i="55"/>
  <c r="AC3" i="55"/>
  <c r="AB3" i="55"/>
  <c r="AA3" i="55"/>
  <c r="Z3" i="55"/>
  <c r="Y3" i="55"/>
  <c r="X3" i="55"/>
  <c r="W3" i="55"/>
  <c r="V3" i="55"/>
  <c r="U3" i="55"/>
  <c r="T3" i="55"/>
  <c r="S3" i="55"/>
  <c r="R3" i="55"/>
  <c r="Q3" i="55"/>
  <c r="P3" i="55"/>
  <c r="O3" i="55"/>
  <c r="N3" i="55"/>
  <c r="M3" i="55"/>
  <c r="L3" i="55"/>
  <c r="K3" i="55"/>
  <c r="J3" i="55"/>
  <c r="I3" i="55"/>
  <c r="H3" i="55"/>
  <c r="G3" i="55"/>
  <c r="F3" i="55"/>
  <c r="E3" i="55"/>
  <c r="D3" i="55"/>
  <c r="C3" i="55"/>
  <c r="B3" i="55"/>
  <c r="AE32" i="55" l="1"/>
  <c r="AE3" i="55"/>
  <c r="AC32" i="54"/>
  <c r="AD32" i="54"/>
  <c r="J31" i="52" l="1"/>
  <c r="K31" i="52"/>
  <c r="L31" i="52"/>
  <c r="AD32" i="51" l="1"/>
  <c r="AC32" i="51" l="1"/>
  <c r="B3" i="54" l="1"/>
  <c r="C3" i="54"/>
  <c r="D3" i="54"/>
  <c r="E3" i="54"/>
  <c r="F3" i="54"/>
  <c r="G3" i="54"/>
  <c r="H3" i="54"/>
  <c r="I3" i="54"/>
  <c r="J3" i="54"/>
  <c r="K3" i="54"/>
  <c r="L3" i="54"/>
  <c r="M3" i="54"/>
  <c r="N3" i="54"/>
  <c r="O3" i="54"/>
  <c r="P3" i="54"/>
  <c r="Q3" i="54"/>
  <c r="R3" i="54"/>
  <c r="S3" i="54"/>
  <c r="T3" i="54"/>
  <c r="U3" i="54"/>
  <c r="V3" i="54"/>
  <c r="W3" i="54"/>
  <c r="X3" i="54"/>
  <c r="Y3" i="54"/>
  <c r="Z3" i="54"/>
  <c r="AA3" i="54"/>
  <c r="AB3" i="54"/>
  <c r="AC3" i="54"/>
  <c r="AD3" i="54"/>
  <c r="B32" i="54"/>
  <c r="C32" i="54"/>
  <c r="D32" i="54"/>
  <c r="E32" i="54"/>
  <c r="F32" i="54"/>
  <c r="G32" i="54"/>
  <c r="H32" i="54"/>
  <c r="I32" i="54"/>
  <c r="J32" i="54"/>
  <c r="AE32" i="54" s="1"/>
  <c r="K32" i="54"/>
  <c r="L32" i="54"/>
  <c r="M32" i="54"/>
  <c r="N32" i="54"/>
  <c r="O32" i="54"/>
  <c r="P32" i="54"/>
  <c r="Q32" i="54"/>
  <c r="R32" i="54"/>
  <c r="S32" i="54"/>
  <c r="T32" i="54"/>
  <c r="U32" i="54"/>
  <c r="V32" i="54"/>
  <c r="W32" i="54"/>
  <c r="X32" i="54"/>
  <c r="Y32" i="54"/>
  <c r="Z32" i="54"/>
  <c r="AA32" i="54"/>
  <c r="AB32" i="54"/>
  <c r="I32" i="53"/>
  <c r="AE16" i="54" l="1"/>
  <c r="AE6" i="54"/>
  <c r="AE7" i="54"/>
  <c r="AE29" i="54"/>
  <c r="AE30" i="54"/>
  <c r="AE22" i="54"/>
  <c r="AE21" i="54"/>
  <c r="AE14" i="54"/>
  <c r="AE13" i="54"/>
  <c r="AE24" i="54"/>
  <c r="AE8" i="54"/>
  <c r="AE3" i="54" s="1"/>
  <c r="AE31" i="54"/>
  <c r="AE23" i="54"/>
  <c r="AE15" i="54"/>
  <c r="AE28" i="54"/>
  <c r="AE20" i="54"/>
  <c r="AE12" i="54"/>
  <c r="AE27" i="54"/>
  <c r="AE19" i="54"/>
  <c r="AE11" i="54"/>
  <c r="AE26" i="54"/>
  <c r="AE18" i="54"/>
  <c r="AE10" i="54"/>
  <c r="AE25" i="54"/>
  <c r="AE17" i="54"/>
  <c r="AE9" i="54"/>
  <c r="J3" i="53"/>
  <c r="AB32" i="53"/>
  <c r="AA32" i="53"/>
  <c r="Z32" i="53"/>
  <c r="Y32" i="53"/>
  <c r="X32" i="53"/>
  <c r="W32" i="53"/>
  <c r="V32" i="53"/>
  <c r="U32" i="53"/>
  <c r="T32" i="53"/>
  <c r="S32" i="53"/>
  <c r="R32" i="53"/>
  <c r="Q32" i="53"/>
  <c r="P32" i="53"/>
  <c r="O32" i="53"/>
  <c r="N32" i="53"/>
  <c r="M32" i="53"/>
  <c r="L32" i="53"/>
  <c r="K32" i="53"/>
  <c r="H32" i="53"/>
  <c r="G32" i="53"/>
  <c r="F32" i="53"/>
  <c r="E32" i="53"/>
  <c r="D32" i="53"/>
  <c r="C32" i="53"/>
  <c r="B32" i="53"/>
  <c r="AD3" i="53"/>
  <c r="AC3" i="53"/>
  <c r="AB3" i="53"/>
  <c r="AA3" i="53"/>
  <c r="Z3" i="53"/>
  <c r="Y3" i="53"/>
  <c r="X3" i="53"/>
  <c r="W3" i="53"/>
  <c r="V3" i="53"/>
  <c r="U3" i="53"/>
  <c r="T3" i="53"/>
  <c r="S3" i="53"/>
  <c r="R3" i="53"/>
  <c r="Q3" i="53"/>
  <c r="P3" i="53"/>
  <c r="O3" i="53"/>
  <c r="N3" i="53"/>
  <c r="M3" i="53"/>
  <c r="L3" i="53"/>
  <c r="K3" i="53"/>
  <c r="I3" i="53"/>
  <c r="H3" i="53"/>
  <c r="G3" i="53"/>
  <c r="F3" i="53"/>
  <c r="E3" i="53"/>
  <c r="D3" i="53"/>
  <c r="C3" i="53"/>
  <c r="B3" i="53"/>
  <c r="J32" i="53" l="1"/>
  <c r="AE9" i="53" s="1"/>
  <c r="AE27" i="53" l="1"/>
  <c r="AE25" i="53"/>
  <c r="AE15" i="53"/>
  <c r="AE18" i="53"/>
  <c r="AE7" i="53"/>
  <c r="AE28" i="53"/>
  <c r="AE23" i="53"/>
  <c r="AE10" i="53"/>
  <c r="AE31" i="53"/>
  <c r="AE17" i="53"/>
  <c r="AE26" i="53"/>
  <c r="AE19" i="53"/>
  <c r="AE8" i="53"/>
  <c r="AE16" i="53"/>
  <c r="AE24" i="53"/>
  <c r="AE6" i="53"/>
  <c r="AE22" i="53"/>
  <c r="AE21" i="53"/>
  <c r="AE29" i="53"/>
  <c r="AE14" i="53"/>
  <c r="AE13" i="53"/>
  <c r="AE30" i="53"/>
  <c r="AE11" i="53"/>
  <c r="AE12" i="53"/>
  <c r="AE3" i="53" s="1"/>
  <c r="AE20" i="53"/>
  <c r="AB31" i="52"/>
  <c r="AA31" i="52"/>
  <c r="Z31" i="52"/>
  <c r="Y31" i="52"/>
  <c r="X31" i="52"/>
  <c r="W31" i="52"/>
  <c r="V31" i="52"/>
  <c r="U31" i="52"/>
  <c r="T31" i="52"/>
  <c r="S31" i="52"/>
  <c r="R31" i="52"/>
  <c r="Q31" i="52"/>
  <c r="P31" i="52"/>
  <c r="O31" i="52"/>
  <c r="N31" i="52"/>
  <c r="M31" i="52"/>
  <c r="AE15" i="52"/>
  <c r="I31" i="52"/>
  <c r="H31" i="52"/>
  <c r="G31" i="52"/>
  <c r="F31" i="52"/>
  <c r="E31" i="52"/>
  <c r="D31" i="52"/>
  <c r="C31" i="52"/>
  <c r="B31" i="52"/>
  <c r="AD3" i="52"/>
  <c r="AC3" i="52"/>
  <c r="AB3" i="52"/>
  <c r="AA3" i="52"/>
  <c r="Z3" i="52"/>
  <c r="Y3" i="52"/>
  <c r="X3" i="52"/>
  <c r="W3" i="52"/>
  <c r="V3" i="52"/>
  <c r="U3" i="52"/>
  <c r="T3" i="52"/>
  <c r="S3" i="52"/>
  <c r="R3" i="52"/>
  <c r="Q3" i="52"/>
  <c r="P3" i="52"/>
  <c r="O3" i="52"/>
  <c r="N3" i="52"/>
  <c r="M3" i="52"/>
  <c r="L3" i="52"/>
  <c r="K3" i="52"/>
  <c r="J3" i="52"/>
  <c r="I3" i="52"/>
  <c r="H3" i="52"/>
  <c r="G3" i="52"/>
  <c r="F3" i="52"/>
  <c r="E3" i="52"/>
  <c r="D3" i="52"/>
  <c r="C3" i="52"/>
  <c r="B3" i="52"/>
  <c r="AE8" i="52" l="1"/>
  <c r="AE25" i="52"/>
  <c r="AE30" i="52"/>
  <c r="AE13" i="52"/>
  <c r="AE32" i="53"/>
  <c r="AE9" i="52"/>
  <c r="AE19" i="52"/>
  <c r="AE27" i="52"/>
  <c r="AE11" i="52"/>
  <c r="AE3" i="52" s="1"/>
  <c r="AE20" i="52"/>
  <c r="AE29" i="52"/>
  <c r="AE17" i="52"/>
  <c r="AE21" i="52"/>
  <c r="AE26" i="52"/>
  <c r="AE6" i="52"/>
  <c r="AE14" i="52"/>
  <c r="AE23" i="52"/>
  <c r="AE10" i="52"/>
  <c r="AE16" i="52"/>
  <c r="AE22" i="52"/>
  <c r="AE28" i="52"/>
  <c r="AE7" i="52"/>
  <c r="AE12" i="52"/>
  <c r="AE18" i="52"/>
  <c r="AE24" i="52"/>
  <c r="AB32" i="50"/>
  <c r="AE31" i="52" l="1"/>
  <c r="X32" i="50"/>
  <c r="W32" i="50" l="1"/>
  <c r="C32" i="51" l="1"/>
  <c r="D32" i="51"/>
  <c r="E32" i="51"/>
  <c r="F32" i="51"/>
  <c r="G32" i="51"/>
  <c r="H32" i="51"/>
  <c r="I32" i="51"/>
  <c r="J32" i="51"/>
  <c r="K32" i="51"/>
  <c r="L32" i="51"/>
  <c r="M32" i="51"/>
  <c r="N32" i="51"/>
  <c r="O32" i="51"/>
  <c r="P32" i="51"/>
  <c r="Q32" i="51"/>
  <c r="R32" i="51"/>
  <c r="S32" i="51"/>
  <c r="T32" i="51"/>
  <c r="U32" i="51"/>
  <c r="V32" i="51"/>
  <c r="W32" i="51"/>
  <c r="X32" i="51"/>
  <c r="Y32" i="51"/>
  <c r="Z32" i="51"/>
  <c r="AA32" i="51"/>
  <c r="AB32" i="51"/>
  <c r="B32" i="51"/>
  <c r="AD3" i="51" l="1"/>
  <c r="AC3" i="51"/>
  <c r="AB3" i="51"/>
  <c r="AA3" i="51"/>
  <c r="Z3" i="51"/>
  <c r="Y3" i="51"/>
  <c r="X3" i="51"/>
  <c r="W3" i="51"/>
  <c r="V3" i="51"/>
  <c r="U3" i="51"/>
  <c r="T3" i="51"/>
  <c r="S3" i="51"/>
  <c r="R3" i="51"/>
  <c r="Q3" i="51"/>
  <c r="P3" i="51"/>
  <c r="O3" i="51"/>
  <c r="N3" i="51"/>
  <c r="M3" i="51"/>
  <c r="L3" i="51"/>
  <c r="K3" i="51"/>
  <c r="J3" i="51"/>
  <c r="I3" i="51"/>
  <c r="H3" i="51"/>
  <c r="G3" i="51"/>
  <c r="F3" i="51"/>
  <c r="E3" i="51"/>
  <c r="D3" i="51"/>
  <c r="C3" i="51"/>
  <c r="B3" i="51"/>
  <c r="AE17" i="51" l="1"/>
  <c r="AE23" i="51"/>
  <c r="AE29" i="51"/>
  <c r="AE11" i="51"/>
  <c r="AE14" i="51"/>
  <c r="AE13" i="51"/>
  <c r="AE10" i="51"/>
  <c r="AE7" i="51"/>
  <c r="AE31" i="51"/>
  <c r="AE28" i="51"/>
  <c r="AE25" i="51"/>
  <c r="AE22" i="51"/>
  <c r="AE19" i="51"/>
  <c r="AE16" i="51"/>
  <c r="AE30" i="51"/>
  <c r="AE27" i="51"/>
  <c r="AE24" i="51"/>
  <c r="AE21" i="51"/>
  <c r="AE18" i="51"/>
  <c r="AE15" i="51"/>
  <c r="AE12" i="51"/>
  <c r="AE3" i="51" s="1"/>
  <c r="AE20" i="51"/>
  <c r="AE26" i="51"/>
  <c r="AE8" i="51"/>
  <c r="AE9" i="51"/>
  <c r="AE6" i="51"/>
  <c r="AE32" i="51" l="1"/>
  <c r="F32" i="50"/>
  <c r="H32" i="50"/>
  <c r="I32" i="50"/>
  <c r="N32" i="50"/>
  <c r="P32" i="50"/>
  <c r="Q32" i="50"/>
  <c r="R32" i="50"/>
  <c r="V32" i="50"/>
  <c r="Y32" i="50"/>
  <c r="Z32" i="50"/>
  <c r="AA32" i="50"/>
  <c r="C32" i="50"/>
  <c r="D32" i="50"/>
  <c r="E32" i="50"/>
  <c r="G32" i="50"/>
  <c r="K32" i="50"/>
  <c r="L32" i="50"/>
  <c r="M32" i="50"/>
  <c r="O32" i="50"/>
  <c r="S32" i="50"/>
  <c r="T32" i="50"/>
  <c r="U32" i="50"/>
  <c r="B32" i="50"/>
  <c r="J7" i="50" l="1"/>
  <c r="J8" i="50"/>
  <c r="J9" i="50"/>
  <c r="J10" i="50"/>
  <c r="J11" i="50"/>
  <c r="J12" i="50"/>
  <c r="J13" i="50"/>
  <c r="J15" i="50"/>
  <c r="J16" i="50"/>
  <c r="J17" i="50"/>
  <c r="J18" i="50"/>
  <c r="J19" i="50"/>
  <c r="J20" i="50"/>
  <c r="J21" i="50"/>
  <c r="J22" i="50"/>
  <c r="J23" i="50"/>
  <c r="J24" i="50"/>
  <c r="J25" i="50"/>
  <c r="J26" i="50"/>
  <c r="J27" i="50"/>
  <c r="J28" i="50"/>
  <c r="J29" i="50"/>
  <c r="J30" i="50"/>
  <c r="J31" i="50"/>
  <c r="J6" i="50"/>
  <c r="J32" i="50" l="1"/>
  <c r="AE8" i="50" s="1"/>
  <c r="AD3" i="50"/>
  <c r="AC3" i="50"/>
  <c r="AB3" i="50"/>
  <c r="AA3" i="50"/>
  <c r="Z3" i="50"/>
  <c r="Y3" i="50"/>
  <c r="X3" i="50"/>
  <c r="W3" i="50"/>
  <c r="V3" i="50"/>
  <c r="U3" i="50"/>
  <c r="T3" i="50"/>
  <c r="S3" i="50"/>
  <c r="R3" i="50"/>
  <c r="Q3" i="50"/>
  <c r="P3" i="50"/>
  <c r="O3" i="50"/>
  <c r="N3" i="50"/>
  <c r="M3" i="50"/>
  <c r="L3" i="50"/>
  <c r="K3" i="50"/>
  <c r="J3" i="50"/>
  <c r="I3" i="50"/>
  <c r="H3" i="50"/>
  <c r="G3" i="50"/>
  <c r="F3" i="50"/>
  <c r="E3" i="50"/>
  <c r="D3" i="50"/>
  <c r="C3" i="50"/>
  <c r="B3" i="50"/>
  <c r="AE26" i="50" l="1"/>
  <c r="AE22" i="50"/>
  <c r="AE14" i="50"/>
  <c r="AE28" i="50"/>
  <c r="AE11" i="50"/>
  <c r="AE6" i="50"/>
  <c r="AE24" i="50"/>
  <c r="AE20" i="50"/>
  <c r="AE25" i="50"/>
  <c r="AE17" i="50"/>
  <c r="AE16" i="50"/>
  <c r="AE13" i="50"/>
  <c r="AE10" i="50"/>
  <c r="AE12" i="50"/>
  <c r="AE3" i="50" s="1"/>
  <c r="AE19" i="50"/>
  <c r="AE21" i="50"/>
  <c r="AE30" i="50"/>
  <c r="AE9" i="50"/>
  <c r="AE27" i="50"/>
  <c r="AE29" i="50"/>
  <c r="AE15" i="50"/>
  <c r="AE18" i="50"/>
  <c r="AE31" i="50"/>
  <c r="AE23" i="50"/>
  <c r="AE7" i="50"/>
  <c r="AD32" i="49"/>
  <c r="AC32" i="49"/>
  <c r="AB32" i="49"/>
  <c r="AA32" i="49"/>
  <c r="Z32" i="49"/>
  <c r="Y32" i="49"/>
  <c r="X32" i="49"/>
  <c r="W32" i="49"/>
  <c r="V32" i="49"/>
  <c r="U32" i="49"/>
  <c r="T32" i="49"/>
  <c r="S32" i="49"/>
  <c r="R32" i="49"/>
  <c r="Q32" i="49"/>
  <c r="P32" i="49"/>
  <c r="O32" i="49"/>
  <c r="N32" i="49"/>
  <c r="M32" i="49"/>
  <c r="L32" i="49"/>
  <c r="K32" i="49"/>
  <c r="J32" i="49"/>
  <c r="I32" i="49"/>
  <c r="H32" i="49"/>
  <c r="G32" i="49"/>
  <c r="F32" i="49"/>
  <c r="E32" i="49"/>
  <c r="D32" i="49"/>
  <c r="C32" i="49"/>
  <c r="B32" i="49"/>
  <c r="AD3" i="49"/>
  <c r="AC3" i="49"/>
  <c r="AB3" i="49"/>
  <c r="AA3" i="49"/>
  <c r="Z3" i="49"/>
  <c r="Y3" i="49"/>
  <c r="X3" i="49"/>
  <c r="W3" i="49"/>
  <c r="V3" i="49"/>
  <c r="U3" i="49"/>
  <c r="T3" i="49"/>
  <c r="S3" i="49"/>
  <c r="R3" i="49"/>
  <c r="Q3" i="49"/>
  <c r="P3" i="49"/>
  <c r="O3" i="49"/>
  <c r="N3" i="49"/>
  <c r="M3" i="49"/>
  <c r="L3" i="49"/>
  <c r="K3" i="49"/>
  <c r="J3" i="49"/>
  <c r="I3" i="49"/>
  <c r="H3" i="49"/>
  <c r="G3" i="49"/>
  <c r="F3" i="49"/>
  <c r="E3" i="49"/>
  <c r="D3" i="49"/>
  <c r="C3" i="49"/>
  <c r="B3" i="49"/>
  <c r="P3" i="48"/>
  <c r="Q3" i="48"/>
  <c r="R3" i="48"/>
  <c r="S3" i="48"/>
  <c r="T3" i="48"/>
  <c r="U3" i="48"/>
  <c r="V3" i="48"/>
  <c r="W3" i="48"/>
  <c r="X3" i="48"/>
  <c r="Y3" i="48"/>
  <c r="Z3" i="48"/>
  <c r="AA3" i="48"/>
  <c r="AB3" i="48"/>
  <c r="AC3" i="48"/>
  <c r="AD3" i="48"/>
  <c r="J35" i="48"/>
  <c r="AE9" i="48" s="1"/>
  <c r="AE3" i="48" s="1"/>
  <c r="C35" i="48"/>
  <c r="D35" i="48"/>
  <c r="E35" i="48"/>
  <c r="F35" i="48"/>
  <c r="G35" i="48"/>
  <c r="H35" i="48"/>
  <c r="I35" i="48"/>
  <c r="K35" i="48"/>
  <c r="L35" i="48"/>
  <c r="M35" i="48"/>
  <c r="N35" i="48"/>
  <c r="O35" i="48"/>
  <c r="P35" i="48"/>
  <c r="Q35" i="48"/>
  <c r="R35" i="48"/>
  <c r="S35" i="48"/>
  <c r="T35" i="48"/>
  <c r="U35" i="48"/>
  <c r="V35" i="48"/>
  <c r="W35" i="48"/>
  <c r="X35" i="48"/>
  <c r="Y35" i="48"/>
  <c r="Z35" i="48"/>
  <c r="AA35" i="48"/>
  <c r="AB35" i="48"/>
  <c r="B35" i="48"/>
  <c r="AE20" i="48"/>
  <c r="AD35" i="48"/>
  <c r="AC35" i="48"/>
  <c r="O3" i="48"/>
  <c r="N3" i="48"/>
  <c r="M3" i="48"/>
  <c r="L3" i="48"/>
  <c r="K3" i="48"/>
  <c r="J3" i="48"/>
  <c r="I3" i="48"/>
  <c r="H3" i="48"/>
  <c r="G3" i="48"/>
  <c r="F3" i="48"/>
  <c r="E3" i="48"/>
  <c r="D3" i="48"/>
  <c r="C3" i="48"/>
  <c r="B3" i="48"/>
  <c r="AG34" i="47"/>
  <c r="AF34" i="47"/>
  <c r="AE34" i="47"/>
  <c r="AG3" i="47"/>
  <c r="AF3" i="47"/>
  <c r="AE3" i="47"/>
  <c r="M34" i="47"/>
  <c r="N34" i="47"/>
  <c r="O34" i="47"/>
  <c r="P34" i="47"/>
  <c r="Q34" i="47"/>
  <c r="R34" i="47"/>
  <c r="S34" i="47"/>
  <c r="T34" i="47"/>
  <c r="U34" i="47"/>
  <c r="V34" i="47"/>
  <c r="W34" i="47"/>
  <c r="X34" i="47"/>
  <c r="Y34" i="47"/>
  <c r="Z34" i="47"/>
  <c r="AA34" i="47"/>
  <c r="AB34" i="47"/>
  <c r="AC34" i="47"/>
  <c r="AD34" i="47"/>
  <c r="C34" i="47"/>
  <c r="D34" i="47"/>
  <c r="E34" i="47"/>
  <c r="F34" i="47"/>
  <c r="G34" i="47"/>
  <c r="H34" i="47"/>
  <c r="I34" i="47"/>
  <c r="J34" i="47"/>
  <c r="K34" i="47"/>
  <c r="L34" i="47"/>
  <c r="B34" i="47"/>
  <c r="Y3" i="47"/>
  <c r="X3" i="47"/>
  <c r="W3" i="47"/>
  <c r="V3" i="47"/>
  <c r="U3" i="47"/>
  <c r="T3" i="47"/>
  <c r="S3" i="47"/>
  <c r="R3" i="47"/>
  <c r="Q3" i="47"/>
  <c r="P3" i="47"/>
  <c r="O3" i="47"/>
  <c r="N3" i="47"/>
  <c r="Z3" i="47"/>
  <c r="AD3" i="47"/>
  <c r="AC3" i="47"/>
  <c r="AB3" i="47"/>
  <c r="AA3" i="47"/>
  <c r="M3" i="47"/>
  <c r="L3" i="47"/>
  <c r="K3" i="47"/>
  <c r="J3" i="47"/>
  <c r="I3" i="47"/>
  <c r="H3" i="47"/>
  <c r="G3" i="47"/>
  <c r="F3" i="47"/>
  <c r="E3" i="47"/>
  <c r="D3" i="47"/>
  <c r="C3" i="47"/>
  <c r="B3" i="47"/>
  <c r="J36" i="46"/>
  <c r="I36" i="46"/>
  <c r="H36" i="46"/>
  <c r="G36" i="46"/>
  <c r="F36" i="46"/>
  <c r="E36" i="46"/>
  <c r="D36" i="46"/>
  <c r="M36" i="46" s="1"/>
  <c r="C36" i="46"/>
  <c r="B36" i="46"/>
  <c r="L4" i="46"/>
  <c r="K4" i="46"/>
  <c r="J4" i="46"/>
  <c r="I4" i="46"/>
  <c r="H4" i="46"/>
  <c r="G4" i="46"/>
  <c r="F4" i="46"/>
  <c r="E4" i="46"/>
  <c r="D4" i="46"/>
  <c r="C4" i="46"/>
  <c r="B4" i="46"/>
  <c r="M4" i="46"/>
  <c r="D36" i="45"/>
  <c r="M7" i="45" s="1"/>
  <c r="J36" i="45"/>
  <c r="I36" i="45"/>
  <c r="H36" i="45"/>
  <c r="G36" i="45"/>
  <c r="F36" i="45"/>
  <c r="E36" i="45"/>
  <c r="C36" i="45"/>
  <c r="B36" i="45"/>
  <c r="L4" i="45"/>
  <c r="K4" i="45"/>
  <c r="J4" i="45"/>
  <c r="I4" i="45"/>
  <c r="H4" i="45"/>
  <c r="G4" i="45"/>
  <c r="F4" i="45"/>
  <c r="E4" i="45"/>
  <c r="D4" i="45"/>
  <c r="C4" i="45"/>
  <c r="B4" i="45"/>
  <c r="G8" i="44"/>
  <c r="H8" i="44"/>
  <c r="I8" i="44"/>
  <c r="J8" i="44"/>
  <c r="K8" i="44"/>
  <c r="L8" i="44"/>
  <c r="M8" i="44"/>
  <c r="C8" i="44"/>
  <c r="D8" i="44"/>
  <c r="E8" i="44"/>
  <c r="F8" i="44"/>
  <c r="B8" i="44"/>
  <c r="C3" i="43"/>
  <c r="J40" i="44"/>
  <c r="I40" i="44"/>
  <c r="H40" i="44"/>
  <c r="G40" i="44"/>
  <c r="F40" i="44"/>
  <c r="E40" i="44"/>
  <c r="D40" i="44"/>
  <c r="C40" i="44"/>
  <c r="B40" i="44"/>
  <c r="K35" i="43"/>
  <c r="J35" i="43"/>
  <c r="I35" i="43"/>
  <c r="H35" i="43"/>
  <c r="G35" i="43"/>
  <c r="F35" i="43"/>
  <c r="E35" i="43"/>
  <c r="O27" i="43" s="1"/>
  <c r="D35" i="43"/>
  <c r="C35" i="43"/>
  <c r="N3" i="43"/>
  <c r="M3" i="43"/>
  <c r="L3" i="43"/>
  <c r="K3" i="43"/>
  <c r="J3" i="43"/>
  <c r="I3" i="43"/>
  <c r="H3" i="43"/>
  <c r="G3" i="43"/>
  <c r="F3" i="43"/>
  <c r="E3" i="43"/>
  <c r="D3" i="43"/>
  <c r="J37" i="42"/>
  <c r="I37" i="42"/>
  <c r="H37" i="42"/>
  <c r="G37" i="42"/>
  <c r="F37" i="42"/>
  <c r="E37" i="42"/>
  <c r="D37" i="42"/>
  <c r="C37" i="42"/>
  <c r="B37" i="42"/>
  <c r="M3" i="42"/>
  <c r="L3" i="42"/>
  <c r="K3" i="42"/>
  <c r="J3" i="42"/>
  <c r="I3" i="42"/>
  <c r="H3" i="42"/>
  <c r="G3" i="42"/>
  <c r="F3" i="42"/>
  <c r="E3" i="42"/>
  <c r="D3" i="42"/>
  <c r="C3" i="42"/>
  <c r="B3" i="42"/>
  <c r="D32" i="41"/>
  <c r="L5" i="41" s="1"/>
  <c r="I32" i="41"/>
  <c r="H32" i="41"/>
  <c r="G32" i="41"/>
  <c r="F32" i="41"/>
  <c r="E32" i="41"/>
  <c r="C32" i="41"/>
  <c r="B32" i="41"/>
  <c r="D32" i="39"/>
  <c r="L7" i="39" s="1"/>
  <c r="I32" i="39"/>
  <c r="H32" i="39"/>
  <c r="G32" i="39"/>
  <c r="F32" i="39"/>
  <c r="E32" i="39"/>
  <c r="C32" i="39"/>
  <c r="B32" i="39"/>
  <c r="E32" i="37"/>
  <c r="M8" i="37" s="1"/>
  <c r="J32" i="37"/>
  <c r="I32" i="37"/>
  <c r="H32" i="37"/>
  <c r="G32" i="37"/>
  <c r="F32" i="37"/>
  <c r="D32" i="37"/>
  <c r="C32" i="37"/>
  <c r="E32" i="36"/>
  <c r="M32" i="36" s="1"/>
  <c r="J32" i="36"/>
  <c r="I32" i="36"/>
  <c r="H32" i="36"/>
  <c r="G32" i="36"/>
  <c r="F32" i="36"/>
  <c r="D32" i="36"/>
  <c r="C32" i="36"/>
  <c r="M30" i="36"/>
  <c r="D34" i="35"/>
  <c r="L31" i="35" s="1"/>
  <c r="I34" i="35"/>
  <c r="H34" i="35"/>
  <c r="G34" i="35"/>
  <c r="F34" i="35"/>
  <c r="E34" i="35"/>
  <c r="C34" i="35"/>
  <c r="B34" i="35"/>
  <c r="L16" i="35"/>
  <c r="D32" i="34"/>
  <c r="L5" i="34" s="1"/>
  <c r="I32" i="34"/>
  <c r="H32" i="34"/>
  <c r="G32" i="34"/>
  <c r="F32" i="34"/>
  <c r="E32" i="34"/>
  <c r="C32" i="34"/>
  <c r="B32" i="34"/>
  <c r="D32" i="33"/>
  <c r="L7" i="33" s="1"/>
  <c r="I32" i="33"/>
  <c r="H32" i="33"/>
  <c r="G32" i="33"/>
  <c r="F32" i="33"/>
  <c r="E32" i="33"/>
  <c r="C32" i="33"/>
  <c r="B32" i="33"/>
  <c r="I30" i="20"/>
  <c r="H30" i="20"/>
  <c r="G30" i="20"/>
  <c r="F30" i="20"/>
  <c r="E30" i="20"/>
  <c r="D30" i="20"/>
  <c r="L23" i="20" s="1"/>
  <c r="C30" i="20"/>
  <c r="B30" i="20"/>
  <c r="D30" i="19"/>
  <c r="L30" i="19" s="1"/>
  <c r="I30" i="19"/>
  <c r="H30" i="19"/>
  <c r="G30" i="19"/>
  <c r="F30" i="19"/>
  <c r="E30" i="19"/>
  <c r="C30" i="19"/>
  <c r="B30" i="19"/>
  <c r="L28" i="19"/>
  <c r="C30" i="18"/>
  <c r="B30" i="18"/>
  <c r="L29" i="18"/>
  <c r="L28" i="18"/>
  <c r="L27" i="18"/>
  <c r="L26" i="18"/>
  <c r="L25" i="18"/>
  <c r="L24" i="18"/>
  <c r="L23" i="18"/>
  <c r="L22" i="18"/>
  <c r="L21" i="18"/>
  <c r="L20" i="18"/>
  <c r="L19" i="18"/>
  <c r="L18" i="18"/>
  <c r="L17" i="18"/>
  <c r="L16" i="18"/>
  <c r="L15" i="18"/>
  <c r="L14" i="18"/>
  <c r="L13" i="18"/>
  <c r="L12" i="18"/>
  <c r="L11" i="18"/>
  <c r="L10" i="18"/>
  <c r="L9" i="18"/>
  <c r="L8" i="18"/>
  <c r="L7" i="18"/>
  <c r="L6" i="18"/>
  <c r="L5" i="18"/>
  <c r="L4" i="18"/>
  <c r="L3" i="18"/>
  <c r="C30" i="17"/>
  <c r="B30" i="17"/>
  <c r="L29" i="17"/>
  <c r="L28" i="17"/>
  <c r="L27" i="17"/>
  <c r="L26" i="17"/>
  <c r="L25" i="17"/>
  <c r="L24" i="17"/>
  <c r="L23" i="17"/>
  <c r="L22" i="17"/>
  <c r="L21" i="17"/>
  <c r="L20" i="17"/>
  <c r="L19" i="17"/>
  <c r="L18" i="17"/>
  <c r="L17" i="17"/>
  <c r="L16" i="17"/>
  <c r="L15" i="17"/>
  <c r="L14" i="17"/>
  <c r="L13" i="17"/>
  <c r="L12" i="17"/>
  <c r="L11" i="17"/>
  <c r="L10" i="17"/>
  <c r="L9" i="17"/>
  <c r="L8" i="17"/>
  <c r="L7" i="17"/>
  <c r="L6" i="17"/>
  <c r="L5" i="17"/>
  <c r="L4" i="17"/>
  <c r="L3" i="17"/>
  <c r="I28" i="12"/>
  <c r="H28" i="12"/>
  <c r="G28" i="12"/>
  <c r="F28" i="12"/>
  <c r="E28" i="12"/>
  <c r="D28" i="12"/>
  <c r="L21" i="12" s="1"/>
  <c r="C28" i="12"/>
  <c r="B28" i="12"/>
  <c r="I28" i="11"/>
  <c r="H28" i="11"/>
  <c r="G28" i="11"/>
  <c r="F28" i="11"/>
  <c r="E28" i="11"/>
  <c r="D28" i="11"/>
  <c r="L25" i="11" s="1"/>
  <c r="C28" i="11"/>
  <c r="B28" i="11"/>
  <c r="L8" i="11"/>
  <c r="L6" i="11"/>
  <c r="I29" i="10"/>
  <c r="H29" i="10"/>
  <c r="G29" i="10"/>
  <c r="F29" i="10"/>
  <c r="E29" i="10"/>
  <c r="D29" i="10"/>
  <c r="L24" i="10" s="1"/>
  <c r="C29" i="10"/>
  <c r="B29" i="10"/>
  <c r="L15" i="10"/>
  <c r="I29" i="9"/>
  <c r="H29" i="9"/>
  <c r="G29" i="9"/>
  <c r="F29" i="9"/>
  <c r="E29" i="9"/>
  <c r="D29" i="9"/>
  <c r="L27" i="9" s="1"/>
  <c r="C29" i="9"/>
  <c r="B29" i="9"/>
  <c r="I27" i="8"/>
  <c r="H27" i="8"/>
  <c r="G27" i="8"/>
  <c r="F27" i="8"/>
  <c r="E27" i="8"/>
  <c r="D27" i="8"/>
  <c r="L20" i="8" s="1"/>
  <c r="C27" i="8"/>
  <c r="B27" i="8"/>
  <c r="I28" i="7"/>
  <c r="H28" i="7"/>
  <c r="G28" i="7"/>
  <c r="F28" i="7"/>
  <c r="E28" i="7"/>
  <c r="D28" i="7"/>
  <c r="L21" i="7" s="1"/>
  <c r="C28" i="7"/>
  <c r="B28" i="7"/>
  <c r="I28" i="6"/>
  <c r="H28" i="6"/>
  <c r="G28" i="6"/>
  <c r="F28" i="6"/>
  <c r="E28" i="6"/>
  <c r="D28" i="6"/>
  <c r="L21" i="6" s="1"/>
  <c r="C28" i="6"/>
  <c r="B28" i="6"/>
  <c r="I28" i="5"/>
  <c r="H28" i="5"/>
  <c r="G28" i="5"/>
  <c r="F28" i="5"/>
  <c r="E28" i="5"/>
  <c r="D28" i="5"/>
  <c r="L21" i="5" s="1"/>
  <c r="C28" i="5"/>
  <c r="B28" i="5"/>
  <c r="I28" i="4"/>
  <c r="H28" i="4"/>
  <c r="G28" i="4"/>
  <c r="F28" i="4"/>
  <c r="E28" i="4"/>
  <c r="D28" i="4"/>
  <c r="L23" i="4" s="1"/>
  <c r="C28" i="4"/>
  <c r="B28" i="4"/>
  <c r="I28" i="3"/>
  <c r="H28" i="3"/>
  <c r="G28" i="3"/>
  <c r="F28" i="3"/>
  <c r="E28" i="3"/>
  <c r="D28" i="3"/>
  <c r="L23" i="3" s="1"/>
  <c r="C28" i="3"/>
  <c r="B28" i="3"/>
  <c r="I28" i="2"/>
  <c r="H28" i="2"/>
  <c r="G28" i="2"/>
  <c r="F28" i="2"/>
  <c r="E28" i="2"/>
  <c r="D28" i="2"/>
  <c r="L20" i="2" s="1"/>
  <c r="C28" i="2"/>
  <c r="B28" i="2"/>
  <c r="I28" i="1"/>
  <c r="H28" i="1"/>
  <c r="G28" i="1"/>
  <c r="F28" i="1"/>
  <c r="E28" i="1"/>
  <c r="D28" i="1"/>
  <c r="L26" i="1" s="1"/>
  <c r="I28" i="13"/>
  <c r="H28" i="13"/>
  <c r="G28" i="13"/>
  <c r="F28" i="13"/>
  <c r="E28" i="13"/>
  <c r="D28" i="13"/>
  <c r="L26" i="13" s="1"/>
  <c r="C28" i="13"/>
  <c r="B28" i="13"/>
  <c r="I28" i="14"/>
  <c r="H28" i="14"/>
  <c r="G28" i="14"/>
  <c r="F28" i="14"/>
  <c r="E28" i="14"/>
  <c r="D28" i="14"/>
  <c r="L24" i="14" s="1"/>
  <c r="C28" i="14"/>
  <c r="B28" i="14"/>
  <c r="L14" i="14"/>
  <c r="I28" i="15"/>
  <c r="H28" i="15"/>
  <c r="G28" i="15"/>
  <c r="F28" i="15"/>
  <c r="E28" i="15"/>
  <c r="D28" i="15"/>
  <c r="L23" i="15" s="1"/>
  <c r="C28" i="15"/>
  <c r="B28" i="15"/>
  <c r="H27" i="16"/>
  <c r="G27" i="16"/>
  <c r="F27" i="16"/>
  <c r="E27" i="16"/>
  <c r="D27" i="16"/>
  <c r="C27" i="16"/>
  <c r="B27" i="16"/>
  <c r="K26" i="16"/>
  <c r="L25" i="16"/>
  <c r="L24" i="16"/>
  <c r="L23" i="16"/>
  <c r="L22" i="16"/>
  <c r="L21" i="16"/>
  <c r="L20" i="16"/>
  <c r="L19" i="16"/>
  <c r="L18" i="16"/>
  <c r="L17" i="16"/>
  <c r="L16" i="16"/>
  <c r="L15" i="16"/>
  <c r="L14" i="16"/>
  <c r="L13" i="16"/>
  <c r="L12" i="16"/>
  <c r="L11" i="16"/>
  <c r="L10" i="16"/>
  <c r="L9" i="16"/>
  <c r="L8" i="16"/>
  <c r="L7" i="16"/>
  <c r="L6" i="16"/>
  <c r="L5" i="16"/>
  <c r="L4" i="16"/>
  <c r="L3" i="16"/>
  <c r="L13" i="14" l="1"/>
  <c r="L29" i="33"/>
  <c r="L27" i="33"/>
  <c r="L5" i="14"/>
  <c r="L6" i="14"/>
  <c r="L3" i="4"/>
  <c r="L13" i="33"/>
  <c r="L21" i="14"/>
  <c r="L15" i="1"/>
  <c r="L4" i="4"/>
  <c r="L26" i="10"/>
  <c r="L17" i="35"/>
  <c r="L14" i="4"/>
  <c r="L30" i="39"/>
  <c r="M14" i="45"/>
  <c r="L18" i="4"/>
  <c r="L6" i="12"/>
  <c r="L14" i="33"/>
  <c r="L27" i="39"/>
  <c r="L19" i="4"/>
  <c r="L7" i="12"/>
  <c r="L21" i="39"/>
  <c r="L26" i="35"/>
  <c r="L6" i="9"/>
  <c r="L12" i="12"/>
  <c r="L6" i="34"/>
  <c r="L6" i="39"/>
  <c r="L5" i="4"/>
  <c r="L7" i="9"/>
  <c r="L20" i="12"/>
  <c r="L30" i="41"/>
  <c r="L23" i="14"/>
  <c r="L9" i="14"/>
  <c r="L17" i="14"/>
  <c r="L25" i="14"/>
  <c r="L10" i="4"/>
  <c r="L21" i="4"/>
  <c r="L20" i="41"/>
  <c r="AE34" i="48"/>
  <c r="AE12" i="48"/>
  <c r="L23" i="33"/>
  <c r="L9" i="15"/>
  <c r="L10" i="14"/>
  <c r="L18" i="14"/>
  <c r="L26" i="14"/>
  <c r="L11" i="4"/>
  <c r="L22" i="4"/>
  <c r="L28" i="9"/>
  <c r="L16" i="11"/>
  <c r="L21" i="33"/>
  <c r="L3" i="34"/>
  <c r="M16" i="36"/>
  <c r="L19" i="39"/>
  <c r="L14" i="41"/>
  <c r="M13" i="45"/>
  <c r="AE33" i="48"/>
  <c r="AE10" i="48"/>
  <c r="L15" i="14"/>
  <c r="L21" i="9"/>
  <c r="L14" i="11"/>
  <c r="M8" i="36"/>
  <c r="L3" i="14"/>
  <c r="L11" i="14"/>
  <c r="L19" i="14"/>
  <c r="L27" i="14"/>
  <c r="L12" i="4"/>
  <c r="L24" i="4"/>
  <c r="L9" i="10"/>
  <c r="L18" i="11"/>
  <c r="L20" i="33"/>
  <c r="M17" i="36"/>
  <c r="L17" i="39"/>
  <c r="L11" i="41"/>
  <c r="AE28" i="48"/>
  <c r="AE8" i="48"/>
  <c r="L4" i="14"/>
  <c r="L12" i="14"/>
  <c r="L20" i="14"/>
  <c r="L7" i="1"/>
  <c r="L5" i="2"/>
  <c r="L13" i="4"/>
  <c r="L27" i="4"/>
  <c r="L20" i="11"/>
  <c r="L31" i="33"/>
  <c r="L16" i="33"/>
  <c r="L8" i="35"/>
  <c r="M24" i="36"/>
  <c r="L14" i="39"/>
  <c r="L6" i="41"/>
  <c r="AE26" i="48"/>
  <c r="M25" i="36"/>
  <c r="L8" i="39"/>
  <c r="AE25" i="48"/>
  <c r="L22" i="14"/>
  <c r="L26" i="33"/>
  <c r="L5" i="33"/>
  <c r="AE18" i="48"/>
  <c r="L7" i="14"/>
  <c r="L14" i="9"/>
  <c r="L8" i="14"/>
  <c r="L16" i="14"/>
  <c r="L9" i="4"/>
  <c r="L20" i="4"/>
  <c r="L20" i="9"/>
  <c r="L10" i="11"/>
  <c r="L14" i="12"/>
  <c r="L25" i="33"/>
  <c r="L4" i="33"/>
  <c r="M6" i="36"/>
  <c r="L25" i="39"/>
  <c r="L24" i="41"/>
  <c r="M32" i="45"/>
  <c r="AE17" i="48"/>
  <c r="L25" i="19"/>
  <c r="L22" i="39"/>
  <c r="L9" i="39"/>
  <c r="L14" i="5"/>
  <c r="L13" i="2"/>
  <c r="L6" i="4"/>
  <c r="L16" i="4"/>
  <c r="L25" i="4"/>
  <c r="L15" i="5"/>
  <c r="L8" i="9"/>
  <c r="L22" i="9"/>
  <c r="L26" i="11"/>
  <c r="L22" i="12"/>
  <c r="L18" i="35"/>
  <c r="L12" i="5"/>
  <c r="L21" i="2"/>
  <c r="L8" i="4"/>
  <c r="L17" i="4"/>
  <c r="L26" i="4"/>
  <c r="L20" i="5"/>
  <c r="L12" i="9"/>
  <c r="L23" i="9"/>
  <c r="L7" i="11"/>
  <c r="L27" i="11"/>
  <c r="L23" i="12"/>
  <c r="L28" i="33"/>
  <c r="L18" i="33"/>
  <c r="L24" i="35"/>
  <c r="M9" i="36"/>
  <c r="L29" i="39"/>
  <c r="L18" i="39"/>
  <c r="L5" i="39"/>
  <c r="L13" i="9"/>
  <c r="L24" i="9"/>
  <c r="L4" i="12"/>
  <c r="L25" i="35"/>
  <c r="M14" i="36"/>
  <c r="L14" i="3"/>
  <c r="L4" i="5"/>
  <c r="L23" i="5"/>
  <c r="L26" i="39"/>
  <c r="L16" i="39"/>
  <c r="L8" i="3"/>
  <c r="L22" i="5"/>
  <c r="L25" i="3"/>
  <c r="L6" i="5"/>
  <c r="L4" i="9"/>
  <c r="L15" i="9"/>
  <c r="L7" i="10"/>
  <c r="L9" i="19"/>
  <c r="L9" i="35"/>
  <c r="L32" i="35"/>
  <c r="L14" i="15"/>
  <c r="L7" i="5"/>
  <c r="L5" i="9"/>
  <c r="L16" i="9"/>
  <c r="L12" i="19"/>
  <c r="L24" i="33"/>
  <c r="L8" i="33"/>
  <c r="L10" i="35"/>
  <c r="L33" i="35"/>
  <c r="L34" i="35"/>
  <c r="M22" i="36"/>
  <c r="L24" i="39"/>
  <c r="L10" i="39"/>
  <c r="L15" i="41"/>
  <c r="M29" i="45"/>
  <c r="L16" i="1"/>
  <c r="L9" i="1"/>
  <c r="L7" i="2"/>
  <c r="L23" i="2"/>
  <c r="L14" i="19"/>
  <c r="L10" i="1"/>
  <c r="L20" i="1"/>
  <c r="L8" i="2"/>
  <c r="L16" i="2"/>
  <c r="L24" i="2"/>
  <c r="L9" i="11"/>
  <c r="L19" i="11"/>
  <c r="L15" i="19"/>
  <c r="L26" i="34"/>
  <c r="L3" i="35"/>
  <c r="L11" i="35"/>
  <c r="L19" i="35"/>
  <c r="L27" i="35"/>
  <c r="L4" i="41"/>
  <c r="L8" i="1"/>
  <c r="L14" i="2"/>
  <c r="L19" i="1"/>
  <c r="L15" i="2"/>
  <c r="L3" i="1"/>
  <c r="L11" i="1"/>
  <c r="L21" i="1"/>
  <c r="L9" i="2"/>
  <c r="L17" i="2"/>
  <c r="L25" i="2"/>
  <c r="L6" i="6"/>
  <c r="L17" i="19"/>
  <c r="L22" i="34"/>
  <c r="L4" i="35"/>
  <c r="L12" i="35"/>
  <c r="L20" i="35"/>
  <c r="L28" i="35"/>
  <c r="M26" i="37"/>
  <c r="L4" i="1"/>
  <c r="L12" i="1"/>
  <c r="L22" i="1"/>
  <c r="L10" i="2"/>
  <c r="L18" i="2"/>
  <c r="L26" i="2"/>
  <c r="L22" i="6"/>
  <c r="L9" i="9"/>
  <c r="L17" i="9"/>
  <c r="L25" i="9"/>
  <c r="L3" i="11"/>
  <c r="L11" i="11"/>
  <c r="L21" i="11"/>
  <c r="L4" i="19"/>
  <c r="L20" i="19"/>
  <c r="L19" i="34"/>
  <c r="L5" i="35"/>
  <c r="L13" i="35"/>
  <c r="L21" i="35"/>
  <c r="L29" i="35"/>
  <c r="M24" i="37"/>
  <c r="L13" i="39"/>
  <c r="L23" i="41"/>
  <c r="L6" i="2"/>
  <c r="L22" i="2"/>
  <c r="L5" i="1"/>
  <c r="L13" i="1"/>
  <c r="L23" i="1"/>
  <c r="L3" i="2"/>
  <c r="L11" i="2"/>
  <c r="L19" i="2"/>
  <c r="L6" i="3"/>
  <c r="L7" i="4"/>
  <c r="L15" i="4"/>
  <c r="L6" i="7"/>
  <c r="L10" i="9"/>
  <c r="L18" i="9"/>
  <c r="L26" i="9"/>
  <c r="L4" i="11"/>
  <c r="L12" i="11"/>
  <c r="L22" i="11"/>
  <c r="L6" i="19"/>
  <c r="L22" i="19"/>
  <c r="L18" i="34"/>
  <c r="L6" i="35"/>
  <c r="L14" i="35"/>
  <c r="L22" i="35"/>
  <c r="L30" i="35"/>
  <c r="M23" i="37"/>
  <c r="L6" i="1"/>
  <c r="L14" i="1"/>
  <c r="L24" i="1"/>
  <c r="L4" i="2"/>
  <c r="L12" i="2"/>
  <c r="L3" i="9"/>
  <c r="L11" i="9"/>
  <c r="L19" i="9"/>
  <c r="L5" i="11"/>
  <c r="L13" i="11"/>
  <c r="L24" i="11"/>
  <c r="L15" i="12"/>
  <c r="L7" i="19"/>
  <c r="L23" i="19"/>
  <c r="L10" i="33"/>
  <c r="L10" i="34"/>
  <c r="L7" i="35"/>
  <c r="L15" i="35"/>
  <c r="L23" i="35"/>
  <c r="M16" i="37"/>
  <c r="L11" i="13"/>
  <c r="L4" i="13"/>
  <c r="L15" i="7"/>
  <c r="L22" i="8"/>
  <c r="L16" i="15"/>
  <c r="L5" i="13"/>
  <c r="L13" i="13"/>
  <c r="L21" i="13"/>
  <c r="L9" i="3"/>
  <c r="L8" i="7"/>
  <c r="L16" i="7"/>
  <c r="L24" i="7"/>
  <c r="L7" i="8"/>
  <c r="L15" i="8"/>
  <c r="L23" i="8"/>
  <c r="L10" i="10"/>
  <c r="L8" i="19"/>
  <c r="L16" i="19"/>
  <c r="L24" i="19"/>
  <c r="L19" i="33"/>
  <c r="L6" i="33"/>
  <c r="L20" i="34"/>
  <c r="L4" i="34"/>
  <c r="M18" i="37"/>
  <c r="L31" i="41"/>
  <c r="L22" i="41"/>
  <c r="L12" i="41"/>
  <c r="L3" i="41"/>
  <c r="M30" i="45"/>
  <c r="M8" i="45"/>
  <c r="L14" i="7"/>
  <c r="L13" i="8"/>
  <c r="L17" i="15"/>
  <c r="L6" i="13"/>
  <c r="L14" i="13"/>
  <c r="L22" i="13"/>
  <c r="L9" i="7"/>
  <c r="L17" i="7"/>
  <c r="L25" i="7"/>
  <c r="L8" i="8"/>
  <c r="L16" i="8"/>
  <c r="L24" i="8"/>
  <c r="L21" i="8"/>
  <c r="L22" i="15"/>
  <c r="L7" i="13"/>
  <c r="L15" i="13"/>
  <c r="L23" i="13"/>
  <c r="L16" i="3"/>
  <c r="L10" i="7"/>
  <c r="L18" i="7"/>
  <c r="L26" i="7"/>
  <c r="L9" i="8"/>
  <c r="L17" i="8"/>
  <c r="L25" i="8"/>
  <c r="L17" i="10"/>
  <c r="L10" i="19"/>
  <c r="L18" i="19"/>
  <c r="L26" i="19"/>
  <c r="M15" i="37"/>
  <c r="L28" i="41"/>
  <c r="L19" i="41"/>
  <c r="L10" i="41"/>
  <c r="O11" i="43"/>
  <c r="M24" i="45"/>
  <c r="L5" i="8"/>
  <c r="L12" i="13"/>
  <c r="L7" i="7"/>
  <c r="L24" i="15"/>
  <c r="L8" i="13"/>
  <c r="L16" i="13"/>
  <c r="L24" i="13"/>
  <c r="L17" i="3"/>
  <c r="L3" i="7"/>
  <c r="L11" i="7"/>
  <c r="L19" i="7"/>
  <c r="L27" i="7"/>
  <c r="L10" i="8"/>
  <c r="L18" i="8"/>
  <c r="L26" i="8"/>
  <c r="L18" i="10"/>
  <c r="L15" i="11"/>
  <c r="L23" i="11"/>
  <c r="L3" i="19"/>
  <c r="L11" i="19"/>
  <c r="L19" i="19"/>
  <c r="L27" i="19"/>
  <c r="L30" i="34"/>
  <c r="L14" i="34"/>
  <c r="M10" i="37"/>
  <c r="L27" i="41"/>
  <c r="L18" i="41"/>
  <c r="L9" i="41"/>
  <c r="O20" i="43"/>
  <c r="M22" i="45"/>
  <c r="L19" i="13"/>
  <c r="L22" i="7"/>
  <c r="L20" i="13"/>
  <c r="L23" i="7"/>
  <c r="L14" i="8"/>
  <c r="L6" i="15"/>
  <c r="L25" i="15"/>
  <c r="L9" i="13"/>
  <c r="L17" i="13"/>
  <c r="L22" i="3"/>
  <c r="L4" i="7"/>
  <c r="L12" i="7"/>
  <c r="L20" i="7"/>
  <c r="L3" i="8"/>
  <c r="L11" i="8"/>
  <c r="L19" i="8"/>
  <c r="L23" i="10"/>
  <c r="L28" i="34"/>
  <c r="L12" i="34"/>
  <c r="M31" i="37"/>
  <c r="M7" i="37"/>
  <c r="L26" i="41"/>
  <c r="L17" i="41"/>
  <c r="L8" i="41"/>
  <c r="M21" i="45"/>
  <c r="L3" i="13"/>
  <c r="L6" i="8"/>
  <c r="L8" i="15"/>
  <c r="L10" i="13"/>
  <c r="L18" i="13"/>
  <c r="L24" i="3"/>
  <c r="L5" i="7"/>
  <c r="L13" i="7"/>
  <c r="L4" i="8"/>
  <c r="L12" i="8"/>
  <c r="L25" i="10"/>
  <c r="L17" i="11"/>
  <c r="L5" i="19"/>
  <c r="L13" i="19"/>
  <c r="L21" i="19"/>
  <c r="L30" i="33"/>
  <c r="L22" i="33"/>
  <c r="L12" i="33"/>
  <c r="L27" i="34"/>
  <c r="L11" i="34"/>
  <c r="L25" i="41"/>
  <c r="L16" i="41"/>
  <c r="L7" i="41"/>
  <c r="M16" i="45"/>
  <c r="M4" i="45" s="1"/>
  <c r="L14" i="6"/>
  <c r="L16" i="20"/>
  <c r="L10" i="15"/>
  <c r="L18" i="15"/>
  <c r="L26" i="15"/>
  <c r="L10" i="3"/>
  <c r="L18" i="3"/>
  <c r="L26" i="3"/>
  <c r="L8" i="5"/>
  <c r="L16" i="5"/>
  <c r="L24" i="5"/>
  <c r="L7" i="6"/>
  <c r="L15" i="6"/>
  <c r="L23" i="6"/>
  <c r="L3" i="10"/>
  <c r="L11" i="10"/>
  <c r="L19" i="10"/>
  <c r="L27" i="10"/>
  <c r="L8" i="12"/>
  <c r="L16" i="12"/>
  <c r="L24" i="12"/>
  <c r="L29" i="19"/>
  <c r="L9" i="20"/>
  <c r="L17" i="20"/>
  <c r="L25" i="20"/>
  <c r="M10" i="36"/>
  <c r="M18" i="36"/>
  <c r="M26" i="36"/>
  <c r="M30" i="37"/>
  <c r="M22" i="37"/>
  <c r="M14" i="37"/>
  <c r="M6" i="37"/>
  <c r="L28" i="39"/>
  <c r="L20" i="39"/>
  <c r="L12" i="39"/>
  <c r="L4" i="39"/>
  <c r="O12" i="43"/>
  <c r="O21" i="43"/>
  <c r="O29" i="43"/>
  <c r="M36" i="45"/>
  <c r="M28" i="45"/>
  <c r="M20" i="45"/>
  <c r="M12" i="45"/>
  <c r="AE32" i="48"/>
  <c r="AE24" i="48"/>
  <c r="AE16" i="48"/>
  <c r="AE7" i="48"/>
  <c r="L8" i="20"/>
  <c r="L3" i="15"/>
  <c r="L11" i="15"/>
  <c r="L19" i="15"/>
  <c r="L27" i="15"/>
  <c r="L25" i="13"/>
  <c r="L17" i="1"/>
  <c r="L25" i="1"/>
  <c r="L3" i="3"/>
  <c r="L11" i="3"/>
  <c r="L19" i="3"/>
  <c r="L27" i="3"/>
  <c r="L9" i="5"/>
  <c r="L17" i="5"/>
  <c r="L25" i="5"/>
  <c r="L8" i="6"/>
  <c r="L16" i="6"/>
  <c r="L24" i="6"/>
  <c r="L4" i="10"/>
  <c r="L12" i="10"/>
  <c r="L20" i="10"/>
  <c r="L28" i="10"/>
  <c r="L9" i="12"/>
  <c r="L17" i="12"/>
  <c r="L25" i="12"/>
  <c r="L10" i="20"/>
  <c r="L18" i="20"/>
  <c r="L26" i="20"/>
  <c r="L11" i="33"/>
  <c r="L3" i="33"/>
  <c r="L25" i="34"/>
  <c r="L17" i="34"/>
  <c r="L9" i="34"/>
  <c r="M3" i="36"/>
  <c r="M11" i="36"/>
  <c r="M19" i="36"/>
  <c r="M27" i="36"/>
  <c r="M29" i="37"/>
  <c r="M21" i="37"/>
  <c r="M13" i="37"/>
  <c r="M5" i="37"/>
  <c r="L11" i="39"/>
  <c r="L3" i="39"/>
  <c r="O13" i="43"/>
  <c r="O3" i="43" s="1"/>
  <c r="O22" i="43"/>
  <c r="O30" i="43"/>
  <c r="M35" i="45"/>
  <c r="M27" i="45"/>
  <c r="M19" i="45"/>
  <c r="M11" i="45"/>
  <c r="AE31" i="48"/>
  <c r="AE23" i="48"/>
  <c r="AE15" i="48"/>
  <c r="AE6" i="48"/>
  <c r="L4" i="15"/>
  <c r="L12" i="15"/>
  <c r="L20" i="15"/>
  <c r="L18" i="1"/>
  <c r="L4" i="3"/>
  <c r="L12" i="3"/>
  <c r="L20" i="3"/>
  <c r="L10" i="5"/>
  <c r="L18" i="5"/>
  <c r="L26" i="5"/>
  <c r="L9" i="6"/>
  <c r="L17" i="6"/>
  <c r="L25" i="6"/>
  <c r="L5" i="10"/>
  <c r="L13" i="10"/>
  <c r="L21" i="10"/>
  <c r="L10" i="12"/>
  <c r="L18" i="12"/>
  <c r="L26" i="12"/>
  <c r="L3" i="20"/>
  <c r="L11" i="20"/>
  <c r="L19" i="20"/>
  <c r="L27" i="20"/>
  <c r="L24" i="34"/>
  <c r="L16" i="34"/>
  <c r="L8" i="34"/>
  <c r="M4" i="36"/>
  <c r="M12" i="36"/>
  <c r="M20" i="36"/>
  <c r="M28" i="36"/>
  <c r="M28" i="37"/>
  <c r="M20" i="37"/>
  <c r="M12" i="37"/>
  <c r="M4" i="37"/>
  <c r="O6" i="43"/>
  <c r="O15" i="43"/>
  <c r="O23" i="43"/>
  <c r="O31" i="43"/>
  <c r="M34" i="45"/>
  <c r="M26" i="45"/>
  <c r="M18" i="45"/>
  <c r="M10" i="45"/>
  <c r="AE30" i="48"/>
  <c r="AE22" i="48"/>
  <c r="AE14" i="48"/>
  <c r="L5" i="15"/>
  <c r="L13" i="15"/>
  <c r="L21" i="15"/>
  <c r="L5" i="3"/>
  <c r="L13" i="3"/>
  <c r="L21" i="3"/>
  <c r="L3" i="5"/>
  <c r="L11" i="5"/>
  <c r="L19" i="5"/>
  <c r="L27" i="5"/>
  <c r="L10" i="6"/>
  <c r="L18" i="6"/>
  <c r="L26" i="6"/>
  <c r="L6" i="10"/>
  <c r="L14" i="10"/>
  <c r="L22" i="10"/>
  <c r="L3" i="12"/>
  <c r="L11" i="12"/>
  <c r="L19" i="12"/>
  <c r="L27" i="12"/>
  <c r="L4" i="20"/>
  <c r="L12" i="20"/>
  <c r="L20" i="20"/>
  <c r="L28" i="20"/>
  <c r="L17" i="33"/>
  <c r="L9" i="33"/>
  <c r="L31" i="34"/>
  <c r="L23" i="34"/>
  <c r="L15" i="34"/>
  <c r="L7" i="34"/>
  <c r="M5" i="36"/>
  <c r="M13" i="36"/>
  <c r="M21" i="36"/>
  <c r="M29" i="36"/>
  <c r="M27" i="37"/>
  <c r="M19" i="37"/>
  <c r="M11" i="37"/>
  <c r="M3" i="37"/>
  <c r="O7" i="43"/>
  <c r="O16" i="43"/>
  <c r="O24" i="43"/>
  <c r="O32" i="43"/>
  <c r="M33" i="45"/>
  <c r="M25" i="45"/>
  <c r="M17" i="45"/>
  <c r="M9" i="45"/>
  <c r="AE29" i="48"/>
  <c r="AE21" i="48"/>
  <c r="AE13" i="48"/>
  <c r="L3" i="6"/>
  <c r="L11" i="6"/>
  <c r="L19" i="6"/>
  <c r="L27" i="6"/>
  <c r="L5" i="20"/>
  <c r="L13" i="20"/>
  <c r="L21" i="20"/>
  <c r="L29" i="20"/>
  <c r="O8" i="43"/>
  <c r="O17" i="43"/>
  <c r="O25" i="43"/>
  <c r="O34" i="43"/>
  <c r="L24" i="20"/>
  <c r="O28" i="43"/>
  <c r="L7" i="15"/>
  <c r="L15" i="15"/>
  <c r="L7" i="3"/>
  <c r="L15" i="3"/>
  <c r="L5" i="5"/>
  <c r="L13" i="5"/>
  <c r="L4" i="6"/>
  <c r="L12" i="6"/>
  <c r="L20" i="6"/>
  <c r="L8" i="10"/>
  <c r="L16" i="10"/>
  <c r="L5" i="12"/>
  <c r="L13" i="12"/>
  <c r="L6" i="20"/>
  <c r="L14" i="20"/>
  <c r="L22" i="20"/>
  <c r="L15" i="33"/>
  <c r="L29" i="34"/>
  <c r="L21" i="34"/>
  <c r="L13" i="34"/>
  <c r="M7" i="36"/>
  <c r="M15" i="36"/>
  <c r="M23" i="36"/>
  <c r="M31" i="36"/>
  <c r="M25" i="37"/>
  <c r="M17" i="37"/>
  <c r="M9" i="37"/>
  <c r="L31" i="39"/>
  <c r="L23" i="39"/>
  <c r="L15" i="39"/>
  <c r="L29" i="41"/>
  <c r="L21" i="41"/>
  <c r="L13" i="41"/>
  <c r="O9" i="43"/>
  <c r="O18" i="43"/>
  <c r="O26" i="43"/>
  <c r="M31" i="45"/>
  <c r="M23" i="45"/>
  <c r="M15" i="45"/>
  <c r="AE27" i="48"/>
  <c r="AE19" i="48"/>
  <c r="AE11" i="48"/>
  <c r="L5" i="6"/>
  <c r="L13" i="6"/>
  <c r="L7" i="20"/>
  <c r="L15" i="20"/>
  <c r="O10" i="43"/>
  <c r="O19" i="43"/>
  <c r="AE3" i="49"/>
  <c r="AE32" i="49"/>
  <c r="L32" i="34" l="1"/>
  <c r="L32" i="41"/>
  <c r="AE35" i="48"/>
  <c r="L32" i="33"/>
  <c r="L32" i="39"/>
  <c r="M32" i="37"/>
</calcChain>
</file>

<file path=xl/comments1.xml><?xml version="1.0" encoding="utf-8"?>
<comments xmlns="http://schemas.openxmlformats.org/spreadsheetml/2006/main" xmlns:mc="http://schemas.openxmlformats.org/markup-compatibility/2006" xmlns:xr="http://schemas.microsoft.com/office/spreadsheetml/2014/revision" mc:Ignorable="xr">
  <authors>
    <author>Augustin Harun</author>
  </authors>
  <commentList>
    <comment ref="A3" authorId="0" shapeId="0" xr:uid="{00000000-0006-0000-1E00-000001000000}">
      <text>
        <r>
          <rPr>
            <b/>
            <sz val="9"/>
            <color indexed="81"/>
            <rFont val="Tahoma"/>
            <family val="2"/>
          </rPr>
          <t>Please select from drop down list to display company specific data</t>
        </r>
        <r>
          <rPr>
            <sz val="9"/>
            <color indexed="81"/>
            <rFont val="Tahoma"/>
            <family val="2"/>
          </rPr>
          <t xml:space="preserve">
</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Author</author>
  </authors>
  <commentList>
    <comment ref="B3" authorId="0" shapeId="0" xr:uid="{00000000-0006-0000-1F00-000001000000}">
      <text>
        <r>
          <rPr>
            <b/>
            <sz val="9"/>
            <color indexed="81"/>
            <rFont val="Tahoma"/>
            <family val="2"/>
          </rPr>
          <t>Please select from drop down list to display company specific data</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Author</author>
  </authors>
  <commentList>
    <comment ref="A8" authorId="0" shapeId="0" xr:uid="{00000000-0006-0000-2000-000001000000}">
      <text>
        <r>
          <rPr>
            <b/>
            <sz val="9"/>
            <color indexed="81"/>
            <rFont val="Tahoma"/>
            <family val="2"/>
          </rPr>
          <t>Please select from drop down list to display company specific data</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Author</author>
  </authors>
  <commentList>
    <comment ref="A4" authorId="0" shapeId="0" xr:uid="{00000000-0006-0000-2100-000001000000}">
      <text>
        <r>
          <rPr>
            <b/>
            <sz val="9"/>
            <color indexed="81"/>
            <rFont val="Tahoma"/>
            <family val="2"/>
          </rPr>
          <t>Please select from drop down list to display company specific data</t>
        </r>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Author</author>
  </authors>
  <commentList>
    <comment ref="A4" authorId="0" shapeId="0" xr:uid="{00000000-0006-0000-2200-000001000000}">
      <text>
        <r>
          <rPr>
            <b/>
            <sz val="9"/>
            <color indexed="81"/>
            <rFont val="Tahoma"/>
            <family val="2"/>
          </rPr>
          <t>Please select from drop down list to display company specific data</t>
        </r>
      </text>
    </comment>
  </commentList>
</comments>
</file>

<file path=xl/comments6.xml><?xml version="1.0" encoding="utf-8"?>
<comments xmlns="http://schemas.openxmlformats.org/spreadsheetml/2006/main" xmlns:mc="http://schemas.openxmlformats.org/markup-compatibility/2006" xmlns:xr="http://schemas.microsoft.com/office/spreadsheetml/2014/revision" mc:Ignorable="xr">
  <authors>
    <author>Author</author>
  </authors>
  <commentList>
    <comment ref="A3" authorId="0" shapeId="0" xr:uid="{00000000-0006-0000-2300-000001000000}">
      <text>
        <r>
          <rPr>
            <b/>
            <sz val="9"/>
            <color indexed="81"/>
            <rFont val="Tahoma"/>
            <family val="2"/>
          </rPr>
          <t>Please select from drop down list to display company specific data</t>
        </r>
      </text>
    </comment>
  </commentList>
</comments>
</file>

<file path=xl/comments7.xml><?xml version="1.0" encoding="utf-8"?>
<comments xmlns="http://schemas.openxmlformats.org/spreadsheetml/2006/main" xmlns:mc="http://schemas.openxmlformats.org/markup-compatibility/2006" xmlns:xr="http://schemas.microsoft.com/office/spreadsheetml/2014/revision" mc:Ignorable="xr">
  <authors>
    <author>Author</author>
  </authors>
  <commentList>
    <comment ref="A3" authorId="0" shapeId="0" xr:uid="{00000000-0006-0000-2400-000001000000}">
      <text>
        <r>
          <rPr>
            <b/>
            <sz val="9"/>
            <color indexed="81"/>
            <rFont val="Tahoma"/>
            <family val="2"/>
          </rPr>
          <t>Please select from drop down list to display company specific data</t>
        </r>
      </text>
    </comment>
  </commentList>
</comments>
</file>

<file path=xl/comments8.xml><?xml version="1.0" encoding="utf-8"?>
<comments xmlns="http://schemas.openxmlformats.org/spreadsheetml/2006/main" xmlns:mc="http://schemas.openxmlformats.org/markup-compatibility/2006" xmlns:xr="http://schemas.microsoft.com/office/spreadsheetml/2014/revision" mc:Ignorable="xr">
  <authors>
    <author>Author</author>
  </authors>
  <commentList>
    <comment ref="A3" authorId="0" shapeId="0" xr:uid="{00000000-0006-0000-2500-000001000000}">
      <text>
        <r>
          <rPr>
            <b/>
            <sz val="9"/>
            <color indexed="81"/>
            <rFont val="Tahoma"/>
            <family val="2"/>
          </rPr>
          <t>Please select from drop down list to display company specific data</t>
        </r>
      </text>
    </comment>
  </commentList>
</comments>
</file>

<file path=xl/comments9.xml><?xml version="1.0" encoding="utf-8"?>
<comments xmlns="http://schemas.openxmlformats.org/spreadsheetml/2006/main" xmlns:mc="http://schemas.openxmlformats.org/markup-compatibility/2006" xmlns:xr="http://schemas.microsoft.com/office/spreadsheetml/2014/revision" mc:Ignorable="xr">
  <authors>
    <author>Author</author>
  </authors>
  <commentList>
    <comment ref="A3" authorId="0" shapeId="0" xr:uid="{00000000-0006-0000-2600-000001000000}">
      <text>
        <r>
          <rPr>
            <b/>
            <sz val="9"/>
            <color indexed="81"/>
            <rFont val="Tahoma"/>
            <family val="2"/>
          </rPr>
          <t>Please select from drop down list to display company specific data</t>
        </r>
      </text>
    </comment>
  </commentList>
</comments>
</file>

<file path=xl/comments10.xml><?xml version="1.0" encoding="utf-8"?>
<comments xmlns="http://schemas.openxmlformats.org/spreadsheetml/2006/main" xmlns:mc="http://schemas.openxmlformats.org/markup-compatibility/2006" xmlns:xr="http://schemas.microsoft.com/office/spreadsheetml/2014/revision" mc:Ignorable="xr">
  <authors>
    <author>Author</author>
  </authors>
  <commentList>
    <comment ref="A3" authorId="0" shapeId="0" xr:uid="{00000000-0006-0000-2700-000001000000}">
      <text>
        <r>
          <rPr>
            <b/>
            <sz val="9"/>
            <color indexed="81"/>
            <rFont val="Tahoma"/>
            <family val="2"/>
          </rPr>
          <t>Please select from drop down list to display company specific data</t>
        </r>
      </text>
    </comment>
  </commentList>
</comments>
</file>

<file path=xl/comments11.xml><?xml version="1.0" encoding="utf-8"?>
<comments xmlns="http://schemas.openxmlformats.org/spreadsheetml/2006/main" xmlns:mc="http://schemas.openxmlformats.org/markup-compatibility/2006" xmlns:xr="http://schemas.microsoft.com/office/spreadsheetml/2014/revision" mc:Ignorable="xr">
  <authors>
    <author>Author</author>
  </authors>
  <commentList>
    <comment ref="A3" authorId="0" shapeId="0" xr:uid="{00000000-0006-0000-2800-000001000000}">
      <text>
        <r>
          <rPr>
            <b/>
            <sz val="9"/>
            <color indexed="81"/>
            <rFont val="Tahoma"/>
            <family val="2"/>
          </rPr>
          <t>Please select from drop down list to display company specific data</t>
        </r>
      </text>
    </comment>
  </commentList>
</comments>
</file>

<file path=xl/comments12.xml><?xml version="1.0" encoding="utf-8"?>
<comments xmlns="http://schemas.openxmlformats.org/spreadsheetml/2006/main" xmlns:mc="http://schemas.openxmlformats.org/markup-compatibility/2006" xmlns:xr="http://schemas.microsoft.com/office/spreadsheetml/2014/revision" mc:Ignorable="xr">
  <authors>
    <author>Author</author>
  </authors>
  <commentList>
    <comment ref="A3" authorId="0" shapeId="0" xr:uid="{00000000-0006-0000-2900-000001000000}">
      <text>
        <r>
          <rPr>
            <b/>
            <sz val="9"/>
            <color indexed="81"/>
            <rFont val="Tahoma"/>
            <family val="2"/>
          </rPr>
          <t>Please select from drop down list to display company specific data</t>
        </r>
      </text>
    </comment>
  </commentList>
</comments>
</file>

<file path=xl/comments13.xml><?xml version="1.0" encoding="utf-8"?>
<comments xmlns="http://schemas.openxmlformats.org/spreadsheetml/2006/main" xmlns:mc="http://schemas.openxmlformats.org/markup-compatibility/2006" xmlns:xr="http://schemas.microsoft.com/office/spreadsheetml/2014/revision" mc:Ignorable="xr">
  <authors>
    <author>Author</author>
  </authors>
  <commentList>
    <comment ref="A3" authorId="0" shapeId="0" xr:uid="{00000000-0006-0000-2A00-000001000000}">
      <text>
        <r>
          <rPr>
            <b/>
            <sz val="9"/>
            <color indexed="81"/>
            <rFont val="Tahoma"/>
            <family val="2"/>
          </rPr>
          <t>Please select from drop down list to display company specific data</t>
        </r>
      </text>
    </comment>
  </commentList>
</comments>
</file>

<file path=xl/comments14.xml><?xml version="1.0" encoding="utf-8"?>
<comments xmlns="http://schemas.openxmlformats.org/spreadsheetml/2006/main" xmlns:mc="http://schemas.openxmlformats.org/markup-compatibility/2006" xmlns:xr="http://schemas.microsoft.com/office/spreadsheetml/2014/revision" mc:Ignorable="xr">
  <authors>
    <author>Author</author>
  </authors>
  <commentList>
    <comment ref="A3" authorId="0" shapeId="0" xr:uid="{00000000-0006-0000-2B00-000001000000}">
      <text>
        <r>
          <rPr>
            <b/>
            <sz val="9"/>
            <color indexed="81"/>
            <rFont val="Tahoma"/>
            <family val="2"/>
          </rPr>
          <t>Please select from drop down list to display company specific data</t>
        </r>
      </text>
    </comment>
  </commentList>
</comments>
</file>

<file path=xl/comments15.xml><?xml version="1.0" encoding="utf-8"?>
<comments xmlns="http://schemas.openxmlformats.org/spreadsheetml/2006/main" xmlns:mc="http://schemas.openxmlformats.org/markup-compatibility/2006" xmlns:xr="http://schemas.microsoft.com/office/spreadsheetml/2014/revision" mc:Ignorable="xr">
  <authors>
    <author>Author</author>
  </authors>
  <commentList>
    <comment ref="A3" authorId="0" shapeId="0" xr:uid="{00000000-0006-0000-2C00-000001000000}">
      <text>
        <r>
          <rPr>
            <b/>
            <sz val="9"/>
            <color indexed="81"/>
            <rFont val="Tahoma"/>
            <family val="2"/>
          </rPr>
          <t>Please select from drop down list to display company specific data</t>
        </r>
      </text>
    </comment>
  </commentList>
</comments>
</file>

<file path=xl/comments16.xml><?xml version="1.0" encoding="utf-8"?>
<comments xmlns="http://schemas.openxmlformats.org/spreadsheetml/2006/main" xmlns:mc="http://schemas.openxmlformats.org/markup-compatibility/2006" xmlns:xr="http://schemas.microsoft.com/office/spreadsheetml/2014/revision" mc:Ignorable="xr">
  <authors>
    <author>Author</author>
  </authors>
  <commentList>
    <comment ref="A3" authorId="0" shapeId="0" xr:uid="{00000000-0006-0000-2D00-000001000000}">
      <text>
        <r>
          <rPr>
            <b/>
            <sz val="9"/>
            <color indexed="81"/>
            <rFont val="Tahoma"/>
            <family val="2"/>
          </rPr>
          <t>Please select from drop down list to display company specific data</t>
        </r>
      </text>
    </comment>
  </commentList>
</comments>
</file>

<file path=xl/comments17.xml><?xml version="1.0" encoding="utf-8"?>
<comments xmlns="http://schemas.openxmlformats.org/spreadsheetml/2006/main" xmlns:mc="http://schemas.openxmlformats.org/markup-compatibility/2006" xmlns:xr="http://schemas.microsoft.com/office/spreadsheetml/2014/revision" mc:Ignorable="xr">
  <authors>
    <author>Author</author>
  </authors>
  <commentList>
    <comment ref="A3" authorId="0" shapeId="0" xr:uid="{00000000-0006-0000-2E00-000001000000}">
      <text>
        <r>
          <rPr>
            <b/>
            <sz val="9"/>
            <color indexed="81"/>
            <rFont val="Tahoma"/>
            <family val="2"/>
          </rPr>
          <t>Please select from drop down list to display company specific data</t>
        </r>
      </text>
    </comment>
  </commentList>
</comments>
</file>

<file path=xl/comments18.xml><?xml version="1.0" encoding="utf-8"?>
<comments xmlns="http://schemas.openxmlformats.org/spreadsheetml/2006/main" xmlns:mc="http://schemas.openxmlformats.org/markup-compatibility/2006" xmlns:xr="http://schemas.microsoft.com/office/spreadsheetml/2014/revision" mc:Ignorable="xr">
  <authors>
    <author>Author</author>
  </authors>
  <commentList>
    <comment ref="A3" authorId="0" shapeId="0" xr:uid="{00000000-0006-0000-2F00-000001000000}">
      <text>
        <r>
          <rPr>
            <b/>
            <sz val="9"/>
            <color indexed="81"/>
            <rFont val="Tahoma"/>
            <family val="2"/>
          </rPr>
          <t>Please select from drop down list to display company specific data</t>
        </r>
      </text>
    </comment>
  </commentList>
</comments>
</file>

<file path=xl/comments19.xml><?xml version="1.0" encoding="utf-8"?>
<comments xmlns="http://schemas.openxmlformats.org/spreadsheetml/2006/main" xmlns:mc="http://schemas.openxmlformats.org/markup-compatibility/2006" xmlns:xr="http://schemas.microsoft.com/office/spreadsheetml/2014/revision" mc:Ignorable="xr">
  <authors>
    <author>Author</author>
  </authors>
  <commentList>
    <comment ref="A3" authorId="0" shapeId="0" xr:uid="{00000000-0006-0000-3000-000001000000}">
      <text>
        <r>
          <rPr>
            <b/>
            <sz val="9"/>
            <color indexed="81"/>
            <rFont val="Tahoma"/>
            <family val="2"/>
          </rPr>
          <t>Please select from drop down list to display company specific data</t>
        </r>
      </text>
    </comment>
  </commentList>
</comments>
</file>

<file path=xl/comments20.xml><?xml version="1.0" encoding="utf-8"?>
<comments xmlns="http://schemas.openxmlformats.org/spreadsheetml/2006/main" xmlns:mc="http://schemas.openxmlformats.org/markup-compatibility/2006" xmlns:xr="http://schemas.microsoft.com/office/spreadsheetml/2014/revision" mc:Ignorable="xr">
  <authors>
    <author>Author</author>
  </authors>
  <commentList>
    <comment ref="A3" authorId="0" shapeId="0" xr:uid="{00000000-0006-0000-3100-000001000000}">
      <text>
        <r>
          <rPr>
            <b/>
            <sz val="9"/>
            <color indexed="81"/>
            <rFont val="Tahoma"/>
            <family val="2"/>
          </rPr>
          <t>Please select from drop down list to display company specific data</t>
        </r>
      </text>
    </comment>
  </commentList>
</comments>
</file>

<file path=xl/comments21.xml><?xml version="1.0" encoding="utf-8"?>
<comments xmlns="http://schemas.openxmlformats.org/spreadsheetml/2006/main" xmlns:mc="http://schemas.openxmlformats.org/markup-compatibility/2006" xmlns:xr="http://schemas.microsoft.com/office/spreadsheetml/2014/revision" mc:Ignorable="xr">
  <authors>
    <author>Author</author>
  </authors>
  <commentList>
    <comment ref="A3" authorId="0" shapeId="0" xr:uid="{00000000-0006-0000-3200-000001000000}">
      <text>
        <r>
          <rPr>
            <b/>
            <sz val="9"/>
            <color indexed="81"/>
            <rFont val="Tahoma"/>
            <family val="2"/>
          </rPr>
          <t>Please select from drop down list to display company specific data</t>
        </r>
      </text>
    </comment>
  </commentList>
</comments>
</file>

<file path=xl/comments22.xml><?xml version="1.0" encoding="utf-8"?>
<comments xmlns="http://schemas.openxmlformats.org/spreadsheetml/2006/main" xmlns:mc="http://schemas.openxmlformats.org/markup-compatibility/2006" xmlns:xr="http://schemas.microsoft.com/office/spreadsheetml/2014/revision" mc:Ignorable="xr">
  <authors>
    <author>Author</author>
  </authors>
  <commentList>
    <comment ref="A3" authorId="0" shapeId="0" xr:uid="{00000000-0006-0000-3300-000001000000}">
      <text>
        <r>
          <rPr>
            <b/>
            <sz val="9"/>
            <color indexed="81"/>
            <rFont val="Tahoma"/>
            <family val="2"/>
          </rPr>
          <t>Please select from drop down list to display company specific data</t>
        </r>
      </text>
    </comment>
  </commentList>
</comments>
</file>

<file path=xl/comments23.xml><?xml version="1.0" encoding="utf-8"?>
<comments xmlns="http://schemas.openxmlformats.org/spreadsheetml/2006/main" xmlns:mc="http://schemas.openxmlformats.org/markup-compatibility/2006" xmlns:xr="http://schemas.microsoft.com/office/spreadsheetml/2014/revision" mc:Ignorable="xr">
  <authors>
    <author>Author</author>
  </authors>
  <commentList>
    <comment ref="A3" authorId="0" shapeId="0" xr:uid="{92D2F9D8-D395-4569-8689-9458206F10CD}">
      <text>
        <r>
          <rPr>
            <b/>
            <sz val="9"/>
            <color indexed="81"/>
            <rFont val="Tahoma"/>
            <family val="2"/>
          </rPr>
          <t>Please select from drop down list to display company specific data</t>
        </r>
      </text>
    </comment>
  </commentList>
</comments>
</file>

<file path=xl/comments24.xml><?xml version="1.0" encoding="utf-8"?>
<comments xmlns="http://schemas.openxmlformats.org/spreadsheetml/2006/main" xmlns:mc="http://schemas.openxmlformats.org/markup-compatibility/2006" xmlns:xr="http://schemas.microsoft.com/office/spreadsheetml/2014/revision" mc:Ignorable="xr">
  <authors>
    <author>Author</author>
  </authors>
  <commentList>
    <comment ref="A3" authorId="0" shapeId="0" xr:uid="{B4235120-719C-4E8C-902F-40901D087D45}">
      <text>
        <r>
          <rPr>
            <b/>
            <sz val="9"/>
            <color indexed="81"/>
            <rFont val="Tahoma"/>
            <family val="2"/>
          </rPr>
          <t>Please select from drop down list to display company specific data</t>
        </r>
      </text>
    </comment>
  </commentList>
</comments>
</file>

<file path=xl/comments25.xml><?xml version="1.0" encoding="utf-8"?>
<comments xmlns="http://schemas.openxmlformats.org/spreadsheetml/2006/main" xmlns:mc="http://schemas.openxmlformats.org/markup-compatibility/2006" xmlns:xr="http://schemas.microsoft.com/office/spreadsheetml/2014/revision" mc:Ignorable="xr">
  <authors>
    <author>Author</author>
  </authors>
  <commentList>
    <comment ref="A3" authorId="0" shapeId="0" xr:uid="{A8481239-A84B-4A14-A2E5-712427107CD2}">
      <text>
        <r>
          <rPr>
            <b/>
            <sz val="9"/>
            <color indexed="81"/>
            <rFont val="Tahoma"/>
            <family val="2"/>
          </rPr>
          <t>Please select from drop down list to display company specific data</t>
        </r>
      </text>
    </comment>
  </commentList>
</comments>
</file>

<file path=xl/sharedStrings.xml><?xml version="1.0" encoding="utf-8"?>
<sst xmlns="http://schemas.openxmlformats.org/spreadsheetml/2006/main" count="3470" uniqueCount="247">
  <si>
    <t>TYPE OF INDUSTRY DATA</t>
  </si>
  <si>
    <t>QUARTERLY (UNAUDITED )</t>
  </si>
  <si>
    <t>PERIOD</t>
  </si>
  <si>
    <t>QTR 1 - QTR 4</t>
  </si>
  <si>
    <t xml:space="preserve"> YEAR</t>
  </si>
  <si>
    <t>Q1, 2013 - Q3, 2023</t>
  </si>
  <si>
    <t>The insurance data presented in this workbook is unaudited and was extracted from the quarterly returns submitted to the NIC in accordance with  the Insurance Act 2021, Act 1061. No adjustments have been made to the submitted data, except rounding off the figures to the nearest whole number. All amounts are stated in Ghana Cedis and in full. Please note that for the purposes of analyses, the data in respect of each quarter is cumulative to the fourth quarter of the year relating to the four quarters in question. That is the first quarter is from January to March; the second quarter is from January to June; the third quarter is from January to September; and the fourth quarter is from January to December of the year in question.</t>
  </si>
  <si>
    <t>Q1, 2013</t>
  </si>
  <si>
    <t>Company</t>
  </si>
  <si>
    <t>Total Assets</t>
  </si>
  <si>
    <t>Investment</t>
  </si>
  <si>
    <t>Gross Written Premium</t>
  </si>
  <si>
    <t>Net Written Premium</t>
  </si>
  <si>
    <t>Incurred Claims</t>
  </si>
  <si>
    <t>Management Expense</t>
  </si>
  <si>
    <t>Commission Expense</t>
  </si>
  <si>
    <t>Commission Income</t>
  </si>
  <si>
    <t>Claims Ratio</t>
  </si>
  <si>
    <t>Expense Ratio</t>
  </si>
  <si>
    <t>Market Share</t>
  </si>
  <si>
    <t>Activa International Insurance Company Limited</t>
  </si>
  <si>
    <t>Allianz Insurance Company Limited</t>
  </si>
  <si>
    <t>Donewell Insurance Company Limited</t>
  </si>
  <si>
    <t>Enterprise Insurance Company Limited</t>
  </si>
  <si>
    <t>Equity Assurance Company Limited</t>
  </si>
  <si>
    <t>Ghana Union Assurance Company Limited</t>
  </si>
  <si>
    <t>Glico General Insurance Company Limited</t>
  </si>
  <si>
    <t>Heritage Insurance Company Limited</t>
  </si>
  <si>
    <t>Hollard Insurance Ghana Limited</t>
  </si>
  <si>
    <t>Millennium Insurance Company Limited</t>
  </si>
  <si>
    <t>NEM Insurance Ghana Limited</t>
  </si>
  <si>
    <t>NSIA Ghana Insurance Company Limited</t>
  </si>
  <si>
    <t>Phoenix Insurance Company Limited</t>
  </si>
  <si>
    <t>Prime Insurance Company Limited</t>
  </si>
  <si>
    <t>Priority Insurance Company</t>
  </si>
  <si>
    <t>Provident Insurance Company Limited</t>
  </si>
  <si>
    <t>Quality Insurance Company Limited</t>
  </si>
  <si>
    <t>Regency Insurance Ghana Limited</t>
  </si>
  <si>
    <t>Saham Insurance Ghana Limited</t>
  </si>
  <si>
    <t>SIC Insurance Company Limited</t>
  </si>
  <si>
    <t>Star Assurance Company Limited</t>
  </si>
  <si>
    <t>Unique Insurance Company Limited</t>
  </si>
  <si>
    <t>Vanguard Assurance Company Limited</t>
  </si>
  <si>
    <t>Wapic Insurance Ghana Limited</t>
  </si>
  <si>
    <t>Total By Quarter</t>
  </si>
  <si>
    <t>Q2, 2013</t>
  </si>
  <si>
    <t>Imperial General Assurance Co. Ltd.</t>
  </si>
  <si>
    <t>Q3, 2013</t>
  </si>
  <si>
    <t>Q4, 2013</t>
  </si>
  <si>
    <t>Q1, 2014</t>
  </si>
  <si>
    <t>Claims ratio</t>
  </si>
  <si>
    <t>Expense</t>
  </si>
  <si>
    <t>Q2, 2014</t>
  </si>
  <si>
    <t>Q3, 2014</t>
  </si>
  <si>
    <t>Q4, 2014</t>
  </si>
  <si>
    <t>Q1, 2015</t>
  </si>
  <si>
    <t>Q2, 2015</t>
  </si>
  <si>
    <t>Q3,2015</t>
  </si>
  <si>
    <t>Q4, 2015</t>
  </si>
  <si>
    <t>Q1 2016</t>
  </si>
  <si>
    <t>Best Assurance Company Limited</t>
  </si>
  <si>
    <t>Q2, 2016</t>
  </si>
  <si>
    <t>RegencyNem Insurance Ghana Limited</t>
  </si>
  <si>
    <t>Total by Quarter</t>
  </si>
  <si>
    <t>Q3, 2016</t>
  </si>
  <si>
    <t>Q4, 2016</t>
  </si>
  <si>
    <t>Q1, 2017</t>
  </si>
  <si>
    <t>Gross Premium</t>
  </si>
  <si>
    <t>Claim Expenses</t>
  </si>
  <si>
    <t>Loyalty Insurance Company Limited</t>
  </si>
  <si>
    <t>Multi Insurance Company Limited</t>
  </si>
  <si>
    <t>Q2, 2017</t>
  </si>
  <si>
    <t>Claims Expense</t>
  </si>
  <si>
    <t>Q3, 2017</t>
  </si>
  <si>
    <t>Q4, 2017</t>
  </si>
  <si>
    <t>Q1, 2018</t>
  </si>
  <si>
    <t>GN Insurance Company Limited</t>
  </si>
  <si>
    <t>Serene Insurance Company Limited</t>
  </si>
  <si>
    <t>Q2, 2018</t>
  </si>
  <si>
    <t>Claims Ratio %</t>
  </si>
  <si>
    <t>Expense Ratio %</t>
  </si>
  <si>
    <t>Q3, 2018</t>
  </si>
  <si>
    <t>Industrial &amp; General Insurance Ghana Limited</t>
  </si>
  <si>
    <t>Q4, 2018</t>
  </si>
  <si>
    <t>Sunu  Assurances (Gh) Limited</t>
  </si>
  <si>
    <t>104.98</t>
  </si>
  <si>
    <t>Q1, 2019</t>
  </si>
  <si>
    <t>Bedrock Insurance Company Limited</t>
  </si>
  <si>
    <t xml:space="preserve">Total </t>
  </si>
  <si>
    <t>Q2, 2019</t>
  </si>
  <si>
    <t>Sunu Assurance Company Limited</t>
  </si>
  <si>
    <t>Q3,2019</t>
  </si>
  <si>
    <t xml:space="preserve">COMPANY  SPECIFIC DATA </t>
  </si>
  <si>
    <t>Gross Claims Incurred</t>
  </si>
  <si>
    <t>Q4, 2019</t>
  </si>
  <si>
    <t>Combined Ratio %</t>
  </si>
  <si>
    <t>Market Share (%)</t>
  </si>
  <si>
    <t>Reinsurance Commission Income</t>
  </si>
  <si>
    <t>Total</t>
  </si>
  <si>
    <t>Q1, 2021</t>
  </si>
  <si>
    <t>Fire, Theft &amp; Property</t>
  </si>
  <si>
    <t>Motor</t>
  </si>
  <si>
    <t>Personal Accident, Health &amp; Medical</t>
  </si>
  <si>
    <t>Marine &amp; Aviation</t>
  </si>
  <si>
    <t>Bonds/Financial Guarantees</t>
  </si>
  <si>
    <t>Liability</t>
  </si>
  <si>
    <t>Engineering</t>
  </si>
  <si>
    <t>Others</t>
  </si>
  <si>
    <t>Gross Premiums</t>
  </si>
  <si>
    <t>Net Written Premiums</t>
  </si>
  <si>
    <t>Net Earned Premiums</t>
  </si>
  <si>
    <t>Net Claims Incurred</t>
  </si>
  <si>
    <t>Management Expenses</t>
  </si>
  <si>
    <t>Commsission Expenses</t>
  </si>
  <si>
    <t>Underwriting Profit</t>
  </si>
  <si>
    <t>Investment Income</t>
  </si>
  <si>
    <t>Other Income</t>
  </si>
  <si>
    <t>Profit before Tax</t>
  </si>
  <si>
    <t>Cash Balances</t>
  </si>
  <si>
    <t>Investments</t>
  </si>
  <si>
    <t>Receivables</t>
  </si>
  <si>
    <t>PPEs</t>
  </si>
  <si>
    <t>Intangibles</t>
  </si>
  <si>
    <t>Other Assets</t>
  </si>
  <si>
    <t>Technical Provision</t>
  </si>
  <si>
    <t>Payables</t>
  </si>
  <si>
    <t>NON LIFE INSURERS</t>
  </si>
  <si>
    <t>Bonds/Financial Guarantee</t>
  </si>
  <si>
    <t>Coronation Insurance Ghana Limited</t>
  </si>
  <si>
    <t>Q2, 2021</t>
  </si>
  <si>
    <t>Q3, 2021</t>
  </si>
  <si>
    <t>Underwriting Income</t>
  </si>
  <si>
    <t>Total Investment Income</t>
  </si>
  <si>
    <t>Total Other Income</t>
  </si>
  <si>
    <t>Profit After Tax</t>
  </si>
  <si>
    <t>Total  Assets</t>
  </si>
  <si>
    <t>NON-LIFE INSURER</t>
  </si>
  <si>
    <t>Gross  Written Premium</t>
  </si>
  <si>
    <t>Net  Premiums  Written</t>
  </si>
  <si>
    <t>Gross Commissions Expense</t>
  </si>
  <si>
    <t>Reinsurance  Commission Income</t>
  </si>
  <si>
    <t>Q4, 2021</t>
  </si>
  <si>
    <t>Q1, 2022</t>
  </si>
  <si>
    <t>Q2, 2022</t>
  </si>
  <si>
    <t>Q3, 2022</t>
  </si>
  <si>
    <t>Q4, 2022</t>
  </si>
  <si>
    <t>Sanlam Insurance Ghana Limited</t>
  </si>
  <si>
    <t>Q1, 2023</t>
  </si>
  <si>
    <t>Q2, 2023</t>
  </si>
  <si>
    <t>company specific data</t>
  </si>
  <si>
    <t>Q3, 2023</t>
  </si>
  <si>
    <t>Q4, 2023</t>
  </si>
  <si>
    <t>Q1, 2024</t>
  </si>
  <si>
    <t xml:space="preserve">Fire, Theft and Property (Private) </t>
  </si>
  <si>
    <t>Fire, Theft and Property  (Commercial)</t>
  </si>
  <si>
    <t>Motor Comprehensive</t>
  </si>
  <si>
    <t>Motor Third Party</t>
  </si>
  <si>
    <t>Motor Third Party, Fire &amp; Theft</t>
  </si>
  <si>
    <t>Motor - Others</t>
  </si>
  <si>
    <t>Accident- Public Liability</t>
  </si>
  <si>
    <t>Accident- Professional Indemnity</t>
  </si>
  <si>
    <t>Accident- Travel</t>
  </si>
  <si>
    <t>Workman Compensation/ Employer's Liability</t>
  </si>
  <si>
    <t>Accident- Personal</t>
  </si>
  <si>
    <t>Accident- Others</t>
  </si>
  <si>
    <t>Engineering- Others</t>
  </si>
  <si>
    <t>Bonds</t>
  </si>
  <si>
    <t>Marine Cargo</t>
  </si>
  <si>
    <t>Marine Hull</t>
  </si>
  <si>
    <t>Aviation</t>
  </si>
  <si>
    <t>Agriculture Weather Index</t>
  </si>
  <si>
    <t>Agriculture Area Index</t>
  </si>
  <si>
    <t>Agric Poultry &amp; Livestock</t>
  </si>
  <si>
    <t>Agric -Others</t>
  </si>
  <si>
    <t>Non-life microinsurance</t>
  </si>
  <si>
    <t>Insurance Service Revenue</t>
  </si>
  <si>
    <t>Total Insurance Service Expenses</t>
  </si>
  <si>
    <t>Insurance Results</t>
  </si>
  <si>
    <t>Total Incurred Claims</t>
  </si>
  <si>
    <t>Non-Attributable Expenses</t>
  </si>
  <si>
    <t>Acquisition Cashflow</t>
  </si>
  <si>
    <t>Total Attributable Expenses</t>
  </si>
  <si>
    <t>Insurance Service Results</t>
  </si>
  <si>
    <t>Total Insurance Finance Income/ Expense</t>
  </si>
  <si>
    <t>Total Other Income/ Expense</t>
  </si>
  <si>
    <t>Cash Balance</t>
  </si>
  <si>
    <t>Insurance Contract Assets</t>
  </si>
  <si>
    <t>Reinsurance Contract Assets</t>
  </si>
  <si>
    <t>Inv. Assets</t>
  </si>
  <si>
    <t>Insurance Contract Liabilities</t>
  </si>
  <si>
    <t>Reinsurance Contract Liabilities</t>
  </si>
  <si>
    <t>Technical Results Margin</t>
  </si>
  <si>
    <t>Attributable Expense Ratio</t>
  </si>
  <si>
    <t>Non-attributable Expense Ratio</t>
  </si>
  <si>
    <t>Q2, 2024</t>
  </si>
  <si>
    <t>Q3, 2024</t>
  </si>
  <si>
    <t xml:space="preserve"> </t>
  </si>
  <si>
    <t>SanlamAllianz Insurance Ghana Limited</t>
  </si>
  <si>
    <t>Q4, 2024</t>
  </si>
  <si>
    <t>Total Liabilities</t>
  </si>
  <si>
    <t>Share of Insurance Service Results</t>
  </si>
  <si>
    <t>Q1 2025</t>
  </si>
  <si>
    <t>Q2 2025</t>
  </si>
  <si>
    <t>Fire, Theft and property  (Private)</t>
  </si>
  <si>
    <t>Fire, Theft and property  (Commercial)</t>
  </si>
  <si>
    <t>Motor Others</t>
  </si>
  <si>
    <t>Workmen Compensation/ Employers Liability</t>
  </si>
  <si>
    <t>Engineering-All Risk</t>
  </si>
  <si>
    <t>Engineering Others</t>
  </si>
  <si>
    <t>Agric Weather Index</t>
  </si>
  <si>
    <t>Agric Area Index</t>
  </si>
  <si>
    <t>Agric Others</t>
  </si>
  <si>
    <t>Microinsurance</t>
  </si>
  <si>
    <t>Insurance revenue</t>
  </si>
  <si>
    <t>Insurance services expenses</t>
  </si>
  <si>
    <t>Insurance service result from insurance contracts issued</t>
  </si>
  <si>
    <t>Insurance service result</t>
  </si>
  <si>
    <t>Net investment income</t>
  </si>
  <si>
    <t>Total insurance finance income or expenses</t>
  </si>
  <si>
    <t>Total other income and expenses</t>
  </si>
  <si>
    <t>Profit for the year</t>
  </si>
  <si>
    <t>Cash  and cash equivalents</t>
  </si>
  <si>
    <t>Insurance contract assets</t>
  </si>
  <si>
    <t>Reinsurance contract assets</t>
  </si>
  <si>
    <t>Total Investments</t>
  </si>
  <si>
    <t>Total Receivables</t>
  </si>
  <si>
    <t>Total Property, Plant &amp; Equipment</t>
  </si>
  <si>
    <t>Insurance contract liabilities</t>
  </si>
  <si>
    <t>Reinsurance contract liabilities</t>
  </si>
  <si>
    <t>Activa International Company Limited</t>
  </si>
  <si>
    <t>Coronation Insurance (Ghana) LTD</t>
  </si>
  <si>
    <t>Donewell Insurance LTD</t>
  </si>
  <si>
    <t>Enterprise Insurance LTD</t>
  </si>
  <si>
    <t>Ghana Union Assurance Ltd</t>
  </si>
  <si>
    <t>Hollard Insurance Ghana Ltd</t>
  </si>
  <si>
    <t>NSIA Insurance Company Limited</t>
  </si>
  <si>
    <t>Priority Insurance LTD</t>
  </si>
  <si>
    <t>Provident Insurance Limited Company</t>
  </si>
  <si>
    <t xml:space="preserve">Sanlam Allianz General Insurance Ghana LTD </t>
  </si>
  <si>
    <t>SIC Insurance PLC</t>
  </si>
  <si>
    <t>Star Assurance Limited Company</t>
  </si>
  <si>
    <t>SUNU Assurance Company Limited</t>
  </si>
  <si>
    <t>Total/Average</t>
  </si>
  <si>
    <t>Q3 2025</t>
  </si>
  <si>
    <t>Imperial General Assurance Company Limited</t>
  </si>
  <si>
    <t/>
  </si>
  <si>
    <t>Q4 2025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</si>
</sst>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3">
    <numFmt numFmtId="41" formatCode="_(* #,##0_);_(* \(#,##0\);_(* &quot;-&quot;_);_(@_)"/>
    <numFmt numFmtId="44" formatCode="_(&quot;$&quot;* #,##0.00_);_(&quot;$&quot;* \(#,##0.00\);_(&quot;$&quot;* &quot;-&quot;??_);_(@_)"/>
    <numFmt numFmtId="43" formatCode="_(* #,##0.00_);_(* \(#,##0.00\);_(* &quot;-&quot;??_);_(@_)"/>
    <numFmt numFmtId="164" formatCode="_-* #,##0_-;\-* #,##0_-;_-* &quot;-&quot;_-;_-@_-"/>
    <numFmt numFmtId="165" formatCode="_-* #,##0.00_-;\-* #,##0.00_-;_-* &quot;-&quot;??_-;_-@_-"/>
    <numFmt numFmtId="166" formatCode="_(* #,##0.00_);_(* \(\ #,##0.00\ \);_(* &quot;-&quot;??_);_(\ @_ \)"/>
    <numFmt numFmtId="167" formatCode="_(* #,##0_);_(* \(\ #,##0\ \);_(* &quot;-&quot;??_);_(\ @_ \)"/>
    <numFmt numFmtId="168" formatCode="0.0%"/>
    <numFmt numFmtId="169" formatCode="_-&quot;$&quot;* #,##0.00_-;\-&quot;$&quot;* #,##0.00_-;_-&quot;$&quot;* &quot;-&quot;??_-;_-@_-"/>
    <numFmt numFmtId="170" formatCode="_ * #,##0.00_ ;_ * \-#,##0.00_ ;_ * &quot;-&quot;??_ ;_ @_ "/>
    <numFmt numFmtId="171" formatCode="_-* #,##0_-;\-* #,##0_-;_-* &quot;-&quot;??_-;_-@_-"/>
    <numFmt numFmtId="172" formatCode="0.0"/>
    <numFmt numFmtId="173" formatCode="#,##0.0"/>
  </numFmts>
  <fonts count="66" x14ac:knownFonts="1">
    <font>
      <sz val="10"/>
      <name val="Tahoma"/>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0"/>
      <name val="Tahoma"/>
      <family val="2"/>
    </font>
    <font>
      <sz val="10"/>
      <color indexed="8"/>
      <name val="Arial"/>
      <family val="2"/>
    </font>
    <font>
      <sz val="10"/>
      <name val="Tahoma"/>
      <family val="2"/>
    </font>
    <font>
      <b/>
      <sz val="10"/>
      <name val="Arial"/>
      <family val="2"/>
    </font>
    <font>
      <b/>
      <sz val="10"/>
      <name val="Tahoma"/>
      <family val="2"/>
    </font>
    <font>
      <sz val="10"/>
      <name val="Bodoni MT Black"/>
      <family val="1"/>
    </font>
    <font>
      <b/>
      <sz val="10"/>
      <name val="Bodoni MT Black"/>
      <family val="1"/>
    </font>
    <font>
      <b/>
      <sz val="11"/>
      <name val="Bodoni MT Black"/>
      <family val="1"/>
    </font>
    <font>
      <b/>
      <u/>
      <sz val="10"/>
      <name val="Tahoma"/>
      <family val="2"/>
    </font>
    <font>
      <b/>
      <u/>
      <sz val="10"/>
      <name val="Arial"/>
      <family val="2"/>
    </font>
    <font>
      <u/>
      <sz val="10"/>
      <name val="Tahoma"/>
      <family val="2"/>
    </font>
    <font>
      <b/>
      <u val="singleAccounting"/>
      <sz val="10"/>
      <name val="Tahoma"/>
      <family val="2"/>
    </font>
    <font>
      <sz val="11"/>
      <color theme="1"/>
      <name val="Calibri"/>
      <family val="2"/>
      <scheme val="minor"/>
    </font>
    <font>
      <u/>
      <sz val="10"/>
      <color theme="10"/>
      <name val="Tahoma"/>
      <family val="2"/>
    </font>
    <font>
      <u/>
      <sz val="11"/>
      <color theme="10"/>
      <name val="Calibri"/>
      <family val="2"/>
      <scheme val="minor"/>
    </font>
    <font>
      <b/>
      <sz val="10"/>
      <color theme="0"/>
      <name val="Arial"/>
      <family val="2"/>
    </font>
    <font>
      <b/>
      <sz val="10"/>
      <color theme="0"/>
      <name val="Tahoma"/>
      <family val="2"/>
    </font>
    <font>
      <b/>
      <sz val="11"/>
      <color theme="1"/>
      <name val="Bodoni MT Black"/>
      <family val="1"/>
    </font>
    <font>
      <b/>
      <sz val="11"/>
      <color rgb="FF7030A0"/>
      <name val="Bodoni MT Black"/>
      <family val="1"/>
    </font>
    <font>
      <b/>
      <u/>
      <sz val="10"/>
      <color theme="1"/>
      <name val="Tahoma"/>
      <family val="2"/>
    </font>
    <font>
      <b/>
      <sz val="11"/>
      <color rgb="FF7030A0"/>
      <name val="Times New Roman"/>
      <family val="1"/>
    </font>
    <font>
      <sz val="10"/>
      <name val="Arial"/>
      <family val="2"/>
    </font>
    <font>
      <b/>
      <sz val="10"/>
      <color indexed="8"/>
      <name val="Arial"/>
      <family val="2"/>
    </font>
    <font>
      <sz val="10"/>
      <name val="Times New Roman"/>
      <family val="1"/>
    </font>
    <font>
      <sz val="11"/>
      <color indexed="8"/>
      <name val="Calibri"/>
      <family val="2"/>
    </font>
    <font>
      <sz val="9"/>
      <color rgb="FF303030"/>
      <name val="Arial"/>
      <family val="2"/>
    </font>
    <font>
      <sz val="10"/>
      <name val="Tahoma"/>
      <family val="2"/>
    </font>
    <font>
      <sz val="11"/>
      <name val="Times New Roman"/>
      <family val="1"/>
    </font>
    <font>
      <sz val="10"/>
      <name val="Tahoma"/>
      <family val="2"/>
    </font>
    <font>
      <b/>
      <sz val="11"/>
      <color theme="1"/>
      <name val="Calibri"/>
      <family val="2"/>
      <scheme val="minor"/>
    </font>
    <font>
      <sz val="9"/>
      <color indexed="81"/>
      <name val="Tahoma"/>
      <family val="2"/>
    </font>
    <font>
      <b/>
      <sz val="9"/>
      <color indexed="81"/>
      <name val="Tahoma"/>
      <family val="2"/>
    </font>
    <font>
      <sz val="14"/>
      <name val="Viner Hand ITC"/>
      <family val="4"/>
    </font>
    <font>
      <b/>
      <sz val="10"/>
      <color theme="0"/>
      <name val="Agency FB"/>
      <family val="2"/>
    </font>
    <font>
      <b/>
      <sz val="11"/>
      <color theme="0"/>
      <name val="Agency FB"/>
      <family val="2"/>
    </font>
    <font>
      <sz val="9"/>
      <color theme="1"/>
      <name val="Calibri"/>
      <family val="2"/>
      <scheme val="minor"/>
    </font>
    <font>
      <b/>
      <sz val="8"/>
      <color theme="1"/>
      <name val="Castellar"/>
      <family val="1"/>
    </font>
    <font>
      <b/>
      <sz val="10"/>
      <color theme="0" tint="-4.9989318521683403E-2"/>
      <name val="Tahoma"/>
      <family val="2"/>
    </font>
    <font>
      <sz val="11"/>
      <name val="Tahoma"/>
      <family val="2"/>
    </font>
    <font>
      <sz val="16"/>
      <name val="Showcard Gothic"/>
      <family val="5"/>
    </font>
    <font>
      <b/>
      <sz val="12"/>
      <name val="Garamond"/>
      <family val="1"/>
    </font>
    <font>
      <b/>
      <sz val="18"/>
      <name val="Garamond"/>
      <family val="1"/>
    </font>
    <font>
      <b/>
      <i/>
      <sz val="10"/>
      <name val="Tahoma"/>
      <family val="2"/>
    </font>
    <font>
      <i/>
      <sz val="10"/>
      <name val="Tahoma"/>
      <family val="2"/>
    </font>
    <font>
      <i/>
      <sz val="11"/>
      <name val="Tahoma"/>
      <family val="2"/>
    </font>
    <font>
      <sz val="11"/>
      <color rgb="FF000000"/>
      <name val="Arial"/>
      <family val="2"/>
    </font>
    <font>
      <sz val="10"/>
      <color rgb="FF303030"/>
      <name val="Arial"/>
      <family val="2"/>
    </font>
    <font>
      <sz val="10"/>
      <color rgb="FF000000"/>
      <name val="Tahoma"/>
      <family val="2"/>
    </font>
    <font>
      <sz val="10"/>
      <color rgb="FF303030"/>
      <name val="Tahoma"/>
      <family val="2"/>
    </font>
    <font>
      <i/>
      <sz val="10"/>
      <name val="Arial"/>
      <family val="2"/>
    </font>
    <font>
      <sz val="10"/>
      <color theme="0"/>
      <name val="Tahoma"/>
      <family val="2"/>
    </font>
    <font>
      <sz val="12"/>
      <color rgb="FF000000"/>
      <name val="Garamond"/>
      <family val="1"/>
    </font>
    <font>
      <sz val="12"/>
      <color rgb="FF303030"/>
      <name val="Garamond"/>
      <family val="1"/>
    </font>
    <font>
      <sz val="12"/>
      <name val="Garamond"/>
      <family val="1"/>
    </font>
    <font>
      <b/>
      <sz val="11"/>
      <name val="Tahoma"/>
      <family val="2"/>
    </font>
    <font>
      <sz val="11"/>
      <color theme="1"/>
      <name val="Calibri"/>
      <family val="2"/>
    </font>
    <font>
      <b/>
      <sz val="12"/>
      <color rgb="FF303030"/>
      <name val="Garamond"/>
      <family val="1"/>
    </font>
    <font>
      <b/>
      <sz val="11"/>
      <name val="Garamond"/>
      <family val="1"/>
    </font>
    <font>
      <b/>
      <i/>
      <sz val="11"/>
      <name val="Garamond"/>
      <family val="1"/>
    </font>
  </fonts>
  <fills count="25">
    <fill>
      <patternFill patternType="none"/>
    </fill>
    <fill>
      <patternFill patternType="gray125"/>
    </fill>
    <fill>
      <patternFill patternType="solid">
        <fgColor indexed="9"/>
        <bgColor indexed="9"/>
      </patternFill>
    </fill>
    <fill>
      <patternFill patternType="solid">
        <fgColor rgb="FF002060"/>
        <bgColor indexed="64"/>
      </patternFill>
    </fill>
    <fill>
      <patternFill patternType="solid">
        <fgColor theme="9" tint="0.39997558519241921"/>
        <bgColor indexed="64"/>
      </patternFill>
    </fill>
    <fill>
      <patternFill patternType="solid">
        <fgColor theme="0" tint="-0.499984740745262"/>
        <bgColor indexed="9"/>
      </patternFill>
    </fill>
    <fill>
      <patternFill patternType="solid">
        <fgColor theme="0" tint="-0.499984740745262"/>
        <bgColor indexed="64"/>
      </patternFill>
    </fill>
    <fill>
      <patternFill patternType="solid">
        <fgColor theme="0" tint="-0.249977111117893"/>
        <bgColor indexed="9"/>
      </patternFill>
    </fill>
    <fill>
      <patternFill patternType="solid">
        <fgColor theme="0" tint="-0.249977111117893"/>
        <bgColor indexed="64"/>
      </patternFill>
    </fill>
    <fill>
      <patternFill patternType="solid">
        <fgColor theme="0" tint="-0.14999847407452621"/>
        <bgColor indexed="9"/>
      </patternFill>
    </fill>
    <fill>
      <patternFill patternType="solid">
        <fgColor theme="0" tint="-0.14999847407452621"/>
        <bgColor indexed="64"/>
      </patternFill>
    </fill>
    <fill>
      <patternFill patternType="solid">
        <fgColor theme="0" tint="-0.14999847407452621"/>
        <bgColor indexed="1"/>
      </patternFill>
    </fill>
    <fill>
      <patternFill patternType="solid">
        <fgColor theme="0"/>
        <bgColor indexed="64"/>
      </patternFill>
    </fill>
    <fill>
      <patternFill patternType="solid">
        <fgColor theme="1" tint="0.34998626667073579"/>
        <bgColor indexed="9"/>
      </patternFill>
    </fill>
    <fill>
      <patternFill patternType="solid">
        <fgColor theme="1" tint="0.34998626667073579"/>
        <bgColor indexed="64"/>
      </patternFill>
    </fill>
    <fill>
      <patternFill patternType="solid">
        <fgColor theme="1" tint="0.499984740745262"/>
        <bgColor indexed="64"/>
      </patternFill>
    </fill>
    <fill>
      <patternFill patternType="solid">
        <fgColor theme="1" tint="0.249977111117893"/>
        <bgColor indexed="64"/>
      </patternFill>
    </fill>
    <fill>
      <patternFill patternType="solid">
        <fgColor theme="0" tint="-0.34998626667073579"/>
        <bgColor indexed="64"/>
      </patternFill>
    </fill>
    <fill>
      <patternFill patternType="solid">
        <fgColor theme="8" tint="0.39997558519241921"/>
        <bgColor indexed="64"/>
      </patternFill>
    </fill>
    <fill>
      <patternFill patternType="solid">
        <fgColor theme="9" tint="0.59999389629810485"/>
        <bgColor indexed="64"/>
      </patternFill>
    </fill>
    <fill>
      <patternFill patternType="solid">
        <fgColor theme="1" tint="4.9989318521683403E-2"/>
        <bgColor indexed="64"/>
      </patternFill>
    </fill>
    <fill>
      <patternFill patternType="solid">
        <fgColor theme="6" tint="0.39997558519241921"/>
        <bgColor indexed="64"/>
      </patternFill>
    </fill>
    <fill>
      <patternFill patternType="solid">
        <fgColor theme="0" tint="-4.9989318521683403E-2"/>
        <bgColor indexed="64"/>
      </patternFill>
    </fill>
    <fill>
      <patternFill patternType="solid">
        <fgColor theme="0" tint="-4.9989318521683403E-2"/>
        <bgColor rgb="FFFFFFFF"/>
      </patternFill>
    </fill>
    <fill>
      <patternFill patternType="solid">
        <fgColor rgb="FFF0F4F7"/>
        <bgColor rgb="FFFFFFFF"/>
      </patternFill>
    </fill>
  </fills>
  <borders count="13">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diagonal/>
    </border>
    <border>
      <left style="thin">
        <color indexed="55"/>
      </left>
      <right/>
      <top/>
      <bottom style="thin">
        <color indexed="55"/>
      </bottom>
      <diagonal/>
    </border>
    <border>
      <left style="thin">
        <color indexed="64"/>
      </left>
      <right/>
      <top style="thin">
        <color indexed="64"/>
      </top>
      <bottom style="thin">
        <color indexed="64"/>
      </bottom>
      <diagonal/>
    </border>
    <border>
      <left style="thin">
        <color indexed="64"/>
      </left>
      <right style="thin">
        <color indexed="64"/>
      </right>
      <top style="thin">
        <color indexed="64"/>
      </top>
      <bottom/>
      <diagonal/>
    </border>
    <border>
      <left style="thin">
        <color indexed="55"/>
      </left>
      <right style="thin">
        <color indexed="55"/>
      </right>
      <top/>
      <bottom style="thin">
        <color indexed="55"/>
      </bottom>
      <diagonal/>
    </border>
    <border>
      <left style="thin">
        <color indexed="64"/>
      </left>
      <right style="thin">
        <color indexed="64"/>
      </right>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dotted">
        <color indexed="64"/>
      </top>
      <bottom style="thin">
        <color indexed="64"/>
      </bottom>
      <diagonal/>
    </border>
    <border>
      <left style="thin">
        <color indexed="64"/>
      </left>
      <right style="thin">
        <color indexed="64"/>
      </right>
      <top/>
      <bottom style="dotted">
        <color indexed="64"/>
      </bottom>
      <diagonal/>
    </border>
    <border>
      <left style="thin">
        <color theme="0"/>
      </left>
      <right style="thin">
        <color theme="0"/>
      </right>
      <top style="thin">
        <color theme="0"/>
      </top>
      <bottom style="thin">
        <color theme="0"/>
      </bottom>
      <diagonal/>
    </border>
  </borders>
  <cellStyleXfs count="138">
    <xf numFmtId="0" fontId="0" fillId="0" borderId="0"/>
    <xf numFmtId="166" fontId="7" fillId="0" borderId="0" applyFont="0" applyFill="0" applyBorder="0" applyAlignment="0" applyProtection="0"/>
    <xf numFmtId="165" fontId="19" fillId="0" borderId="0" applyFont="0" applyFill="0" applyBorder="0" applyAlignment="0" applyProtection="0"/>
    <xf numFmtId="165" fontId="19" fillId="0" borderId="0" applyFont="0" applyFill="0" applyBorder="0" applyAlignment="0" applyProtection="0"/>
    <xf numFmtId="0" fontId="20" fillId="0" borderId="0" applyNumberFormat="0" applyFill="0" applyBorder="0" applyAlignment="0" applyProtection="0"/>
    <xf numFmtId="0" fontId="21" fillId="0" borderId="0" applyNumberFormat="0" applyFill="0" applyBorder="0" applyAlignment="0" applyProtection="0"/>
    <xf numFmtId="0" fontId="9" fillId="0" borderId="0"/>
    <xf numFmtId="0" fontId="19" fillId="0" borderId="0"/>
    <xf numFmtId="9" fontId="7" fillId="0" borderId="0" applyFont="0" applyFill="0" applyBorder="0" applyAlignment="0" applyProtection="0"/>
    <xf numFmtId="0" fontId="6" fillId="0" borderId="0"/>
    <xf numFmtId="0" fontId="30" fillId="0" borderId="0"/>
    <xf numFmtId="165" fontId="30" fillId="0" borderId="0" applyFont="0" applyFill="0" applyBorder="0" applyAlignment="0" applyProtection="0"/>
    <xf numFmtId="165" fontId="31" fillId="0" borderId="0" applyFont="0" applyFill="0" applyBorder="0" applyAlignment="0" applyProtection="0"/>
    <xf numFmtId="165" fontId="31" fillId="0" borderId="0" applyFont="0" applyFill="0" applyBorder="0" applyAlignment="0" applyProtection="0"/>
    <xf numFmtId="165" fontId="31" fillId="0" borderId="0" applyFont="0" applyFill="0" applyBorder="0" applyAlignment="0" applyProtection="0"/>
    <xf numFmtId="169" fontId="30" fillId="0" borderId="0" applyFont="0" applyFill="0" applyBorder="0" applyAlignment="0" applyProtection="0"/>
    <xf numFmtId="0" fontId="6" fillId="0" borderId="0"/>
    <xf numFmtId="0" fontId="6" fillId="0" borderId="0"/>
    <xf numFmtId="0" fontId="28" fillId="0" borderId="0"/>
    <xf numFmtId="0" fontId="30" fillId="0" borderId="0"/>
    <xf numFmtId="0" fontId="28" fillId="0" borderId="0"/>
    <xf numFmtId="0" fontId="28" fillId="0" borderId="0"/>
    <xf numFmtId="9" fontId="30" fillId="0" borderId="0" applyFont="0" applyFill="0" applyBorder="0" applyAlignment="0" applyProtection="0"/>
    <xf numFmtId="9" fontId="31" fillId="0" borderId="0" applyFont="0" applyFill="0" applyBorder="0" applyAlignment="0" applyProtection="0"/>
    <xf numFmtId="165" fontId="6" fillId="0" borderId="0" applyFont="0" applyFill="0" applyBorder="0" applyAlignment="0" applyProtection="0"/>
    <xf numFmtId="9" fontId="6" fillId="0" borderId="0" applyFont="0" applyFill="0" applyBorder="0" applyAlignment="0" applyProtection="0"/>
    <xf numFmtId="44" fontId="6" fillId="0" borderId="0" applyFont="0" applyFill="0" applyBorder="0" applyAlignment="0" applyProtection="0"/>
    <xf numFmtId="0" fontId="30" fillId="0" borderId="0"/>
    <xf numFmtId="165" fontId="31" fillId="0" borderId="0" applyFont="0" applyFill="0" applyBorder="0" applyAlignment="0" applyProtection="0"/>
    <xf numFmtId="165" fontId="31" fillId="0" borderId="0" applyFont="0" applyFill="0" applyBorder="0" applyAlignment="0" applyProtection="0"/>
    <xf numFmtId="165" fontId="31" fillId="0" borderId="0" applyFont="0" applyFill="0" applyBorder="0" applyAlignment="0" applyProtection="0"/>
    <xf numFmtId="165" fontId="31" fillId="0" borderId="0" applyFont="0" applyFill="0" applyBorder="0" applyAlignment="0" applyProtection="0"/>
    <xf numFmtId="165" fontId="31" fillId="0" borderId="0" applyFont="0" applyFill="0" applyBorder="0" applyAlignment="0" applyProtection="0"/>
    <xf numFmtId="165" fontId="31" fillId="0" borderId="0" applyFont="0" applyFill="0" applyBorder="0" applyAlignment="0" applyProtection="0"/>
    <xf numFmtId="165" fontId="31" fillId="0" borderId="0" applyFont="0" applyFill="0" applyBorder="0" applyAlignment="0" applyProtection="0"/>
    <xf numFmtId="165" fontId="31" fillId="0" borderId="0" applyFont="0" applyFill="0" applyBorder="0" applyAlignment="0" applyProtection="0"/>
    <xf numFmtId="165" fontId="31" fillId="0" borderId="0" applyFont="0" applyFill="0" applyBorder="0" applyAlignment="0" applyProtection="0"/>
    <xf numFmtId="165" fontId="6" fillId="0" borderId="0" applyFont="0" applyFill="0" applyBorder="0" applyAlignment="0" applyProtection="0"/>
    <xf numFmtId="165" fontId="30" fillId="0" borderId="0" applyFont="0" applyFill="0" applyBorder="0" applyAlignment="0" applyProtection="0"/>
    <xf numFmtId="165" fontId="30" fillId="0" borderId="0" applyFont="0" applyFill="0" applyBorder="0" applyAlignment="0" applyProtection="0"/>
    <xf numFmtId="0" fontId="30" fillId="0" borderId="0"/>
    <xf numFmtId="0" fontId="30" fillId="0" borderId="0"/>
    <xf numFmtId="0" fontId="30" fillId="0" borderId="0"/>
    <xf numFmtId="0" fontId="30" fillId="0" borderId="0"/>
    <xf numFmtId="0" fontId="30" fillId="0" borderId="0"/>
    <xf numFmtId="0" fontId="30" fillId="0" borderId="0"/>
    <xf numFmtId="9" fontId="31" fillId="0" borderId="0" applyFont="0" applyFill="0" applyBorder="0" applyAlignment="0" applyProtection="0"/>
    <xf numFmtId="9" fontId="31" fillId="0" borderId="0" applyFont="0" applyFill="0" applyBorder="0" applyAlignment="0" applyProtection="0"/>
    <xf numFmtId="9" fontId="31" fillId="0" borderId="0" applyFont="0" applyFill="0" applyBorder="0" applyAlignment="0" applyProtection="0"/>
    <xf numFmtId="9" fontId="30" fillId="0" borderId="0" applyFont="0" applyFill="0" applyBorder="0" applyAlignment="0" applyProtection="0"/>
    <xf numFmtId="9" fontId="6" fillId="0" borderId="0" applyFont="0" applyFill="0" applyBorder="0" applyAlignment="0" applyProtection="0"/>
    <xf numFmtId="9" fontId="30" fillId="0" borderId="0" applyFont="0" applyFill="0" applyBorder="0" applyAlignment="0" applyProtection="0"/>
    <xf numFmtId="170" fontId="28" fillId="0" borderId="0" applyFont="0" applyFill="0" applyBorder="0" applyAlignment="0" applyProtection="0"/>
    <xf numFmtId="0" fontId="30" fillId="0" borderId="0"/>
    <xf numFmtId="0" fontId="30" fillId="0" borderId="0"/>
    <xf numFmtId="41" fontId="33" fillId="0" borderId="0" applyFont="0" applyFill="0" applyBorder="0" applyAlignment="0" applyProtection="0"/>
    <xf numFmtId="0" fontId="35" fillId="0" borderId="0"/>
    <xf numFmtId="166" fontId="7" fillId="0" borderId="0" applyFont="0" applyFill="0" applyBorder="0" applyAlignment="0" applyProtection="0"/>
    <xf numFmtId="9" fontId="7" fillId="0" borderId="0" applyFont="0" applyFill="0" applyBorder="0" applyAlignment="0" applyProtection="0"/>
    <xf numFmtId="0" fontId="5" fillId="0" borderId="0"/>
    <xf numFmtId="165" fontId="5" fillId="0" borderId="0" applyFont="0" applyFill="0" applyBorder="0" applyAlignment="0" applyProtection="0"/>
    <xf numFmtId="0" fontId="7" fillId="0" borderId="0"/>
    <xf numFmtId="0" fontId="4" fillId="0" borderId="0"/>
    <xf numFmtId="9" fontId="4" fillId="0" borderId="0" applyFont="0" applyFill="0" applyBorder="0" applyAlignment="0" applyProtection="0"/>
    <xf numFmtId="164" fontId="4" fillId="0" borderId="0" applyFont="0" applyFill="0" applyBorder="0" applyAlignment="0" applyProtection="0"/>
    <xf numFmtId="0" fontId="4" fillId="0" borderId="0"/>
    <xf numFmtId="0" fontId="4" fillId="0" borderId="0"/>
    <xf numFmtId="43" fontId="4" fillId="0" borderId="0" applyFont="0" applyFill="0" applyBorder="0" applyAlignment="0" applyProtection="0"/>
    <xf numFmtId="43" fontId="4" fillId="0" borderId="0" applyFont="0" applyFill="0" applyBorder="0" applyAlignment="0" applyProtection="0"/>
    <xf numFmtId="44"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9" fontId="4" fillId="0" borderId="0" applyFont="0" applyFill="0" applyBorder="0" applyAlignment="0" applyProtection="0"/>
    <xf numFmtId="0" fontId="30" fillId="0" borderId="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0" fontId="3" fillId="0" borderId="0"/>
    <xf numFmtId="0" fontId="3" fillId="0" borderId="0"/>
    <xf numFmtId="0" fontId="3" fillId="0" borderId="0"/>
    <xf numFmtId="43" fontId="3" fillId="0" borderId="0" applyFont="0" applyFill="0" applyBorder="0" applyAlignment="0" applyProtection="0"/>
    <xf numFmtId="43" fontId="3" fillId="0" borderId="0" applyFont="0" applyFill="0" applyBorder="0" applyAlignment="0" applyProtection="0"/>
    <xf numFmtId="9" fontId="3" fillId="0" borderId="0" applyFont="0" applyFill="0" applyBorder="0" applyAlignment="0" applyProtection="0"/>
    <xf numFmtId="44"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9" fontId="3" fillId="0" borderId="0" applyFont="0" applyFill="0" applyBorder="0" applyAlignment="0" applyProtection="0"/>
    <xf numFmtId="0" fontId="28" fillId="0" borderId="0"/>
    <xf numFmtId="0" fontId="62" fillId="0" borderId="0"/>
    <xf numFmtId="43" fontId="62" fillId="0" borderId="0" applyFont="0" applyFill="0" applyBorder="0" applyAlignment="0" applyProtection="0"/>
    <xf numFmtId="0" fontId="3" fillId="0" borderId="0"/>
    <xf numFmtId="43" fontId="3" fillId="0" borderId="0" applyFont="0" applyFill="0" applyBorder="0" applyAlignment="0" applyProtection="0"/>
    <xf numFmtId="9" fontId="3" fillId="0" borderId="0" applyFont="0" applyFill="0" applyBorder="0" applyAlignment="0" applyProtection="0"/>
    <xf numFmtId="44" fontId="3" fillId="0" borderId="0" applyFont="0" applyFill="0" applyBorder="0" applyAlignment="0" applyProtection="0"/>
    <xf numFmtId="0" fontId="30" fillId="0" borderId="0"/>
    <xf numFmtId="43" fontId="3" fillId="0" borderId="0" applyFont="0" applyFill="0" applyBorder="0" applyAlignment="0" applyProtection="0"/>
    <xf numFmtId="0" fontId="2" fillId="0" borderId="0"/>
    <xf numFmtId="165" fontId="2" fillId="0" borderId="0" applyFont="0" applyFill="0" applyBorder="0" applyAlignment="0" applyProtection="0"/>
    <xf numFmtId="9" fontId="2" fillId="0" borderId="0" applyFont="0" applyFill="0" applyBorder="0" applyAlignment="0" applyProtection="0"/>
    <xf numFmtId="0" fontId="2" fillId="0" borderId="0"/>
    <xf numFmtId="165" fontId="30" fillId="0" borderId="0" applyFont="0" applyFill="0" applyBorder="0" applyAlignment="0" applyProtection="0"/>
    <xf numFmtId="165" fontId="31" fillId="0" borderId="0" applyFont="0" applyFill="0" applyBorder="0" applyAlignment="0" applyProtection="0"/>
    <xf numFmtId="165" fontId="31" fillId="0" borderId="0" applyFont="0" applyFill="0" applyBorder="0" applyAlignment="0" applyProtection="0"/>
    <xf numFmtId="165" fontId="31" fillId="0" borderId="0" applyFont="0" applyFill="0" applyBorder="0" applyAlignment="0" applyProtection="0"/>
    <xf numFmtId="0" fontId="2" fillId="0" borderId="0"/>
    <xf numFmtId="165" fontId="31" fillId="0" borderId="0" applyFont="0" applyFill="0" applyBorder="0" applyAlignment="0" applyProtection="0"/>
    <xf numFmtId="165" fontId="31" fillId="0" borderId="0" applyFont="0" applyFill="0" applyBorder="0" applyAlignment="0" applyProtection="0"/>
    <xf numFmtId="165" fontId="31" fillId="0" borderId="0" applyFont="0" applyFill="0" applyBorder="0" applyAlignment="0" applyProtection="0"/>
    <xf numFmtId="165" fontId="31" fillId="0" borderId="0" applyFont="0" applyFill="0" applyBorder="0" applyAlignment="0" applyProtection="0"/>
    <xf numFmtId="165" fontId="31" fillId="0" borderId="0" applyFont="0" applyFill="0" applyBorder="0" applyAlignment="0" applyProtection="0"/>
    <xf numFmtId="165" fontId="31" fillId="0" borderId="0" applyFont="0" applyFill="0" applyBorder="0" applyAlignment="0" applyProtection="0"/>
    <xf numFmtId="165" fontId="31" fillId="0" borderId="0" applyFont="0" applyFill="0" applyBorder="0" applyAlignment="0" applyProtection="0"/>
    <xf numFmtId="165" fontId="31" fillId="0" borderId="0" applyFont="0" applyFill="0" applyBorder="0" applyAlignment="0" applyProtection="0"/>
    <xf numFmtId="165" fontId="31" fillId="0" borderId="0" applyFont="0" applyFill="0" applyBorder="0" applyAlignment="0" applyProtection="0"/>
    <xf numFmtId="165" fontId="2" fillId="0" borderId="0" applyFont="0" applyFill="0" applyBorder="0" applyAlignment="0" applyProtection="0"/>
    <xf numFmtId="165" fontId="30" fillId="0" borderId="0" applyFont="0" applyFill="0" applyBorder="0" applyAlignment="0" applyProtection="0"/>
    <xf numFmtId="165" fontId="30" fillId="0" borderId="0" applyFont="0" applyFill="0" applyBorder="0" applyAlignment="0" applyProtection="0"/>
    <xf numFmtId="165" fontId="2" fillId="0" borderId="0" applyFont="0" applyFill="0" applyBorder="0" applyAlignment="0" applyProtection="0"/>
    <xf numFmtId="9" fontId="2" fillId="0" borderId="0" applyFont="0" applyFill="0" applyBorder="0" applyAlignment="0" applyProtection="0"/>
    <xf numFmtId="44" fontId="2" fillId="0" borderId="0" applyFont="0" applyFill="0" applyBorder="0" applyAlignment="0" applyProtection="0"/>
  </cellStyleXfs>
  <cellXfs count="417">
    <xf numFmtId="0" fontId="0" fillId="0" borderId="0" xfId="0"/>
    <xf numFmtId="0" fontId="0" fillId="0" borderId="0" xfId="0" applyAlignment="1">
      <alignment horizontal="left"/>
    </xf>
    <xf numFmtId="0" fontId="0" fillId="0" borderId="1" xfId="0" applyBorder="1"/>
    <xf numFmtId="168" fontId="0" fillId="0" borderId="1" xfId="8" applyNumberFormat="1" applyFont="1" applyBorder="1"/>
    <xf numFmtId="0" fontId="0" fillId="0" borderId="1" xfId="0" applyBorder="1" applyAlignment="1">
      <alignment horizontal="left"/>
    </xf>
    <xf numFmtId="0" fontId="11" fillId="0" borderId="1" xfId="0" applyFont="1" applyBorder="1"/>
    <xf numFmtId="0" fontId="11" fillId="0" borderId="0" xfId="0" applyFont="1"/>
    <xf numFmtId="9" fontId="0" fillId="0" borderId="0" xfId="8" applyFont="1"/>
    <xf numFmtId="43" fontId="0" fillId="0" borderId="0" xfId="0" applyNumberFormat="1"/>
    <xf numFmtId="0" fontId="11" fillId="0" borderId="1" xfId="0" applyFont="1" applyBorder="1" applyAlignment="1">
      <alignment horizontal="left"/>
    </xf>
    <xf numFmtId="0" fontId="22" fillId="3" borderId="1" xfId="0" applyFont="1" applyFill="1" applyBorder="1" applyAlignment="1">
      <alignment wrapText="1"/>
    </xf>
    <xf numFmtId="0" fontId="22" fillId="3" borderId="1" xfId="0" applyFont="1" applyFill="1" applyBorder="1" applyAlignment="1">
      <alignment horizontal="left" wrapText="1"/>
    </xf>
    <xf numFmtId="0" fontId="23" fillId="3" borderId="1" xfId="0" applyFont="1" applyFill="1" applyBorder="1" applyAlignment="1">
      <alignment wrapText="1"/>
    </xf>
    <xf numFmtId="0" fontId="23" fillId="3" borderId="1" xfId="1" applyNumberFormat="1" applyFont="1" applyFill="1" applyBorder="1" applyAlignment="1">
      <alignment wrapText="1"/>
    </xf>
    <xf numFmtId="167" fontId="11" fillId="0" borderId="1" xfId="1" applyNumberFormat="1" applyFont="1" applyBorder="1"/>
    <xf numFmtId="167" fontId="23" fillId="3" borderId="1" xfId="1" applyNumberFormat="1" applyFont="1" applyFill="1" applyBorder="1" applyAlignment="1">
      <alignment wrapText="1"/>
    </xf>
    <xf numFmtId="0" fontId="23" fillId="3" borderId="0" xfId="0" applyFont="1" applyFill="1" applyAlignment="1">
      <alignment wrapText="1"/>
    </xf>
    <xf numFmtId="167" fontId="23" fillId="3" borderId="1" xfId="1" applyNumberFormat="1" applyFont="1" applyFill="1" applyBorder="1"/>
    <xf numFmtId="0" fontId="23" fillId="3" borderId="1" xfId="0" applyFont="1" applyFill="1" applyBorder="1"/>
    <xf numFmtId="0" fontId="23" fillId="3" borderId="0" xfId="0" applyFont="1" applyFill="1"/>
    <xf numFmtId="0" fontId="23" fillId="3" borderId="2" xfId="0" applyFont="1" applyFill="1" applyBorder="1" applyAlignment="1">
      <alignment wrapText="1"/>
    </xf>
    <xf numFmtId="0" fontId="23" fillId="3" borderId="1" xfId="0" applyFont="1" applyFill="1" applyBorder="1" applyAlignment="1">
      <alignment horizontal="left" wrapText="1"/>
    </xf>
    <xf numFmtId="0" fontId="23" fillId="3" borderId="2" xfId="0" applyFont="1" applyFill="1" applyBorder="1" applyAlignment="1">
      <alignment horizontal="left" wrapText="1"/>
    </xf>
    <xf numFmtId="0" fontId="23" fillId="3" borderId="1" xfId="0" applyFont="1" applyFill="1" applyBorder="1" applyAlignment="1">
      <alignment horizontal="left"/>
    </xf>
    <xf numFmtId="0" fontId="22" fillId="3" borderId="1" xfId="0" applyFont="1" applyFill="1" applyBorder="1" applyAlignment="1">
      <alignment horizontal="left"/>
    </xf>
    <xf numFmtId="0" fontId="23" fillId="0" borderId="1" xfId="0" applyFont="1" applyBorder="1"/>
    <xf numFmtId="0" fontId="23" fillId="0" borderId="0" xfId="0" applyFont="1"/>
    <xf numFmtId="0" fontId="23" fillId="0" borderId="1" xfId="0" applyFont="1" applyBorder="1" applyAlignment="1">
      <alignment wrapText="1"/>
    </xf>
    <xf numFmtId="0" fontId="23" fillId="0" borderId="0" xfId="0" applyFont="1" applyAlignment="1">
      <alignment wrapText="1"/>
    </xf>
    <xf numFmtId="0" fontId="23" fillId="3" borderId="2" xfId="1" applyNumberFormat="1" applyFont="1" applyFill="1" applyBorder="1"/>
    <xf numFmtId="0" fontId="23" fillId="3" borderId="1" xfId="4" applyFont="1" applyFill="1" applyBorder="1" applyAlignment="1">
      <alignment horizontal="left" wrapText="1"/>
    </xf>
    <xf numFmtId="0" fontId="0" fillId="4" borderId="0" xfId="0" applyFill="1"/>
    <xf numFmtId="0" fontId="12" fillId="4" borderId="0" xfId="0" applyFont="1" applyFill="1"/>
    <xf numFmtId="0" fontId="13" fillId="4" borderId="0" xfId="0" applyFont="1" applyFill="1"/>
    <xf numFmtId="0" fontId="24" fillId="4" borderId="0" xfId="7" applyFont="1" applyFill="1"/>
    <xf numFmtId="0" fontId="14" fillId="4" borderId="0" xfId="0" applyFont="1" applyFill="1"/>
    <xf numFmtId="0" fontId="0" fillId="0" borderId="0" xfId="0" applyAlignment="1">
      <alignment horizontal="center" vertical="top" wrapText="1"/>
    </xf>
    <xf numFmtId="0" fontId="0" fillId="4" borderId="0" xfId="0" applyFill="1" applyAlignment="1">
      <alignment horizontal="center" vertical="top" wrapText="1"/>
    </xf>
    <xf numFmtId="0" fontId="8" fillId="5" borderId="1" xfId="0" applyFont="1" applyFill="1" applyBorder="1" applyAlignment="1">
      <alignment horizontal="left" wrapText="1"/>
    </xf>
    <xf numFmtId="0" fontId="0" fillId="6" borderId="1" xfId="0" applyFill="1" applyBorder="1" applyAlignment="1">
      <alignment horizontal="left"/>
    </xf>
    <xf numFmtId="0" fontId="0" fillId="6" borderId="1" xfId="0" applyFill="1" applyBorder="1"/>
    <xf numFmtId="0" fontId="8" fillId="5" borderId="1" xfId="0" applyFont="1" applyFill="1" applyBorder="1" applyAlignment="1">
      <alignment wrapText="1"/>
    </xf>
    <xf numFmtId="0" fontId="10" fillId="6" borderId="1" xfId="0" applyFont="1" applyFill="1" applyBorder="1" applyAlignment="1">
      <alignment wrapText="1"/>
    </xf>
    <xf numFmtId="0" fontId="10" fillId="6" borderId="3" xfId="0" applyFont="1" applyFill="1" applyBorder="1" applyAlignment="1">
      <alignment horizontal="left" wrapText="1"/>
    </xf>
    <xf numFmtId="3" fontId="15" fillId="0" borderId="1" xfId="0" applyNumberFormat="1" applyFont="1" applyBorder="1" applyAlignment="1">
      <alignment horizontal="center"/>
    </xf>
    <xf numFmtId="0" fontId="16" fillId="6" borderId="1" xfId="0" applyFont="1" applyFill="1" applyBorder="1" applyAlignment="1">
      <alignment horizontal="left" wrapText="1"/>
    </xf>
    <xf numFmtId="168" fontId="15" fillId="0" borderId="0" xfId="0" applyNumberFormat="1" applyFont="1"/>
    <xf numFmtId="0" fontId="16" fillId="0" borderId="1" xfId="0" applyFont="1" applyBorder="1" applyAlignment="1">
      <alignment horizontal="left" wrapText="1"/>
    </xf>
    <xf numFmtId="0" fontId="16" fillId="6" borderId="1" xfId="0" applyFont="1" applyFill="1" applyBorder="1" applyAlignment="1">
      <alignment wrapText="1"/>
    </xf>
    <xf numFmtId="3" fontId="8" fillId="7" borderId="1" xfId="0" applyNumberFormat="1" applyFont="1" applyFill="1" applyBorder="1" applyAlignment="1">
      <alignment horizontal="center" wrapText="1"/>
    </xf>
    <xf numFmtId="0" fontId="8" fillId="7" borderId="1" xfId="0" applyFont="1" applyFill="1" applyBorder="1" applyAlignment="1">
      <alignment horizontal="center" wrapText="1"/>
    </xf>
    <xf numFmtId="0" fontId="0" fillId="8" borderId="1" xfId="0" applyFill="1" applyBorder="1"/>
    <xf numFmtId="3" fontId="8" fillId="9" borderId="1" xfId="0" applyNumberFormat="1" applyFont="1" applyFill="1" applyBorder="1" applyAlignment="1">
      <alignment horizontal="center" wrapText="1"/>
    </xf>
    <xf numFmtId="0" fontId="8" fillId="9" borderId="1" xfId="0" applyFont="1" applyFill="1" applyBorder="1" applyAlignment="1">
      <alignment horizontal="center" wrapText="1"/>
    </xf>
    <xf numFmtId="3" fontId="0" fillId="8" borderId="1" xfId="0" applyNumberFormat="1" applyFill="1" applyBorder="1"/>
    <xf numFmtId="3" fontId="15" fillId="0" borderId="1" xfId="0" applyNumberFormat="1" applyFont="1" applyBorder="1" applyAlignment="1">
      <alignment vertical="top"/>
    </xf>
    <xf numFmtId="3" fontId="8" fillId="9" borderId="1" xfId="0" applyNumberFormat="1" applyFont="1" applyFill="1" applyBorder="1" applyAlignment="1">
      <alignment horizontal="center" vertical="top" wrapText="1"/>
    </xf>
    <xf numFmtId="3" fontId="0" fillId="10" borderId="1" xfId="0" applyNumberFormat="1" applyFill="1" applyBorder="1" applyAlignment="1">
      <alignment horizontal="center" vertical="top"/>
    </xf>
    <xf numFmtId="0" fontId="0" fillId="10" borderId="1" xfId="0" applyFill="1" applyBorder="1" applyAlignment="1">
      <alignment horizontal="center" vertical="top"/>
    </xf>
    <xf numFmtId="0" fontId="8" fillId="9" borderId="1" xfId="0" applyFont="1" applyFill="1" applyBorder="1" applyAlignment="1">
      <alignment horizontal="center" vertical="top" wrapText="1"/>
    </xf>
    <xf numFmtId="3" fontId="15" fillId="0" borderId="1" xfId="0" applyNumberFormat="1" applyFont="1" applyBorder="1" applyAlignment="1">
      <alignment horizontal="center" vertical="top"/>
    </xf>
    <xf numFmtId="0" fontId="15" fillId="0" borderId="1" xfId="0" applyFont="1" applyBorder="1" applyAlignment="1">
      <alignment horizontal="center" vertical="top"/>
    </xf>
    <xf numFmtId="168" fontId="15" fillId="0" borderId="1" xfId="0" applyNumberFormat="1" applyFont="1" applyBorder="1" applyAlignment="1">
      <alignment horizontal="center" vertical="top"/>
    </xf>
    <xf numFmtId="0" fontId="0" fillId="10" borderId="1" xfId="0" applyFill="1" applyBorder="1" applyAlignment="1">
      <alignment horizontal="center"/>
    </xf>
    <xf numFmtId="3" fontId="0" fillId="0" borderId="0" xfId="0" applyNumberFormat="1" applyAlignment="1">
      <alignment horizontal="center" vertical="top"/>
    </xf>
    <xf numFmtId="9" fontId="0" fillId="0" borderId="0" xfId="8" applyFont="1" applyAlignment="1">
      <alignment horizontal="center" vertical="top"/>
    </xf>
    <xf numFmtId="4" fontId="0" fillId="10" borderId="1" xfId="0" applyNumberFormat="1" applyFill="1" applyBorder="1" applyAlignment="1">
      <alignment horizontal="center" vertical="top"/>
    </xf>
    <xf numFmtId="3" fontId="15" fillId="0" borderId="0" xfId="0" applyNumberFormat="1" applyFont="1" applyAlignment="1">
      <alignment horizontal="center" vertical="top"/>
    </xf>
    <xf numFmtId="0" fontId="15" fillId="0" borderId="0" xfId="0" applyFont="1" applyAlignment="1">
      <alignment horizontal="center" vertical="top"/>
    </xf>
    <xf numFmtId="168" fontId="15" fillId="0" borderId="0" xfId="0" applyNumberFormat="1" applyFont="1" applyAlignment="1">
      <alignment horizontal="center" vertical="top"/>
    </xf>
    <xf numFmtId="0" fontId="17" fillId="0" borderId="0" xfId="0" applyFont="1" applyAlignment="1">
      <alignment horizontal="center" vertical="top"/>
    </xf>
    <xf numFmtId="3" fontId="8" fillId="11" borderId="1" xfId="0" applyNumberFormat="1" applyFont="1" applyFill="1" applyBorder="1" applyAlignment="1">
      <alignment horizontal="center" vertical="top" wrapText="1"/>
    </xf>
    <xf numFmtId="0" fontId="8" fillId="11" borderId="1" xfId="0" applyFont="1" applyFill="1" applyBorder="1" applyAlignment="1">
      <alignment horizontal="center" vertical="top" wrapText="1"/>
    </xf>
    <xf numFmtId="0" fontId="0" fillId="0" borderId="0" xfId="0" applyAlignment="1">
      <alignment vertical="top"/>
    </xf>
    <xf numFmtId="0" fontId="0" fillId="0" borderId="0" xfId="0" applyAlignment="1">
      <alignment horizontal="center" vertical="top"/>
    </xf>
    <xf numFmtId="0" fontId="0" fillId="8" borderId="1" xfId="0" applyFill="1" applyBorder="1" applyAlignment="1">
      <alignment vertical="top"/>
    </xf>
    <xf numFmtId="0" fontId="0" fillId="0" borderId="1" xfId="0" applyBorder="1" applyAlignment="1">
      <alignment vertical="top"/>
    </xf>
    <xf numFmtId="0" fontId="0" fillId="8" borderId="1" xfId="0" applyFill="1" applyBorder="1" applyAlignment="1">
      <alignment horizontal="center" vertical="top"/>
    </xf>
    <xf numFmtId="0" fontId="0" fillId="0" borderId="1" xfId="0" applyBorder="1" applyAlignment="1">
      <alignment horizontal="center" vertical="top"/>
    </xf>
    <xf numFmtId="3" fontId="15" fillId="0" borderId="4" xfId="0" applyNumberFormat="1" applyFont="1" applyBorder="1" applyAlignment="1">
      <alignment horizontal="center" vertical="top"/>
    </xf>
    <xf numFmtId="0" fontId="0" fillId="8" borderId="5" xfId="0" applyFill="1" applyBorder="1" applyAlignment="1">
      <alignment horizontal="center" vertical="top"/>
    </xf>
    <xf numFmtId="168" fontId="0" fillId="0" borderId="1" xfId="8" applyNumberFormat="1" applyFont="1" applyBorder="1" applyAlignment="1">
      <alignment horizontal="center" vertical="top"/>
    </xf>
    <xf numFmtId="3" fontId="8" fillId="7" borderId="1" xfId="0" applyNumberFormat="1" applyFont="1" applyFill="1" applyBorder="1" applyAlignment="1">
      <alignment horizontal="center" vertical="top" wrapText="1"/>
    </xf>
    <xf numFmtId="0" fontId="8" fillId="7" borderId="1" xfId="0" applyFont="1" applyFill="1" applyBorder="1" applyAlignment="1">
      <alignment horizontal="center" vertical="top" wrapText="1"/>
    </xf>
    <xf numFmtId="168" fontId="11" fillId="0" borderId="0" xfId="0" applyNumberFormat="1" applyFont="1" applyAlignment="1">
      <alignment horizontal="center" vertical="top"/>
    </xf>
    <xf numFmtId="3" fontId="8" fillId="7" borderId="1" xfId="0" applyNumberFormat="1" applyFont="1" applyFill="1" applyBorder="1" applyAlignment="1">
      <alignment vertical="top" wrapText="1"/>
    </xf>
    <xf numFmtId="168" fontId="0" fillId="0" borderId="1" xfId="8" applyNumberFormat="1" applyFont="1" applyBorder="1" applyAlignment="1">
      <alignment vertical="top"/>
    </xf>
    <xf numFmtId="0" fontId="8" fillId="7" borderId="1" xfId="0" applyFont="1" applyFill="1" applyBorder="1" applyAlignment="1">
      <alignment vertical="top" wrapText="1"/>
    </xf>
    <xf numFmtId="167" fontId="8" fillId="7" borderId="1" xfId="1" applyNumberFormat="1" applyFont="1" applyFill="1" applyBorder="1" applyAlignment="1">
      <alignment horizontal="center" vertical="top" wrapText="1"/>
    </xf>
    <xf numFmtId="167" fontId="18" fillId="0" borderId="1" xfId="0" applyNumberFormat="1" applyFont="1" applyBorder="1" applyAlignment="1">
      <alignment vertical="top"/>
    </xf>
    <xf numFmtId="167" fontId="18" fillId="0" borderId="1" xfId="0" applyNumberFormat="1" applyFont="1" applyBorder="1" applyAlignment="1">
      <alignment horizontal="center" vertical="top"/>
    </xf>
    <xf numFmtId="167" fontId="8" fillId="7" borderId="1" xfId="1" applyNumberFormat="1" applyFont="1" applyFill="1" applyBorder="1" applyAlignment="1">
      <alignment vertical="top" wrapText="1"/>
    </xf>
    <xf numFmtId="3" fontId="0" fillId="8" borderId="1" xfId="0" applyNumberFormat="1" applyFill="1" applyBorder="1" applyAlignment="1">
      <alignment vertical="top"/>
    </xf>
    <xf numFmtId="1" fontId="8" fillId="2" borderId="1" xfId="0" applyNumberFormat="1" applyFont="1" applyFill="1" applyBorder="1" applyAlignment="1">
      <alignment horizontal="center" vertical="top" wrapText="1"/>
    </xf>
    <xf numFmtId="3" fontId="16" fillId="0" borderId="1" xfId="0" applyNumberFormat="1" applyFont="1" applyBorder="1" applyAlignment="1">
      <alignment horizontal="center" vertical="top" wrapText="1"/>
    </xf>
    <xf numFmtId="3" fontId="16" fillId="0" borderId="1" xfId="0" applyNumberFormat="1" applyFont="1" applyBorder="1" applyAlignment="1">
      <alignment horizontal="left" vertical="top" wrapText="1"/>
    </xf>
    <xf numFmtId="3" fontId="16" fillId="0" borderId="4" xfId="0" applyNumberFormat="1" applyFont="1" applyBorder="1" applyAlignment="1">
      <alignment horizontal="left" vertical="top" wrapText="1"/>
    </xf>
    <xf numFmtId="1" fontId="0" fillId="0" borderId="0" xfId="0" applyNumberFormat="1" applyAlignment="1">
      <alignment vertical="top"/>
    </xf>
    <xf numFmtId="168" fontId="0" fillId="0" borderId="0" xfId="0" applyNumberFormat="1" applyAlignment="1">
      <alignment vertical="top"/>
    </xf>
    <xf numFmtId="1" fontId="8" fillId="7" borderId="1" xfId="0" applyNumberFormat="1" applyFont="1" applyFill="1" applyBorder="1" applyAlignment="1">
      <alignment horizontal="center" vertical="top" wrapText="1"/>
    </xf>
    <xf numFmtId="1" fontId="8" fillId="7" borderId="4" xfId="0" applyNumberFormat="1" applyFont="1" applyFill="1" applyBorder="1" applyAlignment="1">
      <alignment vertical="top" wrapText="1"/>
    </xf>
    <xf numFmtId="0" fontId="8" fillId="7" borderId="6" xfId="0" applyFont="1" applyFill="1" applyBorder="1" applyAlignment="1">
      <alignment vertical="top" wrapText="1"/>
    </xf>
    <xf numFmtId="3" fontId="16" fillId="0" borderId="1" xfId="0" applyNumberFormat="1" applyFont="1" applyBorder="1" applyAlignment="1">
      <alignment vertical="top" wrapText="1"/>
    </xf>
    <xf numFmtId="3" fontId="10" fillId="0" borderId="1" xfId="0" applyNumberFormat="1" applyFont="1" applyBorder="1" applyAlignment="1">
      <alignment vertical="top" wrapText="1"/>
    </xf>
    <xf numFmtId="3" fontId="16" fillId="8" borderId="7" xfId="0" applyNumberFormat="1" applyFont="1" applyFill="1" applyBorder="1" applyAlignment="1">
      <alignment horizontal="center" vertical="top" wrapText="1"/>
    </xf>
    <xf numFmtId="3" fontId="10" fillId="8" borderId="7" xfId="0" applyNumberFormat="1" applyFont="1" applyFill="1" applyBorder="1" applyAlignment="1">
      <alignment horizontal="center" vertical="top" wrapText="1"/>
    </xf>
    <xf numFmtId="0" fontId="25" fillId="4" borderId="0" xfId="0" applyFont="1" applyFill="1"/>
    <xf numFmtId="49" fontId="25" fillId="4" borderId="0" xfId="0" applyNumberFormat="1" applyFont="1" applyFill="1"/>
    <xf numFmtId="0" fontId="25" fillId="4" borderId="0" xfId="7" applyFont="1" applyFill="1" applyAlignment="1">
      <alignment horizontal="left"/>
    </xf>
    <xf numFmtId="0" fontId="25" fillId="4" borderId="0" xfId="7" applyFont="1" applyFill="1"/>
    <xf numFmtId="3" fontId="26" fillId="0" borderId="1" xfId="0" applyNumberFormat="1" applyFont="1" applyBorder="1" applyAlignment="1">
      <alignment horizontal="center"/>
    </xf>
    <xf numFmtId="0" fontId="26" fillId="0" borderId="1" xfId="0" applyFont="1" applyBorder="1" applyAlignment="1">
      <alignment horizontal="center"/>
    </xf>
    <xf numFmtId="168" fontId="26" fillId="0" borderId="1" xfId="0" applyNumberFormat="1" applyFont="1" applyBorder="1" applyAlignment="1">
      <alignment horizontal="center"/>
    </xf>
    <xf numFmtId="0" fontId="16" fillId="6" borderId="0" xfId="0" applyFont="1" applyFill="1" applyAlignment="1">
      <alignment horizontal="left" wrapText="1"/>
    </xf>
    <xf numFmtId="0" fontId="23" fillId="12" borderId="1" xfId="0" applyFont="1" applyFill="1" applyBorder="1"/>
    <xf numFmtId="0" fontId="23" fillId="12" borderId="1" xfId="0" applyFont="1" applyFill="1" applyBorder="1" applyAlignment="1">
      <alignment wrapText="1"/>
    </xf>
    <xf numFmtId="167" fontId="23" fillId="12" borderId="1" xfId="1" applyNumberFormat="1" applyFont="1" applyFill="1" applyBorder="1"/>
    <xf numFmtId="0" fontId="22" fillId="12" borderId="1" xfId="0" applyFont="1" applyFill="1" applyBorder="1" applyAlignment="1">
      <alignment horizontal="left" wrapText="1"/>
    </xf>
    <xf numFmtId="0" fontId="23" fillId="12" borderId="1" xfId="4" applyFont="1" applyFill="1" applyBorder="1" applyAlignment="1">
      <alignment horizontal="left" wrapText="1"/>
    </xf>
    <xf numFmtId="0" fontId="22" fillId="12" borderId="1" xfId="0" applyFont="1" applyFill="1" applyBorder="1" applyAlignment="1">
      <alignment wrapText="1"/>
    </xf>
    <xf numFmtId="0" fontId="0" fillId="8" borderId="0" xfId="0" applyFill="1"/>
    <xf numFmtId="0" fontId="8" fillId="7" borderId="1" xfId="0" applyFont="1" applyFill="1" applyBorder="1" applyAlignment="1">
      <alignment horizontal="left" wrapText="1"/>
    </xf>
    <xf numFmtId="3" fontId="8" fillId="5" borderId="1" xfId="0" applyNumberFormat="1" applyFont="1" applyFill="1" applyBorder="1" applyAlignment="1">
      <alignment horizontal="left" wrapText="1"/>
    </xf>
    <xf numFmtId="0" fontId="8" fillId="7" borderId="4" xfId="0" applyFont="1" applyFill="1" applyBorder="1" applyAlignment="1">
      <alignment vertical="top" wrapText="1"/>
    </xf>
    <xf numFmtId="4" fontId="8" fillId="7" borderId="4" xfId="0" applyNumberFormat="1" applyFont="1" applyFill="1" applyBorder="1" applyAlignment="1">
      <alignment vertical="top" wrapText="1"/>
    </xf>
    <xf numFmtId="3" fontId="8" fillId="5" borderId="1" xfId="0" applyNumberFormat="1" applyFont="1" applyFill="1" applyBorder="1" applyAlignment="1">
      <alignment wrapText="1"/>
    </xf>
    <xf numFmtId="3" fontId="8" fillId="5" borderId="1" xfId="0" applyNumberFormat="1" applyFont="1" applyFill="1" applyBorder="1" applyAlignment="1">
      <alignment horizontal="center" wrapText="1"/>
    </xf>
    <xf numFmtId="0" fontId="8" fillId="5" borderId="1" xfId="0" applyFont="1" applyFill="1" applyBorder="1" applyAlignment="1">
      <alignment horizontal="center" wrapText="1"/>
    </xf>
    <xf numFmtId="3" fontId="10" fillId="6" borderId="1" xfId="0" applyNumberFormat="1" applyFont="1" applyFill="1" applyBorder="1" applyAlignment="1">
      <alignment wrapText="1"/>
    </xf>
    <xf numFmtId="3" fontId="8" fillId="7" borderId="1" xfId="0" applyNumberFormat="1" applyFont="1" applyFill="1" applyBorder="1" applyAlignment="1">
      <alignment horizontal="left" wrapText="1"/>
    </xf>
    <xf numFmtId="167" fontId="16" fillId="0" borderId="1" xfId="1" applyNumberFormat="1" applyFont="1" applyBorder="1" applyAlignment="1">
      <alignment horizontal="left" wrapText="1"/>
    </xf>
    <xf numFmtId="167" fontId="11" fillId="0" borderId="1" xfId="1" applyNumberFormat="1" applyFont="1" applyFill="1" applyBorder="1"/>
    <xf numFmtId="3" fontId="0" fillId="6" borderId="1" xfId="0" applyNumberFormat="1" applyFill="1" applyBorder="1" applyAlignment="1">
      <alignment horizontal="left"/>
    </xf>
    <xf numFmtId="3" fontId="0" fillId="6" borderId="1" xfId="0" applyNumberFormat="1" applyFill="1" applyBorder="1"/>
    <xf numFmtId="3" fontId="15" fillId="0" borderId="1" xfId="0" applyNumberFormat="1" applyFont="1" applyBorder="1" applyAlignment="1">
      <alignment horizontal="right" vertical="top"/>
    </xf>
    <xf numFmtId="3" fontId="15" fillId="0" borderId="0" xfId="0" applyNumberFormat="1" applyFont="1" applyAlignment="1">
      <alignment horizontal="right" vertical="top"/>
    </xf>
    <xf numFmtId="0" fontId="0" fillId="0" borderId="0" xfId="0" applyAlignment="1">
      <alignment horizontal="right"/>
    </xf>
    <xf numFmtId="0" fontId="23" fillId="12" borderId="0" xfId="0" applyFont="1" applyFill="1" applyAlignment="1">
      <alignment horizontal="center"/>
    </xf>
    <xf numFmtId="0" fontId="23" fillId="3" borderId="0" xfId="0" applyFont="1" applyFill="1" applyAlignment="1">
      <alignment horizontal="center" wrapText="1"/>
    </xf>
    <xf numFmtId="0" fontId="23" fillId="3" borderId="1" xfId="0" applyFont="1" applyFill="1" applyBorder="1" applyAlignment="1">
      <alignment horizontal="center"/>
    </xf>
    <xf numFmtId="0" fontId="23" fillId="3" borderId="1" xfId="0" applyFont="1" applyFill="1" applyBorder="1" applyAlignment="1">
      <alignment horizontal="center" wrapText="1"/>
    </xf>
    <xf numFmtId="3" fontId="0" fillId="6" borderId="1" xfId="0" applyNumberFormat="1" applyFill="1" applyBorder="1" applyAlignment="1">
      <alignment horizontal="center"/>
    </xf>
    <xf numFmtId="167" fontId="8" fillId="5" borderId="1" xfId="1" applyNumberFormat="1" applyFont="1" applyFill="1" applyBorder="1" applyAlignment="1">
      <alignment wrapText="1"/>
    </xf>
    <xf numFmtId="2" fontId="8" fillId="7" borderId="4" xfId="0" applyNumberFormat="1" applyFont="1" applyFill="1" applyBorder="1" applyAlignment="1">
      <alignment vertical="top" wrapText="1"/>
    </xf>
    <xf numFmtId="3" fontId="8" fillId="5" borderId="1" xfId="0" applyNumberFormat="1" applyFont="1" applyFill="1" applyBorder="1" applyAlignment="1">
      <alignment horizontal="right" wrapText="1"/>
    </xf>
    <xf numFmtId="167" fontId="8" fillId="5" borderId="1" xfId="1" applyNumberFormat="1" applyFont="1" applyFill="1" applyBorder="1" applyAlignment="1">
      <alignment horizontal="right" wrapText="1"/>
    </xf>
    <xf numFmtId="0" fontId="8" fillId="5" borderId="1" xfId="0" applyFont="1" applyFill="1" applyBorder="1" applyAlignment="1">
      <alignment horizontal="right" wrapText="1"/>
    </xf>
    <xf numFmtId="3" fontId="8" fillId="7" borderId="1" xfId="0" applyNumberFormat="1" applyFont="1" applyFill="1" applyBorder="1" applyAlignment="1">
      <alignment horizontal="right" vertical="top" wrapText="1"/>
    </xf>
    <xf numFmtId="0" fontId="8" fillId="7" borderId="1" xfId="0" applyFont="1" applyFill="1" applyBorder="1" applyAlignment="1">
      <alignment horizontal="right" vertical="top" wrapText="1"/>
    </xf>
    <xf numFmtId="167" fontId="8" fillId="7" borderId="1" xfId="1" applyNumberFormat="1" applyFont="1" applyFill="1" applyBorder="1" applyAlignment="1">
      <alignment horizontal="right" vertical="top" wrapText="1"/>
    </xf>
    <xf numFmtId="1" fontId="8" fillId="7" borderId="9" xfId="0" applyNumberFormat="1" applyFont="1" applyFill="1" applyBorder="1" applyAlignment="1">
      <alignment horizontal="right" vertical="top" wrapText="1"/>
    </xf>
    <xf numFmtId="1" fontId="8" fillId="7" borderId="1" xfId="0" applyNumberFormat="1" applyFont="1" applyFill="1" applyBorder="1" applyAlignment="1">
      <alignment horizontal="right" vertical="top" wrapText="1"/>
    </xf>
    <xf numFmtId="3" fontId="16" fillId="8" borderId="7" xfId="0" applyNumberFormat="1" applyFont="1" applyFill="1" applyBorder="1" applyAlignment="1">
      <alignment horizontal="right" vertical="top" wrapText="1"/>
    </xf>
    <xf numFmtId="3" fontId="10" fillId="8" borderId="7" xfId="0" applyNumberFormat="1" applyFont="1" applyFill="1" applyBorder="1" applyAlignment="1">
      <alignment horizontal="right" vertical="top" wrapText="1"/>
    </xf>
    <xf numFmtId="1" fontId="8" fillId="7" borderId="9" xfId="8" applyNumberFormat="1" applyFont="1" applyFill="1" applyBorder="1" applyAlignment="1">
      <alignment horizontal="right" vertical="top" wrapText="1"/>
    </xf>
    <xf numFmtId="3" fontId="16" fillId="6" borderId="0" xfId="0" applyNumberFormat="1" applyFont="1" applyFill="1" applyAlignment="1">
      <alignment horizontal="left" wrapText="1"/>
    </xf>
    <xf numFmtId="0" fontId="9" fillId="0" borderId="0" xfId="0" applyFont="1" applyAlignment="1">
      <alignment horizontal="right" vertical="center"/>
    </xf>
    <xf numFmtId="3" fontId="0" fillId="0" borderId="0" xfId="0" applyNumberFormat="1"/>
    <xf numFmtId="0" fontId="0" fillId="0" borderId="1" xfId="0" applyBorder="1" applyAlignment="1">
      <alignment horizontal="center"/>
    </xf>
    <xf numFmtId="0" fontId="23" fillId="3" borderId="1" xfId="1" applyNumberFormat="1" applyFont="1" applyFill="1" applyBorder="1" applyAlignment="1">
      <alignment horizontal="center" wrapText="1"/>
    </xf>
    <xf numFmtId="168" fontId="11" fillId="8" borderId="1" xfId="0" applyNumberFormat="1" applyFont="1" applyFill="1" applyBorder="1" applyAlignment="1">
      <alignment horizontal="center"/>
    </xf>
    <xf numFmtId="0" fontId="0" fillId="0" borderId="0" xfId="0" applyAlignment="1">
      <alignment horizontal="center"/>
    </xf>
    <xf numFmtId="2" fontId="8" fillId="7" borderId="1" xfId="0" applyNumberFormat="1" applyFont="1" applyFill="1" applyBorder="1" applyAlignment="1">
      <alignment horizontal="center" vertical="top" wrapText="1"/>
    </xf>
    <xf numFmtId="2" fontId="8" fillId="7" borderId="1" xfId="8" applyNumberFormat="1" applyFont="1" applyFill="1" applyBorder="1" applyAlignment="1">
      <alignment horizontal="center" vertical="top" wrapText="1"/>
    </xf>
    <xf numFmtId="167" fontId="8" fillId="7" borderId="1" xfId="1" applyNumberFormat="1" applyFont="1" applyFill="1" applyBorder="1" applyAlignment="1">
      <alignment horizontal="center" wrapText="1"/>
    </xf>
    <xf numFmtId="3" fontId="8" fillId="7" borderId="1" xfId="1" applyNumberFormat="1" applyFont="1" applyFill="1" applyBorder="1" applyAlignment="1">
      <alignment horizontal="center" wrapText="1"/>
    </xf>
    <xf numFmtId="3" fontId="8" fillId="7" borderId="1" xfId="1" applyNumberFormat="1" applyFont="1" applyFill="1" applyBorder="1" applyAlignment="1">
      <alignment horizontal="center" vertical="top" wrapText="1"/>
    </xf>
    <xf numFmtId="0" fontId="8" fillId="7" borderId="1" xfId="8" applyNumberFormat="1" applyFont="1" applyFill="1" applyBorder="1" applyAlignment="1">
      <alignment horizontal="center" vertical="top" wrapText="1"/>
    </xf>
    <xf numFmtId="9" fontId="8" fillId="7" borderId="1" xfId="8" applyFont="1" applyFill="1" applyBorder="1" applyAlignment="1">
      <alignment horizontal="center" vertical="top" wrapText="1"/>
    </xf>
    <xf numFmtId="3" fontId="28" fillId="8" borderId="1" xfId="0" applyNumberFormat="1" applyFont="1" applyFill="1" applyBorder="1" applyAlignment="1">
      <alignment horizontal="center" vertical="center" wrapText="1"/>
    </xf>
    <xf numFmtId="0" fontId="28" fillId="8" borderId="1" xfId="0" applyFont="1" applyFill="1" applyBorder="1" applyAlignment="1">
      <alignment horizontal="center" vertical="center" wrapText="1"/>
    </xf>
    <xf numFmtId="3" fontId="0" fillId="8" borderId="1" xfId="0" applyNumberFormat="1" applyFill="1" applyBorder="1" applyAlignment="1">
      <alignment horizontal="center"/>
    </xf>
    <xf numFmtId="0" fontId="0" fillId="8" borderId="1" xfId="0" applyFill="1" applyBorder="1" applyAlignment="1">
      <alignment horizontal="center"/>
    </xf>
    <xf numFmtId="3" fontId="11" fillId="8" borderId="1" xfId="0" applyNumberFormat="1" applyFont="1" applyFill="1" applyBorder="1" applyAlignment="1">
      <alignment horizontal="center"/>
    </xf>
    <xf numFmtId="0" fontId="11" fillId="8" borderId="1" xfId="0" applyFont="1" applyFill="1" applyBorder="1" applyAlignment="1">
      <alignment horizontal="center"/>
    </xf>
    <xf numFmtId="0" fontId="29" fillId="13" borderId="1" xfId="0" applyFont="1" applyFill="1" applyBorder="1" applyAlignment="1">
      <alignment wrapText="1"/>
    </xf>
    <xf numFmtId="0" fontId="10" fillId="14" borderId="1" xfId="0" applyFont="1" applyFill="1" applyBorder="1" applyAlignment="1">
      <alignment horizontal="left" vertical="center" wrapText="1"/>
    </xf>
    <xf numFmtId="0" fontId="11" fillId="14" borderId="1" xfId="0" applyFont="1" applyFill="1" applyBorder="1"/>
    <xf numFmtId="167" fontId="0" fillId="0" borderId="1" xfId="1" applyNumberFormat="1" applyFont="1" applyBorder="1" applyAlignment="1">
      <alignment horizontal="center" vertical="top"/>
    </xf>
    <xf numFmtId="0" fontId="11" fillId="15" borderId="1" xfId="0" applyFont="1" applyFill="1" applyBorder="1"/>
    <xf numFmtId="3" fontId="0" fillId="10" borderId="1" xfId="0" applyNumberFormat="1" applyFill="1" applyBorder="1"/>
    <xf numFmtId="9" fontId="0" fillId="10" borderId="1" xfId="8" applyFont="1" applyFill="1" applyBorder="1"/>
    <xf numFmtId="0" fontId="0" fillId="10" borderId="1" xfId="0" applyFill="1" applyBorder="1"/>
    <xf numFmtId="3" fontId="32" fillId="10" borderId="1" xfId="0" applyNumberFormat="1" applyFont="1" applyFill="1" applyBorder="1"/>
    <xf numFmtId="3" fontId="11" fillId="10" borderId="1" xfId="0" applyNumberFormat="1" applyFont="1" applyFill="1" applyBorder="1"/>
    <xf numFmtId="0" fontId="11" fillId="10" borderId="1" xfId="0" applyFont="1" applyFill="1" applyBorder="1"/>
    <xf numFmtId="9" fontId="11" fillId="10" borderId="1" xfId="0" applyNumberFormat="1" applyFont="1" applyFill="1" applyBorder="1"/>
    <xf numFmtId="1" fontId="0" fillId="10" borderId="1" xfId="0" applyNumberFormat="1" applyFill="1" applyBorder="1"/>
    <xf numFmtId="1" fontId="32" fillId="10" borderId="1" xfId="0" applyNumberFormat="1" applyFont="1" applyFill="1" applyBorder="1"/>
    <xf numFmtId="9" fontId="23" fillId="3" borderId="1" xfId="8" applyFont="1" applyFill="1" applyBorder="1" applyAlignment="1">
      <alignment wrapText="1"/>
    </xf>
    <xf numFmtId="4" fontId="0" fillId="10" borderId="1" xfId="0" applyNumberFormat="1" applyFill="1" applyBorder="1"/>
    <xf numFmtId="0" fontId="32" fillId="10" borderId="1" xfId="0" applyFont="1" applyFill="1" applyBorder="1"/>
    <xf numFmtId="3" fontId="7" fillId="10" borderId="1" xfId="0" applyNumberFormat="1" applyFont="1" applyFill="1" applyBorder="1"/>
    <xf numFmtId="0" fontId="7" fillId="10" borderId="1" xfId="0" applyFont="1" applyFill="1" applyBorder="1"/>
    <xf numFmtId="9" fontId="7" fillId="10" borderId="1" xfId="8" applyFont="1" applyFill="1" applyBorder="1"/>
    <xf numFmtId="0" fontId="7" fillId="0" borderId="0" xfId="0" applyFont="1"/>
    <xf numFmtId="3" fontId="0" fillId="0" borderId="1" xfId="0" applyNumberFormat="1" applyBorder="1"/>
    <xf numFmtId="3" fontId="11" fillId="0" borderId="1" xfId="0" applyNumberFormat="1" applyFont="1" applyBorder="1"/>
    <xf numFmtId="9" fontId="11" fillId="10" borderId="1" xfId="8" applyFont="1" applyFill="1" applyBorder="1"/>
    <xf numFmtId="1" fontId="0" fillId="10" borderId="1" xfId="0" applyNumberFormat="1" applyFill="1" applyBorder="1" applyAlignment="1">
      <alignment horizontal="center"/>
    </xf>
    <xf numFmtId="1" fontId="32" fillId="10" borderId="1" xfId="0" applyNumberFormat="1" applyFont="1" applyFill="1" applyBorder="1" applyAlignment="1">
      <alignment horizontal="center"/>
    </xf>
    <xf numFmtId="1" fontId="7" fillId="10" borderId="1" xfId="0" applyNumberFormat="1" applyFont="1" applyFill="1" applyBorder="1" applyAlignment="1">
      <alignment horizontal="center"/>
    </xf>
    <xf numFmtId="3" fontId="0" fillId="10" borderId="1" xfId="0" applyNumberFormat="1" applyFill="1" applyBorder="1" applyAlignment="1">
      <alignment horizontal="center"/>
    </xf>
    <xf numFmtId="3" fontId="32" fillId="10" borderId="1" xfId="0" applyNumberFormat="1" applyFont="1" applyFill="1" applyBorder="1" applyAlignment="1">
      <alignment horizontal="center"/>
    </xf>
    <xf numFmtId="3" fontId="7" fillId="10" borderId="1" xfId="0" applyNumberFormat="1" applyFont="1" applyFill="1" applyBorder="1" applyAlignment="1">
      <alignment horizontal="center"/>
    </xf>
    <xf numFmtId="0" fontId="11" fillId="16" borderId="1" xfId="0" applyFont="1" applyFill="1" applyBorder="1"/>
    <xf numFmtId="167" fontId="0" fillId="0" borderId="0" xfId="1" applyNumberFormat="1" applyFont="1"/>
    <xf numFmtId="0" fontId="11" fillId="14" borderId="0" xfId="0" applyFont="1" applyFill="1"/>
    <xf numFmtId="41" fontId="0" fillId="8" borderId="1" xfId="55" applyFont="1" applyFill="1" applyBorder="1" applyProtection="1"/>
    <xf numFmtId="41" fontId="0" fillId="8" borderId="1" xfId="55" applyFont="1" applyFill="1" applyBorder="1"/>
    <xf numFmtId="41" fontId="34" fillId="8" borderId="1" xfId="55" applyFont="1" applyFill="1" applyBorder="1" applyProtection="1"/>
    <xf numFmtId="9" fontId="0" fillId="8" borderId="1" xfId="8" applyFont="1" applyFill="1" applyBorder="1"/>
    <xf numFmtId="41" fontId="34" fillId="8" borderId="1" xfId="55" applyFont="1" applyFill="1" applyBorder="1" applyProtection="1">
      <protection locked="0"/>
    </xf>
    <xf numFmtId="41" fontId="11" fillId="8" borderId="1" xfId="55" applyFont="1" applyFill="1" applyBorder="1"/>
    <xf numFmtId="0" fontId="11" fillId="8" borderId="1" xfId="0" applyFont="1" applyFill="1" applyBorder="1"/>
    <xf numFmtId="9" fontId="11" fillId="8" borderId="1" xfId="0" applyNumberFormat="1" applyFont="1" applyFill="1" applyBorder="1"/>
    <xf numFmtId="167" fontId="0" fillId="8" borderId="1" xfId="1" applyNumberFormat="1" applyFont="1" applyFill="1" applyBorder="1"/>
    <xf numFmtId="167" fontId="11" fillId="8" borderId="1" xfId="0" applyNumberFormat="1" applyFont="1" applyFill="1" applyBorder="1"/>
    <xf numFmtId="1" fontId="0" fillId="0" borderId="0" xfId="0" applyNumberFormat="1"/>
    <xf numFmtId="1" fontId="22" fillId="3" borderId="1" xfId="0" applyNumberFormat="1" applyFont="1" applyFill="1" applyBorder="1" applyAlignment="1">
      <alignment wrapText="1"/>
    </xf>
    <xf numFmtId="1" fontId="0" fillId="0" borderId="0" xfId="1" applyNumberFormat="1" applyFont="1"/>
    <xf numFmtId="1" fontId="23" fillId="3" borderId="1" xfId="0" applyNumberFormat="1" applyFont="1" applyFill="1" applyBorder="1" applyAlignment="1">
      <alignment wrapText="1"/>
    </xf>
    <xf numFmtId="1" fontId="23" fillId="3" borderId="1" xfId="1" applyNumberFormat="1" applyFont="1" applyFill="1" applyBorder="1" applyAlignment="1">
      <alignment wrapText="1"/>
    </xf>
    <xf numFmtId="41" fontId="0" fillId="8" borderId="0" xfId="55" applyFont="1" applyFill="1"/>
    <xf numFmtId="41" fontId="34" fillId="8" borderId="2" xfId="55" applyFont="1" applyFill="1" applyBorder="1" applyProtection="1"/>
    <xf numFmtId="41" fontId="34" fillId="8" borderId="10" xfId="55" applyFont="1" applyFill="1" applyBorder="1" applyProtection="1"/>
    <xf numFmtId="41" fontId="34" fillId="8" borderId="11" xfId="55" applyFont="1" applyFill="1" applyBorder="1" applyProtection="1"/>
    <xf numFmtId="9" fontId="23" fillId="3" borderId="1" xfId="8" applyFont="1" applyFill="1" applyBorder="1" applyAlignment="1">
      <alignment horizontal="center" wrapText="1"/>
    </xf>
    <xf numFmtId="9" fontId="11" fillId="8" borderId="1" xfId="8" applyFont="1" applyFill="1" applyBorder="1"/>
    <xf numFmtId="0" fontId="22" fillId="3" borderId="1" xfId="56" applyFont="1" applyFill="1" applyBorder="1" applyAlignment="1">
      <alignment wrapText="1"/>
    </xf>
    <xf numFmtId="1" fontId="22" fillId="3" borderId="1" xfId="56" applyNumberFormat="1" applyFont="1" applyFill="1" applyBorder="1" applyAlignment="1">
      <alignment wrapText="1"/>
    </xf>
    <xf numFmtId="0" fontId="22" fillId="3" borderId="1" xfId="56" applyFont="1" applyFill="1" applyBorder="1" applyAlignment="1">
      <alignment horizontal="left" wrapText="1"/>
    </xf>
    <xf numFmtId="1" fontId="23" fillId="3" borderId="1" xfId="56" applyNumberFormat="1" applyFont="1" applyFill="1" applyBorder="1" applyAlignment="1">
      <alignment wrapText="1"/>
    </xf>
    <xf numFmtId="1" fontId="23" fillId="3" borderId="1" xfId="57" applyNumberFormat="1" applyFont="1" applyFill="1" applyBorder="1" applyAlignment="1">
      <alignment wrapText="1"/>
    </xf>
    <xf numFmtId="0" fontId="23" fillId="3" borderId="1" xfId="57" applyNumberFormat="1" applyFont="1" applyFill="1" applyBorder="1" applyAlignment="1">
      <alignment wrapText="1"/>
    </xf>
    <xf numFmtId="9" fontId="23" fillId="3" borderId="1" xfId="58" applyFont="1" applyFill="1" applyBorder="1" applyAlignment="1">
      <alignment wrapText="1"/>
    </xf>
    <xf numFmtId="9" fontId="23" fillId="3" borderId="1" xfId="58" applyFont="1" applyFill="1" applyBorder="1" applyAlignment="1">
      <alignment horizontal="center" wrapText="1"/>
    </xf>
    <xf numFmtId="41" fontId="0" fillId="0" borderId="0" xfId="55" applyFont="1"/>
    <xf numFmtId="0" fontId="11" fillId="17" borderId="0" xfId="56" applyFont="1" applyFill="1" applyAlignment="1">
      <alignment wrapText="1"/>
    </xf>
    <xf numFmtId="0" fontId="11" fillId="17" borderId="0" xfId="56" applyFont="1" applyFill="1"/>
    <xf numFmtId="41" fontId="0" fillId="17" borderId="0" xfId="55" applyFont="1" applyFill="1"/>
    <xf numFmtId="9" fontId="36" fillId="17" borderId="0" xfId="8" applyFont="1" applyFill="1"/>
    <xf numFmtId="9" fontId="36" fillId="17" borderId="0" xfId="0" applyNumberFormat="1" applyFont="1" applyFill="1"/>
    <xf numFmtId="3" fontId="34" fillId="17" borderId="11" xfId="19" applyNumberFormat="1" applyFont="1" applyFill="1" applyBorder="1"/>
    <xf numFmtId="3" fontId="34" fillId="17" borderId="2" xfId="19" applyNumberFormat="1" applyFont="1" applyFill="1" applyBorder="1"/>
    <xf numFmtId="0" fontId="0" fillId="19" borderId="0" xfId="0" applyFill="1"/>
    <xf numFmtId="0" fontId="0" fillId="19" borderId="0" xfId="0" applyFill="1" applyAlignment="1">
      <alignment wrapText="1"/>
    </xf>
    <xf numFmtId="0" fontId="11" fillId="6" borderId="0" xfId="0" applyFont="1" applyFill="1"/>
    <xf numFmtId="0" fontId="40" fillId="20" borderId="0" xfId="56" applyFont="1" applyFill="1" applyAlignment="1">
      <alignment wrapText="1"/>
    </xf>
    <xf numFmtId="41" fontId="41" fillId="20" borderId="0" xfId="55" applyFont="1" applyFill="1"/>
    <xf numFmtId="0" fontId="41" fillId="20" borderId="0" xfId="0" applyFont="1" applyFill="1"/>
    <xf numFmtId="9" fontId="41" fillId="20" borderId="0" xfId="0" applyNumberFormat="1" applyFont="1" applyFill="1"/>
    <xf numFmtId="3" fontId="0" fillId="17" borderId="0" xfId="55" applyNumberFormat="1" applyFont="1" applyFill="1"/>
    <xf numFmtId="0" fontId="42" fillId="21" borderId="0" xfId="0" applyFont="1" applyFill="1"/>
    <xf numFmtId="0" fontId="7" fillId="19" borderId="0" xfId="0" applyFont="1" applyFill="1" applyAlignment="1">
      <alignment wrapText="1"/>
    </xf>
    <xf numFmtId="0" fontId="22" fillId="3" borderId="1" xfId="61" applyFont="1" applyFill="1" applyBorder="1" applyAlignment="1">
      <alignment wrapText="1"/>
    </xf>
    <xf numFmtId="1" fontId="22" fillId="3" borderId="1" xfId="61" applyNumberFormat="1" applyFont="1" applyFill="1" applyBorder="1" applyAlignment="1">
      <alignment wrapText="1"/>
    </xf>
    <xf numFmtId="0" fontId="22" fillId="3" borderId="1" xfId="61" applyFont="1" applyFill="1" applyBorder="1" applyAlignment="1">
      <alignment horizontal="left" wrapText="1"/>
    </xf>
    <xf numFmtId="1" fontId="23" fillId="3" borderId="1" xfId="61" applyNumberFormat="1" applyFont="1" applyFill="1" applyBorder="1" applyAlignment="1">
      <alignment wrapText="1"/>
    </xf>
    <xf numFmtId="0" fontId="11" fillId="17" borderId="0" xfId="61" applyFont="1" applyFill="1"/>
    <xf numFmtId="0" fontId="43" fillId="17" borderId="0" xfId="0" applyFont="1" applyFill="1"/>
    <xf numFmtId="41" fontId="0" fillId="8" borderId="0" xfId="55" applyFont="1" applyFill="1" applyProtection="1">
      <protection locked="0" hidden="1"/>
    </xf>
    <xf numFmtId="1" fontId="0" fillId="8" borderId="0" xfId="8" applyNumberFormat="1" applyFont="1" applyFill="1" applyProtection="1">
      <protection locked="0" hidden="1"/>
    </xf>
    <xf numFmtId="171" fontId="0" fillId="8" borderId="0" xfId="1" applyNumberFormat="1" applyFont="1" applyFill="1"/>
    <xf numFmtId="1" fontId="0" fillId="8" borderId="0" xfId="1" applyNumberFormat="1" applyFont="1" applyFill="1"/>
    <xf numFmtId="41" fontId="23" fillId="3" borderId="0" xfId="55" applyFont="1" applyFill="1"/>
    <xf numFmtId="0" fontId="23" fillId="3" borderId="0" xfId="56" applyFont="1" applyFill="1"/>
    <xf numFmtId="3" fontId="0" fillId="8" borderId="0" xfId="0" applyNumberFormat="1" applyFill="1"/>
    <xf numFmtId="1" fontId="0" fillId="8" borderId="0" xfId="0" applyNumberFormat="1" applyFill="1"/>
    <xf numFmtId="172" fontId="0" fillId="8" borderId="0" xfId="0" applyNumberFormat="1" applyFill="1"/>
    <xf numFmtId="0" fontId="44" fillId="3" borderId="0" xfId="61" applyFont="1" applyFill="1"/>
    <xf numFmtId="3" fontId="44" fillId="3" borderId="0" xfId="0" applyNumberFormat="1" applyFont="1" applyFill="1"/>
    <xf numFmtId="172" fontId="0" fillId="0" borderId="0" xfId="0" applyNumberFormat="1"/>
    <xf numFmtId="172" fontId="11" fillId="0" borderId="0" xfId="0" applyNumberFormat="1" applyFont="1"/>
    <xf numFmtId="3" fontId="0" fillId="8" borderId="0" xfId="1" applyNumberFormat="1" applyFont="1" applyFill="1"/>
    <xf numFmtId="172" fontId="0" fillId="8" borderId="0" xfId="1" applyNumberFormat="1" applyFont="1" applyFill="1"/>
    <xf numFmtId="0" fontId="0" fillId="8" borderId="0" xfId="1" applyNumberFormat="1" applyFont="1" applyFill="1"/>
    <xf numFmtId="2" fontId="0" fillId="8" borderId="0" xfId="1" applyNumberFormat="1" applyFont="1" applyFill="1"/>
    <xf numFmtId="41" fontId="45" fillId="8" borderId="0" xfId="55" applyFont="1" applyFill="1" applyProtection="1">
      <protection locked="0" hidden="1"/>
    </xf>
    <xf numFmtId="0" fontId="42" fillId="19" borderId="0" xfId="0" applyFont="1" applyFill="1"/>
    <xf numFmtId="167" fontId="0" fillId="22" borderId="0" xfId="1" applyNumberFormat="1" applyFont="1" applyFill="1"/>
    <xf numFmtId="0" fontId="11" fillId="19" borderId="0" xfId="0" applyFont="1" applyFill="1" applyAlignment="1">
      <alignment vertical="center"/>
    </xf>
    <xf numFmtId="0" fontId="47" fillId="17" borderId="0" xfId="0" applyFont="1" applyFill="1"/>
    <xf numFmtId="0" fontId="47" fillId="10" borderId="0" xfId="0" applyFont="1" applyFill="1"/>
    <xf numFmtId="167" fontId="11" fillId="10" borderId="0" xfId="1" applyNumberFormat="1" applyFont="1" applyFill="1"/>
    <xf numFmtId="0" fontId="48" fillId="18" borderId="0" xfId="0" applyFont="1" applyFill="1"/>
    <xf numFmtId="0" fontId="11" fillId="19" borderId="0" xfId="0" applyFont="1" applyFill="1" applyAlignment="1">
      <alignment horizontal="right" wrapText="1"/>
    </xf>
    <xf numFmtId="0" fontId="49" fillId="19" borderId="0" xfId="0" applyFont="1" applyFill="1" applyAlignment="1">
      <alignment horizontal="right" wrapText="1"/>
    </xf>
    <xf numFmtId="0" fontId="50" fillId="19" borderId="0" xfId="0" applyFont="1" applyFill="1" applyAlignment="1">
      <alignment horizontal="right" wrapText="1"/>
    </xf>
    <xf numFmtId="173" fontId="50" fillId="22" borderId="0" xfId="1" applyNumberFormat="1" applyFont="1" applyFill="1" applyAlignment="1">
      <alignment horizontal="right"/>
    </xf>
    <xf numFmtId="0" fontId="50" fillId="22" borderId="0" xfId="0" applyFont="1" applyFill="1"/>
    <xf numFmtId="173" fontId="49" fillId="0" borderId="0" xfId="0" applyNumberFormat="1" applyFont="1"/>
    <xf numFmtId="41" fontId="51" fillId="8" borderId="0" xfId="55" applyFont="1" applyFill="1" applyProtection="1">
      <protection locked="0" hidden="1"/>
    </xf>
    <xf numFmtId="0" fontId="11" fillId="19" borderId="0" xfId="0" applyFont="1" applyFill="1" applyAlignment="1">
      <alignment horizontal="right" vertical="center" wrapText="1"/>
    </xf>
    <xf numFmtId="3" fontId="0" fillId="22" borderId="0" xfId="1" applyNumberFormat="1" applyFont="1" applyFill="1"/>
    <xf numFmtId="0" fontId="0" fillId="22" borderId="0" xfId="1" applyNumberFormat="1" applyFont="1" applyFill="1"/>
    <xf numFmtId="0" fontId="50" fillId="22" borderId="0" xfId="1" applyNumberFormat="1" applyFont="1" applyFill="1" applyAlignment="1">
      <alignment horizontal="right"/>
    </xf>
    <xf numFmtId="167" fontId="0" fillId="0" borderId="0" xfId="0" applyNumberFormat="1"/>
    <xf numFmtId="168" fontId="50" fillId="22" borderId="0" xfId="8" applyNumberFormat="1" applyFont="1" applyFill="1" applyAlignment="1">
      <alignment horizontal="right"/>
    </xf>
    <xf numFmtId="1" fontId="50" fillId="22" borderId="0" xfId="1" applyNumberFormat="1" applyFont="1" applyFill="1" applyAlignment="1">
      <alignment horizontal="right"/>
    </xf>
    <xf numFmtId="1" fontId="50" fillId="22" borderId="0" xfId="0" applyNumberFormat="1" applyFont="1" applyFill="1"/>
    <xf numFmtId="1" fontId="49" fillId="0" borderId="0" xfId="0" applyNumberFormat="1" applyFont="1"/>
    <xf numFmtId="41" fontId="45" fillId="8" borderId="0" xfId="55" applyFont="1" applyFill="1" applyProtection="1">
      <protection hidden="1"/>
    </xf>
    <xf numFmtId="3" fontId="52" fillId="23" borderId="0" xfId="0" applyNumberFormat="1" applyFont="1" applyFill="1" applyAlignment="1">
      <alignment horizontal="center" wrapText="1"/>
    </xf>
    <xf numFmtId="3" fontId="0" fillId="22" borderId="0" xfId="1" applyNumberFormat="1" applyFont="1" applyFill="1" applyBorder="1"/>
    <xf numFmtId="3" fontId="7" fillId="22" borderId="0" xfId="1" applyNumberFormat="1" applyFont="1" applyFill="1"/>
    <xf numFmtId="3" fontId="53" fillId="0" borderId="0" xfId="0" applyNumberFormat="1" applyFont="1"/>
    <xf numFmtId="168" fontId="50" fillId="22" borderId="0" xfId="8" applyNumberFormat="1" applyFont="1" applyFill="1" applyBorder="1" applyAlignment="1">
      <alignment horizontal="right"/>
    </xf>
    <xf numFmtId="3" fontId="7" fillId="0" borderId="0" xfId="0" applyNumberFormat="1" applyFont="1"/>
    <xf numFmtId="3" fontId="54" fillId="24" borderId="0" xfId="0" applyNumberFormat="1" applyFont="1" applyFill="1" applyAlignment="1">
      <alignment horizontal="center" wrapText="1"/>
    </xf>
    <xf numFmtId="4" fontId="55" fillId="24" borderId="0" xfId="0" applyNumberFormat="1" applyFont="1" applyFill="1" applyAlignment="1">
      <alignment horizontal="right" wrapText="1"/>
    </xf>
    <xf numFmtId="0" fontId="55" fillId="24" borderId="0" xfId="0" applyFont="1" applyFill="1" applyAlignment="1">
      <alignment horizontal="right" wrapText="1"/>
    </xf>
    <xf numFmtId="0" fontId="54" fillId="24" borderId="0" xfId="0" applyFont="1" applyFill="1" applyAlignment="1">
      <alignment horizontal="center" wrapText="1"/>
    </xf>
    <xf numFmtId="167" fontId="52" fillId="23" borderId="0" xfId="1" applyNumberFormat="1" applyFont="1" applyFill="1" applyBorder="1" applyAlignment="1">
      <alignment horizontal="center" wrapText="1"/>
    </xf>
    <xf numFmtId="0" fontId="0" fillId="19" borderId="0" xfId="0" applyFill="1" applyAlignment="1">
      <alignment horizontal="center" wrapText="1"/>
    </xf>
    <xf numFmtId="41" fontId="45" fillId="8" borderId="0" xfId="55" applyFont="1" applyFill="1" applyAlignment="1" applyProtection="1">
      <alignment horizontal="center"/>
      <protection hidden="1"/>
    </xf>
    <xf numFmtId="0" fontId="11" fillId="19" borderId="0" xfId="0" applyFont="1" applyFill="1" applyAlignment="1">
      <alignment horizontal="center" wrapText="1"/>
    </xf>
    <xf numFmtId="3" fontId="0" fillId="22" borderId="0" xfId="1" applyNumberFormat="1" applyFont="1" applyFill="1" applyAlignment="1">
      <alignment horizontal="center"/>
    </xf>
    <xf numFmtId="3" fontId="0" fillId="0" borderId="0" xfId="0" applyNumberFormat="1" applyAlignment="1">
      <alignment horizontal="center"/>
    </xf>
    <xf numFmtId="166" fontId="0" fillId="0" borderId="0" xfId="1" applyFont="1"/>
    <xf numFmtId="168" fontId="56" fillId="22" borderId="0" xfId="8" applyNumberFormat="1" applyFont="1" applyFill="1" applyBorder="1" applyAlignment="1">
      <alignment horizontal="right"/>
    </xf>
    <xf numFmtId="9" fontId="7" fillId="0" borderId="0" xfId="0" applyNumberFormat="1" applyFont="1"/>
    <xf numFmtId="0" fontId="57" fillId="0" borderId="0" xfId="0" applyFont="1"/>
    <xf numFmtId="0" fontId="59" fillId="24" borderId="0" xfId="0" applyFont="1" applyFill="1" applyAlignment="1">
      <alignment horizontal="right" wrapText="1"/>
    </xf>
    <xf numFmtId="168" fontId="60" fillId="22" borderId="0" xfId="8" applyNumberFormat="1" applyFont="1" applyFill="1" applyBorder="1" applyAlignment="1">
      <alignment horizontal="right"/>
    </xf>
    <xf numFmtId="167" fontId="58" fillId="24" borderId="0" xfId="0" applyNumberFormat="1" applyFont="1" applyFill="1" applyAlignment="1">
      <alignment horizontal="center" wrapText="1"/>
    </xf>
    <xf numFmtId="167" fontId="59" fillId="24" borderId="0" xfId="0" applyNumberFormat="1" applyFont="1" applyFill="1" applyAlignment="1">
      <alignment horizontal="right" wrapText="1"/>
    </xf>
    <xf numFmtId="3" fontId="47" fillId="0" borderId="0" xfId="0" applyNumberFormat="1" applyFont="1"/>
    <xf numFmtId="0" fontId="47" fillId="0" borderId="0" xfId="0" applyFont="1"/>
    <xf numFmtId="9" fontId="47" fillId="0" borderId="0" xfId="0" applyNumberFormat="1" applyFont="1"/>
    <xf numFmtId="0" fontId="4" fillId="0" borderId="0" xfId="62"/>
    <xf numFmtId="168" fontId="47" fillId="22" borderId="0" xfId="63" applyNumberFormat="1" applyFont="1" applyFill="1" applyBorder="1" applyAlignment="1">
      <alignment horizontal="right"/>
    </xf>
    <xf numFmtId="0" fontId="47" fillId="0" borderId="0" xfId="62" applyFont="1"/>
    <xf numFmtId="3" fontId="47" fillId="0" borderId="0" xfId="62" applyNumberFormat="1" applyFont="1"/>
    <xf numFmtId="0" fontId="47" fillId="10" borderId="0" xfId="62" applyFont="1" applyFill="1"/>
    <xf numFmtId="0" fontId="59" fillId="24" borderId="0" xfId="62" applyFont="1" applyFill="1" applyAlignment="1">
      <alignment horizontal="right" wrapText="1"/>
    </xf>
    <xf numFmtId="3" fontId="58" fillId="24" borderId="0" xfId="62" applyNumberFormat="1" applyFont="1" applyFill="1" applyAlignment="1">
      <alignment horizontal="center" wrapText="1"/>
    </xf>
    <xf numFmtId="4" fontId="59" fillId="24" borderId="0" xfId="62" applyNumberFormat="1" applyFont="1" applyFill="1" applyAlignment="1">
      <alignment horizontal="right" wrapText="1"/>
    </xf>
    <xf numFmtId="167" fontId="58" fillId="24" borderId="0" xfId="62" applyNumberFormat="1" applyFont="1" applyFill="1" applyAlignment="1">
      <alignment horizontal="center" wrapText="1"/>
    </xf>
    <xf numFmtId="167" fontId="59" fillId="24" borderId="0" xfId="62" applyNumberFormat="1" applyFont="1" applyFill="1" applyAlignment="1">
      <alignment horizontal="right" wrapText="1"/>
    </xf>
    <xf numFmtId="0" fontId="58" fillId="24" borderId="0" xfId="62" applyFont="1" applyFill="1" applyAlignment="1">
      <alignment horizontal="center" wrapText="1"/>
    </xf>
    <xf numFmtId="0" fontId="49" fillId="19" borderId="0" xfId="62" applyFont="1" applyFill="1" applyAlignment="1">
      <alignment horizontal="right" wrapText="1"/>
    </xf>
    <xf numFmtId="0" fontId="11" fillId="19" borderId="0" xfId="62" applyFont="1" applyFill="1" applyAlignment="1">
      <alignment horizontal="right" wrapText="1"/>
    </xf>
    <xf numFmtId="0" fontId="11" fillId="19" borderId="0" xfId="62" applyFont="1" applyFill="1" applyAlignment="1">
      <alignment horizontal="right" vertical="center" wrapText="1"/>
    </xf>
    <xf numFmtId="0" fontId="11" fillId="19" borderId="0" xfId="62" applyFont="1" applyFill="1" applyAlignment="1">
      <alignment vertical="center"/>
    </xf>
    <xf numFmtId="164" fontId="45" fillId="8" borderId="0" xfId="64" applyFont="1" applyFill="1" applyProtection="1">
      <protection hidden="1"/>
    </xf>
    <xf numFmtId="0" fontId="47" fillId="17" borderId="0" xfId="62" applyFont="1" applyFill="1"/>
    <xf numFmtId="0" fontId="50" fillId="19" borderId="0" xfId="62" applyFont="1" applyFill="1" applyAlignment="1">
      <alignment horizontal="right" wrapText="1"/>
    </xf>
    <xf numFmtId="0" fontId="4" fillId="19" borderId="0" xfId="62" applyFill="1" applyAlignment="1">
      <alignment wrapText="1"/>
    </xf>
    <xf numFmtId="0" fontId="7" fillId="19" borderId="0" xfId="62" applyFont="1" applyFill="1" applyAlignment="1">
      <alignment wrapText="1"/>
    </xf>
    <xf numFmtId="0" fontId="42" fillId="19" borderId="0" xfId="62" applyFont="1" applyFill="1"/>
    <xf numFmtId="0" fontId="48" fillId="18" borderId="0" xfId="62" applyFont="1" applyFill="1"/>
    <xf numFmtId="168" fontId="7" fillId="0" borderId="0" xfId="0" applyNumberFormat="1" applyFont="1"/>
    <xf numFmtId="3" fontId="55" fillId="24" borderId="0" xfId="0" applyNumberFormat="1" applyFont="1" applyFill="1" applyAlignment="1">
      <alignment horizontal="right" wrapText="1"/>
    </xf>
    <xf numFmtId="3" fontId="4" fillId="0" borderId="0" xfId="62" applyNumberFormat="1"/>
    <xf numFmtId="167" fontId="59" fillId="24" borderId="0" xfId="1" applyNumberFormat="1" applyFont="1" applyFill="1" applyAlignment="1">
      <alignment horizontal="right" wrapText="1"/>
    </xf>
    <xf numFmtId="167" fontId="61" fillId="0" borderId="0" xfId="1" applyNumberFormat="1" applyFont="1"/>
    <xf numFmtId="168" fontId="11" fillId="0" borderId="0" xfId="8" applyNumberFormat="1" applyFont="1"/>
    <xf numFmtId="4" fontId="59" fillId="24" borderId="0" xfId="1" applyNumberFormat="1" applyFont="1" applyFill="1" applyAlignment="1">
      <alignment horizontal="right" wrapText="1"/>
    </xf>
    <xf numFmtId="2" fontId="59" fillId="24" borderId="0" xfId="62" applyNumberFormat="1" applyFont="1" applyFill="1" applyAlignment="1">
      <alignment horizontal="right" wrapText="1"/>
    </xf>
    <xf numFmtId="10" fontId="59" fillId="24" borderId="0" xfId="8" applyNumberFormat="1" applyFont="1" applyFill="1" applyAlignment="1">
      <alignment horizontal="right" wrapText="1"/>
    </xf>
    <xf numFmtId="167" fontId="63" fillId="0" borderId="0" xfId="1" applyNumberFormat="1" applyFont="1" applyFill="1" applyAlignment="1">
      <alignment horizontal="right" wrapText="1"/>
    </xf>
    <xf numFmtId="2" fontId="63" fillId="0" borderId="0" xfId="1" applyNumberFormat="1" applyFont="1" applyFill="1" applyAlignment="1">
      <alignment horizontal="right" wrapText="1"/>
    </xf>
    <xf numFmtId="10" fontId="61" fillId="0" borderId="0" xfId="1" applyNumberFormat="1" applyFont="1" applyFill="1"/>
    <xf numFmtId="168" fontId="45" fillId="8" borderId="0" xfId="8" applyNumberFormat="1" applyFont="1" applyFill="1" applyProtection="1">
      <protection hidden="1"/>
    </xf>
    <xf numFmtId="10" fontId="45" fillId="8" borderId="0" xfId="8" applyNumberFormat="1" applyFont="1" applyFill="1" applyProtection="1">
      <protection hidden="1"/>
    </xf>
    <xf numFmtId="166" fontId="47" fillId="0" borderId="0" xfId="62" applyNumberFormat="1" applyFont="1"/>
    <xf numFmtId="10" fontId="63" fillId="0" borderId="0" xfId="8" applyNumberFormat="1" applyFont="1" applyFill="1" applyAlignment="1">
      <alignment horizontal="right" wrapText="1"/>
    </xf>
    <xf numFmtId="166" fontId="63" fillId="0" borderId="0" xfId="1" applyFont="1" applyFill="1" applyAlignment="1">
      <alignment horizontal="right" wrapText="1"/>
    </xf>
    <xf numFmtId="167" fontId="59" fillId="24" borderId="12" xfId="1" applyNumberFormat="1" applyFont="1" applyFill="1" applyBorder="1" applyAlignment="1">
      <alignment horizontal="right" wrapText="1"/>
    </xf>
    <xf numFmtId="166" fontId="59" fillId="24" borderId="12" xfId="1" applyFont="1" applyFill="1" applyBorder="1" applyAlignment="1">
      <alignment horizontal="right" wrapText="1"/>
    </xf>
    <xf numFmtId="10" fontId="59" fillId="24" borderId="12" xfId="8" applyNumberFormat="1" applyFont="1" applyFill="1" applyBorder="1" applyAlignment="1">
      <alignment horizontal="right" wrapText="1"/>
    </xf>
    <xf numFmtId="4" fontId="59" fillId="24" borderId="12" xfId="1" applyNumberFormat="1" applyFont="1" applyFill="1" applyBorder="1" applyAlignment="1">
      <alignment horizontal="right" wrapText="1"/>
    </xf>
    <xf numFmtId="167" fontId="63" fillId="0" borderId="12" xfId="1" applyNumberFormat="1" applyFont="1" applyFill="1" applyBorder="1" applyAlignment="1">
      <alignment horizontal="right" wrapText="1"/>
    </xf>
    <xf numFmtId="10" fontId="63" fillId="0" borderId="12" xfId="8" applyNumberFormat="1" applyFont="1" applyFill="1" applyBorder="1" applyAlignment="1">
      <alignment horizontal="right" wrapText="1"/>
    </xf>
    <xf numFmtId="166" fontId="47" fillId="17" borderId="0" xfId="1" applyFont="1" applyFill="1"/>
    <xf numFmtId="166" fontId="45" fillId="8" borderId="0" xfId="1" applyFont="1" applyFill="1" applyProtection="1">
      <protection hidden="1"/>
    </xf>
    <xf numFmtId="0" fontId="1" fillId="19" borderId="0" xfId="62" applyFont="1" applyFill="1" applyAlignment="1">
      <alignment wrapText="1"/>
    </xf>
    <xf numFmtId="10" fontId="7" fillId="10" borderId="1" xfId="8" applyNumberFormat="1" applyFont="1" applyFill="1" applyBorder="1" applyAlignment="1">
      <alignment horizontal="center" vertical="top"/>
    </xf>
    <xf numFmtId="168" fontId="7" fillId="10" borderId="1" xfId="8" applyNumberFormat="1" applyFont="1" applyFill="1" applyBorder="1" applyAlignment="1">
      <alignment horizontal="center" vertical="top"/>
    </xf>
    <xf numFmtId="168" fontId="7" fillId="10" borderId="1" xfId="8" applyNumberFormat="1" applyFont="1" applyFill="1" applyBorder="1" applyAlignment="1">
      <alignment horizontal="center"/>
    </xf>
    <xf numFmtId="168" fontId="7" fillId="10" borderId="0" xfId="8" applyNumberFormat="1" applyFont="1" applyFill="1" applyAlignment="1">
      <alignment horizontal="center" vertical="top"/>
    </xf>
    <xf numFmtId="168" fontId="7" fillId="8" borderId="1" xfId="8" applyNumberFormat="1" applyFont="1" applyFill="1" applyBorder="1" applyAlignment="1">
      <alignment horizontal="center" vertical="top"/>
    </xf>
    <xf numFmtId="168" fontId="7" fillId="8" borderId="5" xfId="8" applyNumberFormat="1" applyFont="1" applyFill="1" applyBorder="1" applyAlignment="1">
      <alignment horizontal="center" vertical="top"/>
    </xf>
    <xf numFmtId="0" fontId="7" fillId="6" borderId="1" xfId="0" applyFont="1" applyFill="1" applyBorder="1"/>
    <xf numFmtId="3" fontId="7" fillId="6" borderId="1" xfId="0" applyNumberFormat="1" applyFont="1" applyFill="1" applyBorder="1"/>
    <xf numFmtId="0" fontId="7" fillId="8" borderId="1" xfId="0" applyFont="1" applyFill="1" applyBorder="1" applyAlignment="1">
      <alignment horizontal="center" vertical="top"/>
    </xf>
    <xf numFmtId="167" fontId="7" fillId="6" borderId="1" xfId="1" applyNumberFormat="1" applyFont="1" applyFill="1" applyBorder="1"/>
    <xf numFmtId="3" fontId="7" fillId="6" borderId="1" xfId="1" applyNumberFormat="1" applyFont="1" applyFill="1" applyBorder="1" applyAlignment="1">
      <alignment horizontal="center"/>
    </xf>
    <xf numFmtId="167" fontId="7" fillId="6" borderId="1" xfId="1" applyNumberFormat="1" applyFont="1" applyFill="1" applyBorder="1" applyAlignment="1">
      <alignment horizontal="center"/>
    </xf>
    <xf numFmtId="2" fontId="7" fillId="6" borderId="1" xfId="1" applyNumberFormat="1" applyFont="1" applyFill="1" applyBorder="1" applyAlignment="1">
      <alignment horizontal="center"/>
    </xf>
    <xf numFmtId="168" fontId="7" fillId="8" borderId="1" xfId="8" applyNumberFormat="1" applyFont="1" applyFill="1" applyBorder="1" applyAlignment="1">
      <alignment vertical="top"/>
    </xf>
    <xf numFmtId="167" fontId="7" fillId="8" borderId="1" xfId="1" applyNumberFormat="1" applyFont="1" applyFill="1" applyBorder="1" applyAlignment="1">
      <alignment vertical="top"/>
    </xf>
    <xf numFmtId="3" fontId="7" fillId="8" borderId="4" xfId="0" applyNumberFormat="1" applyFont="1" applyFill="1" applyBorder="1" applyAlignment="1">
      <alignment horizontal="right" vertical="top"/>
    </xf>
    <xf numFmtId="3" fontId="7" fillId="8" borderId="8" xfId="0" applyNumberFormat="1" applyFont="1" applyFill="1" applyBorder="1" applyAlignment="1">
      <alignment horizontal="right" vertical="top"/>
    </xf>
    <xf numFmtId="167" fontId="7" fillId="8" borderId="4" xfId="1" applyNumberFormat="1" applyFont="1" applyFill="1" applyBorder="1" applyAlignment="1">
      <alignment horizontal="right" vertical="top"/>
    </xf>
    <xf numFmtId="167" fontId="7" fillId="8" borderId="8" xfId="1" applyNumberFormat="1" applyFont="1" applyFill="1" applyBorder="1" applyAlignment="1">
      <alignment horizontal="right" vertical="top"/>
    </xf>
    <xf numFmtId="3" fontId="7" fillId="8" borderId="1" xfId="0" applyNumberFormat="1" applyFont="1" applyFill="1" applyBorder="1" applyAlignment="1">
      <alignment horizontal="center" vertical="top"/>
    </xf>
    <xf numFmtId="167" fontId="7" fillId="8" borderId="1" xfId="1" applyNumberFormat="1" applyFont="1" applyFill="1" applyBorder="1" applyAlignment="1">
      <alignment horizontal="center" vertical="top"/>
    </xf>
    <xf numFmtId="3" fontId="7" fillId="8" borderId="1" xfId="1" applyNumberFormat="1" applyFont="1" applyFill="1" applyBorder="1" applyAlignment="1">
      <alignment horizontal="center" vertical="top"/>
    </xf>
    <xf numFmtId="168" fontId="7" fillId="8" borderId="1" xfId="8" applyNumberFormat="1" applyFont="1" applyFill="1" applyBorder="1" applyAlignment="1">
      <alignment horizontal="center" vertical="center"/>
    </xf>
    <xf numFmtId="167" fontId="52" fillId="23" borderId="0" xfId="1" applyNumberFormat="1" applyFont="1" applyFill="1" applyBorder="1" applyAlignment="1">
      <alignment horizontal="center" vertical="center" wrapText="1"/>
    </xf>
    <xf numFmtId="4" fontId="32" fillId="24" borderId="0" xfId="0" applyNumberFormat="1" applyFont="1" applyFill="1" applyAlignment="1">
      <alignment horizontal="right" wrapText="1"/>
    </xf>
    <xf numFmtId="0" fontId="32" fillId="24" borderId="0" xfId="0" applyFont="1" applyFill="1" applyAlignment="1">
      <alignment horizontal="right" wrapText="1"/>
    </xf>
    <xf numFmtId="4" fontId="32" fillId="24" borderId="12" xfId="0" applyNumberFormat="1" applyFont="1" applyFill="1" applyBorder="1" applyAlignment="1">
      <alignment horizontal="right" wrapText="1"/>
    </xf>
    <xf numFmtId="0" fontId="64" fillId="19" borderId="0" xfId="62" applyFont="1" applyFill="1" applyAlignment="1">
      <alignment vertical="center"/>
    </xf>
    <xf numFmtId="0" fontId="64" fillId="19" borderId="0" xfId="62" applyFont="1" applyFill="1" applyAlignment="1">
      <alignment horizontal="right" wrapText="1"/>
    </xf>
    <xf numFmtId="0" fontId="65" fillId="19" borderId="0" xfId="62" applyFont="1" applyFill="1" applyAlignment="1">
      <alignment horizontal="right" wrapText="1"/>
    </xf>
    <xf numFmtId="166" fontId="63" fillId="24" borderId="12" xfId="1" applyFont="1" applyFill="1" applyBorder="1" applyAlignment="1">
      <alignment horizontal="right" wrapText="1"/>
    </xf>
    <xf numFmtId="10" fontId="63" fillId="24" borderId="12" xfId="8" applyNumberFormat="1" applyFont="1" applyFill="1" applyBorder="1" applyAlignment="1">
      <alignment horizontal="right" wrapText="1"/>
    </xf>
    <xf numFmtId="10" fontId="63" fillId="24" borderId="12" xfId="1" applyNumberFormat="1" applyFont="1" applyFill="1" applyBorder="1" applyAlignment="1">
      <alignment horizontal="right" wrapText="1"/>
    </xf>
    <xf numFmtId="9" fontId="63" fillId="24" borderId="12" xfId="8" applyFont="1" applyFill="1" applyBorder="1" applyAlignment="1">
      <alignment horizontal="right" wrapText="1"/>
    </xf>
    <xf numFmtId="0" fontId="64" fillId="19" borderId="0" xfId="62" applyFont="1" applyFill="1" applyAlignment="1">
      <alignment vertical="center" wrapText="1"/>
    </xf>
    <xf numFmtId="0" fontId="46" fillId="18" borderId="0" xfId="62" applyFont="1" applyFill="1" applyAlignment="1">
      <alignment horizontal="center"/>
    </xf>
    <xf numFmtId="0" fontId="27" fillId="4" borderId="0" xfId="0" applyFont="1" applyFill="1" applyAlignment="1">
      <alignment horizontal="left" vertical="top" wrapText="1"/>
    </xf>
    <xf numFmtId="0" fontId="39" fillId="18" borderId="0" xfId="0" applyFont="1" applyFill="1" applyAlignment="1">
      <alignment horizontal="center"/>
    </xf>
    <xf numFmtId="0" fontId="46" fillId="18" borderId="0" xfId="0" applyFont="1" applyFill="1" applyAlignment="1">
      <alignment horizontal="center"/>
    </xf>
  </cellXfs>
  <cellStyles count="138">
    <cellStyle name="Comma" xfId="1" builtinId="3"/>
    <cellStyle name="Comma [0]" xfId="55" builtinId="6"/>
    <cellStyle name="Comma [0] 2" xfId="64" xr:uid="{00000000-0005-0000-0000-000002000000}"/>
    <cellStyle name="Comma 10" xfId="60" xr:uid="{00000000-0005-0000-0000-000003000000}"/>
    <cellStyle name="Comma 10 2" xfId="107" xr:uid="{00000000-0005-0000-0000-000004000000}"/>
    <cellStyle name="Comma 11" xfId="57" xr:uid="{00000000-0005-0000-0000-000005000000}"/>
    <cellStyle name="Comma 12" xfId="68" xr:uid="{00000000-0005-0000-0000-000006000000}"/>
    <cellStyle name="Comma 13" xfId="67" xr:uid="{00000000-0005-0000-0000-000007000000}"/>
    <cellStyle name="Comma 14" xfId="71" xr:uid="{00000000-0005-0000-0000-000008000000}"/>
    <cellStyle name="Comma 15" xfId="79" xr:uid="{00000000-0005-0000-0000-000009000000}"/>
    <cellStyle name="Comma 16" xfId="77" xr:uid="{00000000-0005-0000-0000-00000A000000}"/>
    <cellStyle name="Comma 17" xfId="81" xr:uid="{00000000-0005-0000-0000-00000B000000}"/>
    <cellStyle name="Comma 18" xfId="75" xr:uid="{00000000-0005-0000-0000-00000C000000}"/>
    <cellStyle name="Comma 19" xfId="82" xr:uid="{00000000-0005-0000-0000-00000D000000}"/>
    <cellStyle name="Comma 2" xfId="2" xr:uid="{00000000-0005-0000-0000-00000E000000}"/>
    <cellStyle name="Comma 2 11 2" xfId="52" xr:uid="{00000000-0005-0000-0000-00000F000000}"/>
    <cellStyle name="Comma 2 2" xfId="28" xr:uid="{00000000-0005-0000-0000-000010000000}"/>
    <cellStyle name="Comma 2 2 2" xfId="123" xr:uid="{00000000-0005-0000-0000-000011000000}"/>
    <cellStyle name="Comma 2 3" xfId="29" xr:uid="{00000000-0005-0000-0000-000012000000}"/>
    <cellStyle name="Comma 2 3 2" xfId="124" xr:uid="{00000000-0005-0000-0000-000013000000}"/>
    <cellStyle name="Comma 2 4" xfId="30" xr:uid="{00000000-0005-0000-0000-000014000000}"/>
    <cellStyle name="Comma 2 4 2" xfId="125" xr:uid="{00000000-0005-0000-0000-000015000000}"/>
    <cellStyle name="Comma 2 5" xfId="12" xr:uid="{00000000-0005-0000-0000-000016000000}"/>
    <cellStyle name="Comma 2 6" xfId="119" xr:uid="{00000000-0005-0000-0000-000017000000}"/>
    <cellStyle name="Comma 20" xfId="80" xr:uid="{00000000-0005-0000-0000-000018000000}"/>
    <cellStyle name="Comma 21" xfId="76" xr:uid="{00000000-0005-0000-0000-000019000000}"/>
    <cellStyle name="Comma 22" xfId="78" xr:uid="{00000000-0005-0000-0000-00001A000000}"/>
    <cellStyle name="Comma 23" xfId="74" xr:uid="{00000000-0005-0000-0000-00001B000000}"/>
    <cellStyle name="Comma 24" xfId="83" xr:uid="{00000000-0005-0000-0000-00001C000000}"/>
    <cellStyle name="Comma 25" xfId="84" xr:uid="{00000000-0005-0000-0000-00001D000000}"/>
    <cellStyle name="Comma 26" xfId="85" xr:uid="{00000000-0005-0000-0000-00001E000000}"/>
    <cellStyle name="Comma 27" xfId="86" xr:uid="{00000000-0005-0000-0000-00001F000000}"/>
    <cellStyle name="Comma 28" xfId="87" xr:uid="{00000000-0005-0000-0000-000020000000}"/>
    <cellStyle name="Comma 29" xfId="88" xr:uid="{00000000-0005-0000-0000-000021000000}"/>
    <cellStyle name="Comma 3" xfId="3" xr:uid="{00000000-0005-0000-0000-000022000000}"/>
    <cellStyle name="Comma 3 2" xfId="31" xr:uid="{00000000-0005-0000-0000-000023000000}"/>
    <cellStyle name="Comma 3 2 2" xfId="126" xr:uid="{00000000-0005-0000-0000-000024000000}"/>
    <cellStyle name="Comma 3 3" xfId="32" xr:uid="{00000000-0005-0000-0000-000025000000}"/>
    <cellStyle name="Comma 3 3 2" xfId="127" xr:uid="{00000000-0005-0000-0000-000026000000}"/>
    <cellStyle name="Comma 3 4" xfId="33" xr:uid="{00000000-0005-0000-0000-000027000000}"/>
    <cellStyle name="Comma 3 4 2" xfId="128" xr:uid="{00000000-0005-0000-0000-000028000000}"/>
    <cellStyle name="Comma 3 5" xfId="13" xr:uid="{00000000-0005-0000-0000-000029000000}"/>
    <cellStyle name="Comma 3 6" xfId="120" xr:uid="{00000000-0005-0000-0000-00002A000000}"/>
    <cellStyle name="Comma 30" xfId="89" xr:uid="{00000000-0005-0000-0000-00002B000000}"/>
    <cellStyle name="Comma 31" xfId="90" xr:uid="{00000000-0005-0000-0000-00002C000000}"/>
    <cellStyle name="Comma 32" xfId="91" xr:uid="{00000000-0005-0000-0000-00002D000000}"/>
    <cellStyle name="Comma 33" xfId="92" xr:uid="{00000000-0005-0000-0000-00002E000000}"/>
    <cellStyle name="Comma 34" xfId="93" xr:uid="{00000000-0005-0000-0000-00002F000000}"/>
    <cellStyle name="Comma 35" xfId="94" xr:uid="{00000000-0005-0000-0000-000030000000}"/>
    <cellStyle name="Comma 36" xfId="99" xr:uid="{00000000-0005-0000-0000-000031000000}"/>
    <cellStyle name="Comma 37" xfId="98" xr:uid="{00000000-0005-0000-0000-000032000000}"/>
    <cellStyle name="Comma 38" xfId="103" xr:uid="{00000000-0005-0000-0000-000033000000}"/>
    <cellStyle name="Comma 39" xfId="113" xr:uid="{00000000-0005-0000-0000-000034000000}"/>
    <cellStyle name="Comma 4" xfId="14" xr:uid="{00000000-0005-0000-0000-000035000000}"/>
    <cellStyle name="Comma 4 2" xfId="34" xr:uid="{00000000-0005-0000-0000-000036000000}"/>
    <cellStyle name="Comma 4 2 2" xfId="129" xr:uid="{00000000-0005-0000-0000-000037000000}"/>
    <cellStyle name="Comma 4 3" xfId="35" xr:uid="{00000000-0005-0000-0000-000038000000}"/>
    <cellStyle name="Comma 4 3 2" xfId="130" xr:uid="{00000000-0005-0000-0000-000039000000}"/>
    <cellStyle name="Comma 4 4" xfId="36" xr:uid="{00000000-0005-0000-0000-00003A000000}"/>
    <cellStyle name="Comma 4 4 2" xfId="131" xr:uid="{00000000-0005-0000-0000-00003B000000}"/>
    <cellStyle name="Comma 4 5" xfId="121" xr:uid="{00000000-0005-0000-0000-00003C000000}"/>
    <cellStyle name="Comma 40" xfId="115" xr:uid="{00000000-0005-0000-0000-00003D000000}"/>
    <cellStyle name="Comma 41" xfId="135" xr:uid="{00000000-0005-0000-0000-00003E000000}"/>
    <cellStyle name="Comma 5" xfId="11" xr:uid="{00000000-0005-0000-0000-00003F000000}"/>
    <cellStyle name="Comma 5 2" xfId="118" xr:uid="{00000000-0005-0000-0000-000040000000}"/>
    <cellStyle name="Comma 6" xfId="37" xr:uid="{00000000-0005-0000-0000-000041000000}"/>
    <cellStyle name="Comma 6 2" xfId="70" xr:uid="{00000000-0005-0000-0000-000042000000}"/>
    <cellStyle name="Comma 6 3" xfId="102" xr:uid="{00000000-0005-0000-0000-000043000000}"/>
    <cellStyle name="Comma 6 4" xfId="132" xr:uid="{00000000-0005-0000-0000-000044000000}"/>
    <cellStyle name="Comma 7" xfId="38" xr:uid="{00000000-0005-0000-0000-000045000000}"/>
    <cellStyle name="Comma 7 2" xfId="133" xr:uid="{00000000-0005-0000-0000-000046000000}"/>
    <cellStyle name="Comma 8" xfId="39" xr:uid="{00000000-0005-0000-0000-000047000000}"/>
    <cellStyle name="Comma 8 2" xfId="134" xr:uid="{00000000-0005-0000-0000-000048000000}"/>
    <cellStyle name="Comma 9" xfId="24" xr:uid="{00000000-0005-0000-0000-000049000000}"/>
    <cellStyle name="Comma 9 2" xfId="109" xr:uid="{00000000-0005-0000-0000-00004A000000}"/>
    <cellStyle name="Currency 2" xfId="15" xr:uid="{00000000-0005-0000-0000-00004B000000}"/>
    <cellStyle name="Currency 3" xfId="26" xr:uid="{00000000-0005-0000-0000-00004C000000}"/>
    <cellStyle name="Currency 3 2" xfId="111" xr:uid="{00000000-0005-0000-0000-00004D000000}"/>
    <cellStyle name="Currency 4" xfId="69" xr:uid="{00000000-0005-0000-0000-00004E000000}"/>
    <cellStyle name="Currency 5" xfId="101" xr:uid="{00000000-0005-0000-0000-00004F000000}"/>
    <cellStyle name="Currency 6" xfId="137" xr:uid="{00000000-0005-0000-0000-000050000000}"/>
    <cellStyle name="Hyperlink" xfId="4" builtinId="8"/>
    <cellStyle name="Hyperlink 2" xfId="5" xr:uid="{00000000-0005-0000-0000-000052000000}"/>
    <cellStyle name="Normal" xfId="0" builtinId="0"/>
    <cellStyle name="Normal 10" xfId="27" xr:uid="{00000000-0005-0000-0000-000054000000}"/>
    <cellStyle name="Normal 10 2" xfId="73" xr:uid="{00000000-0005-0000-0000-000055000000}"/>
    <cellStyle name="Normal 10 2 2" xfId="105" xr:uid="{00000000-0005-0000-0000-000056000000}"/>
    <cellStyle name="Normal 10 3" xfId="112" xr:uid="{00000000-0005-0000-0000-000057000000}"/>
    <cellStyle name="Normal 11" xfId="9" xr:uid="{00000000-0005-0000-0000-000058000000}"/>
    <cellStyle name="Normal 11 2" xfId="53" xr:uid="{00000000-0005-0000-0000-000059000000}"/>
    <cellStyle name="Normal 11 3" xfId="108" xr:uid="{00000000-0005-0000-0000-00005A000000}"/>
    <cellStyle name="Normal 12" xfId="56" xr:uid="{00000000-0005-0000-0000-00005B000000}"/>
    <cellStyle name="Normal 12 2" xfId="61" xr:uid="{00000000-0005-0000-0000-00005C000000}"/>
    <cellStyle name="Normal 12 3" xfId="106" xr:uid="{00000000-0005-0000-0000-00005D000000}"/>
    <cellStyle name="Normal 13" xfId="59" xr:uid="{00000000-0005-0000-0000-00005E000000}"/>
    <cellStyle name="Normal 14" xfId="62" xr:uid="{00000000-0005-0000-0000-00005F000000}"/>
    <cellStyle name="Normal 15" xfId="95" xr:uid="{00000000-0005-0000-0000-000060000000}"/>
    <cellStyle name="Normal 16" xfId="114" xr:uid="{00000000-0005-0000-0000-000061000000}"/>
    <cellStyle name="Normal 2" xfId="6" xr:uid="{00000000-0005-0000-0000-000062000000}"/>
    <cellStyle name="Normal 2 14" xfId="40" xr:uid="{00000000-0005-0000-0000-000063000000}"/>
    <cellStyle name="Normal 2 2" xfId="17" xr:uid="{00000000-0005-0000-0000-000064000000}"/>
    <cellStyle name="Normal 2 2 2" xfId="66" xr:uid="{00000000-0005-0000-0000-000065000000}"/>
    <cellStyle name="Normal 2 2 3" xfId="97" xr:uid="{00000000-0005-0000-0000-000066000000}"/>
    <cellStyle name="Normal 2 2 4" xfId="122" xr:uid="{00000000-0005-0000-0000-000067000000}"/>
    <cellStyle name="Normal 2 3" xfId="54" xr:uid="{00000000-0005-0000-0000-000068000000}"/>
    <cellStyle name="Normal 2 4" xfId="16" xr:uid="{00000000-0005-0000-0000-000069000000}"/>
    <cellStyle name="Normal 2 5" xfId="65" xr:uid="{00000000-0005-0000-0000-00006A000000}"/>
    <cellStyle name="Normal 2 6" xfId="96" xr:uid="{00000000-0005-0000-0000-00006B000000}"/>
    <cellStyle name="Normal 2 7" xfId="117" xr:uid="{00000000-0005-0000-0000-00006C000000}"/>
    <cellStyle name="Normal 3" xfId="7" xr:uid="{00000000-0005-0000-0000-00006D000000}"/>
    <cellStyle name="Normal 3 2" xfId="18" xr:uid="{00000000-0005-0000-0000-00006E000000}"/>
    <cellStyle name="Normal 4" xfId="19" xr:uid="{00000000-0005-0000-0000-00006F000000}"/>
    <cellStyle name="Normal 5" xfId="20" xr:uid="{00000000-0005-0000-0000-000070000000}"/>
    <cellStyle name="Normal 5 2" xfId="21" xr:uid="{00000000-0005-0000-0000-000071000000}"/>
    <cellStyle name="Normal 6" xfId="10" xr:uid="{00000000-0005-0000-0000-000072000000}"/>
    <cellStyle name="Normal 6 2" xfId="41" xr:uid="{00000000-0005-0000-0000-000073000000}"/>
    <cellStyle name="Normal 6 2 2" xfId="42" xr:uid="{00000000-0005-0000-0000-000074000000}"/>
    <cellStyle name="Normal 7" xfId="43" xr:uid="{00000000-0005-0000-0000-000075000000}"/>
    <cellStyle name="Normal 8" xfId="44" xr:uid="{00000000-0005-0000-0000-000076000000}"/>
    <cellStyle name="Normal 9" xfId="45" xr:uid="{00000000-0005-0000-0000-000077000000}"/>
    <cellStyle name="Percent" xfId="8" builtinId="5"/>
    <cellStyle name="Percent 10" xfId="100" xr:uid="{00000000-0005-0000-0000-000079000000}"/>
    <cellStyle name="Percent 11" xfId="116" xr:uid="{00000000-0005-0000-0000-00007A000000}"/>
    <cellStyle name="Percent 2" xfId="23" xr:uid="{00000000-0005-0000-0000-00007B000000}"/>
    <cellStyle name="Percent 2 2" xfId="46" xr:uid="{00000000-0005-0000-0000-00007C000000}"/>
    <cellStyle name="Percent 2 3" xfId="47" xr:uid="{00000000-0005-0000-0000-00007D000000}"/>
    <cellStyle name="Percent 2 4" xfId="48" xr:uid="{00000000-0005-0000-0000-00007E000000}"/>
    <cellStyle name="Percent 3" xfId="22" xr:uid="{00000000-0005-0000-0000-00007F000000}"/>
    <cellStyle name="Percent 4" xfId="49" xr:uid="{00000000-0005-0000-0000-000080000000}"/>
    <cellStyle name="Percent 5" xfId="50" xr:uid="{00000000-0005-0000-0000-000081000000}"/>
    <cellStyle name="Percent 5 2" xfId="72" xr:uid="{00000000-0005-0000-0000-000082000000}"/>
    <cellStyle name="Percent 5 3" xfId="104" xr:uid="{00000000-0005-0000-0000-000083000000}"/>
    <cellStyle name="Percent 5 4" xfId="136" xr:uid="{00000000-0005-0000-0000-000084000000}"/>
    <cellStyle name="Percent 6" xfId="51" xr:uid="{00000000-0005-0000-0000-000085000000}"/>
    <cellStyle name="Percent 7" xfId="25" xr:uid="{00000000-0005-0000-0000-000086000000}"/>
    <cellStyle name="Percent 7 2" xfId="110" xr:uid="{00000000-0005-0000-0000-000087000000}"/>
    <cellStyle name="Percent 8" xfId="58" xr:uid="{00000000-0005-0000-0000-000088000000}"/>
    <cellStyle name="Percent 9" xfId="63" xr:uid="{00000000-0005-0000-0000-000089000000}"/>
  </cellStyles>
  <dxfs count="0"/>
  <tableStyles count="1" defaultTableStyle="TableStyleMedium2" defaultPivotStyle="PivotStyleLight16">
    <tableStyle name="Invisible" pivot="0" table="0" count="0" xr9:uid="{00000000-0011-0000-FFFF-FFFF00000000}"/>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worksheet" Target="worksheets/sheet39.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worksheet" Target="worksheets/sheet42.xml"/><Relationship Id="rId47" Type="http://schemas.openxmlformats.org/officeDocument/2006/relationships/worksheet" Target="worksheets/sheet47.xml"/><Relationship Id="rId50" Type="http://schemas.openxmlformats.org/officeDocument/2006/relationships/worksheet" Target="worksheets/sheet50.xml"/><Relationship Id="rId55" Type="http://schemas.openxmlformats.org/officeDocument/2006/relationships/worksheet" Target="worksheets/sheet55.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45" Type="http://schemas.openxmlformats.org/officeDocument/2006/relationships/worksheet" Target="worksheets/sheet45.xml"/><Relationship Id="rId53" Type="http://schemas.openxmlformats.org/officeDocument/2006/relationships/worksheet" Target="worksheets/sheet53.xml"/><Relationship Id="rId58" Type="http://schemas.openxmlformats.org/officeDocument/2006/relationships/sharedStrings" Target="sharedStrings.xml"/><Relationship Id="rId5" Type="http://schemas.openxmlformats.org/officeDocument/2006/relationships/worksheet" Target="worksheets/sheet5.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worksheet" Target="worksheets/sheet43.xml"/><Relationship Id="rId48" Type="http://schemas.openxmlformats.org/officeDocument/2006/relationships/worksheet" Target="worksheets/sheet48.xml"/><Relationship Id="rId56" Type="http://schemas.openxmlformats.org/officeDocument/2006/relationships/theme" Target="theme/theme1.xml"/><Relationship Id="rId8" Type="http://schemas.openxmlformats.org/officeDocument/2006/relationships/worksheet" Target="worksheets/sheet8.xml"/><Relationship Id="rId51" Type="http://schemas.openxmlformats.org/officeDocument/2006/relationships/worksheet" Target="worksheets/sheet51.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worksheet" Target="worksheets/sheet46.xml"/><Relationship Id="rId59" Type="http://schemas.openxmlformats.org/officeDocument/2006/relationships/calcChain" Target="calcChain.xml"/><Relationship Id="rId20" Type="http://schemas.openxmlformats.org/officeDocument/2006/relationships/worksheet" Target="worksheets/sheet20.xml"/><Relationship Id="rId41" Type="http://schemas.openxmlformats.org/officeDocument/2006/relationships/worksheet" Target="worksheets/sheet41.xml"/><Relationship Id="rId54" Type="http://schemas.openxmlformats.org/officeDocument/2006/relationships/worksheet" Target="worksheets/sheet54.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49" Type="http://schemas.openxmlformats.org/officeDocument/2006/relationships/worksheet" Target="worksheets/sheet49.xml"/><Relationship Id="rId57" Type="http://schemas.openxmlformats.org/officeDocument/2006/relationships/styles" Target="styles.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worksheet" Target="worksheets/sheet44.xml"/><Relationship Id="rId52" Type="http://schemas.openxmlformats.org/officeDocument/2006/relationships/worksheet" Target="worksheets/sheet52.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3" Type="http://schemas.openxmlformats.org/officeDocument/2006/relationships/hyperlink" Target="#'Q4, 2016'!A1"/><Relationship Id="rId18" Type="http://schemas.openxmlformats.org/officeDocument/2006/relationships/hyperlink" Target="#'Q2, 2017'!A1"/><Relationship Id="rId26" Type="http://schemas.openxmlformats.org/officeDocument/2006/relationships/hyperlink" Target="#'Q1, 2019'!A1"/><Relationship Id="rId39" Type="http://schemas.openxmlformats.org/officeDocument/2006/relationships/hyperlink" Target="#'Q2 2022'!A1"/><Relationship Id="rId21" Type="http://schemas.openxmlformats.org/officeDocument/2006/relationships/image" Target="../media/image1.png"/><Relationship Id="rId34" Type="http://schemas.openxmlformats.org/officeDocument/2006/relationships/hyperlink" Target="#'Q1 2021'!A1"/><Relationship Id="rId42" Type="http://schemas.openxmlformats.org/officeDocument/2006/relationships/hyperlink" Target="#'Q3 2023'!A1"/><Relationship Id="rId7" Type="http://schemas.openxmlformats.org/officeDocument/2006/relationships/hyperlink" Target="#'Q3, 2014'!A1"/><Relationship Id="rId2" Type="http://schemas.openxmlformats.org/officeDocument/2006/relationships/hyperlink" Target="#'Q2, 2013'!A1"/><Relationship Id="rId16" Type="http://schemas.openxmlformats.org/officeDocument/2006/relationships/hyperlink" Target="#'Q4, 2015'!A1"/><Relationship Id="rId20" Type="http://schemas.openxmlformats.org/officeDocument/2006/relationships/hyperlink" Target="#'Q4, 2017'!A1"/><Relationship Id="rId29" Type="http://schemas.openxmlformats.org/officeDocument/2006/relationships/hyperlink" Target="#'Q4, 2019'!A1"/><Relationship Id="rId41" Type="http://schemas.openxmlformats.org/officeDocument/2006/relationships/hyperlink" Target="#'Q2 2023'!A1"/><Relationship Id="rId1" Type="http://schemas.openxmlformats.org/officeDocument/2006/relationships/hyperlink" Target="#'Q1, 2013'!A1"/><Relationship Id="rId6" Type="http://schemas.openxmlformats.org/officeDocument/2006/relationships/hyperlink" Target="#'Q2, 2014'!A1"/><Relationship Id="rId11" Type="http://schemas.openxmlformats.org/officeDocument/2006/relationships/hyperlink" Target="#'Q2, 2016'!A1"/><Relationship Id="rId24" Type="http://schemas.openxmlformats.org/officeDocument/2006/relationships/hyperlink" Target="#'Q3,2018'!A1"/><Relationship Id="rId32" Type="http://schemas.openxmlformats.org/officeDocument/2006/relationships/hyperlink" Target="#'Q3 2020'!A1"/><Relationship Id="rId37" Type="http://schemas.openxmlformats.org/officeDocument/2006/relationships/hyperlink" Target="#'Q4 2021'!A1"/><Relationship Id="rId40" Type="http://schemas.openxmlformats.org/officeDocument/2006/relationships/hyperlink" Target="#'Q1 2023'!A1"/><Relationship Id="rId5" Type="http://schemas.openxmlformats.org/officeDocument/2006/relationships/hyperlink" Target="#'Q1 2014'!A1"/><Relationship Id="rId15" Type="http://schemas.openxmlformats.org/officeDocument/2006/relationships/hyperlink" Target="#'Q3, 2015'!A1"/><Relationship Id="rId23" Type="http://schemas.openxmlformats.org/officeDocument/2006/relationships/hyperlink" Target="#'Q2,2018'!A1"/><Relationship Id="rId28" Type="http://schemas.openxmlformats.org/officeDocument/2006/relationships/hyperlink" Target="#'Q3,2019'!A1"/><Relationship Id="rId36" Type="http://schemas.openxmlformats.org/officeDocument/2006/relationships/hyperlink" Target="#'Q3 2021'!A1"/><Relationship Id="rId10" Type="http://schemas.openxmlformats.org/officeDocument/2006/relationships/hyperlink" Target="#'Q1, 2016'!A1"/><Relationship Id="rId19" Type="http://schemas.openxmlformats.org/officeDocument/2006/relationships/hyperlink" Target="#'Q3, 2017'!A1"/><Relationship Id="rId31" Type="http://schemas.openxmlformats.org/officeDocument/2006/relationships/hyperlink" Target="#'Q2, 2020'!A1"/><Relationship Id="rId4" Type="http://schemas.openxmlformats.org/officeDocument/2006/relationships/hyperlink" Target="#'Q4, 2013'!A1"/><Relationship Id="rId9" Type="http://schemas.openxmlformats.org/officeDocument/2006/relationships/hyperlink" Target="#'Q1, 2015'!A1"/><Relationship Id="rId14" Type="http://schemas.openxmlformats.org/officeDocument/2006/relationships/hyperlink" Target="#'Q2, 2015'!A1"/><Relationship Id="rId22" Type="http://schemas.openxmlformats.org/officeDocument/2006/relationships/hyperlink" Target="#'Q1, 2018'!A1"/><Relationship Id="rId27" Type="http://schemas.openxmlformats.org/officeDocument/2006/relationships/hyperlink" Target="#'Q2,2019'!A1"/><Relationship Id="rId30" Type="http://schemas.openxmlformats.org/officeDocument/2006/relationships/hyperlink" Target="#'Q1, 2020'!A1"/><Relationship Id="rId35" Type="http://schemas.openxmlformats.org/officeDocument/2006/relationships/hyperlink" Target="#'Q2 2021'!A1"/><Relationship Id="rId8" Type="http://schemas.openxmlformats.org/officeDocument/2006/relationships/hyperlink" Target="#'Q4,2014'!A1"/><Relationship Id="rId3" Type="http://schemas.openxmlformats.org/officeDocument/2006/relationships/hyperlink" Target="#'Q3, 2013'!A1"/><Relationship Id="rId12" Type="http://schemas.openxmlformats.org/officeDocument/2006/relationships/hyperlink" Target="#'Q3, 2016'!A1"/><Relationship Id="rId17" Type="http://schemas.openxmlformats.org/officeDocument/2006/relationships/hyperlink" Target="#'Q1, 2017'!A1"/><Relationship Id="rId25" Type="http://schemas.openxmlformats.org/officeDocument/2006/relationships/hyperlink" Target="#'Q4, 2018'!A1"/><Relationship Id="rId33" Type="http://schemas.openxmlformats.org/officeDocument/2006/relationships/hyperlink" Target="#'Q4 2020'!A1"/><Relationship Id="rId38" Type="http://schemas.openxmlformats.org/officeDocument/2006/relationships/hyperlink" Target="#'Q1 2022'!A1"/></Relationships>
</file>

<file path=xl/drawings/drawing1.xml><?xml version="1.0" encoding="utf-8"?>
<xdr:wsDr xmlns:xdr="http://schemas.openxmlformats.org/drawingml/2006/spreadsheetDrawing" xmlns:a="http://schemas.openxmlformats.org/drawingml/2006/main">
  <xdr:twoCellAnchor editAs="oneCell">
    <xdr:from>
      <xdr:col>0</xdr:col>
      <xdr:colOff>152400</xdr:colOff>
      <xdr:row>1</xdr:row>
      <xdr:rowOff>19050</xdr:rowOff>
    </xdr:from>
    <xdr:to>
      <xdr:col>2</xdr:col>
      <xdr:colOff>209550</xdr:colOff>
      <xdr:row>4</xdr:row>
      <xdr:rowOff>95250</xdr:rowOff>
    </xdr:to>
    <xdr:pic>
      <xdr:nvPicPr>
        <xdr:cNvPr id="30793" name="ctl00_logo_imgImage" descr="National Insurance Commission">
          <a:extLst>
            <a:ext uri="{FF2B5EF4-FFF2-40B4-BE49-F238E27FC236}">
              <a16:creationId xmlns:a16="http://schemas.microsoft.com/office/drawing/2014/main" id="{00000000-0008-0000-0000-00004978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2400" y="180975"/>
          <a:ext cx="1276350" cy="561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180975</xdr:colOff>
      <xdr:row>0</xdr:row>
      <xdr:rowOff>28575</xdr:rowOff>
    </xdr:from>
    <xdr:to>
      <xdr:col>2</xdr:col>
      <xdr:colOff>190500</xdr:colOff>
      <xdr:row>3</xdr:row>
      <xdr:rowOff>85725</xdr:rowOff>
    </xdr:to>
    <xdr:pic>
      <xdr:nvPicPr>
        <xdr:cNvPr id="31809" name="ctl00_logo_imgImage" descr="National Insurance Commission">
          <a:extLst>
            <a:ext uri="{FF2B5EF4-FFF2-40B4-BE49-F238E27FC236}">
              <a16:creationId xmlns:a16="http://schemas.microsoft.com/office/drawing/2014/main" id="{00000000-0008-0000-0100-0000417C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80975" y="28575"/>
          <a:ext cx="1228725" cy="5429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3.xml><?xml version="1.0" encoding="utf-8"?>
<xdr:wsDr xmlns:xdr="http://schemas.openxmlformats.org/drawingml/2006/spreadsheetDrawing" xmlns:a="http://schemas.openxmlformats.org/drawingml/2006/main">
  <xdr:twoCellAnchor>
    <xdr:from>
      <xdr:col>16</xdr:col>
      <xdr:colOff>590550</xdr:colOff>
      <xdr:row>5</xdr:row>
      <xdr:rowOff>57150</xdr:rowOff>
    </xdr:from>
    <xdr:to>
      <xdr:col>18</xdr:col>
      <xdr:colOff>266700</xdr:colOff>
      <xdr:row>7</xdr:row>
      <xdr:rowOff>28575</xdr:rowOff>
    </xdr:to>
    <xdr:sp macro="" textlink="">
      <xdr:nvSpPr>
        <xdr:cNvPr id="2" name="Rounded Rectangle 1">
          <a:hlinkClick xmlns:r="http://schemas.openxmlformats.org/officeDocument/2006/relationships" r:id="rId1"/>
          <a:extLst>
            <a:ext uri="{FF2B5EF4-FFF2-40B4-BE49-F238E27FC236}">
              <a16:creationId xmlns:a16="http://schemas.microsoft.com/office/drawing/2014/main" id="{00000000-0008-0000-0200-000002000000}"/>
            </a:ext>
          </a:extLst>
        </xdr:cNvPr>
        <xdr:cNvSpPr/>
      </xdr:nvSpPr>
      <xdr:spPr>
        <a:xfrm>
          <a:off x="10344150" y="866775"/>
          <a:ext cx="895350" cy="295275"/>
        </a:xfrm>
        <a:prstGeom prst="roundRect">
          <a:avLst/>
        </a:prstGeom>
        <a:solidFill>
          <a:srgbClr val="7030A0"/>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GB" sz="1100"/>
            <a:t>Q1,  2013</a:t>
          </a:r>
        </a:p>
      </xdr:txBody>
    </xdr:sp>
    <xdr:clientData/>
  </xdr:twoCellAnchor>
  <xdr:twoCellAnchor>
    <xdr:from>
      <xdr:col>17</xdr:col>
      <xdr:colOff>0</xdr:colOff>
      <xdr:row>7</xdr:row>
      <xdr:rowOff>114300</xdr:rowOff>
    </xdr:from>
    <xdr:to>
      <xdr:col>18</xdr:col>
      <xdr:colOff>285750</xdr:colOff>
      <xdr:row>9</xdr:row>
      <xdr:rowOff>85725</xdr:rowOff>
    </xdr:to>
    <xdr:sp macro="" textlink="">
      <xdr:nvSpPr>
        <xdr:cNvPr id="3" name="Rounded Rectangle 2">
          <a:hlinkClick xmlns:r="http://schemas.openxmlformats.org/officeDocument/2006/relationships" r:id="rId2"/>
          <a:extLst>
            <a:ext uri="{FF2B5EF4-FFF2-40B4-BE49-F238E27FC236}">
              <a16:creationId xmlns:a16="http://schemas.microsoft.com/office/drawing/2014/main" id="{00000000-0008-0000-0200-000003000000}"/>
            </a:ext>
          </a:extLst>
        </xdr:cNvPr>
        <xdr:cNvSpPr/>
      </xdr:nvSpPr>
      <xdr:spPr>
        <a:xfrm>
          <a:off x="10363200" y="1247775"/>
          <a:ext cx="895350" cy="295275"/>
        </a:xfrm>
        <a:prstGeom prst="roundRect">
          <a:avLst/>
        </a:prstGeom>
        <a:solidFill>
          <a:srgbClr val="7030A0"/>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GB" sz="1100"/>
            <a:t>Q2,  2013</a:t>
          </a:r>
        </a:p>
      </xdr:txBody>
    </xdr:sp>
    <xdr:clientData/>
  </xdr:twoCellAnchor>
  <xdr:twoCellAnchor>
    <xdr:from>
      <xdr:col>17</xdr:col>
      <xdr:colOff>19050</xdr:colOff>
      <xdr:row>10</xdr:row>
      <xdr:rowOff>19050</xdr:rowOff>
    </xdr:from>
    <xdr:to>
      <xdr:col>18</xdr:col>
      <xdr:colOff>304800</xdr:colOff>
      <xdr:row>11</xdr:row>
      <xdr:rowOff>152400</xdr:rowOff>
    </xdr:to>
    <xdr:sp macro="" textlink="">
      <xdr:nvSpPr>
        <xdr:cNvPr id="5" name="Rounded Rectangle 4">
          <a:hlinkClick xmlns:r="http://schemas.openxmlformats.org/officeDocument/2006/relationships" r:id="rId3"/>
          <a:extLst>
            <a:ext uri="{FF2B5EF4-FFF2-40B4-BE49-F238E27FC236}">
              <a16:creationId xmlns:a16="http://schemas.microsoft.com/office/drawing/2014/main" id="{00000000-0008-0000-0200-000005000000}"/>
            </a:ext>
          </a:extLst>
        </xdr:cNvPr>
        <xdr:cNvSpPr/>
      </xdr:nvSpPr>
      <xdr:spPr>
        <a:xfrm>
          <a:off x="10382250" y="1638300"/>
          <a:ext cx="895350" cy="295275"/>
        </a:xfrm>
        <a:prstGeom prst="roundRect">
          <a:avLst/>
        </a:prstGeom>
        <a:solidFill>
          <a:srgbClr val="7030A0"/>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GB" sz="1100"/>
            <a:t>Q3,  2013</a:t>
          </a:r>
        </a:p>
      </xdr:txBody>
    </xdr:sp>
    <xdr:clientData/>
  </xdr:twoCellAnchor>
  <xdr:twoCellAnchor>
    <xdr:from>
      <xdr:col>17</xdr:col>
      <xdr:colOff>9525</xdr:colOff>
      <xdr:row>12</xdr:row>
      <xdr:rowOff>66675</xdr:rowOff>
    </xdr:from>
    <xdr:to>
      <xdr:col>18</xdr:col>
      <xdr:colOff>295275</xdr:colOff>
      <xdr:row>14</xdr:row>
      <xdr:rowOff>38100</xdr:rowOff>
    </xdr:to>
    <xdr:sp macro="" textlink="">
      <xdr:nvSpPr>
        <xdr:cNvPr id="6" name="Rounded Rectangle 5">
          <a:hlinkClick xmlns:r="http://schemas.openxmlformats.org/officeDocument/2006/relationships" r:id="rId4"/>
          <a:extLst>
            <a:ext uri="{FF2B5EF4-FFF2-40B4-BE49-F238E27FC236}">
              <a16:creationId xmlns:a16="http://schemas.microsoft.com/office/drawing/2014/main" id="{00000000-0008-0000-0200-000006000000}"/>
            </a:ext>
          </a:extLst>
        </xdr:cNvPr>
        <xdr:cNvSpPr/>
      </xdr:nvSpPr>
      <xdr:spPr>
        <a:xfrm>
          <a:off x="10372725" y="2009775"/>
          <a:ext cx="895350" cy="295275"/>
        </a:xfrm>
        <a:prstGeom prst="roundRect">
          <a:avLst/>
        </a:prstGeom>
        <a:solidFill>
          <a:srgbClr val="7030A0"/>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GB" sz="1100"/>
            <a:t>Q4,  2013</a:t>
          </a:r>
        </a:p>
      </xdr:txBody>
    </xdr:sp>
    <xdr:clientData/>
  </xdr:twoCellAnchor>
  <xdr:twoCellAnchor>
    <xdr:from>
      <xdr:col>15</xdr:col>
      <xdr:colOff>190500</xdr:colOff>
      <xdr:row>5</xdr:row>
      <xdr:rowOff>66675</xdr:rowOff>
    </xdr:from>
    <xdr:to>
      <xdr:col>16</xdr:col>
      <xdr:colOff>476250</xdr:colOff>
      <xdr:row>7</xdr:row>
      <xdr:rowOff>38100</xdr:rowOff>
    </xdr:to>
    <xdr:sp macro="" textlink="">
      <xdr:nvSpPr>
        <xdr:cNvPr id="8" name="Rounded Rectangle 7">
          <a:hlinkClick xmlns:r="http://schemas.openxmlformats.org/officeDocument/2006/relationships" r:id="rId5"/>
          <a:extLst>
            <a:ext uri="{FF2B5EF4-FFF2-40B4-BE49-F238E27FC236}">
              <a16:creationId xmlns:a16="http://schemas.microsoft.com/office/drawing/2014/main" id="{00000000-0008-0000-0200-000008000000}"/>
            </a:ext>
          </a:extLst>
        </xdr:cNvPr>
        <xdr:cNvSpPr/>
      </xdr:nvSpPr>
      <xdr:spPr>
        <a:xfrm>
          <a:off x="9334500" y="876300"/>
          <a:ext cx="895350" cy="295275"/>
        </a:xfrm>
        <a:prstGeom prst="roundRect">
          <a:avLst/>
        </a:prstGeom>
        <a:solidFill>
          <a:srgbClr val="7030A0"/>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GB" sz="1100"/>
            <a:t>Q1,  2014</a:t>
          </a:r>
        </a:p>
      </xdr:txBody>
    </xdr:sp>
    <xdr:clientData/>
  </xdr:twoCellAnchor>
  <xdr:twoCellAnchor>
    <xdr:from>
      <xdr:col>15</xdr:col>
      <xdr:colOff>200025</xdr:colOff>
      <xdr:row>7</xdr:row>
      <xdr:rowOff>123825</xdr:rowOff>
    </xdr:from>
    <xdr:to>
      <xdr:col>16</xdr:col>
      <xdr:colOff>485775</xdr:colOff>
      <xdr:row>9</xdr:row>
      <xdr:rowOff>95250</xdr:rowOff>
    </xdr:to>
    <xdr:sp macro="" textlink="">
      <xdr:nvSpPr>
        <xdr:cNvPr id="9" name="Rounded Rectangle 8">
          <a:hlinkClick xmlns:r="http://schemas.openxmlformats.org/officeDocument/2006/relationships" r:id="rId6"/>
          <a:extLst>
            <a:ext uri="{FF2B5EF4-FFF2-40B4-BE49-F238E27FC236}">
              <a16:creationId xmlns:a16="http://schemas.microsoft.com/office/drawing/2014/main" id="{00000000-0008-0000-0200-000009000000}"/>
            </a:ext>
          </a:extLst>
        </xdr:cNvPr>
        <xdr:cNvSpPr/>
      </xdr:nvSpPr>
      <xdr:spPr>
        <a:xfrm>
          <a:off x="9344025" y="1257300"/>
          <a:ext cx="895350" cy="295275"/>
        </a:xfrm>
        <a:prstGeom prst="roundRect">
          <a:avLst/>
        </a:prstGeom>
        <a:solidFill>
          <a:srgbClr val="7030A0"/>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GB" sz="1100"/>
            <a:t>Q2,  2014</a:t>
          </a:r>
        </a:p>
      </xdr:txBody>
    </xdr:sp>
    <xdr:clientData/>
  </xdr:twoCellAnchor>
  <xdr:twoCellAnchor>
    <xdr:from>
      <xdr:col>15</xdr:col>
      <xdr:colOff>219075</xdr:colOff>
      <xdr:row>10</xdr:row>
      <xdr:rowOff>19050</xdr:rowOff>
    </xdr:from>
    <xdr:to>
      <xdr:col>16</xdr:col>
      <xdr:colOff>504825</xdr:colOff>
      <xdr:row>11</xdr:row>
      <xdr:rowOff>152400</xdr:rowOff>
    </xdr:to>
    <xdr:sp macro="" textlink="">
      <xdr:nvSpPr>
        <xdr:cNvPr id="11" name="Rounded Rectangle 10">
          <a:hlinkClick xmlns:r="http://schemas.openxmlformats.org/officeDocument/2006/relationships" r:id="rId7"/>
          <a:extLst>
            <a:ext uri="{FF2B5EF4-FFF2-40B4-BE49-F238E27FC236}">
              <a16:creationId xmlns:a16="http://schemas.microsoft.com/office/drawing/2014/main" id="{00000000-0008-0000-0200-00000B000000}"/>
            </a:ext>
          </a:extLst>
        </xdr:cNvPr>
        <xdr:cNvSpPr/>
      </xdr:nvSpPr>
      <xdr:spPr>
        <a:xfrm>
          <a:off x="9363075" y="1638300"/>
          <a:ext cx="895350" cy="295275"/>
        </a:xfrm>
        <a:prstGeom prst="roundRect">
          <a:avLst/>
        </a:prstGeom>
        <a:solidFill>
          <a:srgbClr val="7030A0"/>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GB" sz="1100"/>
            <a:t>Q3,  2014</a:t>
          </a:r>
        </a:p>
      </xdr:txBody>
    </xdr:sp>
    <xdr:clientData/>
  </xdr:twoCellAnchor>
  <xdr:twoCellAnchor>
    <xdr:from>
      <xdr:col>15</xdr:col>
      <xdr:colOff>219075</xdr:colOff>
      <xdr:row>12</xdr:row>
      <xdr:rowOff>66675</xdr:rowOff>
    </xdr:from>
    <xdr:to>
      <xdr:col>16</xdr:col>
      <xdr:colOff>504825</xdr:colOff>
      <xdr:row>14</xdr:row>
      <xdr:rowOff>38100</xdr:rowOff>
    </xdr:to>
    <xdr:sp macro="" textlink="">
      <xdr:nvSpPr>
        <xdr:cNvPr id="13" name="Rounded Rectangle 12">
          <a:hlinkClick xmlns:r="http://schemas.openxmlformats.org/officeDocument/2006/relationships" r:id="rId8"/>
          <a:extLst>
            <a:ext uri="{FF2B5EF4-FFF2-40B4-BE49-F238E27FC236}">
              <a16:creationId xmlns:a16="http://schemas.microsoft.com/office/drawing/2014/main" id="{00000000-0008-0000-0200-00000D000000}"/>
            </a:ext>
          </a:extLst>
        </xdr:cNvPr>
        <xdr:cNvSpPr/>
      </xdr:nvSpPr>
      <xdr:spPr>
        <a:xfrm>
          <a:off x="9363075" y="2009775"/>
          <a:ext cx="895350" cy="295275"/>
        </a:xfrm>
        <a:prstGeom prst="roundRect">
          <a:avLst/>
        </a:prstGeom>
        <a:solidFill>
          <a:srgbClr val="7030A0"/>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GB" sz="1100"/>
            <a:t>Q4,  2014</a:t>
          </a:r>
        </a:p>
      </xdr:txBody>
    </xdr:sp>
    <xdr:clientData/>
  </xdr:twoCellAnchor>
  <xdr:twoCellAnchor>
    <xdr:from>
      <xdr:col>13</xdr:col>
      <xdr:colOff>428625</xdr:colOff>
      <xdr:row>5</xdr:row>
      <xdr:rowOff>76200</xdr:rowOff>
    </xdr:from>
    <xdr:to>
      <xdr:col>15</xdr:col>
      <xdr:colOff>104775</xdr:colOff>
      <xdr:row>7</xdr:row>
      <xdr:rowOff>47625</xdr:rowOff>
    </xdr:to>
    <xdr:sp macro="" textlink="">
      <xdr:nvSpPr>
        <xdr:cNvPr id="15" name="Rounded Rectangle 14">
          <a:hlinkClick xmlns:r="http://schemas.openxmlformats.org/officeDocument/2006/relationships" r:id="rId9"/>
          <a:extLst>
            <a:ext uri="{FF2B5EF4-FFF2-40B4-BE49-F238E27FC236}">
              <a16:creationId xmlns:a16="http://schemas.microsoft.com/office/drawing/2014/main" id="{00000000-0008-0000-0200-00000F000000}"/>
            </a:ext>
          </a:extLst>
        </xdr:cNvPr>
        <xdr:cNvSpPr/>
      </xdr:nvSpPr>
      <xdr:spPr>
        <a:xfrm>
          <a:off x="8353425" y="885825"/>
          <a:ext cx="895350" cy="295275"/>
        </a:xfrm>
        <a:prstGeom prst="roundRect">
          <a:avLst/>
        </a:prstGeom>
        <a:solidFill>
          <a:srgbClr val="7030A0"/>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GB" sz="1100"/>
            <a:t>Q1,  2015</a:t>
          </a:r>
        </a:p>
      </xdr:txBody>
    </xdr:sp>
    <xdr:clientData/>
  </xdr:twoCellAnchor>
  <xdr:twoCellAnchor>
    <xdr:from>
      <xdr:col>12</xdr:col>
      <xdr:colOff>66675</xdr:colOff>
      <xdr:row>5</xdr:row>
      <xdr:rowOff>76200</xdr:rowOff>
    </xdr:from>
    <xdr:to>
      <xdr:col>13</xdr:col>
      <xdr:colOff>352425</xdr:colOff>
      <xdr:row>7</xdr:row>
      <xdr:rowOff>47625</xdr:rowOff>
    </xdr:to>
    <xdr:sp macro="" textlink="">
      <xdr:nvSpPr>
        <xdr:cNvPr id="17" name="Rounded Rectangle 16">
          <a:hlinkClick xmlns:r="http://schemas.openxmlformats.org/officeDocument/2006/relationships" r:id="rId10"/>
          <a:extLst>
            <a:ext uri="{FF2B5EF4-FFF2-40B4-BE49-F238E27FC236}">
              <a16:creationId xmlns:a16="http://schemas.microsoft.com/office/drawing/2014/main" id="{00000000-0008-0000-0200-000011000000}"/>
            </a:ext>
          </a:extLst>
        </xdr:cNvPr>
        <xdr:cNvSpPr/>
      </xdr:nvSpPr>
      <xdr:spPr>
        <a:xfrm>
          <a:off x="7381875" y="885825"/>
          <a:ext cx="895350" cy="295275"/>
        </a:xfrm>
        <a:prstGeom prst="roundRect">
          <a:avLst/>
        </a:prstGeom>
        <a:solidFill>
          <a:srgbClr val="7030A0"/>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GB" sz="1100"/>
            <a:t>Q1,  2016</a:t>
          </a:r>
        </a:p>
      </xdr:txBody>
    </xdr:sp>
    <xdr:clientData/>
  </xdr:twoCellAnchor>
  <xdr:twoCellAnchor>
    <xdr:from>
      <xdr:col>12</xdr:col>
      <xdr:colOff>76200</xdr:colOff>
      <xdr:row>7</xdr:row>
      <xdr:rowOff>133350</xdr:rowOff>
    </xdr:from>
    <xdr:to>
      <xdr:col>13</xdr:col>
      <xdr:colOff>361950</xdr:colOff>
      <xdr:row>9</xdr:row>
      <xdr:rowOff>104775</xdr:rowOff>
    </xdr:to>
    <xdr:sp macro="" textlink="">
      <xdr:nvSpPr>
        <xdr:cNvPr id="19" name="Rounded Rectangle 18">
          <a:hlinkClick xmlns:r="http://schemas.openxmlformats.org/officeDocument/2006/relationships" r:id="rId11"/>
          <a:extLst>
            <a:ext uri="{FF2B5EF4-FFF2-40B4-BE49-F238E27FC236}">
              <a16:creationId xmlns:a16="http://schemas.microsoft.com/office/drawing/2014/main" id="{00000000-0008-0000-0200-000013000000}"/>
            </a:ext>
          </a:extLst>
        </xdr:cNvPr>
        <xdr:cNvSpPr/>
      </xdr:nvSpPr>
      <xdr:spPr>
        <a:xfrm>
          <a:off x="7391400" y="1266825"/>
          <a:ext cx="895350" cy="295275"/>
        </a:xfrm>
        <a:prstGeom prst="roundRect">
          <a:avLst/>
        </a:prstGeom>
        <a:solidFill>
          <a:srgbClr val="7030A0"/>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GB" sz="1100"/>
            <a:t>Q2,  2016</a:t>
          </a:r>
        </a:p>
      </xdr:txBody>
    </xdr:sp>
    <xdr:clientData/>
  </xdr:twoCellAnchor>
  <xdr:twoCellAnchor>
    <xdr:from>
      <xdr:col>12</xdr:col>
      <xdr:colOff>66675</xdr:colOff>
      <xdr:row>10</xdr:row>
      <xdr:rowOff>38100</xdr:rowOff>
    </xdr:from>
    <xdr:to>
      <xdr:col>13</xdr:col>
      <xdr:colOff>352425</xdr:colOff>
      <xdr:row>12</xdr:row>
      <xdr:rowOff>9525</xdr:rowOff>
    </xdr:to>
    <xdr:sp macro="" textlink="">
      <xdr:nvSpPr>
        <xdr:cNvPr id="21" name="Rounded Rectangle 20">
          <a:hlinkClick xmlns:r="http://schemas.openxmlformats.org/officeDocument/2006/relationships" r:id="rId12"/>
          <a:extLst>
            <a:ext uri="{FF2B5EF4-FFF2-40B4-BE49-F238E27FC236}">
              <a16:creationId xmlns:a16="http://schemas.microsoft.com/office/drawing/2014/main" id="{00000000-0008-0000-0200-000015000000}"/>
            </a:ext>
          </a:extLst>
        </xdr:cNvPr>
        <xdr:cNvSpPr/>
      </xdr:nvSpPr>
      <xdr:spPr>
        <a:xfrm>
          <a:off x="7381875" y="1657350"/>
          <a:ext cx="895350" cy="295275"/>
        </a:xfrm>
        <a:prstGeom prst="roundRect">
          <a:avLst/>
        </a:prstGeom>
        <a:solidFill>
          <a:srgbClr val="7030A0"/>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GB" sz="1100"/>
            <a:t>Q3,  2016</a:t>
          </a:r>
        </a:p>
      </xdr:txBody>
    </xdr:sp>
    <xdr:clientData/>
  </xdr:twoCellAnchor>
  <xdr:twoCellAnchor>
    <xdr:from>
      <xdr:col>12</xdr:col>
      <xdr:colOff>95250</xdr:colOff>
      <xdr:row>12</xdr:row>
      <xdr:rowOff>85725</xdr:rowOff>
    </xdr:from>
    <xdr:to>
      <xdr:col>13</xdr:col>
      <xdr:colOff>381000</xdr:colOff>
      <xdr:row>14</xdr:row>
      <xdr:rowOff>57150</xdr:rowOff>
    </xdr:to>
    <xdr:sp macro="" textlink="">
      <xdr:nvSpPr>
        <xdr:cNvPr id="23" name="Rounded Rectangle 22">
          <a:hlinkClick xmlns:r="http://schemas.openxmlformats.org/officeDocument/2006/relationships" r:id="rId13"/>
          <a:extLst>
            <a:ext uri="{FF2B5EF4-FFF2-40B4-BE49-F238E27FC236}">
              <a16:creationId xmlns:a16="http://schemas.microsoft.com/office/drawing/2014/main" id="{00000000-0008-0000-0200-000017000000}"/>
            </a:ext>
          </a:extLst>
        </xdr:cNvPr>
        <xdr:cNvSpPr/>
      </xdr:nvSpPr>
      <xdr:spPr>
        <a:xfrm>
          <a:off x="7410450" y="2028825"/>
          <a:ext cx="895350" cy="295275"/>
        </a:xfrm>
        <a:prstGeom prst="roundRect">
          <a:avLst/>
        </a:prstGeom>
        <a:solidFill>
          <a:srgbClr val="7030A0"/>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GB" sz="1100"/>
            <a:t>Q4,  2016</a:t>
          </a:r>
        </a:p>
      </xdr:txBody>
    </xdr:sp>
    <xdr:clientData/>
  </xdr:twoCellAnchor>
  <xdr:twoCellAnchor>
    <xdr:from>
      <xdr:col>13</xdr:col>
      <xdr:colOff>447675</xdr:colOff>
      <xdr:row>7</xdr:row>
      <xdr:rowOff>133350</xdr:rowOff>
    </xdr:from>
    <xdr:to>
      <xdr:col>15</xdr:col>
      <xdr:colOff>123825</xdr:colOff>
      <xdr:row>9</xdr:row>
      <xdr:rowOff>104775</xdr:rowOff>
    </xdr:to>
    <xdr:sp macro="" textlink="">
      <xdr:nvSpPr>
        <xdr:cNvPr id="25" name="Rounded Rectangle 24">
          <a:hlinkClick xmlns:r="http://schemas.openxmlformats.org/officeDocument/2006/relationships" r:id="rId14"/>
          <a:extLst>
            <a:ext uri="{FF2B5EF4-FFF2-40B4-BE49-F238E27FC236}">
              <a16:creationId xmlns:a16="http://schemas.microsoft.com/office/drawing/2014/main" id="{00000000-0008-0000-0200-000019000000}"/>
            </a:ext>
          </a:extLst>
        </xdr:cNvPr>
        <xdr:cNvSpPr/>
      </xdr:nvSpPr>
      <xdr:spPr>
        <a:xfrm>
          <a:off x="8372475" y="1266825"/>
          <a:ext cx="895350" cy="295275"/>
        </a:xfrm>
        <a:prstGeom prst="roundRect">
          <a:avLst/>
        </a:prstGeom>
        <a:solidFill>
          <a:srgbClr val="7030A0"/>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GB" sz="1100"/>
            <a:t>Q2,  2015</a:t>
          </a:r>
        </a:p>
      </xdr:txBody>
    </xdr:sp>
    <xdr:clientData/>
  </xdr:twoCellAnchor>
  <xdr:twoCellAnchor>
    <xdr:from>
      <xdr:col>13</xdr:col>
      <xdr:colOff>457200</xdr:colOff>
      <xdr:row>10</xdr:row>
      <xdr:rowOff>28575</xdr:rowOff>
    </xdr:from>
    <xdr:to>
      <xdr:col>15</xdr:col>
      <xdr:colOff>133350</xdr:colOff>
      <xdr:row>12</xdr:row>
      <xdr:rowOff>0</xdr:rowOff>
    </xdr:to>
    <xdr:sp macro="" textlink="">
      <xdr:nvSpPr>
        <xdr:cNvPr id="26" name="Rounded Rectangle 25">
          <a:hlinkClick xmlns:r="http://schemas.openxmlformats.org/officeDocument/2006/relationships" r:id="rId15"/>
          <a:extLst>
            <a:ext uri="{FF2B5EF4-FFF2-40B4-BE49-F238E27FC236}">
              <a16:creationId xmlns:a16="http://schemas.microsoft.com/office/drawing/2014/main" id="{00000000-0008-0000-0200-00001A000000}"/>
            </a:ext>
          </a:extLst>
        </xdr:cNvPr>
        <xdr:cNvSpPr/>
      </xdr:nvSpPr>
      <xdr:spPr>
        <a:xfrm>
          <a:off x="8382000" y="1647825"/>
          <a:ext cx="895350" cy="295275"/>
        </a:xfrm>
        <a:prstGeom prst="roundRect">
          <a:avLst/>
        </a:prstGeom>
        <a:solidFill>
          <a:srgbClr val="7030A0"/>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GB" sz="1100"/>
            <a:t>Q3,  2015</a:t>
          </a:r>
        </a:p>
      </xdr:txBody>
    </xdr:sp>
    <xdr:clientData/>
  </xdr:twoCellAnchor>
  <xdr:twoCellAnchor>
    <xdr:from>
      <xdr:col>13</xdr:col>
      <xdr:colOff>476250</xdr:colOff>
      <xdr:row>12</xdr:row>
      <xdr:rowOff>76200</xdr:rowOff>
    </xdr:from>
    <xdr:to>
      <xdr:col>15</xdr:col>
      <xdr:colOff>152400</xdr:colOff>
      <xdr:row>14</xdr:row>
      <xdr:rowOff>47625</xdr:rowOff>
    </xdr:to>
    <xdr:sp macro="" textlink="">
      <xdr:nvSpPr>
        <xdr:cNvPr id="28" name="Rounded Rectangle 27">
          <a:hlinkClick xmlns:r="http://schemas.openxmlformats.org/officeDocument/2006/relationships" r:id="rId16"/>
          <a:extLst>
            <a:ext uri="{FF2B5EF4-FFF2-40B4-BE49-F238E27FC236}">
              <a16:creationId xmlns:a16="http://schemas.microsoft.com/office/drawing/2014/main" id="{00000000-0008-0000-0200-00001C000000}"/>
            </a:ext>
          </a:extLst>
        </xdr:cNvPr>
        <xdr:cNvSpPr/>
      </xdr:nvSpPr>
      <xdr:spPr>
        <a:xfrm>
          <a:off x="8401050" y="2019300"/>
          <a:ext cx="895350" cy="295275"/>
        </a:xfrm>
        <a:prstGeom prst="roundRect">
          <a:avLst/>
        </a:prstGeom>
        <a:solidFill>
          <a:srgbClr val="7030A0"/>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GB" sz="1100"/>
            <a:t>Q4,  2015</a:t>
          </a:r>
        </a:p>
      </xdr:txBody>
    </xdr:sp>
    <xdr:clientData/>
  </xdr:twoCellAnchor>
  <xdr:twoCellAnchor>
    <xdr:from>
      <xdr:col>10</xdr:col>
      <xdr:colOff>314325</xdr:colOff>
      <xdr:row>5</xdr:row>
      <xdr:rowOff>76200</xdr:rowOff>
    </xdr:from>
    <xdr:to>
      <xdr:col>11</xdr:col>
      <xdr:colOff>600075</xdr:colOff>
      <xdr:row>7</xdr:row>
      <xdr:rowOff>47625</xdr:rowOff>
    </xdr:to>
    <xdr:sp macro="" textlink="">
      <xdr:nvSpPr>
        <xdr:cNvPr id="30" name="Rounded Rectangle 29">
          <a:hlinkClick xmlns:r="http://schemas.openxmlformats.org/officeDocument/2006/relationships" r:id="rId17"/>
          <a:extLst>
            <a:ext uri="{FF2B5EF4-FFF2-40B4-BE49-F238E27FC236}">
              <a16:creationId xmlns:a16="http://schemas.microsoft.com/office/drawing/2014/main" id="{00000000-0008-0000-0200-00001E000000}"/>
            </a:ext>
          </a:extLst>
        </xdr:cNvPr>
        <xdr:cNvSpPr/>
      </xdr:nvSpPr>
      <xdr:spPr>
        <a:xfrm>
          <a:off x="6410325" y="885825"/>
          <a:ext cx="895350" cy="295275"/>
        </a:xfrm>
        <a:prstGeom prst="roundRect">
          <a:avLst/>
        </a:prstGeom>
        <a:solidFill>
          <a:srgbClr val="7030A0"/>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GB" sz="1100"/>
            <a:t>Q1,  2017</a:t>
          </a:r>
        </a:p>
      </xdr:txBody>
    </xdr:sp>
    <xdr:clientData/>
  </xdr:twoCellAnchor>
  <xdr:twoCellAnchor>
    <xdr:from>
      <xdr:col>10</xdr:col>
      <xdr:colOff>314325</xdr:colOff>
      <xdr:row>7</xdr:row>
      <xdr:rowOff>142875</xdr:rowOff>
    </xdr:from>
    <xdr:to>
      <xdr:col>11</xdr:col>
      <xdr:colOff>600075</xdr:colOff>
      <xdr:row>9</xdr:row>
      <xdr:rowOff>114300</xdr:rowOff>
    </xdr:to>
    <xdr:sp macro="" textlink="">
      <xdr:nvSpPr>
        <xdr:cNvPr id="32" name="Rounded Rectangle 31">
          <a:hlinkClick xmlns:r="http://schemas.openxmlformats.org/officeDocument/2006/relationships" r:id="rId18"/>
          <a:extLst>
            <a:ext uri="{FF2B5EF4-FFF2-40B4-BE49-F238E27FC236}">
              <a16:creationId xmlns:a16="http://schemas.microsoft.com/office/drawing/2014/main" id="{00000000-0008-0000-0200-000020000000}"/>
            </a:ext>
          </a:extLst>
        </xdr:cNvPr>
        <xdr:cNvSpPr/>
      </xdr:nvSpPr>
      <xdr:spPr>
        <a:xfrm>
          <a:off x="6410325" y="1276350"/>
          <a:ext cx="895350" cy="295275"/>
        </a:xfrm>
        <a:prstGeom prst="roundRect">
          <a:avLst/>
        </a:prstGeom>
        <a:solidFill>
          <a:srgbClr val="7030A0"/>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GB" sz="1100"/>
            <a:t>Q2,  2017</a:t>
          </a:r>
        </a:p>
      </xdr:txBody>
    </xdr:sp>
    <xdr:clientData/>
  </xdr:twoCellAnchor>
  <xdr:twoCellAnchor>
    <xdr:from>
      <xdr:col>10</xdr:col>
      <xdr:colOff>314325</xdr:colOff>
      <xdr:row>10</xdr:row>
      <xdr:rowOff>38100</xdr:rowOff>
    </xdr:from>
    <xdr:to>
      <xdr:col>11</xdr:col>
      <xdr:colOff>600075</xdr:colOff>
      <xdr:row>12</xdr:row>
      <xdr:rowOff>9525</xdr:rowOff>
    </xdr:to>
    <xdr:sp macro="" textlink="">
      <xdr:nvSpPr>
        <xdr:cNvPr id="33" name="Rounded Rectangle 32">
          <a:hlinkClick xmlns:r="http://schemas.openxmlformats.org/officeDocument/2006/relationships" r:id="rId19"/>
          <a:extLst>
            <a:ext uri="{FF2B5EF4-FFF2-40B4-BE49-F238E27FC236}">
              <a16:creationId xmlns:a16="http://schemas.microsoft.com/office/drawing/2014/main" id="{00000000-0008-0000-0200-000021000000}"/>
            </a:ext>
          </a:extLst>
        </xdr:cNvPr>
        <xdr:cNvSpPr/>
      </xdr:nvSpPr>
      <xdr:spPr>
        <a:xfrm>
          <a:off x="6410325" y="1657350"/>
          <a:ext cx="895350" cy="295275"/>
        </a:xfrm>
        <a:prstGeom prst="roundRect">
          <a:avLst/>
        </a:prstGeom>
        <a:solidFill>
          <a:srgbClr val="7030A0"/>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GB" sz="1100"/>
            <a:t>Q3,  2017</a:t>
          </a:r>
        </a:p>
      </xdr:txBody>
    </xdr:sp>
    <xdr:clientData/>
  </xdr:twoCellAnchor>
  <xdr:twoCellAnchor>
    <xdr:from>
      <xdr:col>10</xdr:col>
      <xdr:colOff>333375</xdr:colOff>
      <xdr:row>12</xdr:row>
      <xdr:rowOff>95250</xdr:rowOff>
    </xdr:from>
    <xdr:to>
      <xdr:col>12</xdr:col>
      <xdr:colOff>9525</xdr:colOff>
      <xdr:row>14</xdr:row>
      <xdr:rowOff>66675</xdr:rowOff>
    </xdr:to>
    <xdr:sp macro="" textlink="">
      <xdr:nvSpPr>
        <xdr:cNvPr id="35" name="Rounded Rectangle 34">
          <a:hlinkClick xmlns:r="http://schemas.openxmlformats.org/officeDocument/2006/relationships" r:id="rId20"/>
          <a:extLst>
            <a:ext uri="{FF2B5EF4-FFF2-40B4-BE49-F238E27FC236}">
              <a16:creationId xmlns:a16="http://schemas.microsoft.com/office/drawing/2014/main" id="{00000000-0008-0000-0200-000023000000}"/>
            </a:ext>
          </a:extLst>
        </xdr:cNvPr>
        <xdr:cNvSpPr/>
      </xdr:nvSpPr>
      <xdr:spPr>
        <a:xfrm>
          <a:off x="6429375" y="2038350"/>
          <a:ext cx="895350" cy="295275"/>
        </a:xfrm>
        <a:prstGeom prst="roundRect">
          <a:avLst/>
        </a:prstGeom>
        <a:solidFill>
          <a:srgbClr val="7030A0"/>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GB" sz="1100"/>
            <a:t>Q4,  2017</a:t>
          </a:r>
        </a:p>
      </xdr:txBody>
    </xdr:sp>
    <xdr:clientData/>
  </xdr:twoCellAnchor>
  <xdr:twoCellAnchor editAs="oneCell">
    <xdr:from>
      <xdr:col>0</xdr:col>
      <xdr:colOff>142875</xdr:colOff>
      <xdr:row>0</xdr:row>
      <xdr:rowOff>0</xdr:rowOff>
    </xdr:from>
    <xdr:to>
      <xdr:col>2</xdr:col>
      <xdr:colOff>219075</xdr:colOff>
      <xdr:row>3</xdr:row>
      <xdr:rowOff>47625</xdr:rowOff>
    </xdr:to>
    <xdr:pic>
      <xdr:nvPicPr>
        <xdr:cNvPr id="34941" name="ctl00_logo_imgImage" descr="National Insurance Commission">
          <a:extLst>
            <a:ext uri="{FF2B5EF4-FFF2-40B4-BE49-F238E27FC236}">
              <a16:creationId xmlns:a16="http://schemas.microsoft.com/office/drawing/2014/main" id="{00000000-0008-0000-0200-00007D880000}"/>
            </a:ext>
          </a:extLst>
        </xdr:cNvPr>
        <xdr:cNvPicPr>
          <a:picLocks noChangeAspect="1" noChangeArrowheads="1"/>
        </xdr:cNvPicPr>
      </xdr:nvPicPr>
      <xdr:blipFill>
        <a:blip xmlns:r="http://schemas.openxmlformats.org/officeDocument/2006/relationships" r:embed="rId21">
          <a:extLst>
            <a:ext uri="{28A0092B-C50C-407E-A947-70E740481C1C}">
              <a14:useLocalDpi xmlns:a14="http://schemas.microsoft.com/office/drawing/2010/main" val="0"/>
            </a:ext>
          </a:extLst>
        </a:blip>
        <a:srcRect/>
        <a:stretch>
          <a:fillRect/>
        </a:stretch>
      </xdr:blipFill>
      <xdr:spPr bwMode="auto">
        <a:xfrm>
          <a:off x="142875" y="0"/>
          <a:ext cx="1295400" cy="5334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8</xdr:col>
      <xdr:colOff>552450</xdr:colOff>
      <xdr:row>5</xdr:row>
      <xdr:rowOff>76200</xdr:rowOff>
    </xdr:from>
    <xdr:to>
      <xdr:col>10</xdr:col>
      <xdr:colOff>228600</xdr:colOff>
      <xdr:row>7</xdr:row>
      <xdr:rowOff>47625</xdr:rowOff>
    </xdr:to>
    <xdr:sp macro="" textlink="">
      <xdr:nvSpPr>
        <xdr:cNvPr id="24" name="Rounded Rectangle 23">
          <a:hlinkClick xmlns:r="http://schemas.openxmlformats.org/officeDocument/2006/relationships" r:id="rId22"/>
          <a:extLst>
            <a:ext uri="{FF2B5EF4-FFF2-40B4-BE49-F238E27FC236}">
              <a16:creationId xmlns:a16="http://schemas.microsoft.com/office/drawing/2014/main" id="{00000000-0008-0000-0200-000018000000}"/>
            </a:ext>
          </a:extLst>
        </xdr:cNvPr>
        <xdr:cNvSpPr/>
      </xdr:nvSpPr>
      <xdr:spPr>
        <a:xfrm>
          <a:off x="5429250" y="885825"/>
          <a:ext cx="895350" cy="295275"/>
        </a:xfrm>
        <a:prstGeom prst="roundRect">
          <a:avLst/>
        </a:prstGeom>
        <a:solidFill>
          <a:srgbClr val="7030A0"/>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GB" sz="1100"/>
            <a:t>Q1,  2018</a:t>
          </a:r>
        </a:p>
      </xdr:txBody>
    </xdr:sp>
    <xdr:clientData/>
  </xdr:twoCellAnchor>
  <xdr:twoCellAnchor>
    <xdr:from>
      <xdr:col>8</xdr:col>
      <xdr:colOff>552450</xdr:colOff>
      <xdr:row>7</xdr:row>
      <xdr:rowOff>142875</xdr:rowOff>
    </xdr:from>
    <xdr:to>
      <xdr:col>10</xdr:col>
      <xdr:colOff>228600</xdr:colOff>
      <xdr:row>9</xdr:row>
      <xdr:rowOff>114300</xdr:rowOff>
    </xdr:to>
    <xdr:sp macro="" textlink="">
      <xdr:nvSpPr>
        <xdr:cNvPr id="31" name="Rounded Rectangle 30">
          <a:hlinkClick xmlns:r="http://schemas.openxmlformats.org/officeDocument/2006/relationships" r:id="rId23"/>
          <a:extLst>
            <a:ext uri="{FF2B5EF4-FFF2-40B4-BE49-F238E27FC236}">
              <a16:creationId xmlns:a16="http://schemas.microsoft.com/office/drawing/2014/main" id="{00000000-0008-0000-0200-00001F000000}"/>
            </a:ext>
          </a:extLst>
        </xdr:cNvPr>
        <xdr:cNvSpPr/>
      </xdr:nvSpPr>
      <xdr:spPr>
        <a:xfrm>
          <a:off x="5429250" y="1276350"/>
          <a:ext cx="895350" cy="295275"/>
        </a:xfrm>
        <a:prstGeom prst="roundRect">
          <a:avLst/>
        </a:prstGeom>
        <a:solidFill>
          <a:srgbClr val="7030A0"/>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GB" sz="1100"/>
            <a:t>Q2,  2018</a:t>
          </a:r>
        </a:p>
      </xdr:txBody>
    </xdr:sp>
    <xdr:clientData/>
  </xdr:twoCellAnchor>
  <xdr:twoCellAnchor>
    <xdr:from>
      <xdr:col>8</xdr:col>
      <xdr:colOff>571500</xdr:colOff>
      <xdr:row>10</xdr:row>
      <xdr:rowOff>28575</xdr:rowOff>
    </xdr:from>
    <xdr:to>
      <xdr:col>10</xdr:col>
      <xdr:colOff>247650</xdr:colOff>
      <xdr:row>12</xdr:row>
      <xdr:rowOff>0</xdr:rowOff>
    </xdr:to>
    <xdr:sp macro="" textlink="">
      <xdr:nvSpPr>
        <xdr:cNvPr id="29" name="Rounded Rectangle 28">
          <a:hlinkClick xmlns:r="http://schemas.openxmlformats.org/officeDocument/2006/relationships" r:id="rId24"/>
          <a:extLst>
            <a:ext uri="{FF2B5EF4-FFF2-40B4-BE49-F238E27FC236}">
              <a16:creationId xmlns:a16="http://schemas.microsoft.com/office/drawing/2014/main" id="{00000000-0008-0000-0200-00001D000000}"/>
            </a:ext>
          </a:extLst>
        </xdr:cNvPr>
        <xdr:cNvSpPr/>
      </xdr:nvSpPr>
      <xdr:spPr>
        <a:xfrm>
          <a:off x="5448300" y="1647825"/>
          <a:ext cx="895350" cy="295275"/>
        </a:xfrm>
        <a:prstGeom prst="roundRect">
          <a:avLst/>
        </a:prstGeom>
        <a:solidFill>
          <a:srgbClr val="7030A0"/>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GB" sz="1100"/>
            <a:t>Q3,  2018</a:t>
          </a:r>
        </a:p>
      </xdr:txBody>
    </xdr:sp>
    <xdr:clientData/>
  </xdr:twoCellAnchor>
  <xdr:twoCellAnchor>
    <xdr:from>
      <xdr:col>8</xdr:col>
      <xdr:colOff>590550</xdr:colOff>
      <xdr:row>12</xdr:row>
      <xdr:rowOff>95250</xdr:rowOff>
    </xdr:from>
    <xdr:to>
      <xdr:col>10</xdr:col>
      <xdr:colOff>266700</xdr:colOff>
      <xdr:row>14</xdr:row>
      <xdr:rowOff>66675</xdr:rowOff>
    </xdr:to>
    <xdr:sp macro="" textlink="">
      <xdr:nvSpPr>
        <xdr:cNvPr id="36" name="Rounded Rectangle 35">
          <a:hlinkClick xmlns:r="http://schemas.openxmlformats.org/officeDocument/2006/relationships" r:id="rId25"/>
          <a:extLst>
            <a:ext uri="{FF2B5EF4-FFF2-40B4-BE49-F238E27FC236}">
              <a16:creationId xmlns:a16="http://schemas.microsoft.com/office/drawing/2014/main" id="{00000000-0008-0000-0200-000024000000}"/>
            </a:ext>
          </a:extLst>
        </xdr:cNvPr>
        <xdr:cNvSpPr/>
      </xdr:nvSpPr>
      <xdr:spPr>
        <a:xfrm>
          <a:off x="5467350" y="2038350"/>
          <a:ext cx="895350" cy="295275"/>
        </a:xfrm>
        <a:prstGeom prst="roundRect">
          <a:avLst/>
        </a:prstGeom>
        <a:solidFill>
          <a:srgbClr val="7030A0"/>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GB" sz="1100"/>
            <a:t>Q4,  2018</a:t>
          </a:r>
        </a:p>
      </xdr:txBody>
    </xdr:sp>
    <xdr:clientData/>
  </xdr:twoCellAnchor>
  <xdr:twoCellAnchor>
    <xdr:from>
      <xdr:col>7</xdr:col>
      <xdr:colOff>352425</xdr:colOff>
      <xdr:row>5</xdr:row>
      <xdr:rowOff>57150</xdr:rowOff>
    </xdr:from>
    <xdr:to>
      <xdr:col>8</xdr:col>
      <xdr:colOff>485775</xdr:colOff>
      <xdr:row>7</xdr:row>
      <xdr:rowOff>66675</xdr:rowOff>
    </xdr:to>
    <xdr:sp macro="" textlink="">
      <xdr:nvSpPr>
        <xdr:cNvPr id="34" name="Rounded Rectangle 33">
          <a:hlinkClick xmlns:r="http://schemas.openxmlformats.org/officeDocument/2006/relationships" r:id="rId26"/>
          <a:extLst>
            <a:ext uri="{FF2B5EF4-FFF2-40B4-BE49-F238E27FC236}">
              <a16:creationId xmlns:a16="http://schemas.microsoft.com/office/drawing/2014/main" id="{00000000-0008-0000-0200-000022000000}"/>
            </a:ext>
          </a:extLst>
        </xdr:cNvPr>
        <xdr:cNvSpPr/>
      </xdr:nvSpPr>
      <xdr:spPr>
        <a:xfrm>
          <a:off x="4619625" y="866775"/>
          <a:ext cx="742950" cy="333375"/>
        </a:xfrm>
        <a:prstGeom prst="roundRect">
          <a:avLst/>
        </a:prstGeom>
        <a:solidFill>
          <a:srgbClr val="7030A0"/>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GB" sz="1100"/>
            <a:t>Q1, 2019</a:t>
          </a:r>
        </a:p>
      </xdr:txBody>
    </xdr:sp>
    <xdr:clientData/>
  </xdr:twoCellAnchor>
  <xdr:twoCellAnchor>
    <xdr:from>
      <xdr:col>7</xdr:col>
      <xdr:colOff>352425</xdr:colOff>
      <xdr:row>7</xdr:row>
      <xdr:rowOff>133350</xdr:rowOff>
    </xdr:from>
    <xdr:to>
      <xdr:col>8</xdr:col>
      <xdr:colOff>485775</xdr:colOff>
      <xdr:row>9</xdr:row>
      <xdr:rowOff>142875</xdr:rowOff>
    </xdr:to>
    <xdr:sp macro="" textlink="">
      <xdr:nvSpPr>
        <xdr:cNvPr id="40" name="Rounded Rectangle 39">
          <a:hlinkClick xmlns:r="http://schemas.openxmlformats.org/officeDocument/2006/relationships" r:id="rId27"/>
          <a:extLst>
            <a:ext uri="{FF2B5EF4-FFF2-40B4-BE49-F238E27FC236}">
              <a16:creationId xmlns:a16="http://schemas.microsoft.com/office/drawing/2014/main" id="{00000000-0008-0000-0200-000028000000}"/>
            </a:ext>
          </a:extLst>
        </xdr:cNvPr>
        <xdr:cNvSpPr/>
      </xdr:nvSpPr>
      <xdr:spPr>
        <a:xfrm>
          <a:off x="4619625" y="1266825"/>
          <a:ext cx="742950" cy="333375"/>
        </a:xfrm>
        <a:prstGeom prst="roundRect">
          <a:avLst/>
        </a:prstGeom>
        <a:solidFill>
          <a:srgbClr val="7030A0"/>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GB" sz="1100"/>
            <a:t>Q2, 2019</a:t>
          </a:r>
        </a:p>
      </xdr:txBody>
    </xdr:sp>
    <xdr:clientData/>
  </xdr:twoCellAnchor>
  <xdr:twoCellAnchor>
    <xdr:from>
      <xdr:col>7</xdr:col>
      <xdr:colOff>314324</xdr:colOff>
      <xdr:row>10</xdr:row>
      <xdr:rowOff>47625</xdr:rowOff>
    </xdr:from>
    <xdr:to>
      <xdr:col>8</xdr:col>
      <xdr:colOff>495299</xdr:colOff>
      <xdr:row>12</xdr:row>
      <xdr:rowOff>19050</xdr:rowOff>
    </xdr:to>
    <xdr:sp macro="" textlink="">
      <xdr:nvSpPr>
        <xdr:cNvPr id="38" name="Rounded Rectangle 37">
          <a:hlinkClick xmlns:r="http://schemas.openxmlformats.org/officeDocument/2006/relationships" r:id="rId28"/>
          <a:extLst>
            <a:ext uri="{FF2B5EF4-FFF2-40B4-BE49-F238E27FC236}">
              <a16:creationId xmlns:a16="http://schemas.microsoft.com/office/drawing/2014/main" id="{00000000-0008-0000-0200-000026000000}"/>
            </a:ext>
          </a:extLst>
        </xdr:cNvPr>
        <xdr:cNvSpPr/>
      </xdr:nvSpPr>
      <xdr:spPr>
        <a:xfrm>
          <a:off x="4581524" y="1666875"/>
          <a:ext cx="790575" cy="295275"/>
        </a:xfrm>
        <a:prstGeom prst="roundRect">
          <a:avLst/>
        </a:prstGeom>
        <a:solidFill>
          <a:srgbClr val="7030A0"/>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GB" sz="1100"/>
            <a:t>Q3,  2019</a:t>
          </a:r>
        </a:p>
      </xdr:txBody>
    </xdr:sp>
    <xdr:clientData/>
  </xdr:twoCellAnchor>
  <xdr:twoCellAnchor>
    <xdr:from>
      <xdr:col>7</xdr:col>
      <xdr:colOff>323850</xdr:colOff>
      <xdr:row>12</xdr:row>
      <xdr:rowOff>104775</xdr:rowOff>
    </xdr:from>
    <xdr:to>
      <xdr:col>8</xdr:col>
      <xdr:colOff>504825</xdr:colOff>
      <xdr:row>14</xdr:row>
      <xdr:rowOff>76200</xdr:rowOff>
    </xdr:to>
    <xdr:sp macro="" textlink="">
      <xdr:nvSpPr>
        <xdr:cNvPr id="39" name="Rounded Rectangle 38">
          <a:hlinkClick xmlns:r="http://schemas.openxmlformats.org/officeDocument/2006/relationships" r:id="rId29"/>
          <a:extLst>
            <a:ext uri="{FF2B5EF4-FFF2-40B4-BE49-F238E27FC236}">
              <a16:creationId xmlns:a16="http://schemas.microsoft.com/office/drawing/2014/main" id="{00000000-0008-0000-0200-000027000000}"/>
            </a:ext>
          </a:extLst>
        </xdr:cNvPr>
        <xdr:cNvSpPr/>
      </xdr:nvSpPr>
      <xdr:spPr>
        <a:xfrm>
          <a:off x="4591050" y="2047875"/>
          <a:ext cx="790575" cy="295275"/>
        </a:xfrm>
        <a:prstGeom prst="roundRect">
          <a:avLst/>
        </a:prstGeom>
        <a:solidFill>
          <a:srgbClr val="7030A0"/>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GB" sz="1100"/>
            <a:t>Q4,  2019</a:t>
          </a:r>
        </a:p>
      </xdr:txBody>
    </xdr:sp>
    <xdr:clientData/>
  </xdr:twoCellAnchor>
  <xdr:twoCellAnchor>
    <xdr:from>
      <xdr:col>6</xdr:col>
      <xdr:colOff>152401</xdr:colOff>
      <xdr:row>5</xdr:row>
      <xdr:rowOff>57150</xdr:rowOff>
    </xdr:from>
    <xdr:to>
      <xdr:col>7</xdr:col>
      <xdr:colOff>266701</xdr:colOff>
      <xdr:row>7</xdr:row>
      <xdr:rowOff>66675</xdr:rowOff>
    </xdr:to>
    <xdr:sp macro="" textlink="">
      <xdr:nvSpPr>
        <xdr:cNvPr id="4" name="Rounded Rectangle 3">
          <a:hlinkClick xmlns:r="http://schemas.openxmlformats.org/officeDocument/2006/relationships" r:id="rId30"/>
          <a:extLst>
            <a:ext uri="{FF2B5EF4-FFF2-40B4-BE49-F238E27FC236}">
              <a16:creationId xmlns:a16="http://schemas.microsoft.com/office/drawing/2014/main" id="{00000000-0008-0000-0200-000004000000}"/>
            </a:ext>
          </a:extLst>
        </xdr:cNvPr>
        <xdr:cNvSpPr/>
      </xdr:nvSpPr>
      <xdr:spPr>
        <a:xfrm>
          <a:off x="3810001" y="866775"/>
          <a:ext cx="723900" cy="333375"/>
        </a:xfrm>
        <a:prstGeom prst="roundRect">
          <a:avLst/>
        </a:prstGeom>
        <a:solidFill>
          <a:srgbClr val="7030A0"/>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GB" sz="1100"/>
            <a:t>Q1,2020</a:t>
          </a:r>
        </a:p>
      </xdr:txBody>
    </xdr:sp>
    <xdr:clientData/>
  </xdr:twoCellAnchor>
  <xdr:twoCellAnchor>
    <xdr:from>
      <xdr:col>6</xdr:col>
      <xdr:colOff>142874</xdr:colOff>
      <xdr:row>7</xdr:row>
      <xdr:rowOff>142875</xdr:rowOff>
    </xdr:from>
    <xdr:to>
      <xdr:col>7</xdr:col>
      <xdr:colOff>285749</xdr:colOff>
      <xdr:row>9</xdr:row>
      <xdr:rowOff>133350</xdr:rowOff>
    </xdr:to>
    <xdr:sp macro="" textlink="">
      <xdr:nvSpPr>
        <xdr:cNvPr id="37" name="Rounded Rectangle 36">
          <a:hlinkClick xmlns:r="http://schemas.openxmlformats.org/officeDocument/2006/relationships" r:id="rId31"/>
          <a:extLst>
            <a:ext uri="{FF2B5EF4-FFF2-40B4-BE49-F238E27FC236}">
              <a16:creationId xmlns:a16="http://schemas.microsoft.com/office/drawing/2014/main" id="{00000000-0008-0000-0200-000025000000}"/>
            </a:ext>
          </a:extLst>
        </xdr:cNvPr>
        <xdr:cNvSpPr/>
      </xdr:nvSpPr>
      <xdr:spPr>
        <a:xfrm>
          <a:off x="3800474" y="1276350"/>
          <a:ext cx="752475" cy="314325"/>
        </a:xfrm>
        <a:prstGeom prst="roundRect">
          <a:avLst/>
        </a:prstGeom>
        <a:solidFill>
          <a:srgbClr val="7030A0"/>
        </a:solidFill>
        <a:ln w="12700" cap="flat" cmpd="sng" algn="ctr">
          <a:solidFill>
            <a:srgbClr val="5B9BD5">
              <a:shade val="50000"/>
            </a:srgbClr>
          </a:solidFill>
          <a:prstDash val="solid"/>
          <a:miter lim="800000"/>
        </a:ln>
        <a:effectLst/>
      </xdr:spPr>
      <xdr:txBody>
        <a:bodyPr vertOverflow="clip" horzOverflow="clip" rtlCol="0" anchor="t"/>
        <a:lstStyle/>
        <a:p>
          <a:pPr marL="0" marR="0" lvl="0" indent="0" algn="l" defTabSz="914400" eaLnBrk="1" fontAlgn="auto" latinLnBrk="0" hangingPunct="1">
            <a:lnSpc>
              <a:spcPct val="100000"/>
            </a:lnSpc>
            <a:spcBef>
              <a:spcPts val="0"/>
            </a:spcBef>
            <a:spcAft>
              <a:spcPts val="0"/>
            </a:spcAft>
            <a:buClrTx/>
            <a:buSzTx/>
            <a:buFontTx/>
            <a:buNone/>
            <a:tabLst/>
            <a:defRPr/>
          </a:pPr>
          <a:r>
            <a:rPr kumimoji="0" lang="en-GB" sz="1100" b="0" i="0" u="none" strike="noStrike" kern="0" cap="none" spc="0" normalizeH="0" baseline="0" noProof="0">
              <a:ln>
                <a:noFill/>
              </a:ln>
              <a:solidFill>
                <a:sysClr val="window" lastClr="FFFFFF"/>
              </a:solidFill>
              <a:effectLst/>
              <a:uLnTx/>
              <a:uFillTx/>
              <a:latin typeface="Calibri" panose="020F0502020204030204"/>
              <a:ea typeface="+mn-ea"/>
              <a:cs typeface="+mn-cs"/>
            </a:rPr>
            <a:t>Q2, 2020</a:t>
          </a:r>
        </a:p>
      </xdr:txBody>
    </xdr:sp>
    <xdr:clientData/>
  </xdr:twoCellAnchor>
  <xdr:twoCellAnchor>
    <xdr:from>
      <xdr:col>6</xdr:col>
      <xdr:colOff>123825</xdr:colOff>
      <xdr:row>10</xdr:row>
      <xdr:rowOff>47626</xdr:rowOff>
    </xdr:from>
    <xdr:to>
      <xdr:col>7</xdr:col>
      <xdr:colOff>257175</xdr:colOff>
      <xdr:row>12</xdr:row>
      <xdr:rowOff>9526</xdr:rowOff>
    </xdr:to>
    <xdr:sp macro="" textlink="">
      <xdr:nvSpPr>
        <xdr:cNvPr id="41" name="Rounded Rectangle 40">
          <a:hlinkClick xmlns:r="http://schemas.openxmlformats.org/officeDocument/2006/relationships" r:id="rId32"/>
          <a:extLst>
            <a:ext uri="{FF2B5EF4-FFF2-40B4-BE49-F238E27FC236}">
              <a16:creationId xmlns:a16="http://schemas.microsoft.com/office/drawing/2014/main" id="{00000000-0008-0000-0200-000029000000}"/>
            </a:ext>
          </a:extLst>
        </xdr:cNvPr>
        <xdr:cNvSpPr/>
      </xdr:nvSpPr>
      <xdr:spPr>
        <a:xfrm>
          <a:off x="3781425" y="1666876"/>
          <a:ext cx="742950" cy="285750"/>
        </a:xfrm>
        <a:prstGeom prst="roundRect">
          <a:avLst/>
        </a:prstGeom>
        <a:solidFill>
          <a:srgbClr val="7030A0"/>
        </a:solidFill>
        <a:ln w="12700" cap="flat" cmpd="sng" algn="ctr">
          <a:solidFill>
            <a:srgbClr val="5B9BD5">
              <a:shade val="50000"/>
            </a:srgbClr>
          </a:solidFill>
          <a:prstDash val="solid"/>
          <a:miter lim="800000"/>
        </a:ln>
        <a:effectLst/>
      </xdr:spPr>
      <xdr:txBody>
        <a:bodyPr vertOverflow="clip" horzOverflow="clip" rtlCol="0" anchor="t"/>
        <a:lstStyle/>
        <a:p>
          <a:pPr marL="0" marR="0" lvl="0" indent="0" algn="l" defTabSz="914400" eaLnBrk="1" fontAlgn="auto" latinLnBrk="0" hangingPunct="1">
            <a:lnSpc>
              <a:spcPct val="100000"/>
            </a:lnSpc>
            <a:spcBef>
              <a:spcPts val="0"/>
            </a:spcBef>
            <a:spcAft>
              <a:spcPts val="0"/>
            </a:spcAft>
            <a:buClrTx/>
            <a:buSzTx/>
            <a:buFontTx/>
            <a:buNone/>
            <a:tabLst/>
            <a:defRPr/>
          </a:pPr>
          <a:r>
            <a:rPr kumimoji="0" lang="en-GB" sz="1100" b="0" i="0" u="none" strike="noStrike" kern="0" cap="none" spc="0" normalizeH="0" baseline="0" noProof="0">
              <a:ln>
                <a:noFill/>
              </a:ln>
              <a:solidFill>
                <a:sysClr val="window" lastClr="FFFFFF"/>
              </a:solidFill>
              <a:effectLst/>
              <a:uLnTx/>
              <a:uFillTx/>
              <a:latin typeface="Calibri" panose="020F0502020204030204"/>
              <a:ea typeface="+mn-ea"/>
              <a:cs typeface="+mn-cs"/>
            </a:rPr>
            <a:t>Q3, 2020</a:t>
          </a:r>
        </a:p>
      </xdr:txBody>
    </xdr:sp>
    <xdr:clientData/>
  </xdr:twoCellAnchor>
  <xdr:twoCellAnchor>
    <xdr:from>
      <xdr:col>6</xdr:col>
      <xdr:colOff>114300</xdr:colOff>
      <xdr:row>12</xdr:row>
      <xdr:rowOff>66675</xdr:rowOff>
    </xdr:from>
    <xdr:to>
      <xdr:col>7</xdr:col>
      <xdr:colOff>247650</xdr:colOff>
      <xdr:row>14</xdr:row>
      <xdr:rowOff>95250</xdr:rowOff>
    </xdr:to>
    <xdr:sp macro="" textlink="">
      <xdr:nvSpPr>
        <xdr:cNvPr id="42" name="Rounded Rectangle 41">
          <a:hlinkClick xmlns:r="http://schemas.openxmlformats.org/officeDocument/2006/relationships" r:id="rId33"/>
          <a:extLst>
            <a:ext uri="{FF2B5EF4-FFF2-40B4-BE49-F238E27FC236}">
              <a16:creationId xmlns:a16="http://schemas.microsoft.com/office/drawing/2014/main" id="{00000000-0008-0000-0200-00002A000000}"/>
            </a:ext>
          </a:extLst>
        </xdr:cNvPr>
        <xdr:cNvSpPr/>
      </xdr:nvSpPr>
      <xdr:spPr>
        <a:xfrm>
          <a:off x="3771900" y="2009775"/>
          <a:ext cx="742950" cy="352425"/>
        </a:xfrm>
        <a:prstGeom prst="roundRect">
          <a:avLst/>
        </a:prstGeom>
        <a:solidFill>
          <a:srgbClr val="7030A0"/>
        </a:solidFill>
        <a:ln w="12700" cap="flat" cmpd="sng" algn="ctr">
          <a:solidFill>
            <a:srgbClr val="5B9BD5">
              <a:shade val="50000"/>
            </a:srgbClr>
          </a:solidFill>
          <a:prstDash val="solid"/>
          <a:miter lim="800000"/>
        </a:ln>
        <a:effectLst/>
      </xdr:spPr>
      <xdr:txBody>
        <a:bodyPr vertOverflow="clip" horzOverflow="clip" rtlCol="0" anchor="t"/>
        <a:lstStyle/>
        <a:p>
          <a:pPr marL="0" marR="0" lvl="0" indent="0" algn="l" defTabSz="914400" eaLnBrk="1" fontAlgn="auto" latinLnBrk="0" hangingPunct="1">
            <a:lnSpc>
              <a:spcPct val="100000"/>
            </a:lnSpc>
            <a:spcBef>
              <a:spcPts val="0"/>
            </a:spcBef>
            <a:spcAft>
              <a:spcPts val="0"/>
            </a:spcAft>
            <a:buClrTx/>
            <a:buSzTx/>
            <a:buFontTx/>
            <a:buNone/>
            <a:tabLst/>
            <a:defRPr/>
          </a:pPr>
          <a:r>
            <a:rPr kumimoji="0" lang="en-GB" sz="1100" b="0" i="0" u="none" strike="noStrike" kern="0" cap="none" spc="0" normalizeH="0" baseline="0" noProof="0">
              <a:ln>
                <a:noFill/>
              </a:ln>
              <a:solidFill>
                <a:sysClr val="window" lastClr="FFFFFF"/>
              </a:solidFill>
              <a:effectLst/>
              <a:uLnTx/>
              <a:uFillTx/>
              <a:latin typeface="Calibri" panose="020F0502020204030204"/>
              <a:ea typeface="+mn-ea"/>
              <a:cs typeface="+mn-cs"/>
            </a:rPr>
            <a:t>Q4, 2020</a:t>
          </a:r>
        </a:p>
      </xdr:txBody>
    </xdr:sp>
    <xdr:clientData/>
  </xdr:twoCellAnchor>
  <xdr:twoCellAnchor>
    <xdr:from>
      <xdr:col>4</xdr:col>
      <xdr:colOff>552450</xdr:colOff>
      <xdr:row>5</xdr:row>
      <xdr:rowOff>57150</xdr:rowOff>
    </xdr:from>
    <xdr:to>
      <xdr:col>6</xdr:col>
      <xdr:colOff>76200</xdr:colOff>
      <xdr:row>7</xdr:row>
      <xdr:rowOff>66675</xdr:rowOff>
    </xdr:to>
    <xdr:sp macro="" textlink="">
      <xdr:nvSpPr>
        <xdr:cNvPr id="43" name="Rounded Rectangle 42">
          <a:hlinkClick xmlns:r="http://schemas.openxmlformats.org/officeDocument/2006/relationships" r:id="rId34"/>
          <a:extLst>
            <a:ext uri="{FF2B5EF4-FFF2-40B4-BE49-F238E27FC236}">
              <a16:creationId xmlns:a16="http://schemas.microsoft.com/office/drawing/2014/main" id="{00000000-0008-0000-0200-00002B000000}"/>
            </a:ext>
          </a:extLst>
        </xdr:cNvPr>
        <xdr:cNvSpPr/>
      </xdr:nvSpPr>
      <xdr:spPr>
        <a:xfrm>
          <a:off x="2990850" y="866775"/>
          <a:ext cx="742950" cy="333375"/>
        </a:xfrm>
        <a:prstGeom prst="roundRect">
          <a:avLst/>
        </a:prstGeom>
        <a:solidFill>
          <a:srgbClr val="7030A0"/>
        </a:solidFill>
        <a:ln w="12700" cap="flat" cmpd="sng" algn="ctr">
          <a:solidFill>
            <a:srgbClr val="5B9BD5">
              <a:shade val="50000"/>
            </a:srgbClr>
          </a:solidFill>
          <a:prstDash val="solid"/>
          <a:miter lim="800000"/>
        </a:ln>
        <a:effectLst/>
      </xdr:spPr>
      <xdr:txBody>
        <a:bodyPr vertOverflow="clip" horzOverflow="clip" rtlCol="0" anchor="t"/>
        <a:lstStyle/>
        <a:p>
          <a:pPr marL="0" marR="0" lvl="0" indent="0" algn="l" defTabSz="914400" eaLnBrk="1" fontAlgn="auto" latinLnBrk="0" hangingPunct="1">
            <a:lnSpc>
              <a:spcPct val="100000"/>
            </a:lnSpc>
            <a:spcBef>
              <a:spcPts val="0"/>
            </a:spcBef>
            <a:spcAft>
              <a:spcPts val="0"/>
            </a:spcAft>
            <a:buClrTx/>
            <a:buSzTx/>
            <a:buFontTx/>
            <a:buNone/>
            <a:tabLst/>
            <a:defRPr/>
          </a:pPr>
          <a:r>
            <a:rPr kumimoji="0" lang="en-GB" sz="1100" b="0" i="0" u="none" strike="noStrike" kern="0" cap="none" spc="0" normalizeH="0" baseline="0" noProof="0">
              <a:ln>
                <a:noFill/>
              </a:ln>
              <a:solidFill>
                <a:sysClr val="window" lastClr="FFFFFF"/>
              </a:solidFill>
              <a:effectLst/>
              <a:uLnTx/>
              <a:uFillTx/>
              <a:latin typeface="Calibri" panose="020F0502020204030204"/>
              <a:ea typeface="+mn-ea"/>
              <a:cs typeface="+mn-cs"/>
            </a:rPr>
            <a:t>Q1, 2021</a:t>
          </a:r>
        </a:p>
      </xdr:txBody>
    </xdr:sp>
    <xdr:clientData/>
  </xdr:twoCellAnchor>
  <xdr:twoCellAnchor>
    <xdr:from>
      <xdr:col>4</xdr:col>
      <xdr:colOff>561975</xdr:colOff>
      <xdr:row>7</xdr:row>
      <xdr:rowOff>133350</xdr:rowOff>
    </xdr:from>
    <xdr:to>
      <xdr:col>6</xdr:col>
      <xdr:colOff>85725</xdr:colOff>
      <xdr:row>9</xdr:row>
      <xdr:rowOff>142875</xdr:rowOff>
    </xdr:to>
    <xdr:sp macro="" textlink="">
      <xdr:nvSpPr>
        <xdr:cNvPr id="44" name="Rounded Rectangle 43">
          <a:hlinkClick xmlns:r="http://schemas.openxmlformats.org/officeDocument/2006/relationships" r:id="rId35"/>
          <a:extLst>
            <a:ext uri="{FF2B5EF4-FFF2-40B4-BE49-F238E27FC236}">
              <a16:creationId xmlns:a16="http://schemas.microsoft.com/office/drawing/2014/main" id="{00000000-0008-0000-0200-00002C000000}"/>
            </a:ext>
          </a:extLst>
        </xdr:cNvPr>
        <xdr:cNvSpPr/>
      </xdr:nvSpPr>
      <xdr:spPr>
        <a:xfrm>
          <a:off x="3000375" y="1266825"/>
          <a:ext cx="742950" cy="333375"/>
        </a:xfrm>
        <a:prstGeom prst="roundRect">
          <a:avLst/>
        </a:prstGeom>
        <a:solidFill>
          <a:srgbClr val="7030A0"/>
        </a:solidFill>
        <a:ln w="12700" cap="flat" cmpd="sng" algn="ctr">
          <a:solidFill>
            <a:srgbClr val="5B9BD5">
              <a:shade val="50000"/>
            </a:srgbClr>
          </a:solidFill>
          <a:prstDash val="solid"/>
          <a:miter lim="800000"/>
        </a:ln>
        <a:effectLst/>
      </xdr:spPr>
      <xdr:txBody>
        <a:bodyPr vertOverflow="clip" horzOverflow="clip" rtlCol="0" anchor="t"/>
        <a:lstStyle/>
        <a:p>
          <a:pPr marL="0" marR="0" lvl="0" indent="0" algn="l" defTabSz="914400" eaLnBrk="1" fontAlgn="auto" latinLnBrk="0" hangingPunct="1">
            <a:lnSpc>
              <a:spcPct val="100000"/>
            </a:lnSpc>
            <a:spcBef>
              <a:spcPts val="0"/>
            </a:spcBef>
            <a:spcAft>
              <a:spcPts val="0"/>
            </a:spcAft>
            <a:buClrTx/>
            <a:buSzTx/>
            <a:buFontTx/>
            <a:buNone/>
            <a:tabLst/>
            <a:defRPr/>
          </a:pPr>
          <a:r>
            <a:rPr kumimoji="0" lang="en-GB" sz="1100" b="0" i="0" u="none" strike="noStrike" kern="0" cap="none" spc="0" normalizeH="0" baseline="0" noProof="0">
              <a:ln>
                <a:noFill/>
              </a:ln>
              <a:solidFill>
                <a:sysClr val="window" lastClr="FFFFFF"/>
              </a:solidFill>
              <a:effectLst/>
              <a:uLnTx/>
              <a:uFillTx/>
              <a:latin typeface="Calibri" panose="020F0502020204030204"/>
              <a:ea typeface="+mn-ea"/>
              <a:cs typeface="+mn-cs"/>
            </a:rPr>
            <a:t>Q2, 2021</a:t>
          </a:r>
        </a:p>
      </xdr:txBody>
    </xdr:sp>
    <xdr:clientData/>
  </xdr:twoCellAnchor>
  <xdr:twoCellAnchor>
    <xdr:from>
      <xdr:col>4</xdr:col>
      <xdr:colOff>552450</xdr:colOff>
      <xdr:row>10</xdr:row>
      <xdr:rowOff>28575</xdr:rowOff>
    </xdr:from>
    <xdr:to>
      <xdr:col>6</xdr:col>
      <xdr:colOff>76200</xdr:colOff>
      <xdr:row>12</xdr:row>
      <xdr:rowOff>38100</xdr:rowOff>
    </xdr:to>
    <xdr:sp macro="" textlink="">
      <xdr:nvSpPr>
        <xdr:cNvPr id="46" name="Rounded Rectangle 45">
          <a:hlinkClick xmlns:r="http://schemas.openxmlformats.org/officeDocument/2006/relationships" r:id="rId36"/>
          <a:extLst>
            <a:ext uri="{FF2B5EF4-FFF2-40B4-BE49-F238E27FC236}">
              <a16:creationId xmlns:a16="http://schemas.microsoft.com/office/drawing/2014/main" id="{00000000-0008-0000-0200-00002E000000}"/>
            </a:ext>
          </a:extLst>
        </xdr:cNvPr>
        <xdr:cNvSpPr/>
      </xdr:nvSpPr>
      <xdr:spPr>
        <a:xfrm>
          <a:off x="2990850" y="1647825"/>
          <a:ext cx="742950" cy="333375"/>
        </a:xfrm>
        <a:prstGeom prst="roundRect">
          <a:avLst/>
        </a:prstGeom>
        <a:solidFill>
          <a:srgbClr val="7030A0"/>
        </a:solidFill>
        <a:ln w="12700" cap="flat" cmpd="sng" algn="ctr">
          <a:solidFill>
            <a:srgbClr val="5B9BD5">
              <a:shade val="50000"/>
            </a:srgbClr>
          </a:solidFill>
          <a:prstDash val="solid"/>
          <a:miter lim="800000"/>
        </a:ln>
        <a:effectLst/>
      </xdr:spPr>
      <xdr:txBody>
        <a:bodyPr vertOverflow="clip" horzOverflow="clip" rtlCol="0" anchor="t"/>
        <a:lstStyle/>
        <a:p>
          <a:pPr marL="0" marR="0" lvl="0" indent="0" algn="l" defTabSz="914400" eaLnBrk="1" fontAlgn="auto" latinLnBrk="0" hangingPunct="1">
            <a:lnSpc>
              <a:spcPct val="100000"/>
            </a:lnSpc>
            <a:spcBef>
              <a:spcPts val="0"/>
            </a:spcBef>
            <a:spcAft>
              <a:spcPts val="0"/>
            </a:spcAft>
            <a:buClrTx/>
            <a:buSzTx/>
            <a:buFontTx/>
            <a:buNone/>
            <a:tabLst/>
            <a:defRPr/>
          </a:pPr>
          <a:r>
            <a:rPr kumimoji="0" lang="en-GB" sz="1100" b="0" i="0" u="none" strike="noStrike" kern="0" cap="none" spc="0" normalizeH="0" baseline="0" noProof="0">
              <a:ln>
                <a:noFill/>
              </a:ln>
              <a:solidFill>
                <a:sysClr val="window" lastClr="FFFFFF"/>
              </a:solidFill>
              <a:effectLst/>
              <a:uLnTx/>
              <a:uFillTx/>
              <a:latin typeface="Calibri" panose="020F0502020204030204"/>
              <a:ea typeface="+mn-ea"/>
              <a:cs typeface="+mn-cs"/>
            </a:rPr>
            <a:t>Q3, 2021</a:t>
          </a:r>
        </a:p>
      </xdr:txBody>
    </xdr:sp>
    <xdr:clientData/>
  </xdr:twoCellAnchor>
  <xdr:twoCellAnchor>
    <xdr:from>
      <xdr:col>4</xdr:col>
      <xdr:colOff>523875</xdr:colOff>
      <xdr:row>12</xdr:row>
      <xdr:rowOff>104775</xdr:rowOff>
    </xdr:from>
    <xdr:to>
      <xdr:col>6</xdr:col>
      <xdr:colOff>47625</xdr:colOff>
      <xdr:row>14</xdr:row>
      <xdr:rowOff>114300</xdr:rowOff>
    </xdr:to>
    <xdr:sp macro="" textlink="">
      <xdr:nvSpPr>
        <xdr:cNvPr id="48" name="Rounded Rectangle 47">
          <a:hlinkClick xmlns:r="http://schemas.openxmlformats.org/officeDocument/2006/relationships" r:id="rId37"/>
          <a:extLst>
            <a:ext uri="{FF2B5EF4-FFF2-40B4-BE49-F238E27FC236}">
              <a16:creationId xmlns:a16="http://schemas.microsoft.com/office/drawing/2014/main" id="{00000000-0008-0000-0200-000030000000}"/>
            </a:ext>
          </a:extLst>
        </xdr:cNvPr>
        <xdr:cNvSpPr/>
      </xdr:nvSpPr>
      <xdr:spPr>
        <a:xfrm>
          <a:off x="2962275" y="2047875"/>
          <a:ext cx="742950" cy="333375"/>
        </a:xfrm>
        <a:prstGeom prst="roundRect">
          <a:avLst/>
        </a:prstGeom>
        <a:solidFill>
          <a:srgbClr val="7030A0"/>
        </a:solidFill>
        <a:ln w="12700" cap="flat" cmpd="sng" algn="ctr">
          <a:solidFill>
            <a:srgbClr val="5B9BD5">
              <a:shade val="50000"/>
            </a:srgbClr>
          </a:solidFill>
          <a:prstDash val="solid"/>
          <a:miter lim="800000"/>
        </a:ln>
        <a:effectLst/>
      </xdr:spPr>
      <xdr:txBody>
        <a:bodyPr vertOverflow="clip" horzOverflow="clip" rtlCol="0" anchor="t"/>
        <a:lstStyle/>
        <a:p>
          <a:pPr marL="0" marR="0" lvl="0" indent="0" algn="l" defTabSz="914400" eaLnBrk="1" fontAlgn="auto" latinLnBrk="0" hangingPunct="1">
            <a:lnSpc>
              <a:spcPct val="100000"/>
            </a:lnSpc>
            <a:spcBef>
              <a:spcPts val="0"/>
            </a:spcBef>
            <a:spcAft>
              <a:spcPts val="0"/>
            </a:spcAft>
            <a:buClrTx/>
            <a:buSzTx/>
            <a:buFontTx/>
            <a:buNone/>
            <a:tabLst/>
            <a:defRPr/>
          </a:pPr>
          <a:r>
            <a:rPr kumimoji="0" lang="en-GB" sz="1100" b="0" i="0" u="none" strike="noStrike" kern="0" cap="none" spc="0" normalizeH="0" baseline="0" noProof="0">
              <a:ln>
                <a:noFill/>
              </a:ln>
              <a:solidFill>
                <a:sysClr val="window" lastClr="FFFFFF"/>
              </a:solidFill>
              <a:effectLst/>
              <a:uLnTx/>
              <a:uFillTx/>
              <a:latin typeface="Calibri" panose="020F0502020204030204"/>
              <a:ea typeface="+mn-ea"/>
              <a:cs typeface="+mn-cs"/>
            </a:rPr>
            <a:t>Q4, 2021</a:t>
          </a:r>
        </a:p>
      </xdr:txBody>
    </xdr:sp>
    <xdr:clientData/>
  </xdr:twoCellAnchor>
  <xdr:twoCellAnchor>
    <xdr:from>
      <xdr:col>3</xdr:col>
      <xdr:colOff>323850</xdr:colOff>
      <xdr:row>5</xdr:row>
      <xdr:rowOff>66675</xdr:rowOff>
    </xdr:from>
    <xdr:to>
      <xdr:col>4</xdr:col>
      <xdr:colOff>457200</xdr:colOff>
      <xdr:row>7</xdr:row>
      <xdr:rowOff>76200</xdr:rowOff>
    </xdr:to>
    <xdr:sp macro="" textlink="">
      <xdr:nvSpPr>
        <xdr:cNvPr id="49" name="Rounded Rectangle 48">
          <a:hlinkClick xmlns:r="http://schemas.openxmlformats.org/officeDocument/2006/relationships" r:id="rId38"/>
          <a:extLst>
            <a:ext uri="{FF2B5EF4-FFF2-40B4-BE49-F238E27FC236}">
              <a16:creationId xmlns:a16="http://schemas.microsoft.com/office/drawing/2014/main" id="{00000000-0008-0000-0200-000031000000}"/>
            </a:ext>
          </a:extLst>
        </xdr:cNvPr>
        <xdr:cNvSpPr/>
      </xdr:nvSpPr>
      <xdr:spPr>
        <a:xfrm>
          <a:off x="2152650" y="876300"/>
          <a:ext cx="742950" cy="333375"/>
        </a:xfrm>
        <a:prstGeom prst="roundRect">
          <a:avLst/>
        </a:prstGeom>
        <a:solidFill>
          <a:srgbClr val="7030A0"/>
        </a:solidFill>
        <a:ln w="12700" cap="flat" cmpd="sng" algn="ctr">
          <a:solidFill>
            <a:srgbClr val="5B9BD5">
              <a:shade val="50000"/>
            </a:srgbClr>
          </a:solidFill>
          <a:prstDash val="solid"/>
          <a:miter lim="800000"/>
        </a:ln>
        <a:effectLst/>
      </xdr:spPr>
      <xdr:txBody>
        <a:bodyPr vertOverflow="clip" horzOverflow="clip" rtlCol="0" anchor="t"/>
        <a:lstStyle/>
        <a:p>
          <a:pPr marL="0" marR="0" lvl="0" indent="0" algn="l" defTabSz="914400" eaLnBrk="1" fontAlgn="auto" latinLnBrk="0" hangingPunct="1">
            <a:lnSpc>
              <a:spcPct val="100000"/>
            </a:lnSpc>
            <a:spcBef>
              <a:spcPts val="0"/>
            </a:spcBef>
            <a:spcAft>
              <a:spcPts val="0"/>
            </a:spcAft>
            <a:buClrTx/>
            <a:buSzTx/>
            <a:buFontTx/>
            <a:buNone/>
            <a:tabLst/>
            <a:defRPr/>
          </a:pPr>
          <a:r>
            <a:rPr kumimoji="0" lang="en-GB" sz="1100" b="0" i="0" u="none" strike="noStrike" kern="0" cap="none" spc="0" normalizeH="0" baseline="0" noProof="0">
              <a:ln>
                <a:noFill/>
              </a:ln>
              <a:solidFill>
                <a:sysClr val="window" lastClr="FFFFFF"/>
              </a:solidFill>
              <a:effectLst/>
              <a:uLnTx/>
              <a:uFillTx/>
              <a:latin typeface="Calibri" panose="020F0502020204030204"/>
              <a:ea typeface="+mn-ea"/>
              <a:cs typeface="+mn-cs"/>
            </a:rPr>
            <a:t>Q1, 2022</a:t>
          </a:r>
        </a:p>
      </xdr:txBody>
    </xdr:sp>
    <xdr:clientData/>
  </xdr:twoCellAnchor>
  <xdr:twoCellAnchor>
    <xdr:from>
      <xdr:col>3</xdr:col>
      <xdr:colOff>323850</xdr:colOff>
      <xdr:row>8</xdr:row>
      <xdr:rowOff>9526</xdr:rowOff>
    </xdr:from>
    <xdr:to>
      <xdr:col>4</xdr:col>
      <xdr:colOff>476250</xdr:colOff>
      <xdr:row>9</xdr:row>
      <xdr:rowOff>133351</xdr:rowOff>
    </xdr:to>
    <xdr:sp macro="" textlink="">
      <xdr:nvSpPr>
        <xdr:cNvPr id="50" name="Rounded Rectangle 49">
          <a:hlinkClick xmlns:r="http://schemas.openxmlformats.org/officeDocument/2006/relationships" r:id="rId39"/>
          <a:extLst>
            <a:ext uri="{FF2B5EF4-FFF2-40B4-BE49-F238E27FC236}">
              <a16:creationId xmlns:a16="http://schemas.microsoft.com/office/drawing/2014/main" id="{00000000-0008-0000-0200-000032000000}"/>
            </a:ext>
          </a:extLst>
        </xdr:cNvPr>
        <xdr:cNvSpPr/>
      </xdr:nvSpPr>
      <xdr:spPr>
        <a:xfrm>
          <a:off x="2152650" y="1304926"/>
          <a:ext cx="762000" cy="285750"/>
        </a:xfrm>
        <a:prstGeom prst="roundRect">
          <a:avLst/>
        </a:prstGeom>
        <a:solidFill>
          <a:srgbClr val="7030A0"/>
        </a:solidFill>
        <a:ln w="12700" cap="flat" cmpd="sng" algn="ctr">
          <a:solidFill>
            <a:srgbClr val="5B9BD5">
              <a:shade val="50000"/>
            </a:srgbClr>
          </a:solidFill>
          <a:prstDash val="solid"/>
          <a:miter lim="800000"/>
        </a:ln>
        <a:effectLst/>
      </xdr:spPr>
      <xdr:txBody>
        <a:bodyPr vertOverflow="clip" horzOverflow="clip" rtlCol="0" anchor="t"/>
        <a:lstStyle/>
        <a:p>
          <a:pPr marL="0" marR="0" lvl="0" indent="0" algn="l" defTabSz="914400" eaLnBrk="1" fontAlgn="auto" latinLnBrk="0" hangingPunct="1">
            <a:lnSpc>
              <a:spcPct val="100000"/>
            </a:lnSpc>
            <a:spcBef>
              <a:spcPts val="0"/>
            </a:spcBef>
            <a:spcAft>
              <a:spcPts val="0"/>
            </a:spcAft>
            <a:buClrTx/>
            <a:buSzTx/>
            <a:buFontTx/>
            <a:buNone/>
            <a:tabLst/>
            <a:defRPr/>
          </a:pPr>
          <a:r>
            <a:rPr kumimoji="0" lang="en-GB" sz="1100" b="0" i="0" u="none" strike="noStrike" kern="0" cap="none" spc="0" normalizeH="0" baseline="0" noProof="0">
              <a:ln>
                <a:noFill/>
              </a:ln>
              <a:solidFill>
                <a:sysClr val="window" lastClr="FFFFFF"/>
              </a:solidFill>
              <a:effectLst/>
              <a:uLnTx/>
              <a:uFillTx/>
              <a:latin typeface="Calibri" panose="020F0502020204030204"/>
              <a:ea typeface="+mn-ea"/>
              <a:cs typeface="+mn-cs"/>
            </a:rPr>
            <a:t>Q2, 2022</a:t>
          </a:r>
        </a:p>
      </xdr:txBody>
    </xdr:sp>
    <xdr:clientData/>
  </xdr:twoCellAnchor>
  <xdr:twoCellAnchor>
    <xdr:from>
      <xdr:col>3</xdr:col>
      <xdr:colOff>333375</xdr:colOff>
      <xdr:row>10</xdr:row>
      <xdr:rowOff>57150</xdr:rowOff>
    </xdr:from>
    <xdr:to>
      <xdr:col>4</xdr:col>
      <xdr:colOff>457200</xdr:colOff>
      <xdr:row>12</xdr:row>
      <xdr:rowOff>66675</xdr:rowOff>
    </xdr:to>
    <xdr:sp macro="" textlink="">
      <xdr:nvSpPr>
        <xdr:cNvPr id="7" name="Rounded Rectangle 6">
          <a:extLst>
            <a:ext uri="{FF2B5EF4-FFF2-40B4-BE49-F238E27FC236}">
              <a16:creationId xmlns:a16="http://schemas.microsoft.com/office/drawing/2014/main" id="{00000000-0008-0000-0200-000007000000}"/>
            </a:ext>
          </a:extLst>
        </xdr:cNvPr>
        <xdr:cNvSpPr/>
      </xdr:nvSpPr>
      <xdr:spPr>
        <a:xfrm>
          <a:off x="2162175" y="1676400"/>
          <a:ext cx="733425" cy="333375"/>
        </a:xfrm>
        <a:prstGeom prst="roundRect">
          <a:avLst/>
        </a:prstGeom>
        <a:solidFill>
          <a:srgbClr val="7030A0"/>
        </a:solidFill>
        <a:ln>
          <a:solidFill>
            <a:schemeClr val="accent1">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t>Q3, 2022</a:t>
          </a:r>
        </a:p>
        <a:p>
          <a:pPr algn="l"/>
          <a:endParaRPr lang="en-US" sz="1100"/>
        </a:p>
      </xdr:txBody>
    </xdr:sp>
    <xdr:clientData/>
  </xdr:twoCellAnchor>
  <xdr:twoCellAnchor>
    <xdr:from>
      <xdr:col>3</xdr:col>
      <xdr:colOff>333375</xdr:colOff>
      <xdr:row>12</xdr:row>
      <xdr:rowOff>123825</xdr:rowOff>
    </xdr:from>
    <xdr:to>
      <xdr:col>4</xdr:col>
      <xdr:colOff>457200</xdr:colOff>
      <xdr:row>14</xdr:row>
      <xdr:rowOff>133350</xdr:rowOff>
    </xdr:to>
    <xdr:sp macro="" textlink="">
      <xdr:nvSpPr>
        <xdr:cNvPr id="51" name="Rounded Rectangle 50">
          <a:extLst>
            <a:ext uri="{FF2B5EF4-FFF2-40B4-BE49-F238E27FC236}">
              <a16:creationId xmlns:a16="http://schemas.microsoft.com/office/drawing/2014/main" id="{00000000-0008-0000-0200-000007000000}"/>
            </a:ext>
          </a:extLst>
        </xdr:cNvPr>
        <xdr:cNvSpPr/>
      </xdr:nvSpPr>
      <xdr:spPr>
        <a:xfrm>
          <a:off x="2162175" y="2066925"/>
          <a:ext cx="733425" cy="333375"/>
        </a:xfrm>
        <a:prstGeom prst="roundRect">
          <a:avLst/>
        </a:prstGeom>
        <a:solidFill>
          <a:srgbClr val="7030A0"/>
        </a:solidFill>
        <a:ln>
          <a:solidFill>
            <a:schemeClr val="accent1">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t>Q4, 2022</a:t>
          </a:r>
        </a:p>
        <a:p>
          <a:pPr algn="l"/>
          <a:endParaRPr lang="en-US" sz="1100"/>
        </a:p>
      </xdr:txBody>
    </xdr:sp>
    <xdr:clientData/>
  </xdr:twoCellAnchor>
  <xdr:twoCellAnchor>
    <xdr:from>
      <xdr:col>2</xdr:col>
      <xdr:colOff>114300</xdr:colOff>
      <xdr:row>5</xdr:row>
      <xdr:rowOff>76200</xdr:rowOff>
    </xdr:from>
    <xdr:to>
      <xdr:col>3</xdr:col>
      <xdr:colOff>247650</xdr:colOff>
      <xdr:row>7</xdr:row>
      <xdr:rowOff>85725</xdr:rowOff>
    </xdr:to>
    <xdr:sp macro="" textlink="">
      <xdr:nvSpPr>
        <xdr:cNvPr id="53" name="Rounded Rectangle 52">
          <a:hlinkClick xmlns:r="http://schemas.openxmlformats.org/officeDocument/2006/relationships" r:id="rId40"/>
          <a:extLst>
            <a:ext uri="{FF2B5EF4-FFF2-40B4-BE49-F238E27FC236}">
              <a16:creationId xmlns:a16="http://schemas.microsoft.com/office/drawing/2014/main" id="{00000000-0008-0000-0200-000031000000}"/>
            </a:ext>
          </a:extLst>
        </xdr:cNvPr>
        <xdr:cNvSpPr/>
      </xdr:nvSpPr>
      <xdr:spPr>
        <a:xfrm>
          <a:off x="1333500" y="885825"/>
          <a:ext cx="742950" cy="333375"/>
        </a:xfrm>
        <a:prstGeom prst="roundRect">
          <a:avLst/>
        </a:prstGeom>
        <a:solidFill>
          <a:srgbClr val="7030A0"/>
        </a:solidFill>
        <a:ln w="12700" cap="flat" cmpd="sng" algn="ctr">
          <a:solidFill>
            <a:srgbClr val="5B9BD5">
              <a:shade val="50000"/>
            </a:srgbClr>
          </a:solidFill>
          <a:prstDash val="solid"/>
          <a:miter lim="800000"/>
        </a:ln>
        <a:effectLst/>
      </xdr:spPr>
      <xdr:txBody>
        <a:bodyPr vertOverflow="clip" horzOverflow="clip" rtlCol="0" anchor="t"/>
        <a:lstStyle/>
        <a:p>
          <a:pPr marL="0" marR="0" lvl="0" indent="0" algn="l" defTabSz="914400" eaLnBrk="1" fontAlgn="auto" latinLnBrk="0" hangingPunct="1">
            <a:lnSpc>
              <a:spcPct val="100000"/>
            </a:lnSpc>
            <a:spcBef>
              <a:spcPts val="0"/>
            </a:spcBef>
            <a:spcAft>
              <a:spcPts val="0"/>
            </a:spcAft>
            <a:buClrTx/>
            <a:buSzTx/>
            <a:buFontTx/>
            <a:buNone/>
            <a:tabLst/>
            <a:defRPr/>
          </a:pPr>
          <a:r>
            <a:rPr kumimoji="0" lang="en-GB" sz="1100" b="0" i="0" u="none" strike="noStrike" kern="0" cap="none" spc="0" normalizeH="0" baseline="0" noProof="0">
              <a:ln>
                <a:noFill/>
              </a:ln>
              <a:solidFill>
                <a:sysClr val="window" lastClr="FFFFFF"/>
              </a:solidFill>
              <a:effectLst/>
              <a:uLnTx/>
              <a:uFillTx/>
              <a:latin typeface="Calibri" panose="020F0502020204030204"/>
              <a:ea typeface="+mn-ea"/>
              <a:cs typeface="+mn-cs"/>
            </a:rPr>
            <a:t>Q1, 2023</a:t>
          </a:r>
        </a:p>
      </xdr:txBody>
    </xdr:sp>
    <xdr:clientData/>
  </xdr:twoCellAnchor>
  <xdr:twoCellAnchor>
    <xdr:from>
      <xdr:col>2</xdr:col>
      <xdr:colOff>123825</xdr:colOff>
      <xdr:row>8</xdr:row>
      <xdr:rowOff>9525</xdr:rowOff>
    </xdr:from>
    <xdr:to>
      <xdr:col>3</xdr:col>
      <xdr:colOff>257175</xdr:colOff>
      <xdr:row>10</xdr:row>
      <xdr:rowOff>19050</xdr:rowOff>
    </xdr:to>
    <xdr:sp macro="" textlink="">
      <xdr:nvSpPr>
        <xdr:cNvPr id="56" name="Rounded Rectangle 55">
          <a:hlinkClick xmlns:r="http://schemas.openxmlformats.org/officeDocument/2006/relationships" r:id="rId41"/>
          <a:extLst>
            <a:ext uri="{FF2B5EF4-FFF2-40B4-BE49-F238E27FC236}">
              <a16:creationId xmlns:a16="http://schemas.microsoft.com/office/drawing/2014/main" id="{00000000-0008-0000-0200-000031000000}"/>
            </a:ext>
          </a:extLst>
        </xdr:cNvPr>
        <xdr:cNvSpPr/>
      </xdr:nvSpPr>
      <xdr:spPr>
        <a:xfrm>
          <a:off x="1343025" y="1304925"/>
          <a:ext cx="742950" cy="333375"/>
        </a:xfrm>
        <a:prstGeom prst="roundRect">
          <a:avLst/>
        </a:prstGeom>
        <a:solidFill>
          <a:srgbClr val="7030A0"/>
        </a:solidFill>
        <a:ln w="12700" cap="flat" cmpd="sng" algn="ctr">
          <a:solidFill>
            <a:srgbClr val="5B9BD5">
              <a:shade val="50000"/>
            </a:srgbClr>
          </a:solidFill>
          <a:prstDash val="solid"/>
          <a:miter lim="800000"/>
        </a:ln>
        <a:effectLst/>
      </xdr:spPr>
      <xdr:txBody>
        <a:bodyPr vertOverflow="clip" horzOverflow="clip" rtlCol="0" anchor="t"/>
        <a:lstStyle/>
        <a:p>
          <a:pPr marL="0" marR="0" lvl="0" indent="0" algn="l" defTabSz="914400" eaLnBrk="1" fontAlgn="auto" latinLnBrk="0" hangingPunct="1">
            <a:lnSpc>
              <a:spcPct val="100000"/>
            </a:lnSpc>
            <a:spcBef>
              <a:spcPts val="0"/>
            </a:spcBef>
            <a:spcAft>
              <a:spcPts val="0"/>
            </a:spcAft>
            <a:buClrTx/>
            <a:buSzTx/>
            <a:buFontTx/>
            <a:buNone/>
            <a:tabLst/>
            <a:defRPr/>
          </a:pPr>
          <a:r>
            <a:rPr kumimoji="0" lang="en-GB" sz="1100" b="0" i="0" u="none" strike="noStrike" kern="0" cap="none" spc="0" normalizeH="0" baseline="0" noProof="0">
              <a:ln>
                <a:noFill/>
              </a:ln>
              <a:solidFill>
                <a:sysClr val="window" lastClr="FFFFFF"/>
              </a:solidFill>
              <a:effectLst/>
              <a:uLnTx/>
              <a:uFillTx/>
              <a:latin typeface="Calibri" panose="020F0502020204030204"/>
              <a:ea typeface="+mn-ea"/>
              <a:cs typeface="+mn-cs"/>
            </a:rPr>
            <a:t>Q2, 2023</a:t>
          </a:r>
        </a:p>
      </xdr:txBody>
    </xdr:sp>
    <xdr:clientData/>
  </xdr:twoCellAnchor>
  <xdr:twoCellAnchor>
    <xdr:from>
      <xdr:col>2</xdr:col>
      <xdr:colOff>142875</xdr:colOff>
      <xdr:row>10</xdr:row>
      <xdr:rowOff>104775</xdr:rowOff>
    </xdr:from>
    <xdr:to>
      <xdr:col>3</xdr:col>
      <xdr:colOff>276225</xdr:colOff>
      <xdr:row>12</xdr:row>
      <xdr:rowOff>114300</xdr:rowOff>
    </xdr:to>
    <xdr:sp macro="" textlink="">
      <xdr:nvSpPr>
        <xdr:cNvPr id="57" name="Rounded Rectangle 56">
          <a:hlinkClick xmlns:r="http://schemas.openxmlformats.org/officeDocument/2006/relationships" r:id="rId42"/>
          <a:extLst>
            <a:ext uri="{FF2B5EF4-FFF2-40B4-BE49-F238E27FC236}">
              <a16:creationId xmlns:a16="http://schemas.microsoft.com/office/drawing/2014/main" id="{00000000-0008-0000-0200-000031000000}"/>
            </a:ext>
          </a:extLst>
        </xdr:cNvPr>
        <xdr:cNvSpPr/>
      </xdr:nvSpPr>
      <xdr:spPr>
        <a:xfrm>
          <a:off x="1362075" y="1724025"/>
          <a:ext cx="742950" cy="333375"/>
        </a:xfrm>
        <a:prstGeom prst="roundRect">
          <a:avLst/>
        </a:prstGeom>
        <a:solidFill>
          <a:srgbClr val="7030A0"/>
        </a:solidFill>
        <a:ln w="12700" cap="flat" cmpd="sng" algn="ctr">
          <a:solidFill>
            <a:srgbClr val="5B9BD5">
              <a:shade val="50000"/>
            </a:srgbClr>
          </a:solidFill>
          <a:prstDash val="solid"/>
          <a:miter lim="800000"/>
        </a:ln>
        <a:effectLst/>
      </xdr:spPr>
      <xdr:txBody>
        <a:bodyPr vertOverflow="clip" horzOverflow="clip" rtlCol="0" anchor="t"/>
        <a:lstStyle/>
        <a:p>
          <a:pPr marL="0" marR="0" lvl="0" indent="0" algn="l" defTabSz="914400" eaLnBrk="1" fontAlgn="auto" latinLnBrk="0" hangingPunct="1">
            <a:lnSpc>
              <a:spcPct val="100000"/>
            </a:lnSpc>
            <a:spcBef>
              <a:spcPts val="0"/>
            </a:spcBef>
            <a:spcAft>
              <a:spcPts val="0"/>
            </a:spcAft>
            <a:buClrTx/>
            <a:buSzTx/>
            <a:buFontTx/>
            <a:buNone/>
            <a:tabLst/>
            <a:defRPr/>
          </a:pPr>
          <a:r>
            <a:rPr kumimoji="0" lang="en-GB" sz="1100" b="0" i="0" u="none" strike="noStrike" kern="0" cap="none" spc="0" normalizeH="0" baseline="0" noProof="0">
              <a:ln>
                <a:noFill/>
              </a:ln>
              <a:solidFill>
                <a:sysClr val="window" lastClr="FFFFFF"/>
              </a:solidFill>
              <a:effectLst/>
              <a:uLnTx/>
              <a:uFillTx/>
              <a:latin typeface="Calibri" panose="020F0502020204030204"/>
              <a:ea typeface="+mn-ea"/>
              <a:cs typeface="+mn-cs"/>
            </a:rPr>
            <a:t>Q3, 2023</a:t>
          </a:r>
        </a:p>
      </xdr:txBody>
    </xdr: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customProperty" Target="../customProperty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customProperty" Target="../customProperty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customProperty" Target="../customProperty3.bin"/></Relationships>
</file>

<file path=xl/worksheets/_rels/sheet4.xml.rels><?xml version="1.0" encoding="UTF-8" standalone="yes"?>
<Relationships xmlns="http://schemas.openxmlformats.org/package/2006/relationships"><Relationship Id="rId1" Type="http://schemas.openxmlformats.org/officeDocument/2006/relationships/customProperty" Target="../customProperty4.bin"/></Relationships>
</file>

<file path=xl/worksheets/_rels/sheet6.xml.rels><?xml version="1.0" encoding="UTF-8" standalone="yes"?>
<Relationships xmlns="http://schemas.openxmlformats.org/package/2006/relationships"><Relationship Id="rId1" Type="http://schemas.openxmlformats.org/officeDocument/2006/relationships/customProperty" Target="../customProperty5.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1.xml.rels><?xml version="1.0" encoding="UTF-8" standalone="yes"?>
<Relationships xmlns="http://schemas.openxmlformats.org/package/2006/relationships"><Relationship Id="rId1" Type="http://schemas.openxmlformats.org/officeDocument/2006/relationships/hyperlink" Target="https://swpgh-my.sharepoint.com/personal/Microsoft/Windows/INetCache/Content.Outlook/AppData/Local/Microsoft/Windows/INetCache/Content.Outlook/AppData/Local/Microsoft/kboahen/AppData/Local/AppData/Local/Downloads/AppData/Local/Microsoft/Windows/INetCache/AppData/Local/Microsoft/Windows/Packages/Microsoft.MicrosoftEdge_8wekyb3d8bbwe/TempState/AppData/Desktop/Supervision%20Department/Hafiz/AppData/Local/Microsoft/Windows/INetCache/Content.Outlook/MMLF7DCT/Non%20Life%20Data%20PUBLISHED-%20Seth.xls" TargetMode="External"/></Relationships>
</file>

<file path=xl/worksheets/_rels/sheet2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2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25.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26.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28.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3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7.bin"/></Relationships>
</file>

<file path=xl/worksheets/_rels/sheet32.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8.bin"/></Relationships>
</file>

<file path=xl/worksheets/_rels/sheet33.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3.vml"/><Relationship Id="rId1" Type="http://schemas.openxmlformats.org/officeDocument/2006/relationships/customProperty" Target="../customProperty6.bin"/></Relationships>
</file>

<file path=xl/worksheets/_rels/sheet34.xml.rels><?xml version="1.0" encoding="UTF-8" standalone="yes"?>
<Relationships xmlns="http://schemas.openxmlformats.org/package/2006/relationships"><Relationship Id="rId2" Type="http://schemas.openxmlformats.org/officeDocument/2006/relationships/comments" Target="../comments4.xml"/><Relationship Id="rId1" Type="http://schemas.openxmlformats.org/officeDocument/2006/relationships/vmlDrawing" Target="../drawings/vmlDrawing4.vml"/></Relationships>
</file>

<file path=xl/worksheets/_rels/sheet35.xml.rels><?xml version="1.0" encoding="UTF-8" standalone="yes"?>
<Relationships xmlns="http://schemas.openxmlformats.org/package/2006/relationships"><Relationship Id="rId2" Type="http://schemas.openxmlformats.org/officeDocument/2006/relationships/comments" Target="../comments5.xml"/><Relationship Id="rId1" Type="http://schemas.openxmlformats.org/officeDocument/2006/relationships/vmlDrawing" Target="../drawings/vmlDrawing5.vml"/></Relationships>
</file>

<file path=xl/worksheets/_rels/sheet36.xml.rels><?xml version="1.0" encoding="UTF-8" standalone="yes"?>
<Relationships xmlns="http://schemas.openxmlformats.org/package/2006/relationships"><Relationship Id="rId3" Type="http://schemas.openxmlformats.org/officeDocument/2006/relationships/comments" Target="../comments6.xml"/><Relationship Id="rId2" Type="http://schemas.openxmlformats.org/officeDocument/2006/relationships/vmlDrawing" Target="../drawings/vmlDrawing6.vml"/><Relationship Id="rId1" Type="http://schemas.openxmlformats.org/officeDocument/2006/relationships/printerSettings" Target="../printerSettings/printerSettings9.bin"/></Relationships>
</file>

<file path=xl/worksheets/_rels/sheet37.xml.rels><?xml version="1.0" encoding="UTF-8" standalone="yes"?>
<Relationships xmlns="http://schemas.openxmlformats.org/package/2006/relationships"><Relationship Id="rId3" Type="http://schemas.openxmlformats.org/officeDocument/2006/relationships/vmlDrawing" Target="../drawings/vmlDrawing7.vml"/><Relationship Id="rId2" Type="http://schemas.openxmlformats.org/officeDocument/2006/relationships/customProperty" Target="../customProperty7.bin"/><Relationship Id="rId1" Type="http://schemas.openxmlformats.org/officeDocument/2006/relationships/printerSettings" Target="../printerSettings/printerSettings10.bin"/><Relationship Id="rId4" Type="http://schemas.openxmlformats.org/officeDocument/2006/relationships/comments" Target="../comments7.xml"/></Relationships>
</file>

<file path=xl/worksheets/_rels/sheet38.xml.rels><?xml version="1.0" encoding="UTF-8" standalone="yes"?>
<Relationships xmlns="http://schemas.openxmlformats.org/package/2006/relationships"><Relationship Id="rId3" Type="http://schemas.openxmlformats.org/officeDocument/2006/relationships/vmlDrawing" Target="../drawings/vmlDrawing8.vml"/><Relationship Id="rId2" Type="http://schemas.openxmlformats.org/officeDocument/2006/relationships/customProperty" Target="../customProperty8.bin"/><Relationship Id="rId1" Type="http://schemas.openxmlformats.org/officeDocument/2006/relationships/printerSettings" Target="../printerSettings/printerSettings11.bin"/><Relationship Id="rId4" Type="http://schemas.openxmlformats.org/officeDocument/2006/relationships/comments" Target="../comments8.xml"/></Relationships>
</file>

<file path=xl/worksheets/_rels/sheet39.xml.rels><?xml version="1.0" encoding="UTF-8" standalone="yes"?>
<Relationships xmlns="http://schemas.openxmlformats.org/package/2006/relationships"><Relationship Id="rId3" Type="http://schemas.openxmlformats.org/officeDocument/2006/relationships/vmlDrawing" Target="../drawings/vmlDrawing9.vml"/><Relationship Id="rId2" Type="http://schemas.openxmlformats.org/officeDocument/2006/relationships/customProperty" Target="../customProperty9.bin"/><Relationship Id="rId1" Type="http://schemas.openxmlformats.org/officeDocument/2006/relationships/printerSettings" Target="../printerSettings/printerSettings12.bin"/><Relationship Id="rId4" Type="http://schemas.openxmlformats.org/officeDocument/2006/relationships/comments" Target="../comments9.xml"/></Relationships>
</file>

<file path=xl/worksheets/_rels/sheet40.xml.rels><?xml version="1.0" encoding="UTF-8" standalone="yes"?>
<Relationships xmlns="http://schemas.openxmlformats.org/package/2006/relationships"><Relationship Id="rId3" Type="http://schemas.openxmlformats.org/officeDocument/2006/relationships/vmlDrawing" Target="../drawings/vmlDrawing10.vml"/><Relationship Id="rId2" Type="http://schemas.openxmlformats.org/officeDocument/2006/relationships/customProperty" Target="../customProperty10.bin"/><Relationship Id="rId1" Type="http://schemas.openxmlformats.org/officeDocument/2006/relationships/printerSettings" Target="../printerSettings/printerSettings13.bin"/><Relationship Id="rId4" Type="http://schemas.openxmlformats.org/officeDocument/2006/relationships/comments" Target="../comments10.xml"/></Relationships>
</file>

<file path=xl/worksheets/_rels/sheet41.xml.rels><?xml version="1.0" encoding="UTF-8" standalone="yes"?>
<Relationships xmlns="http://schemas.openxmlformats.org/package/2006/relationships"><Relationship Id="rId3" Type="http://schemas.openxmlformats.org/officeDocument/2006/relationships/vmlDrawing" Target="../drawings/vmlDrawing11.vml"/><Relationship Id="rId2" Type="http://schemas.openxmlformats.org/officeDocument/2006/relationships/customProperty" Target="../customProperty11.bin"/><Relationship Id="rId1" Type="http://schemas.openxmlformats.org/officeDocument/2006/relationships/printerSettings" Target="../printerSettings/printerSettings14.bin"/><Relationship Id="rId4" Type="http://schemas.openxmlformats.org/officeDocument/2006/relationships/comments" Target="../comments11.xml"/></Relationships>
</file>

<file path=xl/worksheets/_rels/sheet42.xml.rels><?xml version="1.0" encoding="UTF-8" standalone="yes"?>
<Relationships xmlns="http://schemas.openxmlformats.org/package/2006/relationships"><Relationship Id="rId3" Type="http://schemas.openxmlformats.org/officeDocument/2006/relationships/comments" Target="../comments12.xml"/><Relationship Id="rId2" Type="http://schemas.openxmlformats.org/officeDocument/2006/relationships/vmlDrawing" Target="../drawings/vmlDrawing12.vml"/><Relationship Id="rId1" Type="http://schemas.openxmlformats.org/officeDocument/2006/relationships/customProperty" Target="../customProperty12.bin"/></Relationships>
</file>

<file path=xl/worksheets/_rels/sheet43.xml.rels><?xml version="1.0" encoding="UTF-8" standalone="yes"?>
<Relationships xmlns="http://schemas.openxmlformats.org/package/2006/relationships"><Relationship Id="rId3" Type="http://schemas.openxmlformats.org/officeDocument/2006/relationships/vmlDrawing" Target="../drawings/vmlDrawing13.vml"/><Relationship Id="rId2" Type="http://schemas.openxmlformats.org/officeDocument/2006/relationships/customProperty" Target="../customProperty13.bin"/><Relationship Id="rId1" Type="http://schemas.openxmlformats.org/officeDocument/2006/relationships/printerSettings" Target="../printerSettings/printerSettings15.bin"/><Relationship Id="rId4" Type="http://schemas.openxmlformats.org/officeDocument/2006/relationships/comments" Target="../comments13.xml"/></Relationships>
</file>

<file path=xl/worksheets/_rels/sheet44.xml.rels><?xml version="1.0" encoding="UTF-8" standalone="yes"?>
<Relationships xmlns="http://schemas.openxmlformats.org/package/2006/relationships"><Relationship Id="rId3" Type="http://schemas.openxmlformats.org/officeDocument/2006/relationships/vmlDrawing" Target="../drawings/vmlDrawing14.vml"/><Relationship Id="rId2" Type="http://schemas.openxmlformats.org/officeDocument/2006/relationships/customProperty" Target="../customProperty14.bin"/><Relationship Id="rId1" Type="http://schemas.openxmlformats.org/officeDocument/2006/relationships/printerSettings" Target="../printerSettings/printerSettings16.bin"/><Relationship Id="rId4" Type="http://schemas.openxmlformats.org/officeDocument/2006/relationships/comments" Target="../comments14.xml"/></Relationships>
</file>

<file path=xl/worksheets/_rels/sheet45.xml.rels><?xml version="1.0" encoding="UTF-8" standalone="yes"?>
<Relationships xmlns="http://schemas.openxmlformats.org/package/2006/relationships"><Relationship Id="rId3" Type="http://schemas.openxmlformats.org/officeDocument/2006/relationships/comments" Target="../comments15.xml"/><Relationship Id="rId2" Type="http://schemas.openxmlformats.org/officeDocument/2006/relationships/vmlDrawing" Target="../drawings/vmlDrawing15.vml"/><Relationship Id="rId1" Type="http://schemas.openxmlformats.org/officeDocument/2006/relationships/customProperty" Target="../customProperty15.bin"/></Relationships>
</file>

<file path=xl/worksheets/_rels/sheet46.xml.rels><?xml version="1.0" encoding="UTF-8" standalone="yes"?>
<Relationships xmlns="http://schemas.openxmlformats.org/package/2006/relationships"><Relationship Id="rId3" Type="http://schemas.openxmlformats.org/officeDocument/2006/relationships/vmlDrawing" Target="../drawings/vmlDrawing16.vml"/><Relationship Id="rId2" Type="http://schemas.openxmlformats.org/officeDocument/2006/relationships/customProperty" Target="../customProperty16.bin"/><Relationship Id="rId1" Type="http://schemas.openxmlformats.org/officeDocument/2006/relationships/printerSettings" Target="../printerSettings/printerSettings17.bin"/><Relationship Id="rId4" Type="http://schemas.openxmlformats.org/officeDocument/2006/relationships/comments" Target="../comments16.xml"/></Relationships>
</file>

<file path=xl/worksheets/_rels/sheet47.xml.rels><?xml version="1.0" encoding="UTF-8" standalone="yes"?>
<Relationships xmlns="http://schemas.openxmlformats.org/package/2006/relationships"><Relationship Id="rId3" Type="http://schemas.openxmlformats.org/officeDocument/2006/relationships/comments" Target="../comments17.xml"/><Relationship Id="rId2" Type="http://schemas.openxmlformats.org/officeDocument/2006/relationships/vmlDrawing" Target="../drawings/vmlDrawing17.vml"/><Relationship Id="rId1" Type="http://schemas.openxmlformats.org/officeDocument/2006/relationships/customProperty" Target="../customProperty17.bin"/></Relationships>
</file>

<file path=xl/worksheets/_rels/sheet48.xml.rels><?xml version="1.0" encoding="UTF-8" standalone="yes"?>
<Relationships xmlns="http://schemas.openxmlformats.org/package/2006/relationships"><Relationship Id="rId3" Type="http://schemas.openxmlformats.org/officeDocument/2006/relationships/vmlDrawing" Target="../drawings/vmlDrawing18.vml"/><Relationship Id="rId2" Type="http://schemas.openxmlformats.org/officeDocument/2006/relationships/customProperty" Target="../customProperty18.bin"/><Relationship Id="rId1" Type="http://schemas.openxmlformats.org/officeDocument/2006/relationships/printerSettings" Target="../printerSettings/printerSettings18.bin"/><Relationship Id="rId4" Type="http://schemas.openxmlformats.org/officeDocument/2006/relationships/comments" Target="../comments18.xml"/></Relationships>
</file>

<file path=xl/worksheets/_rels/sheet49.xml.rels><?xml version="1.0" encoding="UTF-8" standalone="yes"?>
<Relationships xmlns="http://schemas.openxmlformats.org/package/2006/relationships"><Relationship Id="rId3" Type="http://schemas.openxmlformats.org/officeDocument/2006/relationships/comments" Target="../comments19.xml"/><Relationship Id="rId2" Type="http://schemas.openxmlformats.org/officeDocument/2006/relationships/vmlDrawing" Target="../drawings/vmlDrawing19.vml"/><Relationship Id="rId1" Type="http://schemas.openxmlformats.org/officeDocument/2006/relationships/customProperty" Target="../customProperty19.bin"/></Relationships>
</file>

<file path=xl/worksheets/_rels/sheet50.xml.rels><?xml version="1.0" encoding="UTF-8" standalone="yes"?>
<Relationships xmlns="http://schemas.openxmlformats.org/package/2006/relationships"><Relationship Id="rId3" Type="http://schemas.openxmlformats.org/officeDocument/2006/relationships/comments" Target="../comments20.xml"/><Relationship Id="rId2" Type="http://schemas.openxmlformats.org/officeDocument/2006/relationships/vmlDrawing" Target="../drawings/vmlDrawing20.vml"/><Relationship Id="rId1" Type="http://schemas.openxmlformats.org/officeDocument/2006/relationships/customProperty" Target="../customProperty20.bin"/></Relationships>
</file>

<file path=xl/worksheets/_rels/sheet51.xml.rels><?xml version="1.0" encoding="UTF-8" standalone="yes"?>
<Relationships xmlns="http://schemas.openxmlformats.org/package/2006/relationships"><Relationship Id="rId2" Type="http://schemas.openxmlformats.org/officeDocument/2006/relationships/comments" Target="../comments21.xml"/><Relationship Id="rId1" Type="http://schemas.openxmlformats.org/officeDocument/2006/relationships/vmlDrawing" Target="../drawings/vmlDrawing21.vml"/></Relationships>
</file>

<file path=xl/worksheets/_rels/sheet52.xml.rels><?xml version="1.0" encoding="UTF-8" standalone="yes"?>
<Relationships xmlns="http://schemas.openxmlformats.org/package/2006/relationships"><Relationship Id="rId2" Type="http://schemas.openxmlformats.org/officeDocument/2006/relationships/comments" Target="../comments22.xml"/><Relationship Id="rId1" Type="http://schemas.openxmlformats.org/officeDocument/2006/relationships/vmlDrawing" Target="../drawings/vmlDrawing22.vml"/></Relationships>
</file>

<file path=xl/worksheets/_rels/sheet53.xml.rels><?xml version="1.0" encoding="UTF-8" standalone="yes"?>
<Relationships xmlns="http://schemas.openxmlformats.org/package/2006/relationships"><Relationship Id="rId2" Type="http://schemas.openxmlformats.org/officeDocument/2006/relationships/comments" Target="../comments23.xml"/><Relationship Id="rId1" Type="http://schemas.openxmlformats.org/officeDocument/2006/relationships/vmlDrawing" Target="../drawings/vmlDrawing23.vml"/></Relationships>
</file>

<file path=xl/worksheets/_rels/sheet54.xml.rels><?xml version="1.0" encoding="UTF-8" standalone="yes"?>
<Relationships xmlns="http://schemas.openxmlformats.org/package/2006/relationships"><Relationship Id="rId2" Type="http://schemas.openxmlformats.org/officeDocument/2006/relationships/comments" Target="../comments24.xml"/><Relationship Id="rId1" Type="http://schemas.openxmlformats.org/officeDocument/2006/relationships/vmlDrawing" Target="../drawings/vmlDrawing24.vml"/></Relationships>
</file>

<file path=xl/worksheets/_rels/sheet55.xml.rels><?xml version="1.0" encoding="UTF-8" standalone="yes"?>
<Relationships xmlns="http://schemas.openxmlformats.org/package/2006/relationships"><Relationship Id="rId2" Type="http://schemas.openxmlformats.org/officeDocument/2006/relationships/comments" Target="../comments25.xml"/><Relationship Id="rId1" Type="http://schemas.openxmlformats.org/officeDocument/2006/relationships/vmlDrawing" Target="../drawings/vmlDrawing25.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7030A0"/>
  </sheetPr>
  <dimension ref="A1:U34"/>
  <sheetViews>
    <sheetView showGridLines="0" workbookViewId="0">
      <selection activeCell="H21" sqref="H21"/>
    </sheetView>
  </sheetViews>
  <sheetFormatPr defaultRowHeight="12.75" x14ac:dyDescent="0.35"/>
  <cols>
    <col min="7" max="7" width="40.3984375" customWidth="1"/>
    <col min="8" max="8" width="13.3984375" customWidth="1"/>
  </cols>
  <sheetData>
    <row r="1" spans="1:21" x14ac:dyDescent="0.35">
      <c r="A1" s="31"/>
      <c r="B1" s="31"/>
      <c r="C1" s="31"/>
      <c r="D1" s="31"/>
      <c r="E1" s="31"/>
      <c r="F1" s="31"/>
      <c r="G1" s="31"/>
      <c r="H1" s="31"/>
      <c r="I1" s="31"/>
      <c r="J1" s="31"/>
      <c r="K1" s="31"/>
      <c r="L1" s="31"/>
      <c r="M1" s="31"/>
      <c r="N1" s="31"/>
      <c r="O1" s="31"/>
      <c r="P1" s="31"/>
      <c r="Q1" s="31"/>
      <c r="R1" s="31"/>
      <c r="S1" s="31"/>
      <c r="T1" s="31"/>
      <c r="U1" s="31"/>
    </row>
    <row r="2" spans="1:21" x14ac:dyDescent="0.35">
      <c r="A2" s="31"/>
      <c r="B2" s="31"/>
      <c r="C2" s="31"/>
      <c r="D2" s="31"/>
      <c r="E2" s="31"/>
      <c r="F2" s="31"/>
      <c r="G2" s="31"/>
      <c r="H2" s="31"/>
      <c r="I2" s="31"/>
      <c r="J2" s="31"/>
      <c r="K2" s="31"/>
      <c r="L2" s="31"/>
      <c r="M2" s="31"/>
      <c r="N2" s="31"/>
      <c r="O2" s="31"/>
      <c r="P2" s="31"/>
      <c r="Q2" s="31"/>
      <c r="R2" s="31"/>
      <c r="S2" s="31"/>
      <c r="T2" s="31"/>
      <c r="U2" s="31"/>
    </row>
    <row r="3" spans="1:21" x14ac:dyDescent="0.35">
      <c r="A3" s="31"/>
      <c r="B3" s="31"/>
      <c r="C3" s="31"/>
      <c r="D3" s="31"/>
      <c r="E3" s="31"/>
      <c r="F3" s="31"/>
      <c r="G3" s="31"/>
      <c r="H3" s="31"/>
      <c r="I3" s="31"/>
      <c r="J3" s="31"/>
      <c r="K3" s="31"/>
      <c r="L3" s="31"/>
      <c r="M3" s="31"/>
      <c r="N3" s="31"/>
      <c r="O3" s="31"/>
      <c r="P3" s="31"/>
      <c r="Q3" s="31"/>
      <c r="R3" s="31"/>
      <c r="S3" s="31"/>
      <c r="T3" s="31"/>
      <c r="U3" s="31"/>
    </row>
    <row r="4" spans="1:21" x14ac:dyDescent="0.35">
      <c r="A4" s="31"/>
      <c r="B4" s="31"/>
      <c r="C4" s="31"/>
      <c r="D4" s="31"/>
      <c r="E4" s="31"/>
      <c r="F4" s="31"/>
      <c r="G4" s="31"/>
      <c r="H4" s="31"/>
      <c r="I4" s="31"/>
      <c r="J4" s="31"/>
      <c r="K4" s="31"/>
      <c r="L4" s="31"/>
      <c r="M4" s="31"/>
      <c r="N4" s="31"/>
      <c r="O4" s="31"/>
      <c r="P4" s="31"/>
      <c r="Q4" s="31"/>
      <c r="R4" s="31"/>
      <c r="S4" s="31"/>
      <c r="T4" s="31"/>
      <c r="U4" s="31"/>
    </row>
    <row r="5" spans="1:21" x14ac:dyDescent="0.35">
      <c r="A5" s="31"/>
      <c r="B5" s="31"/>
      <c r="C5" s="31"/>
      <c r="D5" s="31"/>
      <c r="E5" s="31"/>
      <c r="F5" s="31"/>
      <c r="G5" s="31"/>
      <c r="H5" s="31"/>
      <c r="I5" s="31"/>
      <c r="J5" s="31"/>
      <c r="K5" s="31"/>
      <c r="L5" s="31"/>
      <c r="M5" s="31"/>
      <c r="N5" s="31"/>
      <c r="O5" s="31"/>
      <c r="P5" s="31"/>
      <c r="Q5" s="31"/>
      <c r="R5" s="31"/>
      <c r="S5" s="31"/>
      <c r="T5" s="31"/>
      <c r="U5" s="31"/>
    </row>
    <row r="6" spans="1:21" x14ac:dyDescent="0.35">
      <c r="A6" s="31"/>
      <c r="B6" s="31"/>
      <c r="C6" s="31"/>
      <c r="D6" s="31"/>
      <c r="E6" s="31"/>
      <c r="F6" s="31"/>
      <c r="G6" s="31"/>
      <c r="H6" s="31"/>
      <c r="I6" s="31"/>
      <c r="J6" s="31"/>
      <c r="K6" s="31"/>
      <c r="L6" s="31"/>
      <c r="M6" s="31"/>
      <c r="N6" s="31"/>
      <c r="O6" s="31"/>
      <c r="P6" s="31"/>
      <c r="Q6" s="31"/>
      <c r="R6" s="31"/>
      <c r="S6" s="31"/>
      <c r="T6" s="31"/>
      <c r="U6" s="31"/>
    </row>
    <row r="7" spans="1:21" x14ac:dyDescent="0.35">
      <c r="A7" s="31"/>
      <c r="B7" s="31"/>
      <c r="C7" s="31"/>
      <c r="D7" s="31"/>
      <c r="E7" s="31"/>
      <c r="F7" s="31"/>
      <c r="G7" s="31"/>
      <c r="H7" s="31"/>
      <c r="I7" s="31"/>
      <c r="J7" s="31"/>
      <c r="K7" s="31"/>
      <c r="L7" s="31"/>
      <c r="M7" s="31"/>
      <c r="N7" s="31"/>
      <c r="O7" s="31"/>
      <c r="P7" s="31"/>
      <c r="Q7" s="31"/>
      <c r="R7" s="31"/>
      <c r="S7" s="31"/>
      <c r="T7" s="31"/>
      <c r="U7" s="31"/>
    </row>
    <row r="8" spans="1:21" x14ac:dyDescent="0.35">
      <c r="A8" s="31"/>
      <c r="B8" s="31"/>
      <c r="C8" s="31"/>
      <c r="D8" s="31"/>
      <c r="E8" s="31"/>
      <c r="F8" s="31"/>
      <c r="G8" s="31"/>
      <c r="H8" s="31"/>
      <c r="I8" s="31"/>
      <c r="J8" s="31"/>
      <c r="K8" s="31"/>
      <c r="L8" s="31"/>
      <c r="M8" s="31"/>
      <c r="N8" s="31"/>
      <c r="O8" s="31"/>
      <c r="P8" s="31"/>
      <c r="Q8" s="31"/>
      <c r="R8" s="31"/>
      <c r="S8" s="31"/>
      <c r="T8" s="31"/>
      <c r="U8" s="31"/>
    </row>
    <row r="9" spans="1:21" x14ac:dyDescent="0.35">
      <c r="A9" s="31"/>
      <c r="B9" s="31"/>
      <c r="C9" s="31"/>
      <c r="D9" s="31"/>
      <c r="E9" s="31"/>
      <c r="F9" s="31"/>
      <c r="G9" s="31"/>
      <c r="H9" s="31"/>
      <c r="I9" s="31"/>
      <c r="J9" s="31"/>
      <c r="K9" s="31"/>
      <c r="L9" s="31"/>
      <c r="M9" s="31"/>
      <c r="N9" s="31"/>
      <c r="O9" s="31"/>
      <c r="P9" s="31"/>
      <c r="Q9" s="31"/>
      <c r="R9" s="31"/>
      <c r="S9" s="31"/>
      <c r="T9" s="31"/>
      <c r="U9" s="31"/>
    </row>
    <row r="10" spans="1:21" x14ac:dyDescent="0.35">
      <c r="A10" s="31"/>
      <c r="B10" s="31"/>
      <c r="C10" s="31"/>
      <c r="D10" s="31"/>
      <c r="E10" s="31"/>
      <c r="F10" s="31"/>
      <c r="G10" s="31"/>
      <c r="H10" s="31"/>
      <c r="I10" s="31"/>
      <c r="J10" s="31"/>
      <c r="K10" s="31"/>
      <c r="L10" s="31"/>
      <c r="M10" s="31"/>
      <c r="N10" s="31"/>
      <c r="O10" s="31"/>
      <c r="P10" s="31"/>
      <c r="Q10" s="31"/>
      <c r="R10" s="31"/>
      <c r="S10" s="31"/>
      <c r="T10" s="31"/>
      <c r="U10" s="31"/>
    </row>
    <row r="11" spans="1:21" ht="13.15" x14ac:dyDescent="0.4">
      <c r="A11" s="31"/>
      <c r="B11" s="31"/>
      <c r="C11" s="31"/>
      <c r="D11" s="31"/>
      <c r="E11" s="31"/>
      <c r="F11" s="31"/>
      <c r="G11" s="31"/>
      <c r="H11" s="32"/>
      <c r="I11" s="31"/>
      <c r="J11" s="31"/>
      <c r="K11" s="31"/>
      <c r="L11" s="31"/>
      <c r="M11" s="31"/>
      <c r="N11" s="31"/>
      <c r="O11" s="31"/>
      <c r="P11" s="31"/>
      <c r="Q11" s="31"/>
      <c r="R11" s="31"/>
      <c r="S11" s="31"/>
      <c r="T11" s="31"/>
      <c r="U11" s="31"/>
    </row>
    <row r="12" spans="1:21" ht="13.15" x14ac:dyDescent="0.4">
      <c r="A12" s="31"/>
      <c r="B12" s="31"/>
      <c r="C12" s="31"/>
      <c r="D12" s="31"/>
      <c r="E12" s="31"/>
      <c r="F12" s="31"/>
      <c r="G12" s="32"/>
      <c r="H12" s="32"/>
      <c r="I12" s="31"/>
      <c r="J12" s="31"/>
      <c r="K12" s="31"/>
      <c r="L12" s="31"/>
      <c r="M12" s="31"/>
      <c r="N12" s="31"/>
      <c r="O12" s="31"/>
      <c r="P12" s="31"/>
      <c r="Q12" s="31"/>
      <c r="R12" s="31"/>
      <c r="S12" s="31"/>
      <c r="T12" s="31"/>
      <c r="U12" s="31"/>
    </row>
    <row r="13" spans="1:21" ht="13.15" x14ac:dyDescent="0.4">
      <c r="A13" s="31"/>
      <c r="B13" s="31"/>
      <c r="C13" s="31"/>
      <c r="D13" s="31"/>
      <c r="E13" s="31"/>
      <c r="F13" s="31"/>
      <c r="G13" s="32"/>
      <c r="H13" s="32"/>
      <c r="I13" s="31"/>
      <c r="J13" s="31"/>
      <c r="K13" s="31"/>
      <c r="L13" s="31"/>
      <c r="M13" s="31"/>
      <c r="N13" s="31"/>
      <c r="O13" s="31"/>
      <c r="P13" s="31"/>
      <c r="Q13" s="31"/>
      <c r="R13" s="31"/>
      <c r="S13" s="31"/>
      <c r="T13" s="31"/>
      <c r="U13" s="31"/>
    </row>
    <row r="14" spans="1:21" ht="13.9" x14ac:dyDescent="0.4">
      <c r="A14" s="31"/>
      <c r="B14" s="31"/>
      <c r="C14" s="31"/>
      <c r="D14" s="31"/>
      <c r="E14" s="31"/>
      <c r="F14" s="31"/>
      <c r="G14" s="106" t="s">
        <v>0</v>
      </c>
      <c r="H14" s="106" t="s">
        <v>1</v>
      </c>
      <c r="I14" s="35"/>
      <c r="J14" s="31"/>
      <c r="K14" s="31"/>
      <c r="L14" s="31"/>
      <c r="M14" s="31"/>
      <c r="N14" s="31"/>
      <c r="O14" s="31"/>
      <c r="P14" s="31"/>
      <c r="Q14" s="31"/>
      <c r="R14" s="31"/>
      <c r="S14" s="31"/>
      <c r="T14" s="31"/>
      <c r="U14" s="31"/>
    </row>
    <row r="15" spans="1:21" ht="13.15" x14ac:dyDescent="0.4">
      <c r="A15" s="31"/>
      <c r="B15" s="31"/>
      <c r="C15" s="31"/>
      <c r="D15" s="31"/>
      <c r="E15" s="31"/>
      <c r="F15" s="31"/>
      <c r="G15" s="33"/>
      <c r="H15" s="33"/>
      <c r="I15" s="33"/>
      <c r="J15" s="31"/>
      <c r="K15" s="31"/>
      <c r="L15" s="31"/>
      <c r="M15" s="31"/>
      <c r="N15" s="31"/>
      <c r="O15" s="31"/>
      <c r="P15" s="31"/>
      <c r="Q15" s="31"/>
      <c r="R15" s="31"/>
      <c r="S15" s="31"/>
      <c r="T15" s="31"/>
      <c r="U15" s="31"/>
    </row>
    <row r="16" spans="1:21" ht="13.9" x14ac:dyDescent="0.4">
      <c r="A16" s="31"/>
      <c r="B16" s="31"/>
      <c r="C16" s="31"/>
      <c r="D16" s="31"/>
      <c r="E16" s="31"/>
      <c r="F16" s="31"/>
      <c r="G16" s="34"/>
      <c r="H16" s="33"/>
      <c r="I16" s="33"/>
      <c r="J16" s="31"/>
      <c r="K16" s="31"/>
      <c r="L16" s="31"/>
      <c r="M16" s="31"/>
      <c r="N16" s="31"/>
      <c r="O16" s="31"/>
      <c r="P16" s="31"/>
      <c r="Q16" s="31"/>
      <c r="R16" s="31"/>
      <c r="S16" s="31"/>
      <c r="T16" s="31"/>
      <c r="U16" s="31"/>
    </row>
    <row r="17" spans="1:21" ht="13.9" x14ac:dyDescent="0.4">
      <c r="A17" s="31"/>
      <c r="B17" s="31"/>
      <c r="C17" s="31"/>
      <c r="D17" s="31"/>
      <c r="E17" s="31"/>
      <c r="F17" s="31"/>
      <c r="G17" s="108" t="s">
        <v>2</v>
      </c>
      <c r="H17" s="107" t="s">
        <v>3</v>
      </c>
      <c r="I17" s="33"/>
      <c r="J17" s="31"/>
      <c r="K17" s="31"/>
      <c r="L17" s="31"/>
      <c r="M17" s="31"/>
      <c r="N17" s="31"/>
      <c r="O17" s="31"/>
      <c r="P17" s="31"/>
      <c r="Q17" s="31"/>
      <c r="R17" s="31"/>
      <c r="S17" s="31"/>
      <c r="T17" s="31"/>
      <c r="U17" s="31"/>
    </row>
    <row r="18" spans="1:21" ht="13.15" x14ac:dyDescent="0.4">
      <c r="A18" s="31"/>
      <c r="B18" s="31"/>
      <c r="C18" s="31"/>
      <c r="D18" s="31"/>
      <c r="E18" s="31"/>
      <c r="F18" s="31"/>
      <c r="G18" s="33"/>
      <c r="H18" s="33"/>
      <c r="I18" s="33"/>
      <c r="J18" s="31"/>
      <c r="K18" s="31"/>
      <c r="L18" s="31"/>
      <c r="M18" s="31"/>
      <c r="N18" s="31"/>
      <c r="O18" s="31"/>
      <c r="P18" s="31"/>
      <c r="Q18" s="31"/>
      <c r="R18" s="31"/>
      <c r="S18" s="31"/>
      <c r="T18" s="31"/>
      <c r="U18" s="31"/>
    </row>
    <row r="19" spans="1:21" ht="13.9" x14ac:dyDescent="0.4">
      <c r="A19" s="31"/>
      <c r="B19" s="31"/>
      <c r="C19" s="31"/>
      <c r="D19" s="31"/>
      <c r="E19" s="31"/>
      <c r="F19" s="31"/>
      <c r="G19" s="34"/>
      <c r="H19" s="34"/>
      <c r="I19" s="33"/>
      <c r="J19" s="31"/>
      <c r="K19" s="31"/>
      <c r="L19" s="31"/>
      <c r="M19" s="31"/>
      <c r="N19" s="31"/>
      <c r="O19" s="31"/>
      <c r="P19" s="31"/>
      <c r="Q19" s="31"/>
      <c r="R19" s="31"/>
      <c r="S19" s="31"/>
      <c r="T19" s="31"/>
      <c r="U19" s="31"/>
    </row>
    <row r="20" spans="1:21" ht="13.9" x14ac:dyDescent="0.4">
      <c r="A20" s="31"/>
      <c r="B20" s="31"/>
      <c r="C20" s="31"/>
      <c r="D20" s="31"/>
      <c r="E20" s="31"/>
      <c r="F20" s="31"/>
      <c r="G20" s="109" t="s">
        <v>4</v>
      </c>
      <c r="H20" s="106" t="s">
        <v>5</v>
      </c>
      <c r="I20" s="33"/>
      <c r="J20" s="31"/>
      <c r="K20" s="31"/>
      <c r="L20" s="31"/>
      <c r="M20" s="31"/>
      <c r="N20" s="31"/>
      <c r="O20" s="31"/>
      <c r="P20" s="31"/>
      <c r="Q20" s="31"/>
      <c r="R20" s="31"/>
      <c r="S20" s="31"/>
      <c r="T20" s="31"/>
      <c r="U20" s="31"/>
    </row>
    <row r="21" spans="1:21" x14ac:dyDescent="0.35">
      <c r="A21" s="31"/>
      <c r="B21" s="31"/>
      <c r="C21" s="31"/>
      <c r="D21" s="31"/>
      <c r="E21" s="31"/>
      <c r="F21" s="31"/>
      <c r="G21" s="31"/>
      <c r="H21" s="31"/>
      <c r="I21" s="31"/>
      <c r="J21" s="31"/>
      <c r="K21" s="31"/>
      <c r="L21" s="31"/>
      <c r="M21" s="31"/>
      <c r="N21" s="31"/>
      <c r="O21" s="31"/>
      <c r="P21" s="31"/>
      <c r="Q21" s="31"/>
      <c r="R21" s="31"/>
      <c r="S21" s="31"/>
      <c r="T21" s="31"/>
      <c r="U21" s="31"/>
    </row>
    <row r="22" spans="1:21" x14ac:dyDescent="0.35">
      <c r="A22" s="31"/>
      <c r="B22" s="31"/>
      <c r="C22" s="31"/>
      <c r="D22" s="31"/>
      <c r="E22" s="31"/>
      <c r="F22" s="31"/>
      <c r="G22" s="31"/>
      <c r="H22" s="31"/>
      <c r="I22" s="31"/>
      <c r="J22" s="31"/>
      <c r="K22" s="31"/>
      <c r="L22" s="31"/>
      <c r="M22" s="31"/>
      <c r="N22" s="31"/>
      <c r="O22" s="31"/>
      <c r="P22" s="31"/>
      <c r="Q22" s="31"/>
      <c r="R22" s="31"/>
      <c r="S22" s="31"/>
      <c r="T22" s="31"/>
      <c r="U22" s="31"/>
    </row>
    <row r="23" spans="1:21" x14ac:dyDescent="0.35">
      <c r="A23" s="31"/>
      <c r="B23" s="31"/>
      <c r="C23" s="31"/>
      <c r="D23" s="31"/>
      <c r="E23" s="31"/>
      <c r="F23" s="31"/>
      <c r="G23" s="31"/>
      <c r="H23" s="31"/>
      <c r="I23" s="31"/>
      <c r="J23" s="31"/>
      <c r="K23" s="31"/>
      <c r="L23" s="31"/>
      <c r="M23" s="31"/>
      <c r="N23" s="31"/>
      <c r="O23" s="31"/>
      <c r="P23" s="31"/>
      <c r="Q23" s="31"/>
      <c r="R23" s="31"/>
      <c r="S23" s="31"/>
      <c r="T23" s="31"/>
      <c r="U23" s="31"/>
    </row>
    <row r="24" spans="1:21" x14ac:dyDescent="0.35">
      <c r="A24" s="31"/>
      <c r="B24" s="31"/>
      <c r="C24" s="31"/>
      <c r="D24" s="31"/>
      <c r="E24" s="31"/>
      <c r="F24" s="31"/>
      <c r="G24" s="31"/>
      <c r="H24" s="31"/>
      <c r="I24" s="31"/>
      <c r="J24" s="31"/>
      <c r="K24" s="31"/>
      <c r="L24" s="31"/>
      <c r="M24" s="31"/>
      <c r="N24" s="31"/>
      <c r="O24" s="31"/>
      <c r="P24" s="31"/>
      <c r="Q24" s="31"/>
      <c r="R24" s="31"/>
      <c r="S24" s="31"/>
      <c r="T24" s="31"/>
      <c r="U24" s="31"/>
    </row>
    <row r="25" spans="1:21" x14ac:dyDescent="0.35">
      <c r="A25" s="31"/>
      <c r="B25" s="31"/>
      <c r="C25" s="31"/>
      <c r="D25" s="31"/>
      <c r="E25" s="31"/>
      <c r="F25" s="31"/>
      <c r="G25" s="31"/>
      <c r="H25" s="31"/>
      <c r="I25" s="31"/>
      <c r="J25" s="31"/>
      <c r="K25" s="31"/>
      <c r="L25" s="31"/>
      <c r="M25" s="31"/>
      <c r="N25" s="31"/>
      <c r="O25" s="31"/>
      <c r="P25" s="31"/>
      <c r="Q25" s="31"/>
      <c r="R25" s="31"/>
      <c r="S25" s="31"/>
      <c r="T25" s="31"/>
      <c r="U25" s="31"/>
    </row>
    <row r="26" spans="1:21" x14ac:dyDescent="0.35">
      <c r="A26" s="31"/>
      <c r="B26" s="31"/>
      <c r="C26" s="31"/>
      <c r="D26" s="31"/>
      <c r="E26" s="31"/>
      <c r="F26" s="31"/>
      <c r="G26" s="31"/>
      <c r="H26" s="31"/>
      <c r="I26" s="31"/>
      <c r="J26" s="31"/>
      <c r="K26" s="31"/>
      <c r="L26" s="31"/>
      <c r="M26" s="31"/>
      <c r="N26" s="31"/>
      <c r="O26" s="31"/>
      <c r="P26" s="31"/>
      <c r="Q26" s="31"/>
      <c r="R26" s="31"/>
      <c r="S26" s="31"/>
      <c r="T26" s="31"/>
      <c r="U26" s="31"/>
    </row>
    <row r="27" spans="1:21" x14ac:dyDescent="0.35">
      <c r="A27" s="31"/>
      <c r="B27" s="31"/>
      <c r="C27" s="31"/>
      <c r="D27" s="31"/>
      <c r="E27" s="31"/>
      <c r="F27" s="31"/>
      <c r="G27" s="31"/>
      <c r="H27" s="31"/>
      <c r="I27" s="31"/>
      <c r="J27" s="31"/>
      <c r="K27" s="31"/>
      <c r="L27" s="31"/>
      <c r="M27" s="31"/>
      <c r="N27" s="31"/>
      <c r="O27" s="31"/>
      <c r="P27" s="31"/>
      <c r="Q27" s="31"/>
      <c r="R27" s="31"/>
      <c r="S27" s="31"/>
      <c r="T27" s="31"/>
      <c r="U27" s="31"/>
    </row>
    <row r="28" spans="1:21" x14ac:dyDescent="0.35">
      <c r="A28" s="31"/>
      <c r="B28" s="31"/>
      <c r="C28" s="31"/>
      <c r="D28" s="31"/>
      <c r="E28" s="31"/>
      <c r="F28" s="31"/>
      <c r="G28" s="31"/>
      <c r="H28" s="31"/>
      <c r="I28" s="31"/>
      <c r="J28" s="31"/>
      <c r="K28" s="31"/>
      <c r="L28" s="31"/>
      <c r="M28" s="31"/>
      <c r="N28" s="31"/>
      <c r="O28" s="31"/>
      <c r="P28" s="31"/>
      <c r="Q28" s="31"/>
      <c r="R28" s="31"/>
      <c r="S28" s="31"/>
      <c r="T28" s="31"/>
      <c r="U28" s="31"/>
    </row>
    <row r="29" spans="1:21" x14ac:dyDescent="0.35">
      <c r="A29" s="31"/>
      <c r="B29" s="31"/>
      <c r="C29" s="31"/>
      <c r="D29" s="31"/>
      <c r="E29" s="31"/>
      <c r="F29" s="31"/>
      <c r="G29" s="31"/>
      <c r="H29" s="31"/>
      <c r="I29" s="31"/>
      <c r="J29" s="31"/>
      <c r="K29" s="31"/>
      <c r="L29" s="31"/>
      <c r="M29" s="31"/>
      <c r="N29" s="31"/>
      <c r="O29" s="31"/>
      <c r="P29" s="31"/>
      <c r="Q29" s="31"/>
      <c r="R29" s="31"/>
      <c r="S29" s="31"/>
      <c r="T29" s="31"/>
      <c r="U29" s="31"/>
    </row>
    <row r="30" spans="1:21" x14ac:dyDescent="0.35">
      <c r="A30" s="31"/>
      <c r="B30" s="31"/>
      <c r="C30" s="31"/>
      <c r="D30" s="31"/>
      <c r="E30" s="31"/>
      <c r="F30" s="31"/>
      <c r="G30" s="31"/>
      <c r="H30" s="31"/>
      <c r="I30" s="31"/>
      <c r="J30" s="31"/>
      <c r="K30" s="31"/>
      <c r="L30" s="31"/>
      <c r="M30" s="31"/>
      <c r="N30" s="31"/>
      <c r="O30" s="31"/>
      <c r="P30" s="31"/>
      <c r="Q30" s="31"/>
      <c r="R30" s="31"/>
      <c r="S30" s="31"/>
      <c r="T30" s="31"/>
      <c r="U30" s="31"/>
    </row>
    <row r="31" spans="1:21" x14ac:dyDescent="0.35">
      <c r="A31" s="31"/>
      <c r="B31" s="31"/>
      <c r="C31" s="31"/>
      <c r="D31" s="31"/>
      <c r="E31" s="31"/>
      <c r="F31" s="31"/>
      <c r="G31" s="31"/>
      <c r="H31" s="31"/>
      <c r="I31" s="31"/>
      <c r="J31" s="31"/>
      <c r="K31" s="31"/>
      <c r="L31" s="31"/>
      <c r="M31" s="31"/>
      <c r="N31" s="31"/>
      <c r="O31" s="31"/>
      <c r="P31" s="31"/>
      <c r="Q31" s="31"/>
      <c r="R31" s="31"/>
      <c r="S31" s="31"/>
      <c r="T31" s="31"/>
      <c r="U31" s="31"/>
    </row>
    <row r="32" spans="1:21" x14ac:dyDescent="0.35">
      <c r="A32" s="31"/>
      <c r="B32" s="31"/>
      <c r="C32" s="31"/>
      <c r="D32" s="31"/>
      <c r="E32" s="31"/>
      <c r="F32" s="31"/>
      <c r="G32" s="31"/>
      <c r="H32" s="31"/>
      <c r="I32" s="31"/>
      <c r="J32" s="31"/>
      <c r="K32" s="31"/>
      <c r="L32" s="31"/>
      <c r="M32" s="31"/>
      <c r="N32" s="31"/>
      <c r="O32" s="31"/>
      <c r="P32" s="31"/>
      <c r="Q32" s="31"/>
      <c r="R32" s="31"/>
      <c r="S32" s="31"/>
      <c r="T32" s="31"/>
      <c r="U32" s="31"/>
    </row>
    <row r="33" spans="1:21" x14ac:dyDescent="0.35">
      <c r="A33" s="31"/>
      <c r="B33" s="31"/>
      <c r="C33" s="31"/>
      <c r="D33" s="31"/>
      <c r="E33" s="31"/>
      <c r="F33" s="31"/>
      <c r="G33" s="31"/>
      <c r="H33" s="31"/>
      <c r="I33" s="31"/>
      <c r="J33" s="31"/>
      <c r="K33" s="31"/>
      <c r="L33" s="31"/>
      <c r="M33" s="31"/>
      <c r="N33" s="31"/>
      <c r="O33" s="31"/>
      <c r="P33" s="31"/>
      <c r="Q33" s="31"/>
      <c r="R33" s="31"/>
      <c r="S33" s="31"/>
      <c r="T33" s="31"/>
      <c r="U33" s="31"/>
    </row>
    <row r="34" spans="1:21" x14ac:dyDescent="0.35">
      <c r="A34" s="31"/>
      <c r="B34" s="31"/>
      <c r="C34" s="31"/>
      <c r="D34" s="31"/>
      <c r="E34" s="31"/>
      <c r="F34" s="31"/>
      <c r="G34" s="31"/>
      <c r="H34" s="31"/>
      <c r="I34" s="31"/>
      <c r="J34" s="31"/>
      <c r="K34" s="31"/>
      <c r="L34" s="31"/>
      <c r="M34" s="31"/>
      <c r="N34" s="31"/>
      <c r="O34" s="31"/>
      <c r="P34" s="31"/>
      <c r="Q34" s="31"/>
      <c r="R34" s="31"/>
      <c r="S34" s="31"/>
      <c r="T34" s="31"/>
      <c r="U34" s="31"/>
    </row>
  </sheetData>
  <pageMargins left="0.7" right="0.7" top="0.75" bottom="0.75" header="0.3" footer="0.3"/>
  <customProperties>
    <customPr name="LastActive" r:id="rId1"/>
  </customProperties>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7030A0"/>
  </sheetPr>
  <dimension ref="A1:W26"/>
  <sheetViews>
    <sheetView showGridLines="0" workbookViewId="0">
      <selection activeCell="F10" sqref="F10:N15"/>
    </sheetView>
  </sheetViews>
  <sheetFormatPr defaultRowHeight="12.75" x14ac:dyDescent="0.35"/>
  <cols>
    <col min="3" max="3" width="7.3984375" customWidth="1"/>
    <col min="4" max="4" width="5.265625" hidden="1" customWidth="1"/>
    <col min="5" max="5" width="9.265625" hidden="1" customWidth="1"/>
    <col min="6" max="13" width="9.265625" style="36"/>
    <col min="14" max="14" width="39.73046875" customWidth="1"/>
  </cols>
  <sheetData>
    <row r="1" spans="1:23" x14ac:dyDescent="0.35">
      <c r="A1" s="31"/>
      <c r="B1" s="31"/>
      <c r="C1" s="31"/>
      <c r="D1" s="31"/>
      <c r="E1" s="31"/>
      <c r="F1" s="37"/>
      <c r="G1" s="37"/>
      <c r="H1" s="37"/>
      <c r="I1" s="37"/>
      <c r="J1" s="37"/>
      <c r="K1" s="37"/>
      <c r="L1" s="37"/>
      <c r="M1" s="37"/>
      <c r="N1" s="31"/>
      <c r="O1" s="31"/>
      <c r="P1" s="31"/>
      <c r="Q1" s="31"/>
      <c r="R1" s="31"/>
      <c r="S1" s="31"/>
      <c r="T1" s="31"/>
      <c r="U1" s="31"/>
      <c r="V1" s="31"/>
      <c r="W1" s="31"/>
    </row>
    <row r="2" spans="1:23" x14ac:dyDescent="0.35">
      <c r="A2" s="31"/>
      <c r="B2" s="31"/>
      <c r="C2" s="31"/>
      <c r="D2" s="31"/>
      <c r="E2" s="31"/>
      <c r="F2" s="37"/>
      <c r="G2" s="37"/>
      <c r="H2" s="37"/>
      <c r="I2" s="37"/>
      <c r="J2" s="37"/>
      <c r="K2" s="37"/>
      <c r="L2" s="37"/>
      <c r="M2" s="37"/>
      <c r="N2" s="31"/>
      <c r="O2" s="31"/>
      <c r="P2" s="31"/>
      <c r="Q2" s="31"/>
      <c r="R2" s="31"/>
      <c r="S2" s="31"/>
      <c r="T2" s="31"/>
      <c r="U2" s="31"/>
      <c r="V2" s="31"/>
      <c r="W2" s="31"/>
    </row>
    <row r="3" spans="1:23" x14ac:dyDescent="0.35">
      <c r="A3" s="31"/>
      <c r="B3" s="31"/>
      <c r="C3" s="31"/>
      <c r="D3" s="31"/>
      <c r="E3" s="31"/>
      <c r="F3" s="37"/>
      <c r="G3" s="37"/>
      <c r="H3" s="37"/>
      <c r="I3" s="37"/>
      <c r="J3" s="37"/>
      <c r="K3" s="37"/>
      <c r="L3" s="37"/>
      <c r="M3" s="37"/>
      <c r="N3" s="31"/>
      <c r="O3" s="31"/>
      <c r="P3" s="31"/>
      <c r="Q3" s="31"/>
      <c r="R3" s="31"/>
      <c r="S3" s="31"/>
      <c r="T3" s="31"/>
      <c r="U3" s="31"/>
      <c r="V3" s="31"/>
      <c r="W3" s="31"/>
    </row>
    <row r="4" spans="1:23" x14ac:dyDescent="0.35">
      <c r="A4" s="31"/>
      <c r="B4" s="31"/>
      <c r="C4" s="31"/>
      <c r="D4" s="31"/>
      <c r="E4" s="31"/>
      <c r="F4" s="37"/>
      <c r="G4" s="37"/>
      <c r="H4" s="37"/>
      <c r="I4" s="37"/>
      <c r="J4" s="37"/>
      <c r="K4" s="37"/>
      <c r="L4" s="37"/>
      <c r="M4" s="37"/>
      <c r="N4" s="31"/>
      <c r="O4" s="31"/>
      <c r="P4" s="31"/>
      <c r="Q4" s="31"/>
      <c r="R4" s="31"/>
      <c r="S4" s="31"/>
      <c r="T4" s="31"/>
      <c r="U4" s="31"/>
      <c r="V4" s="31"/>
      <c r="W4" s="31"/>
    </row>
    <row r="5" spans="1:23" x14ac:dyDescent="0.35">
      <c r="A5" s="31"/>
      <c r="B5" s="31"/>
      <c r="C5" s="31"/>
      <c r="D5" s="31"/>
      <c r="E5" s="31"/>
      <c r="F5" s="37"/>
      <c r="G5" s="37"/>
      <c r="H5" s="37"/>
      <c r="I5" s="37"/>
      <c r="J5" s="37"/>
      <c r="K5" s="37"/>
      <c r="L5" s="37"/>
      <c r="M5" s="37"/>
      <c r="N5" s="31"/>
      <c r="O5" s="31"/>
      <c r="P5" s="31"/>
      <c r="Q5" s="31"/>
      <c r="R5" s="31"/>
      <c r="S5" s="31"/>
      <c r="T5" s="31"/>
      <c r="U5" s="31"/>
      <c r="V5" s="31"/>
      <c r="W5" s="31"/>
    </row>
    <row r="6" spans="1:23" x14ac:dyDescent="0.35">
      <c r="A6" s="31"/>
      <c r="B6" s="31"/>
      <c r="C6" s="31"/>
      <c r="D6" s="31"/>
      <c r="E6" s="31"/>
      <c r="F6" s="37"/>
      <c r="G6" s="37"/>
      <c r="H6" s="37"/>
      <c r="I6" s="37"/>
      <c r="J6" s="37"/>
      <c r="K6" s="37"/>
      <c r="L6" s="37"/>
      <c r="M6" s="37"/>
      <c r="N6" s="31"/>
      <c r="O6" s="31"/>
      <c r="P6" s="31"/>
      <c r="Q6" s="31"/>
      <c r="R6" s="31"/>
      <c r="S6" s="31"/>
      <c r="T6" s="31"/>
      <c r="U6" s="31"/>
      <c r="V6" s="31"/>
      <c r="W6" s="31"/>
    </row>
    <row r="7" spans="1:23" x14ac:dyDescent="0.35">
      <c r="A7" s="31"/>
      <c r="B7" s="31"/>
      <c r="C7" s="31"/>
      <c r="D7" s="31"/>
      <c r="E7" s="31"/>
      <c r="F7" s="37"/>
      <c r="G7" s="37"/>
      <c r="H7" s="37"/>
      <c r="I7" s="37"/>
      <c r="J7" s="37"/>
      <c r="K7" s="37"/>
      <c r="L7" s="37"/>
      <c r="M7" s="37"/>
      <c r="N7" s="31"/>
      <c r="O7" s="31"/>
      <c r="P7" s="31"/>
      <c r="Q7" s="31"/>
      <c r="R7" s="31"/>
      <c r="S7" s="31"/>
      <c r="T7" s="31"/>
      <c r="U7" s="31"/>
      <c r="V7" s="31"/>
      <c r="W7" s="31"/>
    </row>
    <row r="8" spans="1:23" x14ac:dyDescent="0.35">
      <c r="A8" s="31"/>
      <c r="B8" s="31"/>
      <c r="C8" s="31"/>
      <c r="D8" s="31"/>
      <c r="E8" s="31"/>
      <c r="F8" s="37"/>
      <c r="G8" s="37"/>
      <c r="H8" s="37"/>
      <c r="I8" s="37"/>
      <c r="J8" s="37"/>
      <c r="K8" s="37"/>
      <c r="L8" s="37"/>
      <c r="M8" s="37"/>
      <c r="N8" s="31"/>
      <c r="O8" s="31"/>
      <c r="P8" s="31"/>
      <c r="Q8" s="31"/>
      <c r="R8" s="31"/>
      <c r="S8" s="31"/>
      <c r="T8" s="31"/>
      <c r="U8" s="31"/>
      <c r="V8" s="31"/>
      <c r="W8" s="31"/>
    </row>
    <row r="9" spans="1:23" x14ac:dyDescent="0.35">
      <c r="A9" s="31"/>
      <c r="B9" s="31"/>
      <c r="C9" s="31"/>
      <c r="D9" s="31"/>
      <c r="E9" s="31"/>
      <c r="F9" s="37"/>
      <c r="G9" s="37"/>
      <c r="H9" s="37"/>
      <c r="I9" s="37"/>
      <c r="J9" s="37"/>
      <c r="K9" s="37"/>
      <c r="L9" s="37"/>
      <c r="M9" s="37"/>
      <c r="N9" s="31"/>
      <c r="O9" s="31"/>
      <c r="P9" s="31"/>
      <c r="Q9" s="31"/>
      <c r="R9" s="31"/>
      <c r="S9" s="31"/>
      <c r="T9" s="31"/>
      <c r="U9" s="31"/>
      <c r="V9" s="31"/>
      <c r="W9" s="31"/>
    </row>
    <row r="10" spans="1:23" ht="12.75" customHeight="1" x14ac:dyDescent="0.35">
      <c r="A10" s="31"/>
      <c r="B10" s="31"/>
      <c r="C10" s="31"/>
      <c r="D10" s="31"/>
      <c r="E10" s="31"/>
      <c r="F10" s="414" t="s">
        <v>6</v>
      </c>
      <c r="G10" s="414"/>
      <c r="H10" s="414"/>
      <c r="I10" s="414"/>
      <c r="J10" s="414"/>
      <c r="K10" s="414"/>
      <c r="L10" s="414"/>
      <c r="M10" s="414"/>
      <c r="N10" s="414"/>
      <c r="O10" s="31"/>
      <c r="P10" s="31"/>
      <c r="Q10" s="31"/>
      <c r="R10" s="31"/>
      <c r="S10" s="31"/>
      <c r="T10" s="31"/>
      <c r="U10" s="31"/>
      <c r="V10" s="31"/>
      <c r="W10" s="31"/>
    </row>
    <row r="11" spans="1:23" ht="12.75" customHeight="1" x14ac:dyDescent="0.35">
      <c r="A11" s="31"/>
      <c r="B11" s="31"/>
      <c r="C11" s="31"/>
      <c r="D11" s="31"/>
      <c r="E11" s="31"/>
      <c r="F11" s="414"/>
      <c r="G11" s="414"/>
      <c r="H11" s="414"/>
      <c r="I11" s="414"/>
      <c r="J11" s="414"/>
      <c r="K11" s="414"/>
      <c r="L11" s="414"/>
      <c r="M11" s="414"/>
      <c r="N11" s="414"/>
      <c r="O11" s="31"/>
      <c r="P11" s="31"/>
      <c r="Q11" s="31"/>
      <c r="R11" s="31"/>
      <c r="S11" s="31"/>
      <c r="T11" s="31"/>
      <c r="U11" s="31"/>
      <c r="V11" s="31"/>
      <c r="W11" s="31"/>
    </row>
    <row r="12" spans="1:23" ht="12.75" customHeight="1" x14ac:dyDescent="0.35">
      <c r="A12" s="31"/>
      <c r="B12" s="31"/>
      <c r="C12" s="31"/>
      <c r="D12" s="31"/>
      <c r="E12" s="31"/>
      <c r="F12" s="414"/>
      <c r="G12" s="414"/>
      <c r="H12" s="414"/>
      <c r="I12" s="414"/>
      <c r="J12" s="414"/>
      <c r="K12" s="414"/>
      <c r="L12" s="414"/>
      <c r="M12" s="414"/>
      <c r="N12" s="414"/>
      <c r="O12" s="31"/>
      <c r="P12" s="31"/>
      <c r="Q12" s="31"/>
      <c r="R12" s="31"/>
      <c r="S12" s="31"/>
      <c r="T12" s="31"/>
      <c r="U12" s="31"/>
      <c r="V12" s="31"/>
      <c r="W12" s="31"/>
    </row>
    <row r="13" spans="1:23" ht="12.75" customHeight="1" x14ac:dyDescent="0.35">
      <c r="A13" s="31"/>
      <c r="B13" s="31"/>
      <c r="C13" s="31"/>
      <c r="D13" s="31"/>
      <c r="E13" s="31"/>
      <c r="F13" s="414"/>
      <c r="G13" s="414"/>
      <c r="H13" s="414"/>
      <c r="I13" s="414"/>
      <c r="J13" s="414"/>
      <c r="K13" s="414"/>
      <c r="L13" s="414"/>
      <c r="M13" s="414"/>
      <c r="N13" s="414"/>
      <c r="O13" s="31"/>
      <c r="P13" s="31"/>
      <c r="Q13" s="31"/>
      <c r="R13" s="31"/>
      <c r="S13" s="31"/>
      <c r="T13" s="31"/>
      <c r="U13" s="31"/>
      <c r="V13" s="31"/>
      <c r="W13" s="31"/>
    </row>
    <row r="14" spans="1:23" ht="12.75" customHeight="1" x14ac:dyDescent="0.35">
      <c r="A14" s="31"/>
      <c r="B14" s="31"/>
      <c r="C14" s="31"/>
      <c r="D14" s="31"/>
      <c r="E14" s="31"/>
      <c r="F14" s="414"/>
      <c r="G14" s="414"/>
      <c r="H14" s="414"/>
      <c r="I14" s="414"/>
      <c r="J14" s="414"/>
      <c r="K14" s="414"/>
      <c r="L14" s="414"/>
      <c r="M14" s="414"/>
      <c r="N14" s="414"/>
      <c r="O14" s="31"/>
      <c r="P14" s="31"/>
      <c r="Q14" s="31"/>
      <c r="R14" s="31"/>
      <c r="S14" s="31"/>
      <c r="T14" s="31"/>
      <c r="U14" s="31"/>
      <c r="V14" s="31"/>
      <c r="W14" s="31"/>
    </row>
    <row r="15" spans="1:23" ht="43.5" customHeight="1" x14ac:dyDescent="0.35">
      <c r="A15" s="31"/>
      <c r="B15" s="31"/>
      <c r="C15" s="31"/>
      <c r="D15" s="31"/>
      <c r="E15" s="31"/>
      <c r="F15" s="414"/>
      <c r="G15" s="414"/>
      <c r="H15" s="414"/>
      <c r="I15" s="414"/>
      <c r="J15" s="414"/>
      <c r="K15" s="414"/>
      <c r="L15" s="414"/>
      <c r="M15" s="414"/>
      <c r="N15" s="414"/>
      <c r="O15" s="31"/>
      <c r="P15" s="31"/>
      <c r="Q15" s="31"/>
      <c r="R15" s="31"/>
      <c r="S15" s="31"/>
      <c r="T15" s="31"/>
      <c r="U15" s="31"/>
      <c r="V15" s="31"/>
      <c r="W15" s="31"/>
    </row>
    <row r="16" spans="1:23" ht="12.75" customHeight="1" x14ac:dyDescent="0.35">
      <c r="A16" s="31"/>
      <c r="B16" s="31"/>
      <c r="C16" s="31"/>
      <c r="D16" s="31"/>
      <c r="E16" s="31"/>
      <c r="F16" s="37"/>
      <c r="G16" s="37"/>
      <c r="H16" s="37"/>
      <c r="I16" s="37"/>
      <c r="J16" s="37"/>
      <c r="K16" s="37"/>
      <c r="L16" s="37"/>
      <c r="M16" s="37"/>
      <c r="N16" s="31"/>
      <c r="O16" s="31"/>
      <c r="P16" s="31"/>
      <c r="Q16" s="31"/>
      <c r="R16" s="31"/>
      <c r="S16" s="31"/>
      <c r="T16" s="31"/>
      <c r="U16" s="31"/>
      <c r="V16" s="31"/>
      <c r="W16" s="31"/>
    </row>
    <row r="17" spans="1:23" ht="13.7" customHeight="1" x14ac:dyDescent="0.35">
      <c r="A17" s="31"/>
      <c r="B17" s="31"/>
      <c r="C17" s="31"/>
      <c r="D17" s="31"/>
      <c r="E17" s="31"/>
      <c r="F17" s="37"/>
      <c r="G17" s="37"/>
      <c r="H17" s="37"/>
      <c r="I17" s="37"/>
      <c r="J17" s="37"/>
      <c r="K17" s="37"/>
      <c r="L17" s="37"/>
      <c r="M17" s="37"/>
      <c r="N17" s="31"/>
      <c r="O17" s="31"/>
      <c r="P17" s="31"/>
      <c r="Q17" s="31"/>
      <c r="R17" s="31"/>
      <c r="S17" s="31"/>
      <c r="T17" s="31"/>
      <c r="U17" s="31"/>
      <c r="V17" s="31"/>
      <c r="W17" s="31"/>
    </row>
    <row r="18" spans="1:23" ht="12.75" customHeight="1" x14ac:dyDescent="0.35">
      <c r="A18" s="31"/>
      <c r="B18" s="31"/>
      <c r="C18" s="31"/>
      <c r="D18" s="31"/>
      <c r="E18" s="31"/>
      <c r="F18" s="37"/>
      <c r="G18" s="37"/>
      <c r="H18" s="37"/>
      <c r="I18" s="37"/>
      <c r="J18" s="37"/>
      <c r="K18" s="37"/>
      <c r="L18" s="37"/>
      <c r="M18" s="37"/>
      <c r="N18" s="31"/>
      <c r="O18" s="31"/>
      <c r="P18" s="31"/>
      <c r="Q18" s="31"/>
      <c r="R18" s="31"/>
      <c r="S18" s="31"/>
      <c r="T18" s="31"/>
      <c r="U18" s="31"/>
      <c r="V18" s="31"/>
      <c r="W18" s="31"/>
    </row>
    <row r="19" spans="1:23" ht="12.75" customHeight="1" x14ac:dyDescent="0.35">
      <c r="A19" s="31"/>
      <c r="B19" s="31"/>
      <c r="C19" s="31"/>
      <c r="D19" s="31"/>
      <c r="E19" s="31"/>
      <c r="F19" s="37"/>
      <c r="G19" s="37"/>
      <c r="H19" s="37"/>
      <c r="I19" s="37"/>
      <c r="J19" s="37"/>
      <c r="K19" s="37"/>
      <c r="L19" s="37"/>
      <c r="M19" s="37"/>
      <c r="N19" s="31"/>
      <c r="O19" s="31"/>
      <c r="P19" s="31"/>
      <c r="Q19" s="31"/>
      <c r="R19" s="31"/>
      <c r="S19" s="31"/>
      <c r="T19" s="31"/>
      <c r="U19" s="31"/>
      <c r="V19" s="31"/>
      <c r="W19" s="31"/>
    </row>
    <row r="20" spans="1:23" ht="12.75" customHeight="1" x14ac:dyDescent="0.35">
      <c r="A20" s="31"/>
      <c r="B20" s="31"/>
      <c r="C20" s="31"/>
      <c r="D20" s="31"/>
      <c r="E20" s="31"/>
      <c r="F20" s="37"/>
      <c r="G20" s="37"/>
      <c r="H20" s="37"/>
      <c r="I20" s="37"/>
      <c r="J20" s="37"/>
      <c r="K20" s="37"/>
      <c r="L20" s="37"/>
      <c r="M20" s="37"/>
      <c r="N20" s="31"/>
      <c r="O20" s="31"/>
      <c r="P20" s="31"/>
      <c r="Q20" s="31"/>
      <c r="R20" s="31"/>
      <c r="S20" s="31"/>
      <c r="T20" s="31"/>
      <c r="U20" s="31"/>
      <c r="V20" s="31"/>
      <c r="W20" s="31"/>
    </row>
    <row r="21" spans="1:23" ht="12.75" customHeight="1" x14ac:dyDescent="0.35">
      <c r="A21" s="31"/>
      <c r="B21" s="31"/>
      <c r="C21" s="31"/>
      <c r="D21" s="31"/>
      <c r="E21" s="31"/>
      <c r="F21" s="37"/>
      <c r="G21" s="37"/>
      <c r="H21" s="37"/>
      <c r="I21" s="37"/>
      <c r="J21" s="37"/>
      <c r="K21" s="37"/>
      <c r="L21" s="37"/>
      <c r="M21" s="37"/>
      <c r="N21" s="31"/>
      <c r="O21" s="31"/>
      <c r="P21" s="31"/>
      <c r="Q21" s="31"/>
      <c r="R21" s="31"/>
      <c r="S21" s="31"/>
      <c r="T21" s="31"/>
      <c r="U21" s="31"/>
      <c r="V21" s="31"/>
      <c r="W21" s="31"/>
    </row>
    <row r="22" spans="1:23" x14ac:dyDescent="0.35">
      <c r="A22" s="31"/>
      <c r="B22" s="31"/>
      <c r="C22" s="31"/>
      <c r="D22" s="31"/>
      <c r="E22" s="31"/>
      <c r="F22" s="37"/>
      <c r="G22" s="37"/>
      <c r="H22" s="37"/>
      <c r="I22" s="37"/>
      <c r="J22" s="37"/>
      <c r="K22" s="37"/>
      <c r="L22" s="37"/>
      <c r="M22" s="37"/>
      <c r="N22" s="31"/>
      <c r="O22" s="31"/>
      <c r="P22" s="31"/>
      <c r="Q22" s="31"/>
      <c r="R22" s="31"/>
      <c r="S22" s="31"/>
      <c r="T22" s="31"/>
      <c r="U22" s="31"/>
      <c r="V22" s="31"/>
      <c r="W22" s="31"/>
    </row>
    <row r="23" spans="1:23" x14ac:dyDescent="0.35">
      <c r="A23" s="31"/>
      <c r="B23" s="31"/>
      <c r="C23" s="31"/>
      <c r="D23" s="31"/>
      <c r="E23" s="31"/>
      <c r="F23" s="37"/>
      <c r="G23" s="37"/>
      <c r="H23" s="37"/>
      <c r="I23" s="37"/>
      <c r="J23" s="37"/>
      <c r="K23" s="37"/>
      <c r="L23" s="37"/>
      <c r="M23" s="37"/>
      <c r="N23" s="31"/>
      <c r="O23" s="31"/>
      <c r="P23" s="31"/>
      <c r="Q23" s="31"/>
      <c r="R23" s="31"/>
      <c r="S23" s="31"/>
      <c r="T23" s="31"/>
      <c r="U23" s="31"/>
      <c r="V23" s="31"/>
      <c r="W23" s="31"/>
    </row>
    <row r="24" spans="1:23" x14ac:dyDescent="0.35">
      <c r="A24" s="31"/>
      <c r="B24" s="31"/>
      <c r="C24" s="31"/>
      <c r="D24" s="31"/>
      <c r="E24" s="31"/>
      <c r="F24" s="37"/>
      <c r="G24" s="37"/>
      <c r="H24" s="37"/>
      <c r="I24" s="37"/>
      <c r="J24" s="37"/>
      <c r="K24" s="37"/>
      <c r="L24" s="37"/>
      <c r="M24" s="37"/>
      <c r="N24" s="31"/>
      <c r="O24" s="31"/>
      <c r="P24" s="31"/>
      <c r="Q24" s="31"/>
      <c r="R24" s="31"/>
      <c r="S24" s="31"/>
      <c r="T24" s="31"/>
      <c r="U24" s="31"/>
      <c r="V24" s="31"/>
      <c r="W24" s="31"/>
    </row>
    <row r="25" spans="1:23" x14ac:dyDescent="0.35">
      <c r="A25" s="31"/>
      <c r="B25" s="31"/>
      <c r="C25" s="31"/>
      <c r="D25" s="31"/>
      <c r="E25" s="31"/>
      <c r="F25" s="37"/>
      <c r="G25" s="37"/>
      <c r="H25" s="37"/>
      <c r="I25" s="37"/>
      <c r="J25" s="37"/>
      <c r="K25" s="37"/>
      <c r="L25" s="37"/>
      <c r="M25" s="37"/>
      <c r="N25" s="31"/>
      <c r="O25" s="31"/>
      <c r="P25" s="31"/>
      <c r="Q25" s="31"/>
      <c r="R25" s="31"/>
      <c r="S25" s="31"/>
      <c r="T25" s="31"/>
      <c r="U25" s="31"/>
      <c r="V25" s="31"/>
      <c r="W25" s="31"/>
    </row>
    <row r="26" spans="1:23" x14ac:dyDescent="0.35">
      <c r="A26" s="31"/>
      <c r="B26" s="31"/>
      <c r="C26" s="31"/>
      <c r="D26" s="31"/>
      <c r="E26" s="31"/>
      <c r="F26" s="37"/>
      <c r="G26" s="37"/>
      <c r="H26" s="37"/>
      <c r="I26" s="37"/>
      <c r="J26" s="37"/>
      <c r="K26" s="37"/>
      <c r="L26" s="37"/>
      <c r="M26" s="37"/>
      <c r="N26" s="31"/>
      <c r="O26" s="31"/>
      <c r="P26" s="31"/>
      <c r="Q26" s="31"/>
      <c r="R26" s="31"/>
      <c r="S26" s="31"/>
      <c r="T26" s="31"/>
      <c r="U26" s="31"/>
      <c r="V26" s="31"/>
      <c r="W26" s="31"/>
    </row>
  </sheetData>
  <mergeCells count="1">
    <mergeCell ref="F10:N15"/>
  </mergeCells>
  <pageMargins left="0.7" right="0.7" top="0.75" bottom="0.75" header="0.3" footer="0.3"/>
  <customProperties>
    <customPr name="LastActive" r:id="rId1"/>
  </customProperties>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7030A0"/>
  </sheetPr>
  <dimension ref="A1:Z38"/>
  <sheetViews>
    <sheetView showGridLines="0" workbookViewId="0">
      <selection activeCell="C15" sqref="C15"/>
    </sheetView>
  </sheetViews>
  <sheetFormatPr defaultRowHeight="12.75" x14ac:dyDescent="0.35"/>
  <sheetData>
    <row r="1" spans="1:26" x14ac:dyDescent="0.35">
      <c r="A1" s="31"/>
      <c r="B1" s="31"/>
      <c r="C1" s="31"/>
      <c r="D1" s="31"/>
      <c r="E1" s="31"/>
      <c r="F1" s="31"/>
      <c r="G1" s="31"/>
      <c r="H1" s="31"/>
      <c r="I1" s="31"/>
      <c r="J1" s="31"/>
      <c r="K1" s="31"/>
      <c r="L1" s="31"/>
      <c r="M1" s="31"/>
      <c r="N1" s="31"/>
      <c r="O1" s="31"/>
      <c r="P1" s="31"/>
      <c r="Q1" s="31"/>
      <c r="R1" s="31"/>
      <c r="S1" s="31"/>
      <c r="T1" s="31"/>
      <c r="U1" s="31"/>
      <c r="V1" s="31"/>
      <c r="W1" s="31"/>
      <c r="X1" s="31"/>
      <c r="Y1" s="31"/>
      <c r="Z1" s="31"/>
    </row>
    <row r="2" spans="1:26" x14ac:dyDescent="0.35">
      <c r="A2" s="31"/>
      <c r="B2" s="31"/>
      <c r="C2" s="31"/>
      <c r="D2" s="31"/>
      <c r="E2" s="31"/>
      <c r="F2" s="31"/>
      <c r="G2" s="31"/>
      <c r="H2" s="31"/>
      <c r="I2" s="31"/>
      <c r="J2" s="31"/>
      <c r="K2" s="31"/>
      <c r="L2" s="31"/>
      <c r="M2" s="31"/>
      <c r="N2" s="31"/>
      <c r="O2" s="31"/>
      <c r="P2" s="31"/>
      <c r="Q2" s="31"/>
      <c r="R2" s="31"/>
      <c r="S2" s="31"/>
      <c r="T2" s="31"/>
      <c r="U2" s="31"/>
      <c r="V2" s="31"/>
      <c r="W2" s="31"/>
      <c r="X2" s="31"/>
      <c r="Y2" s="31"/>
      <c r="Z2" s="31"/>
    </row>
    <row r="3" spans="1:26" x14ac:dyDescent="0.35">
      <c r="A3" s="31"/>
      <c r="B3" s="31"/>
      <c r="C3" s="31"/>
      <c r="D3" s="31"/>
      <c r="E3" s="31"/>
      <c r="F3" s="31"/>
      <c r="G3" s="31"/>
      <c r="H3" s="31"/>
      <c r="I3" s="31"/>
      <c r="J3" s="31"/>
      <c r="K3" s="31"/>
      <c r="L3" s="31"/>
      <c r="M3" s="31"/>
      <c r="N3" s="31"/>
      <c r="O3" s="31"/>
      <c r="P3" s="31"/>
      <c r="Q3" s="31"/>
      <c r="R3" s="31"/>
      <c r="S3" s="31"/>
      <c r="T3" s="31"/>
      <c r="U3" s="31"/>
      <c r="V3" s="31"/>
      <c r="W3" s="31"/>
      <c r="X3" s="31"/>
      <c r="Y3" s="31"/>
      <c r="Z3" s="31"/>
    </row>
    <row r="4" spans="1:26" x14ac:dyDescent="0.35">
      <c r="A4" s="31"/>
      <c r="B4" s="31"/>
      <c r="C4" s="31"/>
      <c r="D4" s="31"/>
      <c r="E4" s="31"/>
      <c r="F4" s="31"/>
      <c r="G4" s="31"/>
      <c r="H4" s="31"/>
      <c r="I4" s="31"/>
      <c r="J4" s="31"/>
      <c r="K4" s="31"/>
      <c r="L4" s="31"/>
      <c r="M4" s="31"/>
      <c r="N4" s="31"/>
      <c r="O4" s="31"/>
      <c r="P4" s="31"/>
      <c r="Q4" s="31"/>
      <c r="R4" s="31"/>
      <c r="S4" s="31"/>
      <c r="T4" s="31"/>
      <c r="U4" s="31"/>
      <c r="V4" s="31"/>
      <c r="W4" s="31"/>
      <c r="X4" s="31"/>
      <c r="Y4" s="31"/>
      <c r="Z4" s="31"/>
    </row>
    <row r="5" spans="1:26" x14ac:dyDescent="0.35">
      <c r="A5" s="31"/>
      <c r="B5" s="31"/>
      <c r="C5" s="31"/>
      <c r="D5" s="31"/>
      <c r="E5" s="31"/>
      <c r="F5" s="31"/>
      <c r="G5" s="31"/>
      <c r="H5" s="31"/>
      <c r="I5" s="31"/>
      <c r="J5" s="31"/>
      <c r="K5" s="31"/>
      <c r="L5" s="31"/>
      <c r="M5" s="31"/>
      <c r="N5" s="31"/>
      <c r="O5" s="31"/>
      <c r="P5" s="31"/>
      <c r="Q5" s="31"/>
      <c r="R5" s="31"/>
      <c r="S5" s="31"/>
      <c r="T5" s="31"/>
      <c r="U5" s="31"/>
      <c r="V5" s="31"/>
      <c r="W5" s="31"/>
      <c r="X5" s="31"/>
      <c r="Y5" s="31"/>
      <c r="Z5" s="31"/>
    </row>
    <row r="6" spans="1:26" x14ac:dyDescent="0.35">
      <c r="A6" s="31"/>
      <c r="B6" s="31"/>
      <c r="C6" s="31"/>
      <c r="D6" s="31"/>
      <c r="E6" s="31"/>
      <c r="F6" s="31"/>
      <c r="G6" s="31"/>
      <c r="H6" s="31"/>
      <c r="I6" s="31"/>
      <c r="J6" s="31"/>
      <c r="K6" s="31"/>
      <c r="L6" s="31"/>
      <c r="M6" s="31"/>
      <c r="N6" s="31"/>
      <c r="O6" s="31"/>
      <c r="P6" s="31"/>
      <c r="Q6" s="31"/>
      <c r="R6" s="31"/>
      <c r="S6" s="31"/>
      <c r="T6" s="31"/>
      <c r="U6" s="31"/>
      <c r="V6" s="31"/>
      <c r="W6" s="31"/>
      <c r="X6" s="31"/>
      <c r="Y6" s="31"/>
      <c r="Z6" s="31"/>
    </row>
    <row r="7" spans="1:26" x14ac:dyDescent="0.35">
      <c r="A7" s="31"/>
      <c r="B7" s="31"/>
      <c r="C7" s="31"/>
      <c r="D7" s="31"/>
      <c r="E7" s="31"/>
      <c r="F7" s="31"/>
      <c r="G7" s="31"/>
      <c r="H7" s="31"/>
      <c r="I7" s="31"/>
      <c r="J7" s="31"/>
      <c r="K7" s="31"/>
      <c r="L7" s="31"/>
      <c r="M7" s="31"/>
      <c r="N7" s="31"/>
      <c r="O7" s="31"/>
      <c r="P7" s="31"/>
      <c r="Q7" s="31"/>
      <c r="R7" s="31"/>
      <c r="S7" s="31"/>
      <c r="T7" s="31"/>
      <c r="U7" s="31"/>
      <c r="V7" s="31"/>
      <c r="W7" s="31"/>
      <c r="X7" s="31"/>
      <c r="Y7" s="31"/>
      <c r="Z7" s="31"/>
    </row>
    <row r="8" spans="1:26" x14ac:dyDescent="0.35">
      <c r="A8" s="31"/>
      <c r="B8" s="31"/>
      <c r="C8" s="31"/>
      <c r="D8" s="31"/>
      <c r="E8" s="31"/>
      <c r="F8" s="31"/>
      <c r="G8" s="31"/>
      <c r="H8" s="31"/>
      <c r="I8" s="31"/>
      <c r="J8" s="31"/>
      <c r="K8" s="31"/>
      <c r="L8" s="31"/>
      <c r="M8" s="31"/>
      <c r="N8" s="31"/>
      <c r="O8" s="31"/>
      <c r="P8" s="31"/>
      <c r="Q8" s="31"/>
      <c r="R8" s="31"/>
      <c r="S8" s="31"/>
      <c r="T8" s="31"/>
      <c r="U8" s="31"/>
      <c r="V8" s="31"/>
      <c r="W8" s="31"/>
      <c r="X8" s="31"/>
      <c r="Y8" s="31"/>
      <c r="Z8" s="31"/>
    </row>
    <row r="9" spans="1:26" x14ac:dyDescent="0.35">
      <c r="A9" s="31"/>
      <c r="B9" s="31"/>
      <c r="C9" s="31"/>
      <c r="D9" s="31"/>
      <c r="E9" s="31"/>
      <c r="F9" s="31"/>
      <c r="G9" s="31"/>
      <c r="H9" s="31"/>
      <c r="I9" s="31"/>
      <c r="J9" s="31"/>
      <c r="K9" s="31"/>
      <c r="L9" s="31"/>
      <c r="M9" s="31"/>
      <c r="N9" s="31"/>
      <c r="O9" s="31"/>
      <c r="P9" s="31"/>
      <c r="Q9" s="31"/>
      <c r="R9" s="31"/>
      <c r="S9" s="31"/>
      <c r="T9" s="31"/>
      <c r="U9" s="31"/>
      <c r="V9" s="31"/>
      <c r="W9" s="31"/>
      <c r="X9" s="31"/>
      <c r="Y9" s="31"/>
      <c r="Z9" s="31"/>
    </row>
    <row r="10" spans="1:26" x14ac:dyDescent="0.35">
      <c r="A10" s="31"/>
      <c r="B10" s="31"/>
      <c r="C10" s="31"/>
      <c r="D10" s="31"/>
      <c r="E10" s="31"/>
      <c r="F10" s="31"/>
      <c r="G10" s="31"/>
      <c r="H10" s="31"/>
      <c r="I10" s="31"/>
      <c r="J10" s="31"/>
      <c r="K10" s="31"/>
      <c r="L10" s="31"/>
      <c r="M10" s="31"/>
      <c r="N10" s="31"/>
      <c r="O10" s="31"/>
      <c r="P10" s="31"/>
      <c r="Q10" s="31"/>
      <c r="R10" s="31"/>
      <c r="S10" s="31"/>
      <c r="T10" s="31"/>
      <c r="U10" s="31"/>
      <c r="V10" s="31"/>
      <c r="W10" s="31"/>
      <c r="X10" s="31"/>
      <c r="Y10" s="31"/>
      <c r="Z10" s="31"/>
    </row>
    <row r="11" spans="1:26" x14ac:dyDescent="0.35">
      <c r="A11" s="31"/>
      <c r="B11" s="31"/>
      <c r="C11" s="31"/>
      <c r="D11" s="31"/>
      <c r="E11" s="31"/>
      <c r="F11" s="31"/>
      <c r="G11" s="31"/>
      <c r="H11" s="31"/>
      <c r="I11" s="31"/>
      <c r="J11" s="31"/>
      <c r="K11" s="31"/>
      <c r="L11" s="31"/>
      <c r="M11" s="31"/>
      <c r="N11" s="31"/>
      <c r="O11" s="31"/>
      <c r="P11" s="31"/>
      <c r="Q11" s="31"/>
      <c r="R11" s="31"/>
      <c r="S11" s="31"/>
      <c r="T11" s="31"/>
      <c r="U11" s="31"/>
      <c r="V11" s="31"/>
      <c r="W11" s="31"/>
      <c r="X11" s="31"/>
      <c r="Y11" s="31"/>
      <c r="Z11" s="31"/>
    </row>
    <row r="12" spans="1:26" x14ac:dyDescent="0.35">
      <c r="A12" s="31"/>
      <c r="B12" s="31"/>
      <c r="C12" s="31"/>
      <c r="D12" s="31"/>
      <c r="E12" s="31"/>
      <c r="F12" s="31"/>
      <c r="G12" s="31"/>
      <c r="H12" s="31"/>
      <c r="I12" s="31"/>
      <c r="J12" s="31"/>
      <c r="K12" s="31"/>
      <c r="L12" s="31"/>
      <c r="M12" s="31"/>
      <c r="N12" s="31"/>
      <c r="O12" s="31"/>
      <c r="P12" s="31"/>
      <c r="Q12" s="31"/>
      <c r="R12" s="31"/>
      <c r="S12" s="31"/>
      <c r="T12" s="31"/>
      <c r="U12" s="31"/>
      <c r="V12" s="31"/>
      <c r="W12" s="31"/>
      <c r="X12" s="31"/>
      <c r="Y12" s="31"/>
      <c r="Z12" s="31"/>
    </row>
    <row r="13" spans="1:26" x14ac:dyDescent="0.35">
      <c r="A13" s="31"/>
      <c r="B13" s="31"/>
      <c r="C13" s="31"/>
      <c r="D13" s="31"/>
      <c r="E13" s="31"/>
      <c r="F13" s="31"/>
      <c r="G13" s="31"/>
      <c r="H13" s="31"/>
      <c r="I13" s="31"/>
      <c r="J13" s="31"/>
      <c r="K13" s="31"/>
      <c r="L13" s="31"/>
      <c r="M13" s="31"/>
      <c r="N13" s="31"/>
      <c r="O13" s="31"/>
      <c r="P13" s="31"/>
      <c r="Q13" s="31"/>
      <c r="R13" s="31"/>
      <c r="S13" s="31"/>
      <c r="T13" s="31"/>
      <c r="U13" s="31"/>
      <c r="V13" s="31"/>
      <c r="W13" s="31"/>
      <c r="X13" s="31"/>
      <c r="Y13" s="31"/>
      <c r="Z13" s="31"/>
    </row>
    <row r="14" spans="1:26" x14ac:dyDescent="0.35">
      <c r="A14" s="31"/>
      <c r="B14" s="31"/>
      <c r="C14" s="31"/>
      <c r="D14" s="31"/>
      <c r="E14" s="31"/>
      <c r="F14" s="31"/>
      <c r="G14" s="31"/>
      <c r="H14" s="31"/>
      <c r="I14" s="31"/>
      <c r="J14" s="31"/>
      <c r="K14" s="31"/>
      <c r="L14" s="31"/>
      <c r="M14" s="31"/>
      <c r="N14" s="31"/>
      <c r="O14" s="31"/>
      <c r="P14" s="31"/>
      <c r="Q14" s="31"/>
      <c r="R14" s="31"/>
      <c r="S14" s="31"/>
      <c r="T14" s="31"/>
      <c r="U14" s="31"/>
      <c r="V14" s="31"/>
      <c r="W14" s="31"/>
      <c r="X14" s="31"/>
      <c r="Y14" s="31"/>
      <c r="Z14" s="31"/>
    </row>
    <row r="15" spans="1:26" x14ac:dyDescent="0.35">
      <c r="A15" s="31"/>
      <c r="B15" s="31"/>
      <c r="C15" s="31"/>
      <c r="D15" s="31"/>
      <c r="E15" s="31"/>
      <c r="F15" s="31"/>
      <c r="G15" s="31"/>
      <c r="H15" s="31"/>
      <c r="I15" s="31"/>
      <c r="J15" s="31"/>
      <c r="K15" s="31"/>
      <c r="L15" s="31"/>
      <c r="M15" s="31"/>
      <c r="N15" s="31"/>
      <c r="O15" s="31"/>
      <c r="P15" s="31"/>
      <c r="Q15" s="31"/>
      <c r="R15" s="31"/>
      <c r="S15" s="31"/>
      <c r="T15" s="31"/>
      <c r="U15" s="31"/>
      <c r="V15" s="31"/>
      <c r="W15" s="31"/>
      <c r="X15" s="31"/>
      <c r="Y15" s="31"/>
      <c r="Z15" s="31"/>
    </row>
    <row r="16" spans="1:26" x14ac:dyDescent="0.35">
      <c r="A16" s="31"/>
      <c r="B16" s="31"/>
      <c r="C16" s="31"/>
      <c r="D16" s="31"/>
      <c r="E16" s="31"/>
      <c r="F16" s="31"/>
      <c r="G16" s="31"/>
      <c r="H16" s="31"/>
      <c r="I16" s="31"/>
      <c r="J16" s="31"/>
      <c r="K16" s="31"/>
      <c r="L16" s="31"/>
      <c r="M16" s="31"/>
      <c r="N16" s="31"/>
      <c r="O16" s="31"/>
      <c r="P16" s="31"/>
      <c r="Q16" s="31"/>
      <c r="R16" s="31"/>
      <c r="S16" s="31"/>
      <c r="T16" s="31"/>
      <c r="U16" s="31"/>
      <c r="V16" s="31"/>
      <c r="W16" s="31"/>
      <c r="X16" s="31"/>
      <c r="Y16" s="31"/>
      <c r="Z16" s="31"/>
    </row>
    <row r="17" spans="1:26" x14ac:dyDescent="0.35">
      <c r="A17" s="31"/>
      <c r="B17" s="31"/>
      <c r="C17" s="31"/>
      <c r="D17" s="31"/>
      <c r="E17" s="31"/>
      <c r="F17" s="31"/>
      <c r="G17" s="31"/>
      <c r="H17" s="31"/>
      <c r="I17" s="31"/>
      <c r="J17" s="31"/>
      <c r="K17" s="31"/>
      <c r="L17" s="31"/>
      <c r="M17" s="31"/>
      <c r="N17" s="31"/>
      <c r="O17" s="31"/>
      <c r="P17" s="31"/>
      <c r="Q17" s="31"/>
      <c r="R17" s="31"/>
      <c r="S17" s="31"/>
      <c r="T17" s="31"/>
      <c r="U17" s="31"/>
      <c r="V17" s="31"/>
      <c r="W17" s="31"/>
      <c r="X17" s="31"/>
      <c r="Y17" s="31"/>
      <c r="Z17" s="31"/>
    </row>
    <row r="18" spans="1:26" x14ac:dyDescent="0.35">
      <c r="A18" s="31"/>
      <c r="B18" s="31"/>
      <c r="C18" s="31"/>
      <c r="D18" s="31"/>
      <c r="E18" s="31"/>
      <c r="F18" s="31"/>
      <c r="G18" s="31"/>
      <c r="H18" s="31"/>
      <c r="I18" s="31"/>
      <c r="J18" s="31"/>
      <c r="K18" s="31"/>
      <c r="L18" s="31"/>
      <c r="M18" s="31"/>
      <c r="N18" s="31"/>
      <c r="O18" s="31"/>
      <c r="P18" s="31"/>
      <c r="Q18" s="31"/>
      <c r="R18" s="31"/>
      <c r="S18" s="31"/>
      <c r="T18" s="31"/>
      <c r="U18" s="31"/>
      <c r="V18" s="31"/>
      <c r="W18" s="31"/>
      <c r="X18" s="31"/>
      <c r="Y18" s="31"/>
      <c r="Z18" s="31"/>
    </row>
    <row r="19" spans="1:26" x14ac:dyDescent="0.35">
      <c r="A19" s="31"/>
      <c r="B19" s="31"/>
      <c r="C19" s="31"/>
      <c r="D19" s="31"/>
      <c r="E19" s="31"/>
      <c r="F19" s="31"/>
      <c r="G19" s="31"/>
      <c r="H19" s="31"/>
      <c r="I19" s="31"/>
      <c r="J19" s="31"/>
      <c r="K19" s="31"/>
      <c r="L19" s="31"/>
      <c r="M19" s="31"/>
      <c r="N19" s="31"/>
      <c r="O19" s="31"/>
      <c r="P19" s="31"/>
      <c r="Q19" s="31"/>
      <c r="R19" s="31"/>
      <c r="S19" s="31"/>
      <c r="T19" s="31"/>
      <c r="U19" s="31"/>
      <c r="V19" s="31"/>
      <c r="W19" s="31"/>
      <c r="X19" s="31"/>
      <c r="Y19" s="31"/>
      <c r="Z19" s="31"/>
    </row>
    <row r="20" spans="1:26" x14ac:dyDescent="0.35">
      <c r="A20" s="31"/>
      <c r="B20" s="31"/>
      <c r="C20" s="31"/>
      <c r="D20" s="31"/>
      <c r="E20" s="31"/>
      <c r="F20" s="31"/>
      <c r="G20" s="31"/>
      <c r="H20" s="31"/>
      <c r="I20" s="31"/>
      <c r="J20" s="31"/>
      <c r="K20" s="31"/>
      <c r="L20" s="31"/>
      <c r="M20" s="31"/>
      <c r="N20" s="31"/>
      <c r="O20" s="31"/>
      <c r="P20" s="31"/>
      <c r="Q20" s="31"/>
      <c r="R20" s="31"/>
      <c r="S20" s="31"/>
      <c r="T20" s="31"/>
      <c r="U20" s="31"/>
      <c r="V20" s="31"/>
      <c r="W20" s="31"/>
      <c r="X20" s="31"/>
      <c r="Y20" s="31"/>
      <c r="Z20" s="31"/>
    </row>
    <row r="21" spans="1:26" x14ac:dyDescent="0.35">
      <c r="A21" s="31"/>
      <c r="B21" s="31"/>
      <c r="C21" s="31"/>
      <c r="D21" s="31"/>
      <c r="E21" s="31"/>
      <c r="F21" s="31"/>
      <c r="G21" s="31"/>
      <c r="H21" s="31"/>
      <c r="I21" s="31"/>
      <c r="J21" s="31"/>
      <c r="K21" s="31"/>
      <c r="L21" s="31"/>
      <c r="M21" s="31"/>
      <c r="N21" s="31"/>
      <c r="O21" s="31"/>
      <c r="P21" s="31"/>
      <c r="Q21" s="31"/>
      <c r="R21" s="31"/>
      <c r="S21" s="31"/>
      <c r="T21" s="31"/>
      <c r="U21" s="31"/>
      <c r="V21" s="31"/>
      <c r="W21" s="31"/>
      <c r="X21" s="31"/>
      <c r="Y21" s="31"/>
      <c r="Z21" s="31"/>
    </row>
    <row r="22" spans="1:26" x14ac:dyDescent="0.35">
      <c r="A22" s="31"/>
      <c r="B22" s="31"/>
      <c r="C22" s="31"/>
      <c r="D22" s="31"/>
      <c r="E22" s="31"/>
      <c r="F22" s="31"/>
      <c r="G22" s="31"/>
      <c r="H22" s="31"/>
      <c r="I22" s="31"/>
      <c r="J22" s="31"/>
      <c r="K22" s="31"/>
      <c r="L22" s="31"/>
      <c r="M22" s="31"/>
      <c r="N22" s="31"/>
      <c r="O22" s="31"/>
      <c r="P22" s="31"/>
      <c r="Q22" s="31"/>
      <c r="R22" s="31"/>
      <c r="S22" s="31"/>
      <c r="T22" s="31"/>
      <c r="U22" s="31"/>
      <c r="V22" s="31"/>
      <c r="W22" s="31"/>
      <c r="X22" s="31"/>
      <c r="Y22" s="31"/>
      <c r="Z22" s="31"/>
    </row>
    <row r="23" spans="1:26" x14ac:dyDescent="0.35">
      <c r="A23" s="31"/>
      <c r="B23" s="31"/>
      <c r="C23" s="31"/>
      <c r="D23" s="31"/>
      <c r="E23" s="31"/>
      <c r="F23" s="31"/>
      <c r="G23" s="31"/>
      <c r="H23" s="31"/>
      <c r="I23" s="31"/>
      <c r="J23" s="31"/>
      <c r="K23" s="31"/>
      <c r="L23" s="31"/>
      <c r="M23" s="31"/>
      <c r="N23" s="31"/>
      <c r="O23" s="31"/>
      <c r="P23" s="31"/>
      <c r="Q23" s="31"/>
      <c r="R23" s="31"/>
      <c r="S23" s="31"/>
      <c r="T23" s="31"/>
      <c r="U23" s="31"/>
      <c r="V23" s="31"/>
      <c r="W23" s="31"/>
      <c r="X23" s="31"/>
      <c r="Y23" s="31"/>
      <c r="Z23" s="31"/>
    </row>
    <row r="24" spans="1:26" x14ac:dyDescent="0.35">
      <c r="A24" s="31"/>
      <c r="B24" s="31"/>
      <c r="C24" s="31"/>
      <c r="D24" s="31"/>
      <c r="E24" s="31"/>
      <c r="F24" s="31"/>
      <c r="G24" s="31"/>
      <c r="H24" s="31"/>
      <c r="I24" s="31"/>
      <c r="J24" s="31"/>
      <c r="K24" s="31"/>
      <c r="L24" s="31"/>
      <c r="M24" s="31"/>
      <c r="N24" s="31"/>
      <c r="O24" s="31"/>
      <c r="P24" s="31"/>
      <c r="Q24" s="31"/>
      <c r="R24" s="31"/>
      <c r="S24" s="31"/>
      <c r="T24" s="31"/>
      <c r="U24" s="31"/>
      <c r="V24" s="31"/>
      <c r="W24" s="31"/>
      <c r="X24" s="31"/>
      <c r="Y24" s="31"/>
      <c r="Z24" s="31"/>
    </row>
    <row r="25" spans="1:26" x14ac:dyDescent="0.35">
      <c r="A25" s="31"/>
      <c r="B25" s="31"/>
      <c r="C25" s="31"/>
      <c r="D25" s="31"/>
      <c r="E25" s="31"/>
      <c r="F25" s="31"/>
      <c r="G25" s="31"/>
      <c r="H25" s="31"/>
      <c r="I25" s="31"/>
      <c r="J25" s="31"/>
      <c r="K25" s="31"/>
      <c r="L25" s="31"/>
      <c r="M25" s="31"/>
      <c r="N25" s="31"/>
      <c r="O25" s="31"/>
      <c r="P25" s="31"/>
      <c r="Q25" s="31"/>
      <c r="R25" s="31"/>
      <c r="S25" s="31"/>
      <c r="T25" s="31"/>
      <c r="U25" s="31"/>
      <c r="V25" s="31"/>
      <c r="W25" s="31"/>
      <c r="X25" s="31"/>
      <c r="Y25" s="31"/>
      <c r="Z25" s="31"/>
    </row>
    <row r="26" spans="1:26" x14ac:dyDescent="0.35">
      <c r="A26" s="31"/>
      <c r="B26" s="31"/>
      <c r="C26" s="31"/>
      <c r="D26" s="31"/>
      <c r="E26" s="31"/>
      <c r="F26" s="31"/>
      <c r="G26" s="31"/>
      <c r="H26" s="31"/>
      <c r="I26" s="31"/>
      <c r="J26" s="31"/>
      <c r="K26" s="31"/>
      <c r="L26" s="31"/>
      <c r="M26" s="31"/>
      <c r="N26" s="31"/>
      <c r="O26" s="31"/>
      <c r="P26" s="31"/>
      <c r="Q26" s="31"/>
      <c r="R26" s="31"/>
      <c r="S26" s="31"/>
      <c r="T26" s="31"/>
      <c r="U26" s="31"/>
      <c r="V26" s="31"/>
      <c r="W26" s="31"/>
      <c r="X26" s="31"/>
      <c r="Y26" s="31"/>
      <c r="Z26" s="31"/>
    </row>
    <row r="27" spans="1:26" x14ac:dyDescent="0.35">
      <c r="A27" s="31"/>
      <c r="B27" s="31"/>
      <c r="C27" s="31"/>
      <c r="D27" s="31"/>
      <c r="E27" s="31"/>
      <c r="F27" s="31"/>
      <c r="G27" s="31"/>
      <c r="H27" s="31"/>
      <c r="I27" s="31"/>
      <c r="J27" s="31"/>
      <c r="K27" s="31"/>
      <c r="L27" s="31"/>
      <c r="M27" s="31"/>
      <c r="N27" s="31"/>
      <c r="O27" s="31"/>
      <c r="P27" s="31"/>
      <c r="Q27" s="31"/>
      <c r="R27" s="31"/>
      <c r="S27" s="31"/>
      <c r="T27" s="31"/>
      <c r="U27" s="31"/>
      <c r="V27" s="31"/>
      <c r="W27" s="31"/>
      <c r="X27" s="31"/>
      <c r="Y27" s="31"/>
      <c r="Z27" s="31"/>
    </row>
    <row r="28" spans="1:26" x14ac:dyDescent="0.35">
      <c r="A28" s="31"/>
      <c r="B28" s="31"/>
      <c r="C28" s="31"/>
      <c r="D28" s="31"/>
      <c r="E28" s="31"/>
      <c r="F28" s="31"/>
      <c r="G28" s="31"/>
      <c r="H28" s="31"/>
      <c r="I28" s="31"/>
      <c r="J28" s="31"/>
      <c r="K28" s="31"/>
      <c r="L28" s="31"/>
      <c r="M28" s="31"/>
      <c r="N28" s="31"/>
      <c r="O28" s="31"/>
      <c r="P28" s="31"/>
      <c r="Q28" s="31"/>
      <c r="R28" s="31"/>
      <c r="S28" s="31"/>
      <c r="T28" s="31"/>
      <c r="U28" s="31"/>
      <c r="V28" s="31"/>
      <c r="W28" s="31"/>
      <c r="X28" s="31"/>
      <c r="Y28" s="31"/>
      <c r="Z28" s="31"/>
    </row>
    <row r="29" spans="1:26" x14ac:dyDescent="0.35">
      <c r="A29" s="31"/>
      <c r="B29" s="31"/>
      <c r="C29" s="31"/>
      <c r="D29" s="31"/>
      <c r="E29" s="31"/>
      <c r="F29" s="31"/>
      <c r="G29" s="31"/>
      <c r="H29" s="31"/>
      <c r="I29" s="31"/>
      <c r="J29" s="31"/>
      <c r="K29" s="31"/>
      <c r="L29" s="31"/>
      <c r="M29" s="31"/>
      <c r="N29" s="31"/>
      <c r="O29" s="31"/>
      <c r="P29" s="31"/>
      <c r="Q29" s="31"/>
      <c r="R29" s="31"/>
      <c r="S29" s="31"/>
      <c r="T29" s="31"/>
      <c r="U29" s="31"/>
      <c r="V29" s="31"/>
      <c r="W29" s="31"/>
      <c r="X29" s="31"/>
      <c r="Y29" s="31"/>
      <c r="Z29" s="31"/>
    </row>
    <row r="30" spans="1:26" x14ac:dyDescent="0.35">
      <c r="A30" s="31"/>
      <c r="B30" s="31"/>
      <c r="C30" s="31"/>
      <c r="D30" s="31"/>
      <c r="E30" s="31"/>
      <c r="F30" s="31"/>
      <c r="G30" s="31"/>
      <c r="H30" s="31"/>
      <c r="I30" s="31"/>
      <c r="J30" s="31"/>
      <c r="K30" s="31"/>
      <c r="L30" s="31"/>
      <c r="M30" s="31"/>
      <c r="N30" s="31"/>
      <c r="O30" s="31"/>
      <c r="P30" s="31"/>
      <c r="Q30" s="31"/>
      <c r="R30" s="31"/>
      <c r="S30" s="31"/>
      <c r="T30" s="31"/>
      <c r="U30" s="31"/>
      <c r="V30" s="31"/>
      <c r="W30" s="31"/>
      <c r="X30" s="31"/>
      <c r="Y30" s="31"/>
      <c r="Z30" s="31"/>
    </row>
    <row r="31" spans="1:26" x14ac:dyDescent="0.35">
      <c r="A31" s="31"/>
      <c r="B31" s="31"/>
      <c r="C31" s="31"/>
      <c r="D31" s="31"/>
      <c r="E31" s="31"/>
      <c r="F31" s="31"/>
      <c r="G31" s="31"/>
      <c r="H31" s="31"/>
      <c r="I31" s="31"/>
      <c r="J31" s="31"/>
      <c r="K31" s="31"/>
      <c r="L31" s="31"/>
      <c r="M31" s="31"/>
      <c r="N31" s="31"/>
      <c r="O31" s="31"/>
      <c r="P31" s="31"/>
      <c r="Q31" s="31"/>
      <c r="R31" s="31"/>
      <c r="S31" s="31"/>
      <c r="T31" s="31"/>
      <c r="U31" s="31"/>
      <c r="V31" s="31"/>
      <c r="W31" s="31"/>
      <c r="X31" s="31"/>
      <c r="Y31" s="31"/>
      <c r="Z31" s="31"/>
    </row>
    <row r="32" spans="1:26" x14ac:dyDescent="0.35">
      <c r="A32" s="31"/>
      <c r="B32" s="31"/>
      <c r="C32" s="31"/>
      <c r="D32" s="31"/>
      <c r="E32" s="31"/>
      <c r="F32" s="31"/>
      <c r="G32" s="31"/>
      <c r="H32" s="31"/>
      <c r="I32" s="31"/>
      <c r="J32" s="31"/>
      <c r="K32" s="31"/>
      <c r="L32" s="31"/>
      <c r="M32" s="31"/>
      <c r="N32" s="31"/>
      <c r="O32" s="31"/>
      <c r="P32" s="31"/>
      <c r="Q32" s="31"/>
      <c r="R32" s="31"/>
      <c r="S32" s="31"/>
      <c r="T32" s="31"/>
      <c r="U32" s="31"/>
      <c r="V32" s="31"/>
      <c r="W32" s="31"/>
      <c r="X32" s="31"/>
      <c r="Y32" s="31"/>
      <c r="Z32" s="31"/>
    </row>
    <row r="33" spans="1:26" x14ac:dyDescent="0.35">
      <c r="A33" s="31"/>
      <c r="B33" s="31"/>
      <c r="C33" s="31"/>
      <c r="D33" s="31"/>
      <c r="E33" s="31"/>
      <c r="F33" s="31"/>
      <c r="G33" s="31"/>
      <c r="H33" s="31"/>
      <c r="I33" s="31"/>
      <c r="J33" s="31"/>
      <c r="K33" s="31"/>
      <c r="L33" s="31"/>
      <c r="M33" s="31"/>
      <c r="N33" s="31"/>
      <c r="O33" s="31"/>
      <c r="P33" s="31"/>
      <c r="Q33" s="31"/>
      <c r="R33" s="31"/>
      <c r="S33" s="31"/>
      <c r="T33" s="31"/>
      <c r="U33" s="31"/>
      <c r="V33" s="31"/>
      <c r="W33" s="31"/>
      <c r="X33" s="31"/>
      <c r="Y33" s="31"/>
      <c r="Z33" s="31"/>
    </row>
    <row r="34" spans="1:26" x14ac:dyDescent="0.35">
      <c r="A34" s="31"/>
      <c r="B34" s="31"/>
      <c r="C34" s="31"/>
      <c r="D34" s="31"/>
      <c r="E34" s="31"/>
      <c r="F34" s="31"/>
      <c r="G34" s="31"/>
      <c r="H34" s="31"/>
      <c r="I34" s="31"/>
      <c r="J34" s="31"/>
      <c r="K34" s="31"/>
      <c r="L34" s="31"/>
      <c r="M34" s="31"/>
      <c r="N34" s="31"/>
      <c r="O34" s="31"/>
      <c r="P34" s="31"/>
      <c r="Q34" s="31"/>
      <c r="R34" s="31"/>
      <c r="S34" s="31"/>
      <c r="T34" s="31"/>
      <c r="U34" s="31"/>
      <c r="V34" s="31"/>
      <c r="W34" s="31"/>
      <c r="X34" s="31"/>
      <c r="Y34" s="31"/>
      <c r="Z34" s="31"/>
    </row>
    <row r="35" spans="1:26" x14ac:dyDescent="0.35">
      <c r="A35" s="31"/>
      <c r="B35" s="31"/>
      <c r="C35" s="31"/>
      <c r="D35" s="31"/>
      <c r="E35" s="31"/>
      <c r="F35" s="31"/>
      <c r="G35" s="31"/>
      <c r="H35" s="31"/>
      <c r="I35" s="31"/>
      <c r="J35" s="31"/>
      <c r="K35" s="31"/>
      <c r="L35" s="31"/>
      <c r="M35" s="31"/>
      <c r="N35" s="31"/>
      <c r="O35" s="31"/>
      <c r="P35" s="31"/>
      <c r="Q35" s="31"/>
      <c r="R35" s="31"/>
      <c r="S35" s="31"/>
      <c r="T35" s="31"/>
      <c r="U35" s="31"/>
      <c r="V35" s="31"/>
      <c r="W35" s="31"/>
      <c r="X35" s="31"/>
      <c r="Y35" s="31"/>
      <c r="Z35" s="31"/>
    </row>
    <row r="36" spans="1:26" x14ac:dyDescent="0.35">
      <c r="A36" s="31"/>
      <c r="B36" s="31"/>
      <c r="C36" s="31"/>
      <c r="D36" s="31"/>
      <c r="E36" s="31"/>
      <c r="F36" s="31"/>
      <c r="G36" s="31"/>
      <c r="H36" s="31"/>
      <c r="I36" s="31"/>
      <c r="J36" s="31"/>
      <c r="K36" s="31"/>
      <c r="L36" s="31"/>
      <c r="M36" s="31"/>
      <c r="N36" s="31"/>
      <c r="O36" s="31"/>
      <c r="P36" s="31"/>
      <c r="Q36" s="31"/>
      <c r="R36" s="31"/>
      <c r="S36" s="31"/>
      <c r="T36" s="31"/>
      <c r="U36" s="31"/>
      <c r="V36" s="31"/>
      <c r="W36" s="31"/>
      <c r="X36" s="31"/>
      <c r="Y36" s="31"/>
      <c r="Z36" s="31"/>
    </row>
    <row r="37" spans="1:26" x14ac:dyDescent="0.35">
      <c r="A37" s="31"/>
      <c r="B37" s="31"/>
      <c r="C37" s="31"/>
      <c r="D37" s="31"/>
      <c r="E37" s="31"/>
      <c r="F37" s="31"/>
      <c r="G37" s="31"/>
      <c r="H37" s="31"/>
      <c r="I37" s="31"/>
      <c r="J37" s="31"/>
      <c r="K37" s="31"/>
      <c r="L37" s="31"/>
      <c r="M37" s="31"/>
      <c r="N37" s="31"/>
      <c r="O37" s="31"/>
      <c r="P37" s="31"/>
      <c r="Q37" s="31"/>
      <c r="R37" s="31"/>
      <c r="S37" s="31"/>
      <c r="T37" s="31"/>
      <c r="U37" s="31"/>
      <c r="V37" s="31"/>
      <c r="W37" s="31"/>
      <c r="X37" s="31"/>
      <c r="Y37" s="31"/>
      <c r="Z37" s="31"/>
    </row>
    <row r="38" spans="1:26" x14ac:dyDescent="0.35">
      <c r="A38" s="31"/>
      <c r="B38" s="31"/>
      <c r="C38" s="31"/>
      <c r="D38" s="31"/>
      <c r="E38" s="31"/>
      <c r="F38" s="31"/>
      <c r="G38" s="31"/>
      <c r="H38" s="31"/>
      <c r="I38" s="31"/>
      <c r="J38" s="31"/>
      <c r="K38" s="31"/>
      <c r="L38" s="31"/>
      <c r="M38" s="31"/>
      <c r="N38" s="31"/>
      <c r="O38" s="31"/>
      <c r="P38" s="31"/>
      <c r="Q38" s="31"/>
      <c r="R38" s="31"/>
      <c r="S38" s="31"/>
      <c r="T38" s="31"/>
      <c r="U38" s="31"/>
      <c r="V38" s="31"/>
      <c r="W38" s="31"/>
      <c r="X38" s="31"/>
      <c r="Y38" s="31"/>
      <c r="Z38" s="31"/>
    </row>
  </sheetData>
  <pageMargins left="0.7" right="0.7" top="0.75" bottom="0.75" header="0.3" footer="0.3"/>
  <customProperties>
    <customPr name="LastActive" r:id="rId1"/>
  </customProperties>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7030A0"/>
  </sheetPr>
  <dimension ref="A1:L27"/>
  <sheetViews>
    <sheetView workbookViewId="0"/>
  </sheetViews>
  <sheetFormatPr defaultColWidth="41.265625" defaultRowHeight="12.75" x14ac:dyDescent="0.35"/>
  <cols>
    <col min="1" max="1" width="41.265625" style="1" bestFit="1" customWidth="1"/>
    <col min="2" max="3" width="17.265625" style="1" customWidth="1"/>
    <col min="4" max="4" width="18.3984375" bestFit="1" customWidth="1"/>
    <col min="5" max="5" width="14" bestFit="1" customWidth="1"/>
    <col min="6" max="6" width="19.265625" bestFit="1" customWidth="1"/>
    <col min="7" max="7" width="18.3984375" bestFit="1" customWidth="1"/>
    <col min="8" max="8" width="17.73046875" bestFit="1" customWidth="1"/>
    <col min="9" max="9" width="11.265625" bestFit="1" customWidth="1"/>
    <col min="10" max="10" width="12.3984375" bestFit="1" customWidth="1"/>
    <col min="11" max="11" width="16.265625" customWidth="1"/>
  </cols>
  <sheetData>
    <row r="1" spans="1:12" x14ac:dyDescent="0.35">
      <c r="A1" s="23" t="s">
        <v>7</v>
      </c>
      <c r="B1" s="137"/>
      <c r="C1" s="137"/>
      <c r="D1" s="2"/>
      <c r="E1" s="2"/>
      <c r="F1" s="2"/>
      <c r="G1" s="2"/>
      <c r="H1" s="2"/>
      <c r="I1" s="2"/>
      <c r="J1" s="2"/>
      <c r="K1" s="2"/>
    </row>
    <row r="2" spans="1:12" s="16" customFormat="1" ht="26.25" x14ac:dyDescent="0.4">
      <c r="A2" s="21" t="s">
        <v>8</v>
      </c>
      <c r="B2" s="138" t="s">
        <v>9</v>
      </c>
      <c r="C2" s="138" t="s">
        <v>10</v>
      </c>
      <c r="D2" s="10" t="s">
        <v>11</v>
      </c>
      <c r="E2" s="21" t="s">
        <v>12</v>
      </c>
      <c r="F2" s="21" t="s">
        <v>13</v>
      </c>
      <c r="G2" s="21" t="s">
        <v>14</v>
      </c>
      <c r="H2" s="21" t="s">
        <v>15</v>
      </c>
      <c r="I2" s="21" t="s">
        <v>16</v>
      </c>
      <c r="J2" s="21" t="s">
        <v>17</v>
      </c>
      <c r="K2" s="21" t="s">
        <v>18</v>
      </c>
      <c r="L2" s="22" t="s">
        <v>19</v>
      </c>
    </row>
    <row r="3" spans="1:12" x14ac:dyDescent="0.35">
      <c r="A3" s="38" t="s">
        <v>20</v>
      </c>
      <c r="B3" s="126">
        <v>25422794</v>
      </c>
      <c r="C3" s="126">
        <v>4279252</v>
      </c>
      <c r="D3" s="56">
        <v>5236090</v>
      </c>
      <c r="E3" s="56">
        <v>1514414</v>
      </c>
      <c r="F3" s="56">
        <v>1397423</v>
      </c>
      <c r="G3" s="56">
        <v>859924</v>
      </c>
      <c r="H3" s="56">
        <v>742392</v>
      </c>
      <c r="I3" s="56">
        <v>974222</v>
      </c>
      <c r="J3" s="58">
        <v>135.34</v>
      </c>
      <c r="K3" s="58">
        <v>155.18</v>
      </c>
      <c r="L3" s="378" t="e">
        <f>D3/#REF!</f>
        <v>#REF!</v>
      </c>
    </row>
    <row r="4" spans="1:12" x14ac:dyDescent="0.35">
      <c r="A4" s="38" t="s">
        <v>21</v>
      </c>
      <c r="B4" s="126">
        <v>23499400</v>
      </c>
      <c r="C4" s="126">
        <v>3984732</v>
      </c>
      <c r="D4" s="56">
        <v>5922314</v>
      </c>
      <c r="E4" s="56">
        <v>1487591</v>
      </c>
      <c r="F4" s="56">
        <v>1848071</v>
      </c>
      <c r="G4" s="56">
        <v>572700</v>
      </c>
      <c r="H4" s="56">
        <v>236026</v>
      </c>
      <c r="I4" s="56">
        <v>322139</v>
      </c>
      <c r="J4" s="58">
        <v>78.58</v>
      </c>
      <c r="K4" s="58">
        <v>34.39</v>
      </c>
      <c r="L4" s="378" t="e">
        <f>D4/#REF!</f>
        <v>#REF!</v>
      </c>
    </row>
    <row r="5" spans="1:12" x14ac:dyDescent="0.35">
      <c r="A5" s="38" t="s">
        <v>22</v>
      </c>
      <c r="B5" s="126">
        <v>24194296</v>
      </c>
      <c r="C5" s="126">
        <v>9054453</v>
      </c>
      <c r="D5" s="56">
        <v>4520478</v>
      </c>
      <c r="E5" s="56">
        <v>2912733</v>
      </c>
      <c r="F5" s="56">
        <v>869967</v>
      </c>
      <c r="G5" s="56">
        <v>1176082</v>
      </c>
      <c r="H5" s="56">
        <v>427419</v>
      </c>
      <c r="I5" s="56">
        <v>421476</v>
      </c>
      <c r="J5" s="58">
        <v>33.67</v>
      </c>
      <c r="K5" s="58">
        <v>62.07</v>
      </c>
      <c r="L5" s="378" t="e">
        <f>D5/#REF!</f>
        <v>#REF!</v>
      </c>
    </row>
    <row r="6" spans="1:12" x14ac:dyDescent="0.35">
      <c r="A6" s="38" t="s">
        <v>23</v>
      </c>
      <c r="B6" s="126">
        <v>61494919</v>
      </c>
      <c r="C6" s="126">
        <v>25258990</v>
      </c>
      <c r="D6" s="56">
        <v>21787125</v>
      </c>
      <c r="E6" s="56">
        <v>13422512</v>
      </c>
      <c r="F6" s="56">
        <v>4842516</v>
      </c>
      <c r="G6" s="56">
        <v>3254046</v>
      </c>
      <c r="H6" s="56">
        <v>1168658</v>
      </c>
      <c r="I6" s="59">
        <v>0</v>
      </c>
      <c r="J6" s="58">
        <v>41.66</v>
      </c>
      <c r="K6" s="58">
        <v>38.049999999999997</v>
      </c>
      <c r="L6" s="378" t="e">
        <f>D6/#REF!</f>
        <v>#REF!</v>
      </c>
    </row>
    <row r="7" spans="1:12" x14ac:dyDescent="0.35">
      <c r="A7" s="38" t="s">
        <v>24</v>
      </c>
      <c r="B7" s="126">
        <v>14407854</v>
      </c>
      <c r="C7" s="126">
        <v>4587542</v>
      </c>
      <c r="D7" s="56">
        <v>4095744</v>
      </c>
      <c r="E7" s="56">
        <v>3497053</v>
      </c>
      <c r="F7" s="56">
        <v>535394</v>
      </c>
      <c r="G7" s="56">
        <v>1345605</v>
      </c>
      <c r="H7" s="56">
        <v>406763</v>
      </c>
      <c r="I7" s="59"/>
      <c r="J7" s="58">
        <v>22.06</v>
      </c>
      <c r="K7" s="58">
        <v>72.2</v>
      </c>
      <c r="L7" s="378" t="e">
        <f>D7/#REF!</f>
        <v>#REF!</v>
      </c>
    </row>
    <row r="8" spans="1:12" x14ac:dyDescent="0.35">
      <c r="A8" s="38" t="s">
        <v>25</v>
      </c>
      <c r="B8" s="126">
        <v>42390073</v>
      </c>
      <c r="C8" s="126">
        <v>30160813</v>
      </c>
      <c r="D8" s="56">
        <v>8375782</v>
      </c>
      <c r="E8" s="56">
        <v>3479158</v>
      </c>
      <c r="F8" s="56">
        <v>1183507</v>
      </c>
      <c r="G8" s="56">
        <v>1454973</v>
      </c>
      <c r="H8" s="56">
        <v>865113</v>
      </c>
      <c r="I8" s="56">
        <v>923358</v>
      </c>
      <c r="J8" s="58">
        <v>33.19</v>
      </c>
      <c r="K8" s="58">
        <v>65.06</v>
      </c>
      <c r="L8" s="378" t="e">
        <f>D8/#REF!</f>
        <v>#REF!</v>
      </c>
    </row>
    <row r="9" spans="1:12" x14ac:dyDescent="0.35">
      <c r="A9" s="38" t="s">
        <v>26</v>
      </c>
      <c r="B9" s="126">
        <v>35303209</v>
      </c>
      <c r="C9" s="126">
        <v>18525774</v>
      </c>
      <c r="D9" s="56">
        <v>10887994</v>
      </c>
      <c r="E9" s="56">
        <v>4383130</v>
      </c>
      <c r="F9" s="56">
        <v>358831</v>
      </c>
      <c r="G9" s="56">
        <v>1437781</v>
      </c>
      <c r="H9" s="56">
        <v>350708</v>
      </c>
      <c r="I9" s="56">
        <v>333324</v>
      </c>
      <c r="J9" s="58">
        <v>18.649999999999999</v>
      </c>
      <c r="K9" s="58">
        <v>92.94</v>
      </c>
      <c r="L9" s="378" t="e">
        <f>D9/#REF!</f>
        <v>#REF!</v>
      </c>
    </row>
    <row r="10" spans="1:12" x14ac:dyDescent="0.35">
      <c r="A10" s="38" t="s">
        <v>27</v>
      </c>
      <c r="B10" s="127"/>
      <c r="C10" s="127"/>
      <c r="D10" s="59"/>
      <c r="E10" s="59"/>
      <c r="F10" s="59"/>
      <c r="G10" s="59"/>
      <c r="H10" s="59"/>
      <c r="I10" s="59"/>
      <c r="J10" s="58"/>
      <c r="K10" s="58"/>
      <c r="L10" s="378" t="e">
        <f>D10/#REF!</f>
        <v>#REF!</v>
      </c>
    </row>
    <row r="11" spans="1:12" x14ac:dyDescent="0.35">
      <c r="A11" s="38" t="s">
        <v>28</v>
      </c>
      <c r="B11" s="126">
        <v>34084136</v>
      </c>
      <c r="C11" s="126">
        <v>11815147</v>
      </c>
      <c r="D11" s="56">
        <v>23155420</v>
      </c>
      <c r="E11" s="56">
        <v>8011295</v>
      </c>
      <c r="F11" s="56">
        <v>2242712</v>
      </c>
      <c r="G11" s="56">
        <v>2324511</v>
      </c>
      <c r="H11" s="56">
        <v>1833619</v>
      </c>
      <c r="I11" s="56">
        <v>1979673</v>
      </c>
      <c r="J11" s="58">
        <v>44.28</v>
      </c>
      <c r="K11" s="58">
        <v>82.1</v>
      </c>
      <c r="L11" s="378" t="e">
        <f>D11/#REF!</f>
        <v>#REF!</v>
      </c>
    </row>
    <row r="12" spans="1:12" x14ac:dyDescent="0.35">
      <c r="A12" s="38" t="s">
        <v>29</v>
      </c>
      <c r="B12" s="126">
        <v>9646176</v>
      </c>
      <c r="C12" s="126">
        <v>5278284</v>
      </c>
      <c r="D12" s="56">
        <v>2787066</v>
      </c>
      <c r="E12" s="56">
        <v>2551651</v>
      </c>
      <c r="F12" s="56">
        <v>288965</v>
      </c>
      <c r="G12" s="56">
        <v>483891</v>
      </c>
      <c r="H12" s="56">
        <v>34527</v>
      </c>
      <c r="I12" s="59"/>
      <c r="J12" s="58">
        <v>16.21</v>
      </c>
      <c r="K12" s="58">
        <v>29.08</v>
      </c>
      <c r="L12" s="378" t="e">
        <f>D12/#REF!</f>
        <v>#REF!</v>
      </c>
    </row>
    <row r="13" spans="1:12" x14ac:dyDescent="0.35">
      <c r="A13" s="38" t="s">
        <v>30</v>
      </c>
      <c r="B13" s="126">
        <v>5446595</v>
      </c>
      <c r="C13" s="126">
        <v>1851968</v>
      </c>
      <c r="D13" s="56">
        <v>1429125</v>
      </c>
      <c r="E13" s="56">
        <v>1394263</v>
      </c>
      <c r="F13" s="56">
        <v>198460</v>
      </c>
      <c r="G13" s="56">
        <v>564552</v>
      </c>
      <c r="H13" s="56">
        <v>241596</v>
      </c>
      <c r="I13" s="56">
        <v>34918</v>
      </c>
      <c r="J13" s="58">
        <v>21.22</v>
      </c>
      <c r="K13" s="58">
        <v>86.2</v>
      </c>
      <c r="L13" s="378" t="e">
        <f>D13/#REF!</f>
        <v>#REF!</v>
      </c>
    </row>
    <row r="14" spans="1:12" x14ac:dyDescent="0.35">
      <c r="A14" s="38" t="s">
        <v>31</v>
      </c>
      <c r="B14" s="126">
        <v>19698888</v>
      </c>
      <c r="C14" s="126">
        <v>8658109</v>
      </c>
      <c r="D14" s="56">
        <v>2333711</v>
      </c>
      <c r="E14" s="56">
        <v>1974450</v>
      </c>
      <c r="F14" s="56">
        <v>725650</v>
      </c>
      <c r="G14" s="56">
        <v>1189647</v>
      </c>
      <c r="H14" s="56">
        <v>163364</v>
      </c>
      <c r="I14" s="56">
        <v>68939</v>
      </c>
      <c r="J14" s="58">
        <v>44.57</v>
      </c>
      <c r="K14" s="58">
        <v>83.09</v>
      </c>
      <c r="L14" s="378" t="e">
        <f>D14/#REF!</f>
        <v>#REF!</v>
      </c>
    </row>
    <row r="15" spans="1:12" x14ac:dyDescent="0.35">
      <c r="A15" s="38" t="s">
        <v>32</v>
      </c>
      <c r="B15" s="126">
        <v>30963704</v>
      </c>
      <c r="C15" s="126">
        <v>8918180</v>
      </c>
      <c r="D15" s="56">
        <v>7672456</v>
      </c>
      <c r="E15" s="56">
        <v>5633698</v>
      </c>
      <c r="F15" s="56">
        <v>1346858</v>
      </c>
      <c r="G15" s="56">
        <v>1652260</v>
      </c>
      <c r="H15" s="56">
        <v>712408</v>
      </c>
      <c r="I15" s="56">
        <v>599518</v>
      </c>
      <c r="J15" s="58">
        <v>27.17</v>
      </c>
      <c r="K15" s="58">
        <v>47.7</v>
      </c>
      <c r="L15" s="378" t="e">
        <f>D15/#REF!</f>
        <v>#REF!</v>
      </c>
    </row>
    <row r="16" spans="1:12" x14ac:dyDescent="0.35">
      <c r="A16" s="38" t="s">
        <v>33</v>
      </c>
      <c r="B16" s="127"/>
      <c r="C16" s="127"/>
      <c r="D16" s="59"/>
      <c r="E16" s="59"/>
      <c r="F16" s="59"/>
      <c r="G16" s="59"/>
      <c r="H16" s="59"/>
      <c r="I16" s="59"/>
      <c r="J16" s="58"/>
      <c r="K16" s="58"/>
      <c r="L16" s="378" t="e">
        <f>D16/#REF!</f>
        <v>#REF!</v>
      </c>
    </row>
    <row r="17" spans="1:12" x14ac:dyDescent="0.35">
      <c r="A17" s="38" t="s">
        <v>34</v>
      </c>
      <c r="B17" s="126">
        <v>8313150</v>
      </c>
      <c r="C17" s="126">
        <v>2740096</v>
      </c>
      <c r="D17" s="56">
        <v>477318</v>
      </c>
      <c r="E17" s="56">
        <v>383716</v>
      </c>
      <c r="F17" s="56">
        <v>106607</v>
      </c>
      <c r="G17" s="56">
        <v>216497</v>
      </c>
      <c r="H17" s="56">
        <v>44871</v>
      </c>
      <c r="I17" s="56">
        <v>37610</v>
      </c>
      <c r="J17" s="58">
        <v>281.26</v>
      </c>
      <c r="K17" s="58">
        <v>689.57</v>
      </c>
      <c r="L17" s="378" t="e">
        <f>D17/#REF!</f>
        <v>#REF!</v>
      </c>
    </row>
    <row r="18" spans="1:12" x14ac:dyDescent="0.35">
      <c r="A18" s="38" t="s">
        <v>35</v>
      </c>
      <c r="B18" s="126">
        <v>15763709</v>
      </c>
      <c r="C18" s="126">
        <v>4956564</v>
      </c>
      <c r="D18" s="56">
        <v>3689812</v>
      </c>
      <c r="E18" s="56">
        <v>2761264</v>
      </c>
      <c r="F18" s="56">
        <v>-531736</v>
      </c>
      <c r="G18" s="56">
        <v>1304614</v>
      </c>
      <c r="H18" s="56">
        <v>235366</v>
      </c>
      <c r="I18" s="56">
        <v>427630</v>
      </c>
      <c r="J18" s="58">
        <v>-27.13</v>
      </c>
      <c r="K18" s="58">
        <v>78.569999999999993</v>
      </c>
      <c r="L18" s="378" t="e">
        <f>D18/#REF!</f>
        <v>#REF!</v>
      </c>
    </row>
    <row r="19" spans="1:12" x14ac:dyDescent="0.35">
      <c r="A19" s="38" t="s">
        <v>36</v>
      </c>
      <c r="B19" s="126">
        <v>17466925</v>
      </c>
      <c r="C19" s="126">
        <v>3850057</v>
      </c>
      <c r="D19" s="56">
        <v>4483486</v>
      </c>
      <c r="E19" s="56">
        <v>3806797</v>
      </c>
      <c r="F19" s="56">
        <v>1322033</v>
      </c>
      <c r="G19" s="56">
        <v>1566854</v>
      </c>
      <c r="H19" s="56">
        <v>337358</v>
      </c>
      <c r="I19" s="56">
        <v>111379</v>
      </c>
      <c r="J19" s="58">
        <v>40</v>
      </c>
      <c r="K19" s="58">
        <v>57.61</v>
      </c>
      <c r="L19" s="378" t="e">
        <f>D19/#REF!</f>
        <v>#REF!</v>
      </c>
    </row>
    <row r="20" spans="1:12" x14ac:dyDescent="0.35">
      <c r="A20" s="38" t="s">
        <v>37</v>
      </c>
      <c r="B20" s="126">
        <v>7308835</v>
      </c>
      <c r="C20" s="126">
        <v>3018224</v>
      </c>
      <c r="D20" s="56">
        <v>3552154</v>
      </c>
      <c r="E20" s="56">
        <v>3109067</v>
      </c>
      <c r="F20" s="56">
        <v>-359230</v>
      </c>
      <c r="G20" s="56">
        <v>1691120</v>
      </c>
      <c r="H20" s="56">
        <v>457844</v>
      </c>
      <c r="I20" s="59"/>
      <c r="J20" s="58">
        <v>-12.59</v>
      </c>
      <c r="K20" s="58">
        <v>75.31</v>
      </c>
      <c r="L20" s="378" t="e">
        <f>D20/#REF!</f>
        <v>#REF!</v>
      </c>
    </row>
    <row r="21" spans="1:12" x14ac:dyDescent="0.35">
      <c r="A21" s="38" t="s">
        <v>38</v>
      </c>
      <c r="B21" s="126">
        <v>9362710</v>
      </c>
      <c r="C21" s="126">
        <v>2414095</v>
      </c>
      <c r="D21" s="56">
        <v>2935716</v>
      </c>
      <c r="E21" s="56">
        <v>1827741</v>
      </c>
      <c r="F21" s="56">
        <v>180371</v>
      </c>
      <c r="G21" s="56">
        <v>460446</v>
      </c>
      <c r="H21" s="56">
        <v>163961</v>
      </c>
      <c r="I21" s="56">
        <v>177665</v>
      </c>
      <c r="J21" s="58">
        <v>113.7</v>
      </c>
      <c r="K21" s="58">
        <v>393.61</v>
      </c>
      <c r="L21" s="378" t="e">
        <f>D21/#REF!</f>
        <v>#REF!</v>
      </c>
    </row>
    <row r="22" spans="1:12" x14ac:dyDescent="0.35">
      <c r="A22" s="38" t="s">
        <v>39</v>
      </c>
      <c r="B22" s="126">
        <v>147068598</v>
      </c>
      <c r="C22" s="126">
        <v>55629415</v>
      </c>
      <c r="D22" s="56">
        <v>44207316</v>
      </c>
      <c r="E22" s="56">
        <v>35058042</v>
      </c>
      <c r="F22" s="56">
        <v>8317287</v>
      </c>
      <c r="G22" s="56">
        <v>21325847</v>
      </c>
      <c r="H22" s="56">
        <v>4852585</v>
      </c>
      <c r="I22" s="56">
        <v>580333</v>
      </c>
      <c r="J22" s="58">
        <v>24.72</v>
      </c>
      <c r="K22" s="58">
        <v>77.8</v>
      </c>
      <c r="L22" s="378" t="e">
        <f>D22/#REF!</f>
        <v>#REF!</v>
      </c>
    </row>
    <row r="23" spans="1:12" x14ac:dyDescent="0.35">
      <c r="A23" s="38" t="s">
        <v>40</v>
      </c>
      <c r="B23" s="126">
        <v>70875903</v>
      </c>
      <c r="C23" s="126">
        <v>35490140</v>
      </c>
      <c r="D23" s="56">
        <v>22538974</v>
      </c>
      <c r="E23" s="56">
        <v>13854440</v>
      </c>
      <c r="F23" s="56">
        <v>3593812</v>
      </c>
      <c r="G23" s="56">
        <v>3172214</v>
      </c>
      <c r="H23" s="56">
        <v>4126384</v>
      </c>
      <c r="I23" s="56">
        <v>1184530</v>
      </c>
      <c r="J23" s="58">
        <v>29.71</v>
      </c>
      <c r="K23" s="58">
        <v>60.34</v>
      </c>
      <c r="L23" s="378" t="e">
        <f>D23/#REF!</f>
        <v>#REF!</v>
      </c>
    </row>
    <row r="24" spans="1:12" x14ac:dyDescent="0.35">
      <c r="A24" s="38" t="s">
        <v>41</v>
      </c>
      <c r="B24" s="126">
        <v>6410503</v>
      </c>
      <c r="C24" s="126">
        <v>2824104</v>
      </c>
      <c r="D24" s="56">
        <v>1454569</v>
      </c>
      <c r="E24" s="56">
        <v>1292717</v>
      </c>
      <c r="F24" s="56">
        <v>673223</v>
      </c>
      <c r="G24" s="56">
        <v>1038215</v>
      </c>
      <c r="H24" s="56">
        <v>138535</v>
      </c>
      <c r="I24" s="59"/>
      <c r="J24" s="58">
        <v>22.59</v>
      </c>
      <c r="K24" s="58">
        <v>39.49</v>
      </c>
      <c r="L24" s="378" t="e">
        <f>D24/#REF!</f>
        <v>#REF!</v>
      </c>
    </row>
    <row r="25" spans="1:12" x14ac:dyDescent="0.35">
      <c r="A25" s="38" t="s">
        <v>42</v>
      </c>
      <c r="B25" s="126">
        <v>52390890</v>
      </c>
      <c r="C25" s="126">
        <v>24440432</v>
      </c>
      <c r="D25" s="56">
        <v>18995603</v>
      </c>
      <c r="E25" s="56">
        <v>15665516</v>
      </c>
      <c r="F25" s="56">
        <v>3759109</v>
      </c>
      <c r="G25" s="56">
        <v>3091229</v>
      </c>
      <c r="H25" s="56">
        <v>2743650</v>
      </c>
      <c r="I25" s="56">
        <v>849002</v>
      </c>
      <c r="J25" s="58">
        <v>31.88</v>
      </c>
      <c r="K25" s="58">
        <v>49.48</v>
      </c>
      <c r="L25" s="378" t="e">
        <f>D25/#REF!</f>
        <v>#REF!</v>
      </c>
    </row>
    <row r="26" spans="1:12" x14ac:dyDescent="0.35">
      <c r="A26" s="38" t="s">
        <v>43</v>
      </c>
      <c r="B26" s="126">
        <v>16471252</v>
      </c>
      <c r="C26" s="126">
        <v>7908287</v>
      </c>
      <c r="D26" s="56">
        <v>2474760</v>
      </c>
      <c r="E26" s="56">
        <v>278848</v>
      </c>
      <c r="F26" s="56">
        <v>1224643</v>
      </c>
      <c r="G26" s="56">
        <v>403283</v>
      </c>
      <c r="H26" s="56">
        <v>119922</v>
      </c>
      <c r="I26" s="58">
        <v>12.65</v>
      </c>
      <c r="J26" s="58">
        <v>73.87</v>
      </c>
      <c r="K26" s="378" t="e">
        <f>#REF!/#REF!</f>
        <v>#REF!</v>
      </c>
    </row>
    <row r="27" spans="1:12" ht="13.15" x14ac:dyDescent="0.4">
      <c r="A27" s="43" t="s">
        <v>44</v>
      </c>
      <c r="B27" s="60">
        <f t="shared" ref="B27:H27" si="0">SUM(B3:B26)</f>
        <v>677984519</v>
      </c>
      <c r="C27" s="60">
        <f t="shared" si="0"/>
        <v>275644658</v>
      </c>
      <c r="D27" s="60">
        <f t="shared" si="0"/>
        <v>203013013</v>
      </c>
      <c r="E27" s="60">
        <f t="shared" si="0"/>
        <v>128300096</v>
      </c>
      <c r="F27" s="60">
        <f t="shared" si="0"/>
        <v>34124473</v>
      </c>
      <c r="G27" s="60">
        <f t="shared" si="0"/>
        <v>50586291</v>
      </c>
      <c r="H27" s="60">
        <f t="shared" si="0"/>
        <v>20403069</v>
      </c>
      <c r="I27" s="64"/>
      <c r="J27" s="64"/>
      <c r="K27" s="65"/>
    </row>
  </sheetData>
  <pageMargins left="0.7" right="0.7" top="0.75" bottom="0.75" header="0.3" footer="0.3"/>
  <customProperties>
    <customPr name="LastActive" r:id="rId1"/>
  </customPropertie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rgb="FF7030A0"/>
  </sheetPr>
  <dimension ref="A1:L28"/>
  <sheetViews>
    <sheetView topLeftCell="B1" workbookViewId="0">
      <selection activeCell="B30" sqref="B30"/>
    </sheetView>
  </sheetViews>
  <sheetFormatPr defaultRowHeight="12.75" x14ac:dyDescent="0.35"/>
  <cols>
    <col min="1" max="1" width="40.73046875" style="1" bestFit="1" customWidth="1"/>
    <col min="2" max="2" width="15.73046875" style="1" customWidth="1"/>
    <col min="3" max="3" width="21.73046875" style="1" customWidth="1"/>
    <col min="4" max="4" width="20.73046875" bestFit="1" customWidth="1"/>
    <col min="5" max="5" width="18.3984375" bestFit="1" customWidth="1"/>
    <col min="6" max="6" width="14" bestFit="1" customWidth="1"/>
    <col min="7" max="7" width="19.265625" bestFit="1" customWidth="1"/>
    <col min="8" max="8" width="18.3984375" bestFit="1" customWidth="1"/>
    <col min="9" max="9" width="17.73046875" bestFit="1" customWidth="1"/>
  </cols>
  <sheetData>
    <row r="1" spans="1:12" s="6" customFormat="1" x14ac:dyDescent="0.35">
      <c r="A1" s="23" t="s">
        <v>45</v>
      </c>
      <c r="B1" s="23"/>
      <c r="C1" s="23"/>
      <c r="D1" s="5"/>
      <c r="E1" s="5"/>
      <c r="F1" s="5"/>
      <c r="G1" s="5"/>
      <c r="H1" s="5"/>
      <c r="I1" s="5"/>
      <c r="J1" s="5"/>
      <c r="K1" s="5"/>
      <c r="L1" s="5"/>
    </row>
    <row r="2" spans="1:12" s="16" customFormat="1" ht="26.25" x14ac:dyDescent="0.4">
      <c r="A2" s="21" t="s">
        <v>8</v>
      </c>
      <c r="B2" s="21" t="s">
        <v>9</v>
      </c>
      <c r="C2" s="21" t="s">
        <v>10</v>
      </c>
      <c r="D2" s="10" t="s">
        <v>11</v>
      </c>
      <c r="E2" s="21" t="s">
        <v>12</v>
      </c>
      <c r="F2" s="21" t="s">
        <v>13</v>
      </c>
      <c r="G2" s="21" t="s">
        <v>14</v>
      </c>
      <c r="H2" s="21" t="s">
        <v>15</v>
      </c>
      <c r="I2" s="21" t="s">
        <v>16</v>
      </c>
      <c r="J2" s="21" t="s">
        <v>17</v>
      </c>
      <c r="K2" s="21" t="s">
        <v>18</v>
      </c>
      <c r="L2" s="12" t="s">
        <v>19</v>
      </c>
    </row>
    <row r="3" spans="1:12" x14ac:dyDescent="0.35">
      <c r="A3" s="39" t="s">
        <v>20</v>
      </c>
      <c r="B3" s="132">
        <v>32272742</v>
      </c>
      <c r="C3" s="132">
        <v>3550320</v>
      </c>
      <c r="D3" s="56">
        <v>14321092</v>
      </c>
      <c r="E3" s="56">
        <v>2907542</v>
      </c>
      <c r="F3" s="56">
        <v>2017651</v>
      </c>
      <c r="G3" s="57">
        <v>1883246</v>
      </c>
      <c r="H3" s="56">
        <v>1217167</v>
      </c>
      <c r="I3" s="56">
        <v>2182163</v>
      </c>
      <c r="J3" s="58">
        <v>85.4</v>
      </c>
      <c r="K3" s="58">
        <v>131.24</v>
      </c>
      <c r="L3" s="379">
        <f t="shared" ref="L3:L27" si="0">D3/$D$28</f>
        <v>4.2013111256991885E-2</v>
      </c>
    </row>
    <row r="4" spans="1:12" x14ac:dyDescent="0.35">
      <c r="A4" s="39" t="s">
        <v>21</v>
      </c>
      <c r="B4" s="132">
        <v>18069652</v>
      </c>
      <c r="C4" s="132">
        <v>4009020</v>
      </c>
      <c r="D4" s="56">
        <v>6904642</v>
      </c>
      <c r="E4" s="56">
        <v>2009875</v>
      </c>
      <c r="F4" s="56">
        <v>1738624</v>
      </c>
      <c r="G4" s="57">
        <v>1261290</v>
      </c>
      <c r="H4" s="56">
        <v>306247</v>
      </c>
      <c r="I4" s="56">
        <v>393528</v>
      </c>
      <c r="J4" s="58">
        <v>66.430000000000007</v>
      </c>
      <c r="K4" s="58">
        <v>59.89</v>
      </c>
      <c r="L4" s="379">
        <f t="shared" si="0"/>
        <v>2.0255822149295527E-2</v>
      </c>
    </row>
    <row r="5" spans="1:12" x14ac:dyDescent="0.35">
      <c r="A5" s="39" t="s">
        <v>22</v>
      </c>
      <c r="B5" s="132">
        <v>26217552</v>
      </c>
      <c r="C5" s="132">
        <v>9586441</v>
      </c>
      <c r="D5" s="56">
        <v>8107063</v>
      </c>
      <c r="E5" s="56">
        <v>5617683</v>
      </c>
      <c r="F5" s="56">
        <v>983940</v>
      </c>
      <c r="G5" s="57">
        <v>2426240</v>
      </c>
      <c r="H5" s="56">
        <v>-211913</v>
      </c>
      <c r="I5" s="59"/>
      <c r="J5" s="58">
        <v>20.73</v>
      </c>
      <c r="K5" s="58">
        <v>46.65</v>
      </c>
      <c r="L5" s="379">
        <f t="shared" si="0"/>
        <v>2.378330785015852E-2</v>
      </c>
    </row>
    <row r="6" spans="1:12" x14ac:dyDescent="0.35">
      <c r="A6" s="39" t="s">
        <v>23</v>
      </c>
      <c r="B6" s="132">
        <v>54331739</v>
      </c>
      <c r="C6" s="132">
        <v>16051028</v>
      </c>
      <c r="D6" s="56">
        <v>36503156</v>
      </c>
      <c r="E6" s="56">
        <v>22899208</v>
      </c>
      <c r="F6" s="56">
        <v>9186126</v>
      </c>
      <c r="G6" s="57">
        <v>6141268</v>
      </c>
      <c r="H6" s="56">
        <v>5246636</v>
      </c>
      <c r="I6" s="56">
        <v>3563178</v>
      </c>
      <c r="J6" s="58">
        <v>45.7</v>
      </c>
      <c r="K6" s="58">
        <v>56.66</v>
      </c>
      <c r="L6" s="379">
        <f t="shared" si="0"/>
        <v>0.10708758481960251</v>
      </c>
    </row>
    <row r="7" spans="1:12" x14ac:dyDescent="0.35">
      <c r="A7" s="39" t="s">
        <v>24</v>
      </c>
      <c r="B7" s="132">
        <v>16884738</v>
      </c>
      <c r="C7" s="132">
        <v>4668743</v>
      </c>
      <c r="D7" s="56">
        <v>9018774</v>
      </c>
      <c r="E7" s="56">
        <v>7599431</v>
      </c>
      <c r="F7" s="56">
        <v>1134945</v>
      </c>
      <c r="G7" s="57">
        <v>2471726</v>
      </c>
      <c r="H7" s="56">
        <v>500038</v>
      </c>
      <c r="I7" s="59"/>
      <c r="J7" s="58">
        <v>24.6</v>
      </c>
      <c r="K7" s="58">
        <v>64.41</v>
      </c>
      <c r="L7" s="379">
        <f t="shared" si="0"/>
        <v>2.6457951353406971E-2</v>
      </c>
    </row>
    <row r="8" spans="1:12" x14ac:dyDescent="0.35">
      <c r="A8" s="39" t="s">
        <v>25</v>
      </c>
      <c r="B8" s="132">
        <v>43245699</v>
      </c>
      <c r="C8" s="132">
        <v>31750309</v>
      </c>
      <c r="D8" s="56">
        <v>12124572</v>
      </c>
      <c r="E8" s="56">
        <v>5269385</v>
      </c>
      <c r="F8" s="56">
        <v>2145471</v>
      </c>
      <c r="G8" s="57">
        <v>1844079</v>
      </c>
      <c r="H8" s="56">
        <v>-277103</v>
      </c>
      <c r="I8" s="59"/>
      <c r="J8" s="58">
        <v>44.73</v>
      </c>
      <c r="K8" s="58">
        <v>32.67</v>
      </c>
      <c r="L8" s="379">
        <f t="shared" si="0"/>
        <v>3.55692842682254E-2</v>
      </c>
    </row>
    <row r="9" spans="1:12" x14ac:dyDescent="0.35">
      <c r="A9" s="39" t="s">
        <v>26</v>
      </c>
      <c r="B9" s="132">
        <v>38585559</v>
      </c>
      <c r="C9" s="132">
        <v>18623278</v>
      </c>
      <c r="D9" s="56">
        <v>18778140</v>
      </c>
      <c r="E9" s="56">
        <v>12925328</v>
      </c>
      <c r="F9" s="56">
        <v>1285827</v>
      </c>
      <c r="G9" s="57">
        <v>4085071</v>
      </c>
      <c r="H9" s="56">
        <v>746568</v>
      </c>
      <c r="I9" s="56">
        <v>706321</v>
      </c>
      <c r="J9" s="58">
        <v>22.5</v>
      </c>
      <c r="K9" s="58">
        <v>84.55</v>
      </c>
      <c r="L9" s="379">
        <f t="shared" si="0"/>
        <v>5.5088542481213691E-2</v>
      </c>
    </row>
    <row r="10" spans="1:12" x14ac:dyDescent="0.35">
      <c r="A10" s="39" t="s">
        <v>27</v>
      </c>
      <c r="B10" s="132">
        <v>9787998</v>
      </c>
      <c r="C10" s="132">
        <v>2013884</v>
      </c>
      <c r="D10" s="56">
        <v>3950023</v>
      </c>
      <c r="E10" s="56">
        <v>3378434</v>
      </c>
      <c r="F10" s="56">
        <v>337647</v>
      </c>
      <c r="G10" s="57">
        <v>1492697</v>
      </c>
      <c r="H10" s="56">
        <v>691254</v>
      </c>
      <c r="I10" s="59"/>
      <c r="J10" s="58">
        <v>9.99</v>
      </c>
      <c r="K10" s="58">
        <v>64.64</v>
      </c>
      <c r="L10" s="379">
        <f t="shared" si="0"/>
        <v>1.1587995927033835E-2</v>
      </c>
    </row>
    <row r="11" spans="1:12" x14ac:dyDescent="0.35">
      <c r="A11" s="39" t="s">
        <v>28</v>
      </c>
      <c r="B11" s="132">
        <v>40875265</v>
      </c>
      <c r="C11" s="132">
        <v>17171052</v>
      </c>
      <c r="D11" s="56">
        <v>37171043</v>
      </c>
      <c r="E11" s="56">
        <v>14554857</v>
      </c>
      <c r="F11" s="56">
        <v>5538610</v>
      </c>
      <c r="G11" s="57">
        <v>4994081</v>
      </c>
      <c r="H11" s="56">
        <v>2723857</v>
      </c>
      <c r="I11" s="56">
        <v>2922896</v>
      </c>
      <c r="J11" s="58">
        <v>48.19</v>
      </c>
      <c r="K11" s="58">
        <v>67.150000000000006</v>
      </c>
      <c r="L11" s="379">
        <f t="shared" si="0"/>
        <v>0.10904693336914736</v>
      </c>
    </row>
    <row r="12" spans="1:12" x14ac:dyDescent="0.35">
      <c r="A12" s="39" t="s">
        <v>46</v>
      </c>
      <c r="B12" s="39"/>
      <c r="C12" s="39"/>
      <c r="D12" s="59"/>
      <c r="E12" s="59"/>
      <c r="F12" s="59"/>
      <c r="G12" s="58"/>
      <c r="H12" s="59"/>
      <c r="I12" s="59"/>
      <c r="J12" s="58"/>
      <c r="K12" s="58"/>
      <c r="L12" s="379">
        <f t="shared" si="0"/>
        <v>0</v>
      </c>
    </row>
    <row r="13" spans="1:12" x14ac:dyDescent="0.35">
      <c r="A13" s="39" t="s">
        <v>29</v>
      </c>
      <c r="B13" s="132">
        <v>12094802</v>
      </c>
      <c r="C13" s="132">
        <v>6054567</v>
      </c>
      <c r="D13" s="56">
        <v>4580051</v>
      </c>
      <c r="E13" s="56">
        <v>4000839</v>
      </c>
      <c r="F13" s="56">
        <v>972450</v>
      </c>
      <c r="G13" s="57">
        <v>1114923</v>
      </c>
      <c r="H13" s="56">
        <v>75924</v>
      </c>
      <c r="I13" s="56">
        <v>138191</v>
      </c>
      <c r="J13" s="58">
        <v>33.799999999999997</v>
      </c>
      <c r="K13" s="58">
        <v>41.39</v>
      </c>
      <c r="L13" s="379">
        <f t="shared" si="0"/>
        <v>1.3436279316248854E-2</v>
      </c>
    </row>
    <row r="14" spans="1:12" x14ac:dyDescent="0.35">
      <c r="A14" s="39" t="s">
        <v>30</v>
      </c>
      <c r="B14" s="132">
        <v>5962291</v>
      </c>
      <c r="C14" s="132">
        <v>2218601</v>
      </c>
      <c r="D14" s="56">
        <v>3292712</v>
      </c>
      <c r="E14" s="56">
        <v>3121680</v>
      </c>
      <c r="F14" s="56">
        <v>389752</v>
      </c>
      <c r="G14" s="57">
        <v>1063974</v>
      </c>
      <c r="H14" s="56">
        <v>327054</v>
      </c>
      <c r="I14" s="56">
        <v>63333</v>
      </c>
      <c r="J14" s="58">
        <v>20.92</v>
      </c>
      <c r="K14" s="58">
        <v>74.66</v>
      </c>
      <c r="L14" s="379">
        <f t="shared" si="0"/>
        <v>9.6596736892153381E-3</v>
      </c>
    </row>
    <row r="15" spans="1:12" x14ac:dyDescent="0.35">
      <c r="A15" s="39" t="s">
        <v>31</v>
      </c>
      <c r="B15" s="132">
        <v>21599181</v>
      </c>
      <c r="C15" s="132">
        <v>9499331</v>
      </c>
      <c r="D15" s="56">
        <v>4204224</v>
      </c>
      <c r="E15" s="56">
        <v>3712451</v>
      </c>
      <c r="F15" s="56">
        <v>1476180</v>
      </c>
      <c r="G15" s="57">
        <v>2274641</v>
      </c>
      <c r="H15" s="56">
        <v>319233</v>
      </c>
      <c r="I15" s="56">
        <v>107068</v>
      </c>
      <c r="J15" s="58">
        <v>40.64</v>
      </c>
      <c r="K15" s="58">
        <v>71.41</v>
      </c>
      <c r="L15" s="379">
        <f t="shared" si="0"/>
        <v>1.2333733395561977E-2</v>
      </c>
    </row>
    <row r="16" spans="1:12" x14ac:dyDescent="0.35">
      <c r="A16" s="39" t="s">
        <v>32</v>
      </c>
      <c r="B16" s="132">
        <v>36546192</v>
      </c>
      <c r="C16" s="132">
        <v>14285988</v>
      </c>
      <c r="D16" s="56">
        <v>12440971</v>
      </c>
      <c r="E16" s="56">
        <v>8983431</v>
      </c>
      <c r="F16" s="56">
        <v>2585566</v>
      </c>
      <c r="G16" s="57">
        <v>3761701</v>
      </c>
      <c r="H16" s="56">
        <v>2497237</v>
      </c>
      <c r="I16" s="56">
        <v>1116511</v>
      </c>
      <c r="J16" s="58">
        <v>30.83</v>
      </c>
      <c r="K16" s="58">
        <v>74.62</v>
      </c>
      <c r="L16" s="379">
        <f t="shared" si="0"/>
        <v>3.6497489071923399E-2</v>
      </c>
    </row>
    <row r="17" spans="1:12" x14ac:dyDescent="0.35">
      <c r="A17" s="39" t="s">
        <v>33</v>
      </c>
      <c r="B17" s="39"/>
      <c r="C17" s="39"/>
      <c r="D17" s="59"/>
      <c r="E17" s="59"/>
      <c r="F17" s="59"/>
      <c r="G17" s="58"/>
      <c r="H17" s="59"/>
      <c r="I17" s="59"/>
      <c r="J17" s="58"/>
      <c r="K17" s="58"/>
      <c r="L17" s="379">
        <f t="shared" si="0"/>
        <v>0</v>
      </c>
    </row>
    <row r="18" spans="1:12" x14ac:dyDescent="0.35">
      <c r="A18" s="39" t="s">
        <v>34</v>
      </c>
      <c r="B18" s="132">
        <v>9106983</v>
      </c>
      <c r="C18" s="132">
        <v>6837218</v>
      </c>
      <c r="D18" s="56">
        <v>1080703</v>
      </c>
      <c r="E18" s="56">
        <v>880823</v>
      </c>
      <c r="F18" s="56">
        <v>170376</v>
      </c>
      <c r="G18" s="57">
        <v>501262</v>
      </c>
      <c r="H18" s="56">
        <v>60852</v>
      </c>
      <c r="I18" s="56">
        <v>55856</v>
      </c>
      <c r="J18" s="58">
        <v>45.69</v>
      </c>
      <c r="K18" s="58">
        <v>150.72999999999999</v>
      </c>
      <c r="L18" s="379">
        <f t="shared" si="0"/>
        <v>3.1704073526491487E-3</v>
      </c>
    </row>
    <row r="19" spans="1:12" x14ac:dyDescent="0.35">
      <c r="A19" s="39" t="s">
        <v>35</v>
      </c>
      <c r="B19" s="132">
        <v>15781389</v>
      </c>
      <c r="C19" s="132">
        <v>4835278</v>
      </c>
      <c r="D19" s="56">
        <v>6045617</v>
      </c>
      <c r="E19" s="56">
        <v>4531196</v>
      </c>
      <c r="F19" s="56">
        <v>1038783</v>
      </c>
      <c r="G19" s="57">
        <v>2585663</v>
      </c>
      <c r="H19" s="56">
        <v>463740</v>
      </c>
      <c r="I19" s="56">
        <v>672054</v>
      </c>
      <c r="J19" s="58">
        <v>28.52</v>
      </c>
      <c r="K19" s="58">
        <v>83.73</v>
      </c>
      <c r="L19" s="379">
        <f t="shared" si="0"/>
        <v>1.7735741076040954E-2</v>
      </c>
    </row>
    <row r="20" spans="1:12" x14ac:dyDescent="0.35">
      <c r="A20" s="39" t="s">
        <v>36</v>
      </c>
      <c r="B20" s="132">
        <v>16975575</v>
      </c>
      <c r="C20" s="132">
        <v>3927998</v>
      </c>
      <c r="D20" s="56">
        <v>8129905</v>
      </c>
      <c r="E20" s="56">
        <v>6741845</v>
      </c>
      <c r="F20" s="56">
        <v>2422210</v>
      </c>
      <c r="G20" s="57">
        <v>4105773</v>
      </c>
      <c r="H20" s="56">
        <v>771295</v>
      </c>
      <c r="I20" s="56">
        <v>423946</v>
      </c>
      <c r="J20" s="58">
        <v>42.6</v>
      </c>
      <c r="K20" s="58">
        <v>85.78</v>
      </c>
      <c r="L20" s="379">
        <f t="shared" si="0"/>
        <v>2.3850318346797478E-2</v>
      </c>
    </row>
    <row r="21" spans="1:12" x14ac:dyDescent="0.35">
      <c r="A21" s="39" t="s">
        <v>37</v>
      </c>
      <c r="B21" s="132">
        <v>7099263</v>
      </c>
      <c r="C21" s="132">
        <v>3200165</v>
      </c>
      <c r="D21" s="56">
        <v>5519433</v>
      </c>
      <c r="E21" s="56">
        <v>4759894</v>
      </c>
      <c r="F21" s="56">
        <v>-105412</v>
      </c>
      <c r="G21" s="57">
        <v>3167159</v>
      </c>
      <c r="H21" s="56">
        <v>803649</v>
      </c>
      <c r="I21" s="56">
        <v>231884</v>
      </c>
      <c r="J21" s="58">
        <v>-2.8</v>
      </c>
      <c r="K21" s="58">
        <v>105.41</v>
      </c>
      <c r="L21" s="379">
        <f t="shared" si="0"/>
        <v>1.6192099925376676E-2</v>
      </c>
    </row>
    <row r="22" spans="1:12" x14ac:dyDescent="0.35">
      <c r="A22" s="39" t="s">
        <v>38</v>
      </c>
      <c r="B22" s="132">
        <v>10079591</v>
      </c>
      <c r="C22" s="132">
        <v>1866568</v>
      </c>
      <c r="D22" s="56">
        <v>4624217</v>
      </c>
      <c r="E22" s="56">
        <v>2902326</v>
      </c>
      <c r="F22" s="56">
        <v>860004</v>
      </c>
      <c r="G22" s="57">
        <v>1009876</v>
      </c>
      <c r="H22" s="56">
        <v>556506</v>
      </c>
      <c r="I22" s="56">
        <v>257445</v>
      </c>
      <c r="J22" s="58">
        <v>37.58</v>
      </c>
      <c r="K22" s="58">
        <v>68.45</v>
      </c>
      <c r="L22" s="379">
        <f t="shared" si="0"/>
        <v>1.3565847024617484E-2</v>
      </c>
    </row>
    <row r="23" spans="1:12" x14ac:dyDescent="0.35">
      <c r="A23" s="39" t="s">
        <v>39</v>
      </c>
      <c r="B23" s="132">
        <v>153058029</v>
      </c>
      <c r="C23" s="132">
        <v>57593520</v>
      </c>
      <c r="D23" s="56">
        <v>67801842</v>
      </c>
      <c r="E23" s="56">
        <v>52302029</v>
      </c>
      <c r="F23" s="56">
        <v>13132540</v>
      </c>
      <c r="G23" s="57">
        <v>31472081</v>
      </c>
      <c r="H23" s="56">
        <v>6692282</v>
      </c>
      <c r="I23" s="56">
        <v>5601167</v>
      </c>
      <c r="J23" s="58">
        <v>28.44</v>
      </c>
      <c r="K23" s="58">
        <v>82.66</v>
      </c>
      <c r="L23" s="379">
        <f t="shared" si="0"/>
        <v>0.19890706179214443</v>
      </c>
    </row>
    <row r="24" spans="1:12" x14ac:dyDescent="0.35">
      <c r="A24" s="39" t="s">
        <v>40</v>
      </c>
      <c r="B24" s="132">
        <v>68833588</v>
      </c>
      <c r="C24" s="132">
        <v>36679159</v>
      </c>
      <c r="D24" s="56">
        <v>35726373</v>
      </c>
      <c r="E24" s="56">
        <v>21647355</v>
      </c>
      <c r="F24" s="56">
        <v>4537131</v>
      </c>
      <c r="G24" s="57">
        <v>6660254</v>
      </c>
      <c r="H24" s="56">
        <v>6189638</v>
      </c>
      <c r="I24" s="56">
        <v>2010163</v>
      </c>
      <c r="J24" s="58">
        <v>24.47</v>
      </c>
      <c r="K24" s="58">
        <v>69.290000000000006</v>
      </c>
      <c r="L24" s="379">
        <f t="shared" si="0"/>
        <v>0.10480877321769813</v>
      </c>
    </row>
    <row r="25" spans="1:12" x14ac:dyDescent="0.35">
      <c r="A25" s="39" t="s">
        <v>41</v>
      </c>
      <c r="B25" s="132">
        <v>5701689</v>
      </c>
      <c r="C25" s="132">
        <v>2915704</v>
      </c>
      <c r="D25" s="56">
        <v>2614555</v>
      </c>
      <c r="E25" s="56">
        <v>2168626</v>
      </c>
      <c r="F25" s="56">
        <v>920414</v>
      </c>
      <c r="G25" s="57">
        <v>2170191</v>
      </c>
      <c r="H25" s="56">
        <v>449425</v>
      </c>
      <c r="I25" s="59"/>
      <c r="J25" s="58">
        <v>26.55</v>
      </c>
      <c r="K25" s="58">
        <v>75.569999999999993</v>
      </c>
      <c r="L25" s="379">
        <f t="shared" si="0"/>
        <v>7.6701965256926229E-3</v>
      </c>
    </row>
    <row r="26" spans="1:12" x14ac:dyDescent="0.35">
      <c r="A26" s="39" t="s">
        <v>42</v>
      </c>
      <c r="B26" s="132">
        <v>56082330</v>
      </c>
      <c r="C26" s="132">
        <v>25901262</v>
      </c>
      <c r="D26" s="56">
        <v>33482516</v>
      </c>
      <c r="E26" s="56">
        <v>25493319</v>
      </c>
      <c r="F26" s="56">
        <v>8230068</v>
      </c>
      <c r="G26" s="57">
        <v>6369759</v>
      </c>
      <c r="H26" s="56">
        <v>4612622</v>
      </c>
      <c r="I26" s="56">
        <v>1934778</v>
      </c>
      <c r="J26" s="58">
        <v>37.39</v>
      </c>
      <c r="K26" s="58">
        <v>49.89</v>
      </c>
      <c r="L26" s="379">
        <f t="shared" si="0"/>
        <v>9.82260759076201E-2</v>
      </c>
    </row>
    <row r="27" spans="1:12" x14ac:dyDescent="0.35">
      <c r="A27" s="39" t="s">
        <v>43</v>
      </c>
      <c r="B27" s="132">
        <v>23201781</v>
      </c>
      <c r="C27" s="132">
        <v>8018920</v>
      </c>
      <c r="D27" s="56">
        <v>4450346</v>
      </c>
      <c r="E27" s="56">
        <v>4692816</v>
      </c>
      <c r="F27" s="56">
        <v>109915</v>
      </c>
      <c r="G27" s="57">
        <v>615333</v>
      </c>
      <c r="H27" s="56">
        <v>506246</v>
      </c>
      <c r="I27" s="56">
        <v>310637</v>
      </c>
      <c r="J27" s="58">
        <v>3.95</v>
      </c>
      <c r="K27" s="58">
        <v>40.26</v>
      </c>
      <c r="L27" s="379">
        <f t="shared" si="0"/>
        <v>1.3055769883337724E-2</v>
      </c>
    </row>
    <row r="28" spans="1:12" s="1" customFormat="1" ht="13.15" x14ac:dyDescent="0.4">
      <c r="A28" s="45" t="s">
        <v>44</v>
      </c>
      <c r="B28" s="60">
        <f t="shared" ref="B28:I28" si="1">SUM(B3:B27)</f>
        <v>722393628</v>
      </c>
      <c r="C28" s="60">
        <f t="shared" si="1"/>
        <v>291258354</v>
      </c>
      <c r="D28" s="60">
        <f t="shared" si="1"/>
        <v>340871970</v>
      </c>
      <c r="E28" s="60">
        <f t="shared" si="1"/>
        <v>223100373</v>
      </c>
      <c r="F28" s="60">
        <f t="shared" si="1"/>
        <v>61108818</v>
      </c>
      <c r="G28" s="60">
        <f t="shared" si="1"/>
        <v>93472288</v>
      </c>
      <c r="H28" s="60">
        <f t="shared" si="1"/>
        <v>35268454</v>
      </c>
      <c r="I28" s="60">
        <f t="shared" si="1"/>
        <v>22691119</v>
      </c>
      <c r="J28" s="61"/>
      <c r="K28" s="61"/>
      <c r="L28" s="62"/>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rgb="FF7030A0"/>
  </sheetPr>
  <dimension ref="A1:L28"/>
  <sheetViews>
    <sheetView workbookViewId="0">
      <selection activeCell="A19" sqref="A19"/>
    </sheetView>
  </sheetViews>
  <sheetFormatPr defaultRowHeight="12.75" x14ac:dyDescent="0.35"/>
  <cols>
    <col min="1" max="1" width="40.73046875" style="1" bestFit="1" customWidth="1"/>
    <col min="2" max="2" width="17" style="1" customWidth="1"/>
    <col min="3" max="3" width="25.3984375" style="1" customWidth="1"/>
    <col min="4" max="4" width="19.265625" customWidth="1"/>
    <col min="5" max="5" width="18.3984375" bestFit="1" customWidth="1"/>
    <col min="6" max="6" width="14" bestFit="1" customWidth="1"/>
    <col min="7" max="7" width="19.265625" bestFit="1" customWidth="1"/>
    <col min="8" max="8" width="18.3984375" bestFit="1" customWidth="1"/>
    <col min="9" max="9" width="17.73046875" bestFit="1" customWidth="1"/>
  </cols>
  <sheetData>
    <row r="1" spans="1:12" s="6" customFormat="1" x14ac:dyDescent="0.35">
      <c r="A1" s="23" t="s">
        <v>47</v>
      </c>
      <c r="B1" s="139"/>
      <c r="C1" s="139"/>
      <c r="D1" s="5"/>
      <c r="E1" s="5"/>
      <c r="F1" s="5"/>
      <c r="G1" s="5"/>
      <c r="H1" s="5"/>
      <c r="I1" s="5"/>
      <c r="J1" s="5"/>
      <c r="K1" s="5"/>
      <c r="L1" s="5"/>
    </row>
    <row r="2" spans="1:12" s="16" customFormat="1" ht="26.25" x14ac:dyDescent="0.4">
      <c r="A2" s="21" t="s">
        <v>8</v>
      </c>
      <c r="B2" s="140" t="s">
        <v>9</v>
      </c>
      <c r="C2" s="140" t="s">
        <v>10</v>
      </c>
      <c r="D2" s="10" t="s">
        <v>11</v>
      </c>
      <c r="E2" s="21" t="s">
        <v>12</v>
      </c>
      <c r="F2" s="21" t="s">
        <v>13</v>
      </c>
      <c r="G2" s="21" t="s">
        <v>14</v>
      </c>
      <c r="H2" s="21" t="s">
        <v>15</v>
      </c>
      <c r="I2" s="21" t="s">
        <v>16</v>
      </c>
      <c r="J2" s="21" t="s">
        <v>17</v>
      </c>
      <c r="K2" s="21" t="s">
        <v>18</v>
      </c>
      <c r="L2" s="12" t="s">
        <v>19</v>
      </c>
    </row>
    <row r="3" spans="1:12" x14ac:dyDescent="0.35">
      <c r="A3" s="39" t="s">
        <v>20</v>
      </c>
      <c r="B3" s="141">
        <v>24831686</v>
      </c>
      <c r="C3" s="141">
        <v>3685976</v>
      </c>
      <c r="D3" s="56">
        <v>18302280</v>
      </c>
      <c r="E3" s="56">
        <v>5808711</v>
      </c>
      <c r="F3" s="57">
        <v>2569022</v>
      </c>
      <c r="G3" s="56">
        <v>2903803</v>
      </c>
      <c r="H3" s="56">
        <v>1543046</v>
      </c>
      <c r="I3" s="56">
        <v>2770526</v>
      </c>
      <c r="J3" s="58">
        <v>52.38</v>
      </c>
      <c r="K3" s="58">
        <v>90.67</v>
      </c>
      <c r="L3" s="379">
        <f t="shared" ref="L3:L27" si="0">D3/$D$28</f>
        <v>3.8798385286870019E-2</v>
      </c>
    </row>
    <row r="4" spans="1:12" x14ac:dyDescent="0.35">
      <c r="A4" s="39" t="s">
        <v>21</v>
      </c>
      <c r="B4" s="141">
        <v>25221663</v>
      </c>
      <c r="C4" s="141">
        <v>1426119</v>
      </c>
      <c r="D4" s="56">
        <v>12558810</v>
      </c>
      <c r="E4" s="56">
        <v>3264114</v>
      </c>
      <c r="F4" s="57">
        <v>2150513</v>
      </c>
      <c r="G4" s="56">
        <v>2332926</v>
      </c>
      <c r="H4" s="56">
        <v>397330</v>
      </c>
      <c r="I4" s="56">
        <v>731916</v>
      </c>
      <c r="J4" s="58">
        <v>63.89</v>
      </c>
      <c r="K4" s="58">
        <v>81.11</v>
      </c>
      <c r="L4" s="379">
        <f t="shared" si="0"/>
        <v>2.6622997196228886E-2</v>
      </c>
    </row>
    <row r="5" spans="1:12" x14ac:dyDescent="0.35">
      <c r="A5" s="39" t="s">
        <v>22</v>
      </c>
      <c r="B5" s="141">
        <v>24968596</v>
      </c>
      <c r="C5" s="141">
        <v>10221154</v>
      </c>
      <c r="D5" s="56">
        <v>11689823</v>
      </c>
      <c r="E5" s="56">
        <v>8056814</v>
      </c>
      <c r="F5" s="57">
        <v>1684538</v>
      </c>
      <c r="G5" s="56">
        <v>3889116</v>
      </c>
      <c r="H5" s="56">
        <v>1205878</v>
      </c>
      <c r="I5" s="56">
        <v>1381427</v>
      </c>
      <c r="J5" s="58">
        <v>22.91</v>
      </c>
      <c r="K5" s="58">
        <v>69.290000000000006</v>
      </c>
      <c r="L5" s="379">
        <f t="shared" si="0"/>
        <v>2.4780861001433414E-2</v>
      </c>
    </row>
    <row r="6" spans="1:12" x14ac:dyDescent="0.35">
      <c r="A6" s="39" t="s">
        <v>23</v>
      </c>
      <c r="B6" s="141">
        <v>63225798</v>
      </c>
      <c r="C6" s="141">
        <v>21705050</v>
      </c>
      <c r="D6" s="56">
        <v>51521300</v>
      </c>
      <c r="E6" s="56">
        <v>30794463</v>
      </c>
      <c r="F6" s="57">
        <v>13447411</v>
      </c>
      <c r="G6" s="56">
        <v>9203175</v>
      </c>
      <c r="H6" s="56">
        <v>7258690</v>
      </c>
      <c r="I6" s="56">
        <v>5125982</v>
      </c>
      <c r="J6" s="58">
        <v>50</v>
      </c>
      <c r="K6" s="58">
        <v>61.21</v>
      </c>
      <c r="L6" s="379">
        <f t="shared" si="0"/>
        <v>0.10921826394746535</v>
      </c>
    </row>
    <row r="7" spans="1:12" x14ac:dyDescent="0.35">
      <c r="A7" s="39" t="s">
        <v>24</v>
      </c>
      <c r="B7" s="141">
        <v>16331813</v>
      </c>
      <c r="C7" s="141">
        <v>5066479</v>
      </c>
      <c r="D7" s="56">
        <v>12231789</v>
      </c>
      <c r="E7" s="56">
        <v>10327328</v>
      </c>
      <c r="F7" s="57">
        <v>1375323</v>
      </c>
      <c r="G7" s="56">
        <v>4462970</v>
      </c>
      <c r="H7" s="56">
        <v>1619817</v>
      </c>
      <c r="I7" s="56">
        <v>558284</v>
      </c>
      <c r="J7" s="58">
        <v>17.440000000000001</v>
      </c>
      <c r="K7" s="58">
        <v>77.11</v>
      </c>
      <c r="L7" s="379">
        <f t="shared" si="0"/>
        <v>2.5929756422134211E-2</v>
      </c>
    </row>
    <row r="8" spans="1:12" x14ac:dyDescent="0.35">
      <c r="A8" s="39" t="s">
        <v>25</v>
      </c>
      <c r="B8" s="141">
        <v>47086436</v>
      </c>
      <c r="C8" s="141">
        <v>35082853</v>
      </c>
      <c r="D8" s="56">
        <v>19929028</v>
      </c>
      <c r="E8" s="56">
        <v>6929106</v>
      </c>
      <c r="F8" s="57">
        <v>3051933</v>
      </c>
      <c r="G8" s="56">
        <v>2515719</v>
      </c>
      <c r="H8" s="56">
        <v>-748255</v>
      </c>
      <c r="I8" s="59"/>
      <c r="J8" s="58">
        <v>52.69</v>
      </c>
      <c r="K8" s="58">
        <v>30.51</v>
      </c>
      <c r="L8" s="379">
        <f t="shared" si="0"/>
        <v>4.2246873435267118E-2</v>
      </c>
    </row>
    <row r="9" spans="1:12" x14ac:dyDescent="0.35">
      <c r="A9" s="39" t="s">
        <v>26</v>
      </c>
      <c r="B9" s="141">
        <v>41083331</v>
      </c>
      <c r="C9" s="141">
        <v>19354011</v>
      </c>
      <c r="D9" s="56">
        <v>33288510</v>
      </c>
      <c r="E9" s="56">
        <v>18869013</v>
      </c>
      <c r="F9" s="57">
        <v>9736983</v>
      </c>
      <c r="G9" s="56">
        <v>6542905</v>
      </c>
      <c r="H9" s="56">
        <v>1246590</v>
      </c>
      <c r="I9" s="56">
        <v>969378</v>
      </c>
      <c r="J9" s="58">
        <v>57.25</v>
      </c>
      <c r="K9" s="58">
        <v>45.8</v>
      </c>
      <c r="L9" s="379">
        <f t="shared" si="0"/>
        <v>7.0567188164852981E-2</v>
      </c>
    </row>
    <row r="10" spans="1:12" x14ac:dyDescent="0.35">
      <c r="A10" s="39" t="s">
        <v>27</v>
      </c>
      <c r="B10" s="141">
        <v>9799924</v>
      </c>
      <c r="C10" s="141">
        <v>2050704</v>
      </c>
      <c r="D10" s="56">
        <v>5061827</v>
      </c>
      <c r="E10" s="56">
        <v>3829186</v>
      </c>
      <c r="F10" s="57">
        <v>753219</v>
      </c>
      <c r="G10" s="56">
        <v>2506346</v>
      </c>
      <c r="H10" s="56">
        <v>885820</v>
      </c>
      <c r="I10" s="56">
        <v>322878</v>
      </c>
      <c r="J10" s="58">
        <v>19.670000000000002</v>
      </c>
      <c r="K10" s="58">
        <v>88.59</v>
      </c>
      <c r="L10" s="379">
        <f t="shared" si="0"/>
        <v>1.0730396114663386E-2</v>
      </c>
    </row>
    <row r="11" spans="1:12" x14ac:dyDescent="0.35">
      <c r="A11" s="39" t="s">
        <v>28</v>
      </c>
      <c r="B11" s="141">
        <v>40162700</v>
      </c>
      <c r="C11" s="141">
        <v>18100436</v>
      </c>
      <c r="D11" s="56">
        <v>46079260</v>
      </c>
      <c r="E11" s="56">
        <v>18949959</v>
      </c>
      <c r="F11" s="57">
        <v>7745113</v>
      </c>
      <c r="G11" s="56">
        <v>7679427</v>
      </c>
      <c r="H11" s="56">
        <v>3371763</v>
      </c>
      <c r="I11" s="56">
        <v>3064283</v>
      </c>
      <c r="J11" s="58">
        <v>46.9</v>
      </c>
      <c r="K11" s="58">
        <v>66.92</v>
      </c>
      <c r="L11" s="379">
        <f t="shared" si="0"/>
        <v>9.7681867134250935E-2</v>
      </c>
    </row>
    <row r="12" spans="1:12" x14ac:dyDescent="0.35">
      <c r="A12" s="39" t="s">
        <v>46</v>
      </c>
      <c r="B12" s="141">
        <v>10348105</v>
      </c>
      <c r="C12" s="141">
        <v>9799651</v>
      </c>
      <c r="D12" s="56">
        <v>275234</v>
      </c>
      <c r="E12" s="56">
        <v>122431</v>
      </c>
      <c r="F12" s="58">
        <v>0</v>
      </c>
      <c r="G12" s="56">
        <v>1059564</v>
      </c>
      <c r="H12" s="59">
        <v>0</v>
      </c>
      <c r="I12" s="56">
        <v>45438</v>
      </c>
      <c r="J12" s="58">
        <v>0</v>
      </c>
      <c r="K12" s="66">
        <v>1572.22</v>
      </c>
      <c r="L12" s="379">
        <f t="shared" si="0"/>
        <v>5.8345926169014908E-4</v>
      </c>
    </row>
    <row r="13" spans="1:12" x14ac:dyDescent="0.35">
      <c r="A13" s="39" t="s">
        <v>29</v>
      </c>
      <c r="B13" s="141">
        <v>12521650</v>
      </c>
      <c r="C13" s="141">
        <v>6463883</v>
      </c>
      <c r="D13" s="56">
        <v>5940695</v>
      </c>
      <c r="E13" s="56">
        <v>5152016</v>
      </c>
      <c r="F13" s="57">
        <v>1004845</v>
      </c>
      <c r="G13" s="56">
        <v>1808835</v>
      </c>
      <c r="H13" s="56">
        <v>158290</v>
      </c>
      <c r="I13" s="56">
        <v>164408</v>
      </c>
      <c r="J13" s="58">
        <v>29.82</v>
      </c>
      <c r="K13" s="58">
        <v>58.39</v>
      </c>
      <c r="L13" s="379">
        <f t="shared" si="0"/>
        <v>1.259347870766824E-2</v>
      </c>
    </row>
    <row r="14" spans="1:12" x14ac:dyDescent="0.35">
      <c r="A14" s="39" t="s">
        <v>30</v>
      </c>
      <c r="B14" s="141">
        <v>7171274</v>
      </c>
      <c r="C14" s="141">
        <v>2676548</v>
      </c>
      <c r="D14" s="56">
        <v>4963287</v>
      </c>
      <c r="E14" s="56">
        <v>5039897</v>
      </c>
      <c r="F14" s="57">
        <v>770935</v>
      </c>
      <c r="G14" s="56">
        <v>1662487</v>
      </c>
      <c r="H14" s="56">
        <v>416744</v>
      </c>
      <c r="I14" s="56">
        <v>102683</v>
      </c>
      <c r="J14" s="58">
        <v>20.88</v>
      </c>
      <c r="K14" s="58">
        <v>56.32</v>
      </c>
      <c r="L14" s="379">
        <f t="shared" si="0"/>
        <v>1.0521504496451438E-2</v>
      </c>
    </row>
    <row r="15" spans="1:12" x14ac:dyDescent="0.35">
      <c r="A15" s="39" t="s">
        <v>31</v>
      </c>
      <c r="B15" s="141">
        <v>19506374</v>
      </c>
      <c r="C15" s="141">
        <v>7808556</v>
      </c>
      <c r="D15" s="56">
        <v>5603987</v>
      </c>
      <c r="E15" s="56">
        <v>4679993</v>
      </c>
      <c r="F15" s="57">
        <v>3813139</v>
      </c>
      <c r="G15" s="56">
        <v>3668516</v>
      </c>
      <c r="H15" s="56">
        <v>432624</v>
      </c>
      <c r="I15" s="56">
        <v>118566</v>
      </c>
      <c r="J15" s="58">
        <v>73.19</v>
      </c>
      <c r="K15" s="58">
        <v>78.72</v>
      </c>
      <c r="L15" s="379">
        <f t="shared" si="0"/>
        <v>1.1879702789412623E-2</v>
      </c>
    </row>
    <row r="16" spans="1:12" x14ac:dyDescent="0.35">
      <c r="A16" s="39" t="s">
        <v>32</v>
      </c>
      <c r="B16" s="141">
        <v>38333038</v>
      </c>
      <c r="C16" s="141">
        <v>15652749</v>
      </c>
      <c r="D16" s="56">
        <v>18258844</v>
      </c>
      <c r="E16" s="56">
        <v>13534097</v>
      </c>
      <c r="F16" s="57">
        <v>4162815</v>
      </c>
      <c r="G16" s="56">
        <v>5502575</v>
      </c>
      <c r="H16" s="56">
        <v>3235955</v>
      </c>
      <c r="I16" s="56">
        <v>1544370</v>
      </c>
      <c r="J16" s="58">
        <v>33.18</v>
      </c>
      <c r="K16" s="58">
        <v>69.66</v>
      </c>
      <c r="L16" s="379">
        <f t="shared" si="0"/>
        <v>3.87063067773444E-2</v>
      </c>
    </row>
    <row r="17" spans="1:12" x14ac:dyDescent="0.35">
      <c r="A17" s="39" t="s">
        <v>33</v>
      </c>
      <c r="B17" s="141">
        <v>5993845</v>
      </c>
      <c r="C17" s="141">
        <v>471448</v>
      </c>
      <c r="D17" s="56">
        <v>1367205</v>
      </c>
      <c r="E17" s="56">
        <v>1156636</v>
      </c>
      <c r="F17" s="57">
        <v>425197</v>
      </c>
      <c r="G17" s="56">
        <v>1362550</v>
      </c>
      <c r="H17" s="56">
        <v>106901</v>
      </c>
      <c r="I17" s="56">
        <v>121063</v>
      </c>
      <c r="J17" s="58">
        <v>109.96</v>
      </c>
      <c r="K17" s="58">
        <v>380.01</v>
      </c>
      <c r="L17" s="379">
        <f t="shared" si="0"/>
        <v>2.8982917077071887E-3</v>
      </c>
    </row>
    <row r="18" spans="1:12" x14ac:dyDescent="0.35">
      <c r="A18" s="39" t="s">
        <v>34</v>
      </c>
      <c r="B18" s="141">
        <v>10015730</v>
      </c>
      <c r="C18" s="141">
        <v>7295856</v>
      </c>
      <c r="D18" s="56">
        <v>1650993</v>
      </c>
      <c r="E18" s="56">
        <v>1316921</v>
      </c>
      <c r="F18" s="57">
        <v>154296</v>
      </c>
      <c r="G18" s="56">
        <v>783713</v>
      </c>
      <c r="H18" s="56">
        <v>83168</v>
      </c>
      <c r="I18" s="56">
        <v>69454</v>
      </c>
      <c r="J18" s="58">
        <v>20.76</v>
      </c>
      <c r="K18" s="58">
        <v>116.64</v>
      </c>
      <c r="L18" s="379">
        <f t="shared" si="0"/>
        <v>3.4998843051207494E-3</v>
      </c>
    </row>
    <row r="19" spans="1:12" x14ac:dyDescent="0.35">
      <c r="A19" s="39" t="s">
        <v>35</v>
      </c>
      <c r="B19" s="141">
        <v>24132808</v>
      </c>
      <c r="C19" s="141">
        <v>9537712</v>
      </c>
      <c r="D19" s="56">
        <v>8304953</v>
      </c>
      <c r="E19" s="56">
        <v>6213377</v>
      </c>
      <c r="F19" s="57">
        <v>1867888</v>
      </c>
      <c r="G19" s="56">
        <v>4135093</v>
      </c>
      <c r="H19" s="56">
        <v>653428</v>
      </c>
      <c r="I19" s="56">
        <v>943190</v>
      </c>
      <c r="J19" s="58">
        <v>34.03</v>
      </c>
      <c r="K19" s="58">
        <v>87.23</v>
      </c>
      <c r="L19" s="379">
        <f t="shared" si="0"/>
        <v>1.7605389398662189E-2</v>
      </c>
    </row>
    <row r="20" spans="1:12" x14ac:dyDescent="0.35">
      <c r="A20" s="39" t="s">
        <v>36</v>
      </c>
      <c r="B20" s="141">
        <v>16110351</v>
      </c>
      <c r="C20" s="141">
        <v>3295357</v>
      </c>
      <c r="D20" s="56">
        <v>11337908</v>
      </c>
      <c r="E20" s="56">
        <v>9519313</v>
      </c>
      <c r="F20" s="57">
        <v>2327365</v>
      </c>
      <c r="G20" s="56">
        <v>6067562</v>
      </c>
      <c r="H20" s="56">
        <v>1193348</v>
      </c>
      <c r="I20" s="56">
        <v>540051</v>
      </c>
      <c r="J20" s="58">
        <v>28.17</v>
      </c>
      <c r="K20" s="58">
        <v>87.87</v>
      </c>
      <c r="L20" s="379">
        <f t="shared" si="0"/>
        <v>2.4034848277432422E-2</v>
      </c>
    </row>
    <row r="21" spans="1:12" x14ac:dyDescent="0.35">
      <c r="A21" s="39" t="s">
        <v>37</v>
      </c>
      <c r="B21" s="141">
        <v>8622117</v>
      </c>
      <c r="C21" s="141">
        <v>3339673</v>
      </c>
      <c r="D21" s="56">
        <v>8279900</v>
      </c>
      <c r="E21" s="56">
        <v>7152703</v>
      </c>
      <c r="F21" s="57">
        <v>802201</v>
      </c>
      <c r="G21" s="56">
        <v>3600865</v>
      </c>
      <c r="H21" s="56">
        <v>1154087</v>
      </c>
      <c r="I21" s="56">
        <v>344494</v>
      </c>
      <c r="J21" s="58">
        <v>14.29</v>
      </c>
      <c r="K21" s="58">
        <v>84.68</v>
      </c>
      <c r="L21" s="379">
        <f t="shared" si="0"/>
        <v>1.7552280390025453E-2</v>
      </c>
    </row>
    <row r="22" spans="1:12" x14ac:dyDescent="0.35">
      <c r="A22" s="39" t="s">
        <v>38</v>
      </c>
      <c r="B22" s="141">
        <v>10542583</v>
      </c>
      <c r="C22" s="141">
        <v>1818398</v>
      </c>
      <c r="D22" s="56">
        <v>5993074</v>
      </c>
      <c r="E22" s="56">
        <v>4217637</v>
      </c>
      <c r="F22" s="57">
        <v>1003173</v>
      </c>
      <c r="G22" s="56">
        <v>1618877</v>
      </c>
      <c r="H22" s="56">
        <v>965018</v>
      </c>
      <c r="I22" s="56">
        <v>311127</v>
      </c>
      <c r="J22" s="58">
        <v>29.89</v>
      </c>
      <c r="K22" s="58">
        <v>76.98</v>
      </c>
      <c r="L22" s="379">
        <f t="shared" si="0"/>
        <v>1.2704515180880374E-2</v>
      </c>
    </row>
    <row r="23" spans="1:12" x14ac:dyDescent="0.35">
      <c r="A23" s="39" t="s">
        <v>39</v>
      </c>
      <c r="B23" s="141">
        <v>146864515</v>
      </c>
      <c r="C23" s="141">
        <v>57227450</v>
      </c>
      <c r="D23" s="56">
        <v>91258029</v>
      </c>
      <c r="E23" s="56">
        <v>72308597</v>
      </c>
      <c r="F23" s="57">
        <v>18434294</v>
      </c>
      <c r="G23" s="56">
        <v>47578577</v>
      </c>
      <c r="H23" s="56">
        <v>7095239</v>
      </c>
      <c r="I23" s="56">
        <v>5029496</v>
      </c>
      <c r="J23" s="58">
        <v>28.6</v>
      </c>
      <c r="K23" s="58">
        <v>84.82</v>
      </c>
      <c r="L23" s="379">
        <f t="shared" si="0"/>
        <v>0.19345481380802595</v>
      </c>
    </row>
    <row r="24" spans="1:12" x14ac:dyDescent="0.35">
      <c r="A24" s="39" t="s">
        <v>40</v>
      </c>
      <c r="B24" s="141">
        <v>67980320</v>
      </c>
      <c r="C24" s="141">
        <v>36714855</v>
      </c>
      <c r="D24" s="56">
        <v>45246711</v>
      </c>
      <c r="E24" s="56">
        <v>28575391</v>
      </c>
      <c r="F24" s="57">
        <v>5627159</v>
      </c>
      <c r="G24" s="56">
        <v>11960793</v>
      </c>
      <c r="H24" s="56">
        <v>8130596</v>
      </c>
      <c r="I24" s="56">
        <v>2534145</v>
      </c>
      <c r="J24" s="58">
        <v>20.97</v>
      </c>
      <c r="K24" s="58">
        <v>74.86</v>
      </c>
      <c r="L24" s="379">
        <f t="shared" si="0"/>
        <v>9.5916974625110091E-2</v>
      </c>
    </row>
    <row r="25" spans="1:12" x14ac:dyDescent="0.35">
      <c r="A25" s="39" t="s">
        <v>41</v>
      </c>
      <c r="B25" s="141">
        <v>8144617</v>
      </c>
      <c r="C25" s="141">
        <v>2986686</v>
      </c>
      <c r="D25" s="56">
        <v>3921618</v>
      </c>
      <c r="E25" s="56">
        <v>3606955</v>
      </c>
      <c r="F25" s="57">
        <v>1355005</v>
      </c>
      <c r="G25" s="56">
        <v>3204590</v>
      </c>
      <c r="H25" s="56">
        <v>870744</v>
      </c>
      <c r="I25" s="56">
        <v>182242</v>
      </c>
      <c r="J25" s="58">
        <v>38.61</v>
      </c>
      <c r="K25" s="58">
        <v>116.11</v>
      </c>
      <c r="L25" s="379">
        <f t="shared" si="0"/>
        <v>8.3133055614887669E-3</v>
      </c>
    </row>
    <row r="26" spans="1:12" x14ac:dyDescent="0.35">
      <c r="A26" s="39" t="s">
        <v>42</v>
      </c>
      <c r="B26" s="141">
        <v>53887815</v>
      </c>
      <c r="C26" s="141">
        <v>24261278</v>
      </c>
      <c r="D26" s="56">
        <v>42424328</v>
      </c>
      <c r="E26" s="56">
        <v>32328122</v>
      </c>
      <c r="F26" s="57">
        <v>10297683</v>
      </c>
      <c r="G26" s="56">
        <v>9782003</v>
      </c>
      <c r="H26" s="56">
        <v>5932105</v>
      </c>
      <c r="I26" s="56">
        <v>2347484</v>
      </c>
      <c r="J26" s="58">
        <v>36.71</v>
      </c>
      <c r="K26" s="58">
        <v>56.02</v>
      </c>
      <c r="L26" s="379">
        <f t="shared" si="0"/>
        <v>8.9933900217926271E-2</v>
      </c>
    </row>
    <row r="27" spans="1:12" x14ac:dyDescent="0.35">
      <c r="A27" s="39" t="s">
        <v>43</v>
      </c>
      <c r="B27" s="141">
        <v>17718706</v>
      </c>
      <c r="C27" s="141">
        <v>8441929</v>
      </c>
      <c r="D27" s="56">
        <v>6238486</v>
      </c>
      <c r="E27" s="56">
        <v>6561174</v>
      </c>
      <c r="F27" s="57">
        <v>1776763</v>
      </c>
      <c r="G27" s="56">
        <v>1875117</v>
      </c>
      <c r="H27" s="56">
        <v>1092031</v>
      </c>
      <c r="I27" s="56">
        <v>338431</v>
      </c>
      <c r="J27" s="58">
        <v>37.06</v>
      </c>
      <c r="K27" s="58">
        <v>61.89</v>
      </c>
      <c r="L27" s="379">
        <f t="shared" si="0"/>
        <v>1.3224755791887382E-2</v>
      </c>
    </row>
    <row r="28" spans="1:12" ht="13.15" x14ac:dyDescent="0.4">
      <c r="A28" s="45" t="s">
        <v>44</v>
      </c>
      <c r="B28" s="67">
        <f t="shared" ref="B28:I28" si="1">SUM(B3:B27)</f>
        <v>750605795</v>
      </c>
      <c r="C28" s="67">
        <f t="shared" si="1"/>
        <v>314484811</v>
      </c>
      <c r="D28" s="67">
        <f t="shared" si="1"/>
        <v>471727879</v>
      </c>
      <c r="E28" s="67">
        <f t="shared" si="1"/>
        <v>308313954</v>
      </c>
      <c r="F28" s="67">
        <f t="shared" si="1"/>
        <v>96336813</v>
      </c>
      <c r="G28" s="67">
        <f t="shared" si="1"/>
        <v>147708104</v>
      </c>
      <c r="H28" s="67">
        <f t="shared" si="1"/>
        <v>48300957</v>
      </c>
      <c r="I28" s="67">
        <f t="shared" si="1"/>
        <v>29661316</v>
      </c>
      <c r="J28" s="68"/>
      <c r="K28" s="68"/>
      <c r="L28" s="69"/>
    </row>
  </sheetData>
  <pageMargins left="0.7" right="0.7" top="0.75" bottom="0.75" header="0.3" footer="0.3"/>
  <customProperties>
    <customPr name="LastActive" r:id="rId1"/>
  </customPropertie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rgb="FF7030A0"/>
  </sheetPr>
  <dimension ref="A1:L28"/>
  <sheetViews>
    <sheetView workbookViewId="0"/>
  </sheetViews>
  <sheetFormatPr defaultRowHeight="12.75" x14ac:dyDescent="0.35"/>
  <cols>
    <col min="1" max="1" width="40.73046875" style="1" bestFit="1" customWidth="1"/>
    <col min="2" max="2" width="17.73046875" style="1" customWidth="1"/>
    <col min="3" max="3" width="20.73046875" style="1" customWidth="1"/>
    <col min="4" max="4" width="20.73046875" bestFit="1" customWidth="1"/>
    <col min="5" max="5" width="18.3984375" bestFit="1" customWidth="1"/>
    <col min="6" max="6" width="14" bestFit="1" customWidth="1"/>
    <col min="7" max="7" width="19.265625" bestFit="1" customWidth="1"/>
    <col min="8" max="8" width="18.3984375" bestFit="1" customWidth="1"/>
    <col min="9" max="9" width="17.73046875" bestFit="1" customWidth="1"/>
    <col min="10" max="10" width="11.265625" bestFit="1" customWidth="1"/>
    <col min="11" max="11" width="12.3984375" bestFit="1" customWidth="1"/>
  </cols>
  <sheetData>
    <row r="1" spans="1:12" s="6" customFormat="1" x14ac:dyDescent="0.35">
      <c r="A1" s="23" t="s">
        <v>48</v>
      </c>
      <c r="B1" s="23"/>
      <c r="C1" s="23"/>
      <c r="D1" s="5"/>
      <c r="E1" s="5"/>
      <c r="F1" s="5"/>
      <c r="G1" s="5"/>
      <c r="H1" s="5"/>
      <c r="I1" s="5"/>
      <c r="J1" s="5"/>
      <c r="K1" s="5"/>
      <c r="L1" s="5"/>
    </row>
    <row r="2" spans="1:12" s="16" customFormat="1" ht="26.25" x14ac:dyDescent="0.4">
      <c r="A2" s="21" t="s">
        <v>8</v>
      </c>
      <c r="B2" s="21" t="s">
        <v>9</v>
      </c>
      <c r="C2" s="21" t="s">
        <v>10</v>
      </c>
      <c r="D2" s="10" t="s">
        <v>11</v>
      </c>
      <c r="E2" s="21" t="s">
        <v>12</v>
      </c>
      <c r="F2" s="21" t="s">
        <v>13</v>
      </c>
      <c r="G2" s="21" t="s">
        <v>14</v>
      </c>
      <c r="H2" s="21" t="s">
        <v>15</v>
      </c>
      <c r="I2" s="21" t="s">
        <v>16</v>
      </c>
      <c r="J2" s="21" t="s">
        <v>17</v>
      </c>
      <c r="K2" s="21" t="s">
        <v>18</v>
      </c>
      <c r="L2" s="12" t="s">
        <v>19</v>
      </c>
    </row>
    <row r="3" spans="1:12" x14ac:dyDescent="0.35">
      <c r="A3" s="39" t="s">
        <v>20</v>
      </c>
      <c r="B3" s="132">
        <v>27957287</v>
      </c>
      <c r="C3" s="132">
        <v>4572550</v>
      </c>
      <c r="D3" s="52">
        <v>21758303</v>
      </c>
      <c r="E3" s="52">
        <v>6724773</v>
      </c>
      <c r="F3" s="52">
        <v>1733256</v>
      </c>
      <c r="G3" s="52">
        <v>4484190</v>
      </c>
      <c r="H3" s="52">
        <v>1409287</v>
      </c>
      <c r="I3" s="52">
        <v>1904464</v>
      </c>
      <c r="J3" s="63">
        <v>27.61</v>
      </c>
      <c r="K3" s="63">
        <v>93.89</v>
      </c>
      <c r="L3" s="380">
        <f t="shared" ref="L3:L26" si="0">D3/$D$28</f>
        <v>3.7996876503960234E-2</v>
      </c>
    </row>
    <row r="4" spans="1:12" x14ac:dyDescent="0.35">
      <c r="A4" s="39" t="s">
        <v>21</v>
      </c>
      <c r="B4" s="132">
        <v>14413191</v>
      </c>
      <c r="C4" s="132">
        <v>1338349</v>
      </c>
      <c r="D4" s="52">
        <v>16666082</v>
      </c>
      <c r="E4" s="52">
        <v>10151224</v>
      </c>
      <c r="F4" s="52">
        <v>2827052</v>
      </c>
      <c r="G4" s="52">
        <v>3458342</v>
      </c>
      <c r="H4" s="52">
        <v>427398</v>
      </c>
      <c r="I4" s="52">
        <v>623148</v>
      </c>
      <c r="J4" s="63">
        <v>62.17</v>
      </c>
      <c r="K4" s="63">
        <v>85.45</v>
      </c>
      <c r="L4" s="380">
        <f t="shared" si="0"/>
        <v>2.9104248596909171E-2</v>
      </c>
    </row>
    <row r="5" spans="1:12" x14ac:dyDescent="0.35">
      <c r="A5" s="39" t="s">
        <v>22</v>
      </c>
      <c r="B5" s="132">
        <v>26998541</v>
      </c>
      <c r="C5" s="132">
        <v>11260507</v>
      </c>
      <c r="D5" s="52">
        <v>14570013</v>
      </c>
      <c r="E5" s="52">
        <v>10155139</v>
      </c>
      <c r="F5" s="52">
        <v>2399746</v>
      </c>
      <c r="G5" s="52">
        <v>6110640</v>
      </c>
      <c r="H5" s="52">
        <v>1646217</v>
      </c>
      <c r="I5" s="52">
        <v>1685421</v>
      </c>
      <c r="J5" s="63">
        <v>26.35</v>
      </c>
      <c r="K5" s="63">
        <v>85.18</v>
      </c>
      <c r="L5" s="380">
        <f t="shared" si="0"/>
        <v>2.5443849394968677E-2</v>
      </c>
    </row>
    <row r="6" spans="1:12" x14ac:dyDescent="0.35">
      <c r="A6" s="39" t="s">
        <v>23</v>
      </c>
      <c r="B6" s="132">
        <v>56920187</v>
      </c>
      <c r="C6" s="132">
        <v>23639607</v>
      </c>
      <c r="D6" s="52">
        <v>61329866</v>
      </c>
      <c r="E6" s="52">
        <v>39880313</v>
      </c>
      <c r="F6" s="52">
        <v>15810770</v>
      </c>
      <c r="G6" s="52">
        <v>10136122</v>
      </c>
      <c r="H6" s="52">
        <v>8646287</v>
      </c>
      <c r="I6" s="52">
        <v>5634402</v>
      </c>
      <c r="J6" s="63">
        <v>45.88</v>
      </c>
      <c r="K6" s="63">
        <v>54.5</v>
      </c>
      <c r="L6" s="380">
        <f t="shared" si="0"/>
        <v>0.10710133710365324</v>
      </c>
    </row>
    <row r="7" spans="1:12" x14ac:dyDescent="0.35">
      <c r="A7" s="39" t="s">
        <v>24</v>
      </c>
      <c r="B7" s="132">
        <v>13981084</v>
      </c>
      <c r="C7" s="132">
        <v>4888203</v>
      </c>
      <c r="D7" s="52">
        <v>12608637</v>
      </c>
      <c r="E7" s="52">
        <v>10786949</v>
      </c>
      <c r="F7" s="52">
        <v>2370106</v>
      </c>
      <c r="G7" s="52">
        <v>6074927</v>
      </c>
      <c r="H7" s="52">
        <v>947377</v>
      </c>
      <c r="I7" s="53"/>
      <c r="J7" s="63">
        <v>23.02</v>
      </c>
      <c r="K7" s="63">
        <v>68.22</v>
      </c>
      <c r="L7" s="380">
        <f t="shared" si="0"/>
        <v>2.2018666757801088E-2</v>
      </c>
    </row>
    <row r="8" spans="1:12" x14ac:dyDescent="0.35">
      <c r="A8" s="39" t="s">
        <v>25</v>
      </c>
      <c r="B8" s="132">
        <v>53444389</v>
      </c>
      <c r="C8" s="132">
        <v>45923271</v>
      </c>
      <c r="D8" s="52">
        <v>21907785</v>
      </c>
      <c r="E8" s="52">
        <v>7957765</v>
      </c>
      <c r="F8" s="52">
        <v>4184560</v>
      </c>
      <c r="G8" s="52">
        <v>3319894</v>
      </c>
      <c r="H8" s="52">
        <v>1869254</v>
      </c>
      <c r="I8" s="52">
        <v>2759949</v>
      </c>
      <c r="J8" s="63">
        <v>59.53</v>
      </c>
      <c r="K8" s="63">
        <v>73.819999999999993</v>
      </c>
      <c r="L8" s="380">
        <f t="shared" si="0"/>
        <v>3.8257919338668664E-2</v>
      </c>
    </row>
    <row r="9" spans="1:12" x14ac:dyDescent="0.35">
      <c r="A9" s="39" t="s">
        <v>26</v>
      </c>
      <c r="B9" s="132">
        <v>40014292</v>
      </c>
      <c r="C9" s="132">
        <v>20557011</v>
      </c>
      <c r="D9" s="52">
        <v>39691703</v>
      </c>
      <c r="E9" s="52">
        <v>22537419</v>
      </c>
      <c r="F9" s="52">
        <v>9462825</v>
      </c>
      <c r="G9" s="52">
        <v>9646316</v>
      </c>
      <c r="H9" s="52">
        <v>1744198</v>
      </c>
      <c r="I9" s="52">
        <v>1155765</v>
      </c>
      <c r="J9" s="63">
        <v>50.71</v>
      </c>
      <c r="K9" s="63">
        <v>61.05</v>
      </c>
      <c r="L9" s="380">
        <f t="shared" si="0"/>
        <v>6.9314263025148051E-2</v>
      </c>
    </row>
    <row r="10" spans="1:12" x14ac:dyDescent="0.35">
      <c r="A10" s="39" t="s">
        <v>27</v>
      </c>
      <c r="B10" s="132">
        <v>12426574</v>
      </c>
      <c r="C10" s="132">
        <v>1851058</v>
      </c>
      <c r="D10" s="52">
        <v>8196429</v>
      </c>
      <c r="E10" s="52">
        <v>6506500</v>
      </c>
      <c r="F10" s="52">
        <v>892157</v>
      </c>
      <c r="G10" s="52">
        <v>3333103</v>
      </c>
      <c r="H10" s="52">
        <v>1385622</v>
      </c>
      <c r="I10" s="52">
        <v>426887</v>
      </c>
      <c r="J10" s="63">
        <v>13.71</v>
      </c>
      <c r="K10" s="63">
        <v>72.52</v>
      </c>
      <c r="L10" s="380">
        <f t="shared" si="0"/>
        <v>1.4313556552938816E-2</v>
      </c>
    </row>
    <row r="11" spans="1:12" x14ac:dyDescent="0.35">
      <c r="A11" s="39" t="s">
        <v>28</v>
      </c>
      <c r="B11" s="132">
        <v>40647921</v>
      </c>
      <c r="C11" s="132">
        <v>22876208</v>
      </c>
      <c r="D11" s="52">
        <v>53899625</v>
      </c>
      <c r="E11" s="52">
        <v>23260125</v>
      </c>
      <c r="F11" s="52">
        <v>10537941</v>
      </c>
      <c r="G11" s="52">
        <v>10503247</v>
      </c>
      <c r="H11" s="52">
        <v>5615934</v>
      </c>
      <c r="I11" s="52">
        <v>5701874</v>
      </c>
      <c r="J11" s="63">
        <v>50.14</v>
      </c>
      <c r="K11" s="63">
        <v>76.7</v>
      </c>
      <c r="L11" s="380">
        <f t="shared" si="0"/>
        <v>9.4125787049420526E-2</v>
      </c>
    </row>
    <row r="12" spans="1:12" x14ac:dyDescent="0.35">
      <c r="A12" s="39" t="s">
        <v>46</v>
      </c>
      <c r="B12" s="132">
        <v>11217967</v>
      </c>
      <c r="C12" s="132">
        <v>9600000</v>
      </c>
      <c r="D12" s="52">
        <v>966772</v>
      </c>
      <c r="E12" s="52">
        <v>601454</v>
      </c>
      <c r="F12" s="52">
        <v>3782</v>
      </c>
      <c r="G12" s="52">
        <v>732709</v>
      </c>
      <c r="H12" s="53">
        <v>315</v>
      </c>
      <c r="I12" s="52">
        <v>133726</v>
      </c>
      <c r="J12" s="63">
        <v>1.1299999999999999</v>
      </c>
      <c r="K12" s="63">
        <v>219.32</v>
      </c>
      <c r="L12" s="380">
        <f t="shared" si="0"/>
        <v>1.6882895826704244E-3</v>
      </c>
    </row>
    <row r="13" spans="1:12" x14ac:dyDescent="0.35">
      <c r="A13" s="39" t="s">
        <v>29</v>
      </c>
      <c r="B13" s="132">
        <v>12181586</v>
      </c>
      <c r="C13" s="132">
        <v>7405070</v>
      </c>
      <c r="D13" s="52">
        <v>7259603</v>
      </c>
      <c r="E13" s="52">
        <v>6166057</v>
      </c>
      <c r="F13" s="52">
        <v>1279559</v>
      </c>
      <c r="G13" s="52">
        <v>2881361</v>
      </c>
      <c r="H13" s="52">
        <v>368386</v>
      </c>
      <c r="I13" s="52">
        <v>293485</v>
      </c>
      <c r="J13" s="63">
        <v>27.1</v>
      </c>
      <c r="K13" s="63">
        <v>68.83</v>
      </c>
      <c r="L13" s="380">
        <f t="shared" si="0"/>
        <v>1.2677562154492436E-2</v>
      </c>
    </row>
    <row r="14" spans="1:12" x14ac:dyDescent="0.35">
      <c r="A14" s="39" t="s">
        <v>30</v>
      </c>
      <c r="B14" s="132">
        <v>7529688</v>
      </c>
      <c r="C14" s="132">
        <v>2807053</v>
      </c>
      <c r="D14" s="52">
        <v>6203668</v>
      </c>
      <c r="E14" s="52">
        <v>6303246</v>
      </c>
      <c r="F14" s="52">
        <v>1052191</v>
      </c>
      <c r="G14" s="52">
        <v>2366630</v>
      </c>
      <c r="H14" s="52">
        <v>501470</v>
      </c>
      <c r="I14" s="52">
        <v>138375</v>
      </c>
      <c r="J14" s="63">
        <v>21.11</v>
      </c>
      <c r="K14" s="63">
        <v>57.54</v>
      </c>
      <c r="L14" s="380">
        <f t="shared" si="0"/>
        <v>1.0833565782569072E-2</v>
      </c>
    </row>
    <row r="15" spans="1:12" x14ac:dyDescent="0.35">
      <c r="A15" s="39" t="s">
        <v>31</v>
      </c>
      <c r="B15" s="132">
        <v>20693096</v>
      </c>
      <c r="C15" s="132">
        <v>8018799</v>
      </c>
      <c r="D15" s="52">
        <v>8157332</v>
      </c>
      <c r="E15" s="52">
        <v>6995016</v>
      </c>
      <c r="F15" s="52">
        <v>4167545</v>
      </c>
      <c r="G15" s="52">
        <v>4692940</v>
      </c>
      <c r="H15" s="52">
        <v>982132</v>
      </c>
      <c r="I15" s="52">
        <v>195838</v>
      </c>
      <c r="J15" s="63">
        <v>58.12</v>
      </c>
      <c r="K15" s="63">
        <v>79.14</v>
      </c>
      <c r="L15" s="380">
        <f t="shared" si="0"/>
        <v>1.4245280829382831E-2</v>
      </c>
    </row>
    <row r="16" spans="1:12" x14ac:dyDescent="0.35">
      <c r="A16" s="39" t="s">
        <v>32</v>
      </c>
      <c r="B16" s="132">
        <v>29300406</v>
      </c>
      <c r="C16" s="132">
        <v>15177822</v>
      </c>
      <c r="D16" s="52">
        <v>24296304</v>
      </c>
      <c r="E16" s="52">
        <v>18172965</v>
      </c>
      <c r="F16" s="52">
        <v>6297670</v>
      </c>
      <c r="G16" s="52">
        <v>14701823</v>
      </c>
      <c r="H16" s="52">
        <v>4053189</v>
      </c>
      <c r="I16" s="52">
        <v>2006840</v>
      </c>
      <c r="J16" s="63">
        <v>37.71</v>
      </c>
      <c r="K16" s="63">
        <v>112.29</v>
      </c>
      <c r="L16" s="380">
        <f t="shared" si="0"/>
        <v>4.2429028706451745E-2</v>
      </c>
    </row>
    <row r="17" spans="1:12" x14ac:dyDescent="0.35">
      <c r="A17" s="39" t="s">
        <v>33</v>
      </c>
      <c r="B17" s="132">
        <v>6539714</v>
      </c>
      <c r="C17" s="132">
        <v>558917</v>
      </c>
      <c r="D17" s="52">
        <v>1979860</v>
      </c>
      <c r="E17" s="52">
        <v>1663118</v>
      </c>
      <c r="F17" s="52">
        <v>323510</v>
      </c>
      <c r="G17" s="52">
        <v>1829110</v>
      </c>
      <c r="H17" s="52">
        <v>217574</v>
      </c>
      <c r="I17" s="52">
        <v>166199</v>
      </c>
      <c r="J17" s="63">
        <v>45.31</v>
      </c>
      <c r="K17" s="63">
        <v>286.63</v>
      </c>
      <c r="L17" s="380">
        <f t="shared" si="0"/>
        <v>3.4574615453756073E-3</v>
      </c>
    </row>
    <row r="18" spans="1:12" x14ac:dyDescent="0.35">
      <c r="A18" s="39" t="s">
        <v>34</v>
      </c>
      <c r="B18" s="132">
        <v>11088669</v>
      </c>
      <c r="C18" s="132">
        <v>6852053</v>
      </c>
      <c r="D18" s="52">
        <v>2210921</v>
      </c>
      <c r="E18" s="52">
        <v>1701490</v>
      </c>
      <c r="F18" s="52">
        <v>401335</v>
      </c>
      <c r="G18" s="52">
        <v>1173871</v>
      </c>
      <c r="H18" s="52">
        <v>119738</v>
      </c>
      <c r="I18" s="52">
        <v>72148</v>
      </c>
      <c r="J18" s="63">
        <v>42.01</v>
      </c>
      <c r="K18" s="63">
        <v>135.4</v>
      </c>
      <c r="L18" s="380">
        <f t="shared" si="0"/>
        <v>3.8609671074537506E-3</v>
      </c>
    </row>
    <row r="19" spans="1:12" x14ac:dyDescent="0.35">
      <c r="A19" s="39" t="s">
        <v>35</v>
      </c>
      <c r="B19" s="132">
        <v>20991282</v>
      </c>
      <c r="C19" s="132">
        <v>11433111</v>
      </c>
      <c r="D19" s="52">
        <v>9793754</v>
      </c>
      <c r="E19" s="52">
        <v>7227028</v>
      </c>
      <c r="F19" s="52">
        <v>1886468</v>
      </c>
      <c r="G19" s="52">
        <v>7970726</v>
      </c>
      <c r="H19" s="52">
        <v>832382</v>
      </c>
      <c r="I19" s="52">
        <v>1128471</v>
      </c>
      <c r="J19" s="63">
        <v>26.16</v>
      </c>
      <c r="K19" s="63">
        <v>122.06</v>
      </c>
      <c r="L19" s="380">
        <f t="shared" si="0"/>
        <v>1.7102991039704089E-2</v>
      </c>
    </row>
    <row r="20" spans="1:12" x14ac:dyDescent="0.35">
      <c r="A20" s="39" t="s">
        <v>36</v>
      </c>
      <c r="B20" s="132">
        <v>16795344</v>
      </c>
      <c r="C20" s="132">
        <v>3813107</v>
      </c>
      <c r="D20" s="52">
        <v>16944433</v>
      </c>
      <c r="E20" s="52">
        <v>13067422</v>
      </c>
      <c r="F20" s="52">
        <v>3102917</v>
      </c>
      <c r="G20" s="52">
        <v>7827970</v>
      </c>
      <c r="H20" s="52">
        <v>2238254</v>
      </c>
      <c r="I20" s="52">
        <v>1052284</v>
      </c>
      <c r="J20" s="63">
        <v>25.39</v>
      </c>
      <c r="K20" s="63">
        <v>82.36</v>
      </c>
      <c r="L20" s="380">
        <f t="shared" si="0"/>
        <v>2.9590337450978069E-2</v>
      </c>
    </row>
    <row r="21" spans="1:12" x14ac:dyDescent="0.35">
      <c r="A21" s="39" t="s">
        <v>37</v>
      </c>
      <c r="B21" s="132">
        <v>9055884</v>
      </c>
      <c r="C21" s="132">
        <v>3890893</v>
      </c>
      <c r="D21" s="52">
        <v>8378041</v>
      </c>
      <c r="E21" s="52">
        <v>7120391</v>
      </c>
      <c r="F21" s="52">
        <v>1723422</v>
      </c>
      <c r="G21" s="52">
        <v>3002468</v>
      </c>
      <c r="H21" s="52">
        <v>1418624</v>
      </c>
      <c r="I21" s="52">
        <v>382657</v>
      </c>
      <c r="J21" s="63">
        <v>24.52</v>
      </c>
      <c r="K21" s="63">
        <v>62.9</v>
      </c>
      <c r="L21" s="380">
        <f t="shared" si="0"/>
        <v>1.4630708526400957E-2</v>
      </c>
    </row>
    <row r="22" spans="1:12" x14ac:dyDescent="0.35">
      <c r="A22" s="39" t="s">
        <v>38</v>
      </c>
      <c r="B22" s="132">
        <v>10443425</v>
      </c>
      <c r="C22" s="132">
        <v>1988137</v>
      </c>
      <c r="D22" s="52">
        <v>8152682</v>
      </c>
      <c r="E22" s="52">
        <v>5360688</v>
      </c>
      <c r="F22" s="52">
        <v>1404562</v>
      </c>
      <c r="G22" s="52">
        <v>2152216</v>
      </c>
      <c r="H22" s="52">
        <v>963726</v>
      </c>
      <c r="I22" s="52">
        <v>483042</v>
      </c>
      <c r="J22" s="63">
        <v>31.84</v>
      </c>
      <c r="K22" s="63">
        <v>70.64</v>
      </c>
      <c r="L22" s="380">
        <f t="shared" si="0"/>
        <v>1.4237160459161706E-2</v>
      </c>
    </row>
    <row r="23" spans="1:12" x14ac:dyDescent="0.35">
      <c r="A23" s="39" t="s">
        <v>39</v>
      </c>
      <c r="B23" s="132">
        <v>151645819</v>
      </c>
      <c r="C23" s="132">
        <v>62251424</v>
      </c>
      <c r="D23" s="52">
        <v>111824152</v>
      </c>
      <c r="E23" s="52">
        <v>76436079</v>
      </c>
      <c r="F23" s="52">
        <v>20402128</v>
      </c>
      <c r="G23" s="52">
        <v>52300969</v>
      </c>
      <c r="H23" s="52">
        <v>11213824</v>
      </c>
      <c r="I23" s="52">
        <v>12739726</v>
      </c>
      <c r="J23" s="63">
        <v>32.53</v>
      </c>
      <c r="K23" s="63">
        <v>101.27</v>
      </c>
      <c r="L23" s="380">
        <f t="shared" si="0"/>
        <v>0.19528032557061448</v>
      </c>
    </row>
    <row r="24" spans="1:12" x14ac:dyDescent="0.35">
      <c r="A24" s="39" t="s">
        <v>40</v>
      </c>
      <c r="B24" s="132">
        <v>72275320</v>
      </c>
      <c r="C24" s="132">
        <v>38915169</v>
      </c>
      <c r="D24" s="52">
        <v>57005894</v>
      </c>
      <c r="E24" s="52">
        <v>36432713</v>
      </c>
      <c r="F24" s="52">
        <v>9096652</v>
      </c>
      <c r="G24" s="52">
        <v>16623286</v>
      </c>
      <c r="H24" s="52">
        <v>9883532</v>
      </c>
      <c r="I24" s="52">
        <v>3271747</v>
      </c>
      <c r="J24" s="63">
        <v>25.19</v>
      </c>
      <c r="K24" s="63">
        <v>73.41</v>
      </c>
      <c r="L24" s="380">
        <f t="shared" si="0"/>
        <v>9.9550314852948213E-2</v>
      </c>
    </row>
    <row r="25" spans="1:12" x14ac:dyDescent="0.35">
      <c r="A25" s="39" t="s">
        <v>41</v>
      </c>
      <c r="B25" s="132">
        <v>8608798</v>
      </c>
      <c r="C25" s="132">
        <v>4689766</v>
      </c>
      <c r="D25" s="52">
        <v>5726278</v>
      </c>
      <c r="E25" s="52">
        <v>4623913</v>
      </c>
      <c r="F25" s="52">
        <v>1248372</v>
      </c>
      <c r="G25" s="52">
        <v>4420196</v>
      </c>
      <c r="H25" s="52">
        <v>553793</v>
      </c>
      <c r="I25" s="52">
        <v>347588</v>
      </c>
      <c r="J25" s="63">
        <v>30.24</v>
      </c>
      <c r="K25" s="63">
        <v>120.5</v>
      </c>
      <c r="L25" s="380">
        <f t="shared" si="0"/>
        <v>9.9998919030286695E-3</v>
      </c>
    </row>
    <row r="26" spans="1:12" x14ac:dyDescent="0.35">
      <c r="A26" s="39" t="s">
        <v>42</v>
      </c>
      <c r="B26" s="132">
        <v>54204828</v>
      </c>
      <c r="C26" s="132">
        <v>24911793</v>
      </c>
      <c r="D26" s="52">
        <v>53105853</v>
      </c>
      <c r="E26" s="52">
        <v>40014448</v>
      </c>
      <c r="F26" s="52">
        <v>12209647</v>
      </c>
      <c r="G26" s="52">
        <v>14006557</v>
      </c>
      <c r="H26" s="52">
        <v>7643085</v>
      </c>
      <c r="I26" s="52">
        <v>2992467</v>
      </c>
      <c r="J26" s="63">
        <v>34.71</v>
      </c>
      <c r="K26" s="63">
        <v>61.55</v>
      </c>
      <c r="L26" s="380">
        <f t="shared" si="0"/>
        <v>9.2739610165299483E-2</v>
      </c>
    </row>
    <row r="27" spans="1:12" x14ac:dyDescent="0.35">
      <c r="A27" s="39" t="s">
        <v>43</v>
      </c>
      <c r="B27" s="39"/>
      <c r="C27" s="39"/>
      <c r="D27" s="53"/>
      <c r="E27" s="53"/>
      <c r="F27" s="53"/>
      <c r="G27" s="53"/>
      <c r="H27" s="53"/>
      <c r="I27" s="53"/>
      <c r="J27" s="63"/>
      <c r="K27" s="63"/>
      <c r="L27" s="63"/>
    </row>
    <row r="28" spans="1:12" ht="13.15" x14ac:dyDescent="0.4">
      <c r="A28" s="45" t="s">
        <v>44</v>
      </c>
      <c r="B28" s="110">
        <f t="shared" ref="B28:I28" si="1">SUM(B3:B27)</f>
        <v>729375292</v>
      </c>
      <c r="C28" s="110">
        <f t="shared" si="1"/>
        <v>339219878</v>
      </c>
      <c r="D28" s="110">
        <f t="shared" si="1"/>
        <v>572633990</v>
      </c>
      <c r="E28" s="110">
        <f t="shared" si="1"/>
        <v>369846235</v>
      </c>
      <c r="F28" s="110">
        <f t="shared" si="1"/>
        <v>114818173</v>
      </c>
      <c r="G28" s="110">
        <f t="shared" si="1"/>
        <v>193749613</v>
      </c>
      <c r="H28" s="110">
        <f t="shared" si="1"/>
        <v>64681598</v>
      </c>
      <c r="I28" s="110">
        <f t="shared" si="1"/>
        <v>45296503</v>
      </c>
      <c r="J28" s="111"/>
      <c r="K28" s="111"/>
      <c r="L28" s="112"/>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tabColor rgb="FF7030A0"/>
  </sheetPr>
  <dimension ref="A1:L28"/>
  <sheetViews>
    <sheetView workbookViewId="0">
      <selection activeCell="C14" sqref="C14"/>
    </sheetView>
  </sheetViews>
  <sheetFormatPr defaultColWidth="38.73046875" defaultRowHeight="12.75" x14ac:dyDescent="0.35"/>
  <cols>
    <col min="1" max="1" width="40.265625" style="1" customWidth="1"/>
    <col min="2" max="3" width="20.265625" style="1" customWidth="1"/>
    <col min="4" max="4" width="20.73046875" bestFit="1" customWidth="1"/>
    <col min="5" max="5" width="18.3984375" bestFit="1" customWidth="1"/>
    <col min="6" max="6" width="14" bestFit="1" customWidth="1"/>
    <col min="7" max="7" width="19.265625" bestFit="1" customWidth="1"/>
    <col min="8" max="8" width="18.3984375" bestFit="1" customWidth="1"/>
    <col min="9" max="9" width="17.73046875" bestFit="1" customWidth="1"/>
    <col min="10" max="10" width="10.73046875" bestFit="1" customWidth="1"/>
    <col min="11" max="11" width="10.3984375" customWidth="1"/>
    <col min="12" max="12" width="19.265625" customWidth="1"/>
  </cols>
  <sheetData>
    <row r="1" spans="1:12" s="6" customFormat="1" ht="12.75" customHeight="1" x14ac:dyDescent="0.4">
      <c r="A1" s="24" t="s">
        <v>49</v>
      </c>
      <c r="B1" s="24"/>
      <c r="C1" s="24"/>
      <c r="D1" s="5"/>
      <c r="E1" s="5"/>
      <c r="F1" s="5"/>
      <c r="G1" s="5"/>
      <c r="H1" s="5"/>
      <c r="I1" s="5"/>
      <c r="J1" s="5"/>
      <c r="K1" s="5"/>
      <c r="L1" s="5"/>
    </row>
    <row r="2" spans="1:12" s="16" customFormat="1" ht="26.25" x14ac:dyDescent="0.4">
      <c r="A2" s="11" t="s">
        <v>8</v>
      </c>
      <c r="B2" s="11" t="s">
        <v>9</v>
      </c>
      <c r="C2" s="11" t="s">
        <v>10</v>
      </c>
      <c r="D2" s="10" t="s">
        <v>11</v>
      </c>
      <c r="E2" s="21" t="s">
        <v>12</v>
      </c>
      <c r="F2" s="21" t="s">
        <v>13</v>
      </c>
      <c r="G2" s="21" t="s">
        <v>14</v>
      </c>
      <c r="H2" s="21" t="s">
        <v>15</v>
      </c>
      <c r="I2" s="21" t="s">
        <v>16</v>
      </c>
      <c r="J2" s="21" t="s">
        <v>50</v>
      </c>
      <c r="K2" s="21" t="s">
        <v>51</v>
      </c>
      <c r="L2" s="12" t="s">
        <v>19</v>
      </c>
    </row>
    <row r="3" spans="1:12" x14ac:dyDescent="0.35">
      <c r="A3" s="38" t="s">
        <v>20</v>
      </c>
      <c r="B3" s="122">
        <v>32938493</v>
      </c>
      <c r="C3" s="122">
        <v>5172328</v>
      </c>
      <c r="D3" s="56">
        <v>12012406</v>
      </c>
      <c r="E3" s="56">
        <v>3491407</v>
      </c>
      <c r="F3" s="56">
        <v>744940</v>
      </c>
      <c r="G3" s="56">
        <v>1193390</v>
      </c>
      <c r="H3" s="56">
        <v>886630</v>
      </c>
      <c r="I3" s="56">
        <v>1441950</v>
      </c>
      <c r="J3" s="58">
        <v>51.34</v>
      </c>
      <c r="K3" s="58">
        <v>143.35</v>
      </c>
      <c r="L3" s="379">
        <f t="shared" ref="L3:L26" si="0">D3/$D$28</f>
        <v>5.2660959949410009E-2</v>
      </c>
    </row>
    <row r="4" spans="1:12" x14ac:dyDescent="0.35">
      <c r="A4" s="38" t="s">
        <v>21</v>
      </c>
      <c r="B4" s="122">
        <v>17404928</v>
      </c>
      <c r="C4" s="122">
        <v>7969865</v>
      </c>
      <c r="D4" s="56">
        <v>2778350</v>
      </c>
      <c r="E4" s="56">
        <v>1538146</v>
      </c>
      <c r="F4" s="56">
        <v>630908</v>
      </c>
      <c r="G4" s="56">
        <v>628319</v>
      </c>
      <c r="H4" s="56">
        <v>146353</v>
      </c>
      <c r="I4" s="56">
        <v>257978</v>
      </c>
      <c r="J4" s="58">
        <v>80.459999999999994</v>
      </c>
      <c r="K4" s="58">
        <v>98.8</v>
      </c>
      <c r="L4" s="379">
        <f t="shared" si="0"/>
        <v>1.2179956128309626E-2</v>
      </c>
    </row>
    <row r="5" spans="1:12" x14ac:dyDescent="0.35">
      <c r="A5" s="38" t="s">
        <v>22</v>
      </c>
      <c r="B5" s="122">
        <v>25483798</v>
      </c>
      <c r="C5" s="122">
        <v>12796906</v>
      </c>
      <c r="D5" s="56">
        <v>5494366</v>
      </c>
      <c r="E5" s="56">
        <v>4661568</v>
      </c>
      <c r="F5" s="56">
        <v>964933</v>
      </c>
      <c r="G5" s="56">
        <v>1529570</v>
      </c>
      <c r="H5" s="56">
        <v>495600</v>
      </c>
      <c r="I5" s="56">
        <v>250993</v>
      </c>
      <c r="J5" s="58">
        <v>26.17</v>
      </c>
      <c r="K5" s="58">
        <v>54.92</v>
      </c>
      <c r="L5" s="379">
        <f t="shared" si="0"/>
        <v>2.4086647410468818E-2</v>
      </c>
    </row>
    <row r="6" spans="1:12" x14ac:dyDescent="0.35">
      <c r="A6" s="38" t="s">
        <v>23</v>
      </c>
      <c r="B6" s="122">
        <v>76907452</v>
      </c>
      <c r="C6" s="122">
        <v>30903056</v>
      </c>
      <c r="D6" s="56">
        <v>25771000</v>
      </c>
      <c r="E6" s="56">
        <v>18060000</v>
      </c>
      <c r="F6" s="56">
        <v>8344000</v>
      </c>
      <c r="G6" s="56">
        <v>3991000</v>
      </c>
      <c r="H6" s="56">
        <v>4307305</v>
      </c>
      <c r="I6" s="56">
        <v>2185156</v>
      </c>
      <c r="J6" s="58">
        <v>50.85</v>
      </c>
      <c r="K6" s="58">
        <v>50.57</v>
      </c>
      <c r="L6" s="379">
        <f t="shared" si="0"/>
        <v>0.11297700051565401</v>
      </c>
    </row>
    <row r="7" spans="1:12" x14ac:dyDescent="0.35">
      <c r="A7" s="38" t="s">
        <v>24</v>
      </c>
      <c r="B7" s="122">
        <v>20798775</v>
      </c>
      <c r="C7" s="122">
        <v>8484586</v>
      </c>
      <c r="D7" s="56">
        <v>7122806</v>
      </c>
      <c r="E7" s="56">
        <v>6210131</v>
      </c>
      <c r="F7" s="56">
        <v>658298</v>
      </c>
      <c r="G7" s="56">
        <v>1692896</v>
      </c>
      <c r="H7" s="56">
        <v>631669</v>
      </c>
      <c r="I7" s="59"/>
      <c r="J7" s="58">
        <v>19.73</v>
      </c>
      <c r="K7" s="58">
        <v>69.650000000000006</v>
      </c>
      <c r="L7" s="379">
        <f t="shared" si="0"/>
        <v>3.122553479239857E-2</v>
      </c>
    </row>
    <row r="8" spans="1:12" x14ac:dyDescent="0.35">
      <c r="A8" s="38" t="s">
        <v>25</v>
      </c>
      <c r="B8" s="122">
        <v>69096735</v>
      </c>
      <c r="C8" s="122">
        <v>55604005</v>
      </c>
      <c r="D8" s="56">
        <v>8444377</v>
      </c>
      <c r="E8" s="56">
        <v>3667589</v>
      </c>
      <c r="F8" s="56">
        <v>1601528</v>
      </c>
      <c r="G8" s="56">
        <v>1715825</v>
      </c>
      <c r="H8" s="56">
        <v>896650</v>
      </c>
      <c r="I8" s="56">
        <v>1361108</v>
      </c>
      <c r="J8" s="58">
        <v>35.409999999999997</v>
      </c>
      <c r="K8" s="58">
        <v>57.77</v>
      </c>
      <c r="L8" s="379">
        <f t="shared" si="0"/>
        <v>3.7019144956865348E-2</v>
      </c>
    </row>
    <row r="9" spans="1:12" x14ac:dyDescent="0.35">
      <c r="A9" s="38" t="s">
        <v>26</v>
      </c>
      <c r="B9" s="122">
        <v>41793364</v>
      </c>
      <c r="C9" s="122">
        <v>23399840</v>
      </c>
      <c r="D9" s="56">
        <v>9880096</v>
      </c>
      <c r="E9" s="56">
        <v>7117282</v>
      </c>
      <c r="F9" s="56">
        <v>1899746</v>
      </c>
      <c r="G9" s="56">
        <v>2386163</v>
      </c>
      <c r="H9" s="56">
        <v>646756</v>
      </c>
      <c r="I9" s="56">
        <v>395788</v>
      </c>
      <c r="J9" s="58">
        <v>39.56</v>
      </c>
      <c r="K9" s="58">
        <v>63.16</v>
      </c>
      <c r="L9" s="379">
        <f t="shared" si="0"/>
        <v>4.3313166384180327E-2</v>
      </c>
    </row>
    <row r="10" spans="1:12" x14ac:dyDescent="0.35">
      <c r="A10" s="38" t="s">
        <v>27</v>
      </c>
      <c r="B10" s="38"/>
      <c r="C10" s="38"/>
      <c r="D10" s="59"/>
      <c r="E10" s="59"/>
      <c r="F10" s="59"/>
      <c r="G10" s="59"/>
      <c r="H10" s="59"/>
      <c r="I10" s="59"/>
      <c r="J10" s="58"/>
      <c r="K10" s="58"/>
      <c r="L10" s="379">
        <f t="shared" si="0"/>
        <v>0</v>
      </c>
    </row>
    <row r="11" spans="1:12" x14ac:dyDescent="0.35">
      <c r="A11" s="38" t="s">
        <v>28</v>
      </c>
      <c r="B11" s="122">
        <v>51214059</v>
      </c>
      <c r="C11" s="122">
        <v>26136313</v>
      </c>
      <c r="D11" s="56">
        <v>27587994</v>
      </c>
      <c r="E11" s="56">
        <v>9595688</v>
      </c>
      <c r="F11" s="56">
        <v>3107250</v>
      </c>
      <c r="G11" s="56">
        <v>2444329</v>
      </c>
      <c r="H11" s="56">
        <v>1441286</v>
      </c>
      <c r="I11" s="56">
        <v>1399936</v>
      </c>
      <c r="J11" s="58">
        <v>46.82</v>
      </c>
      <c r="K11" s="58">
        <v>58.55</v>
      </c>
      <c r="L11" s="379">
        <f t="shared" si="0"/>
        <v>0.12094248621954368</v>
      </c>
    </row>
    <row r="12" spans="1:12" x14ac:dyDescent="0.35">
      <c r="A12" s="38" t="s">
        <v>46</v>
      </c>
      <c r="B12" s="122">
        <v>11663599</v>
      </c>
      <c r="C12" s="122">
        <v>5309699</v>
      </c>
      <c r="D12" s="56">
        <v>1129021</v>
      </c>
      <c r="E12" s="56">
        <v>856275</v>
      </c>
      <c r="F12" s="56">
        <v>21551</v>
      </c>
      <c r="G12" s="56">
        <v>504947</v>
      </c>
      <c r="H12" s="56">
        <v>105423</v>
      </c>
      <c r="I12" s="56">
        <v>68062</v>
      </c>
      <c r="J12" s="58">
        <v>9.59</v>
      </c>
      <c r="K12" s="58">
        <v>271.68</v>
      </c>
      <c r="L12" s="379">
        <f t="shared" si="0"/>
        <v>4.9494938535246677E-3</v>
      </c>
    </row>
    <row r="13" spans="1:12" x14ac:dyDescent="0.35">
      <c r="A13" s="38" t="s">
        <v>29</v>
      </c>
      <c r="B13" s="122">
        <v>15085179</v>
      </c>
      <c r="C13" s="122">
        <v>8016390</v>
      </c>
      <c r="D13" s="56">
        <v>3653217</v>
      </c>
      <c r="E13" s="56">
        <v>3044927</v>
      </c>
      <c r="F13" s="56">
        <v>385904</v>
      </c>
      <c r="G13" s="56">
        <v>836650</v>
      </c>
      <c r="H13" s="56">
        <v>23428</v>
      </c>
      <c r="I13" s="59"/>
      <c r="J13" s="58">
        <v>17.93</v>
      </c>
      <c r="K13" s="58">
        <v>39.97</v>
      </c>
      <c r="L13" s="379">
        <f t="shared" si="0"/>
        <v>1.6015269057964226E-2</v>
      </c>
    </row>
    <row r="14" spans="1:12" x14ac:dyDescent="0.35">
      <c r="A14" s="38" t="s">
        <v>30</v>
      </c>
      <c r="B14" s="122">
        <v>7228892</v>
      </c>
      <c r="C14" s="122">
        <v>3282596</v>
      </c>
      <c r="D14" s="56">
        <v>1994515</v>
      </c>
      <c r="E14" s="56">
        <v>1847888</v>
      </c>
      <c r="F14" s="56">
        <v>96416</v>
      </c>
      <c r="G14" s="56">
        <v>670726</v>
      </c>
      <c r="H14" s="56">
        <v>355660</v>
      </c>
      <c r="I14" s="56">
        <v>43698</v>
      </c>
      <c r="J14" s="58">
        <v>5.19</v>
      </c>
      <c r="K14" s="58">
        <v>55.22</v>
      </c>
      <c r="L14" s="379">
        <f t="shared" si="0"/>
        <v>8.7437166653789016E-3</v>
      </c>
    </row>
    <row r="15" spans="1:12" x14ac:dyDescent="0.35">
      <c r="A15" s="38" t="s">
        <v>31</v>
      </c>
      <c r="B15" s="122">
        <v>18963574</v>
      </c>
      <c r="C15" s="122">
        <v>8532321</v>
      </c>
      <c r="D15" s="56">
        <v>2035249</v>
      </c>
      <c r="E15" s="56">
        <v>1825137</v>
      </c>
      <c r="F15" s="56">
        <v>1955778</v>
      </c>
      <c r="G15" s="56">
        <v>937356</v>
      </c>
      <c r="H15" s="56">
        <v>173465</v>
      </c>
      <c r="I15" s="56">
        <v>42094</v>
      </c>
      <c r="J15" s="58">
        <v>99.98</v>
      </c>
      <c r="K15" s="58">
        <v>56.79</v>
      </c>
      <c r="L15" s="379">
        <f t="shared" si="0"/>
        <v>8.9222896791930593E-3</v>
      </c>
    </row>
    <row r="16" spans="1:12" x14ac:dyDescent="0.35">
      <c r="A16" s="38" t="s">
        <v>32</v>
      </c>
      <c r="B16" s="122">
        <v>34195088</v>
      </c>
      <c r="C16" s="122">
        <v>18259856</v>
      </c>
      <c r="D16" s="56">
        <v>7939495</v>
      </c>
      <c r="E16" s="56">
        <v>5228961</v>
      </c>
      <c r="F16" s="56">
        <v>1696846</v>
      </c>
      <c r="G16" s="56">
        <v>2196523</v>
      </c>
      <c r="H16" s="56">
        <v>855655</v>
      </c>
      <c r="I16" s="56">
        <v>826051</v>
      </c>
      <c r="J16" s="58">
        <v>38.96</v>
      </c>
      <c r="K16" s="58">
        <v>70.08</v>
      </c>
      <c r="L16" s="379">
        <f t="shared" si="0"/>
        <v>3.4805802285865217E-2</v>
      </c>
    </row>
    <row r="17" spans="1:12" x14ac:dyDescent="0.35">
      <c r="A17" s="38" t="s">
        <v>33</v>
      </c>
      <c r="B17" s="122">
        <v>7198607</v>
      </c>
      <c r="C17" s="122">
        <v>1436162</v>
      </c>
      <c r="D17" s="56">
        <v>1132024</v>
      </c>
      <c r="E17" s="56">
        <v>905422</v>
      </c>
      <c r="F17" s="56">
        <v>299141</v>
      </c>
      <c r="G17" s="56">
        <v>609013</v>
      </c>
      <c r="H17" s="56">
        <v>45601</v>
      </c>
      <c r="I17" s="56">
        <v>86385</v>
      </c>
      <c r="J17" s="58">
        <v>113.02</v>
      </c>
      <c r="K17" s="58">
        <v>247.32</v>
      </c>
      <c r="L17" s="379">
        <f t="shared" si="0"/>
        <v>4.9626586485480859E-3</v>
      </c>
    </row>
    <row r="18" spans="1:12" x14ac:dyDescent="0.35">
      <c r="A18" s="38" t="s">
        <v>34</v>
      </c>
      <c r="B18" s="122">
        <v>11601167</v>
      </c>
      <c r="C18" s="122">
        <v>7497737</v>
      </c>
      <c r="D18" s="56">
        <v>1001518</v>
      </c>
      <c r="E18" s="56">
        <v>810206</v>
      </c>
      <c r="F18" s="56">
        <v>256937</v>
      </c>
      <c r="G18" s="56">
        <v>298777</v>
      </c>
      <c r="H18" s="56">
        <v>58432</v>
      </c>
      <c r="I18" s="56">
        <v>38713</v>
      </c>
      <c r="J18" s="58">
        <v>42.67</v>
      </c>
      <c r="K18" s="58">
        <v>59.32</v>
      </c>
      <c r="L18" s="379">
        <f t="shared" si="0"/>
        <v>4.390535858229668E-3</v>
      </c>
    </row>
    <row r="19" spans="1:12" x14ac:dyDescent="0.35">
      <c r="A19" s="38" t="s">
        <v>35</v>
      </c>
      <c r="B19" s="122">
        <v>28246167</v>
      </c>
      <c r="C19" s="122">
        <v>10924837</v>
      </c>
      <c r="D19" s="56">
        <v>4212703</v>
      </c>
      <c r="E19" s="56">
        <v>3276555</v>
      </c>
      <c r="F19" s="56">
        <v>-238594</v>
      </c>
      <c r="G19" s="56">
        <v>2259517</v>
      </c>
      <c r="H19" s="56">
        <v>290434</v>
      </c>
      <c r="I19" s="56">
        <v>453765</v>
      </c>
      <c r="J19" s="58">
        <v>-11.32</v>
      </c>
      <c r="K19" s="58">
        <v>121.02</v>
      </c>
      <c r="L19" s="379">
        <f t="shared" si="0"/>
        <v>1.8467989174005557E-2</v>
      </c>
    </row>
    <row r="20" spans="1:12" x14ac:dyDescent="0.35">
      <c r="A20" s="38" t="s">
        <v>36</v>
      </c>
      <c r="B20" s="122">
        <v>18014783</v>
      </c>
      <c r="C20" s="122">
        <v>4688649</v>
      </c>
      <c r="D20" s="56">
        <v>4525598</v>
      </c>
      <c r="E20" s="56">
        <v>4144172</v>
      </c>
      <c r="F20" s="56">
        <v>1267768</v>
      </c>
      <c r="G20" s="56">
        <v>1820379</v>
      </c>
      <c r="H20" s="56">
        <v>546176</v>
      </c>
      <c r="I20" s="56">
        <v>68089</v>
      </c>
      <c r="J20" s="58">
        <v>35.28</v>
      </c>
      <c r="K20" s="58">
        <v>65.86</v>
      </c>
      <c r="L20" s="379">
        <f t="shared" si="0"/>
        <v>1.9839683659137897E-2</v>
      </c>
    </row>
    <row r="21" spans="1:12" x14ac:dyDescent="0.35">
      <c r="A21" s="38" t="s">
        <v>37</v>
      </c>
      <c r="B21" s="122">
        <v>8435145</v>
      </c>
      <c r="C21" s="122">
        <v>4528697</v>
      </c>
      <c r="D21" s="56">
        <v>2248290</v>
      </c>
      <c r="E21" s="56">
        <v>1754171</v>
      </c>
      <c r="F21" s="56">
        <v>221404</v>
      </c>
      <c r="G21" s="56">
        <v>953374</v>
      </c>
      <c r="H21" s="56">
        <v>380145</v>
      </c>
      <c r="I21" s="56">
        <v>184946</v>
      </c>
      <c r="J21" s="58">
        <v>14.23</v>
      </c>
      <c r="K21" s="58">
        <v>85.71</v>
      </c>
      <c r="L21" s="379">
        <f t="shared" si="0"/>
        <v>9.8562360983019577E-3</v>
      </c>
    </row>
    <row r="22" spans="1:12" x14ac:dyDescent="0.35">
      <c r="A22" s="38" t="s">
        <v>38</v>
      </c>
      <c r="B22" s="122">
        <v>8458123</v>
      </c>
      <c r="C22" s="122">
        <v>2739910</v>
      </c>
      <c r="D22" s="56">
        <v>4901166</v>
      </c>
      <c r="E22" s="56">
        <v>2083936</v>
      </c>
      <c r="F22" s="56">
        <v>74834</v>
      </c>
      <c r="G22" s="56">
        <v>633814</v>
      </c>
      <c r="H22" s="56">
        <v>479855</v>
      </c>
      <c r="I22" s="56">
        <v>307343</v>
      </c>
      <c r="J22" s="58">
        <v>5.81</v>
      </c>
      <c r="K22" s="58">
        <v>86.53</v>
      </c>
      <c r="L22" s="379">
        <f t="shared" si="0"/>
        <v>2.1486129126122615E-2</v>
      </c>
    </row>
    <row r="23" spans="1:12" x14ac:dyDescent="0.35">
      <c r="A23" s="38" t="s">
        <v>39</v>
      </c>
      <c r="B23" s="122">
        <v>158042593</v>
      </c>
      <c r="C23" s="122">
        <v>63511701</v>
      </c>
      <c r="D23" s="56">
        <v>46967088</v>
      </c>
      <c r="E23" s="56">
        <v>32485654</v>
      </c>
      <c r="F23" s="56">
        <v>10478769</v>
      </c>
      <c r="G23" s="56">
        <v>22521628</v>
      </c>
      <c r="H23" s="56">
        <v>4168479</v>
      </c>
      <c r="I23" s="56">
        <v>2979277</v>
      </c>
      <c r="J23" s="58">
        <v>30.5</v>
      </c>
      <c r="K23" s="58">
        <v>77.7</v>
      </c>
      <c r="L23" s="379">
        <f t="shared" si="0"/>
        <v>0.20589813065828907</v>
      </c>
    </row>
    <row r="24" spans="1:12" x14ac:dyDescent="0.35">
      <c r="A24" s="38" t="s">
        <v>40</v>
      </c>
      <c r="B24" s="122">
        <v>77455751</v>
      </c>
      <c r="C24" s="122">
        <v>43250714</v>
      </c>
      <c r="D24" s="56">
        <v>22240244</v>
      </c>
      <c r="E24" s="56">
        <v>13891175</v>
      </c>
      <c r="F24" s="56">
        <v>4155172</v>
      </c>
      <c r="G24" s="56">
        <v>3688947</v>
      </c>
      <c r="H24" s="56">
        <v>3571759</v>
      </c>
      <c r="I24" s="56">
        <v>1604590</v>
      </c>
      <c r="J24" s="58">
        <v>29.66</v>
      </c>
      <c r="K24" s="58">
        <v>51.83</v>
      </c>
      <c r="L24" s="379">
        <f t="shared" si="0"/>
        <v>9.7498585924344072E-2</v>
      </c>
    </row>
    <row r="25" spans="1:12" x14ac:dyDescent="0.35">
      <c r="A25" s="38" t="s">
        <v>41</v>
      </c>
      <c r="B25" s="122">
        <v>9388815</v>
      </c>
      <c r="C25" s="122">
        <v>5297520</v>
      </c>
      <c r="D25" s="56">
        <v>1960453</v>
      </c>
      <c r="E25" s="56">
        <v>1520211</v>
      </c>
      <c r="F25" s="56">
        <v>465131</v>
      </c>
      <c r="G25" s="56">
        <v>1002198</v>
      </c>
      <c r="H25" s="56">
        <v>251443</v>
      </c>
      <c r="I25" s="56">
        <v>141590</v>
      </c>
      <c r="J25" s="58">
        <v>35.43</v>
      </c>
      <c r="K25" s="58">
        <v>95.48</v>
      </c>
      <c r="L25" s="379">
        <f t="shared" si="0"/>
        <v>8.5943929064419486E-3</v>
      </c>
    </row>
    <row r="26" spans="1:12" x14ac:dyDescent="0.35">
      <c r="A26" s="38" t="s">
        <v>42</v>
      </c>
      <c r="B26" s="122">
        <v>66334451</v>
      </c>
      <c r="C26" s="122">
        <v>25760225</v>
      </c>
      <c r="D26" s="56">
        <v>23076399</v>
      </c>
      <c r="E26" s="56">
        <v>18266877</v>
      </c>
      <c r="F26" s="56">
        <v>5954740</v>
      </c>
      <c r="G26" s="56">
        <v>3389952</v>
      </c>
      <c r="H26" s="56">
        <v>3845189</v>
      </c>
      <c r="I26" s="56">
        <v>896524</v>
      </c>
      <c r="J26" s="58">
        <v>38.93</v>
      </c>
      <c r="K26" s="58">
        <v>47.3</v>
      </c>
      <c r="L26" s="379">
        <f t="shared" si="0"/>
        <v>0.10116419004782266</v>
      </c>
    </row>
    <row r="27" spans="1:12" x14ac:dyDescent="0.35">
      <c r="A27" s="38" t="s">
        <v>43</v>
      </c>
      <c r="B27" s="38"/>
      <c r="C27" s="38"/>
      <c r="D27" s="59"/>
      <c r="E27" s="59"/>
      <c r="F27" s="59"/>
      <c r="G27" s="59"/>
      <c r="H27" s="59"/>
      <c r="I27" s="59"/>
      <c r="J27" s="58"/>
      <c r="K27" s="58"/>
      <c r="L27" s="58"/>
    </row>
    <row r="28" spans="1:12" ht="13.15" x14ac:dyDescent="0.4">
      <c r="A28" s="45" t="s">
        <v>44</v>
      </c>
      <c r="B28" s="113"/>
      <c r="C28" s="113"/>
      <c r="D28" s="67">
        <f t="shared" ref="D28:I28" si="1">SUM(D3:D27)</f>
        <v>228108375</v>
      </c>
      <c r="E28" s="67">
        <f t="shared" si="1"/>
        <v>146283378</v>
      </c>
      <c r="F28" s="67">
        <f t="shared" si="1"/>
        <v>45043400</v>
      </c>
      <c r="G28" s="67">
        <f t="shared" si="1"/>
        <v>57905293</v>
      </c>
      <c r="H28" s="67">
        <f t="shared" si="1"/>
        <v>24603393</v>
      </c>
      <c r="I28" s="67">
        <f t="shared" si="1"/>
        <v>15034036</v>
      </c>
      <c r="J28" s="68"/>
      <c r="K28" s="68"/>
      <c r="L28" s="69"/>
    </row>
  </sheetData>
  <phoneticPr fontId="0" type="noConversion"/>
  <pageMargins left="0.75" right="0.75" top="1" bottom="1" header="0.5" footer="0.5"/>
  <headerFooter alignWithMargin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tabColor rgb="FF7030A0"/>
  </sheetPr>
  <dimension ref="A1:L28"/>
  <sheetViews>
    <sheetView workbookViewId="0">
      <selection activeCell="A5" sqref="A5:IV5"/>
    </sheetView>
  </sheetViews>
  <sheetFormatPr defaultRowHeight="12.75" x14ac:dyDescent="0.35"/>
  <cols>
    <col min="1" max="1" width="40.73046875" bestFit="1" customWidth="1"/>
    <col min="2" max="3" width="21" customWidth="1"/>
    <col min="4" max="4" width="20.265625" bestFit="1" customWidth="1"/>
    <col min="5" max="5" width="18.3984375" bestFit="1" customWidth="1"/>
    <col min="6" max="6" width="14" bestFit="1" customWidth="1"/>
    <col min="7" max="7" width="19.265625" bestFit="1" customWidth="1"/>
    <col min="8" max="8" width="18.3984375" bestFit="1" customWidth="1"/>
    <col min="9" max="9" width="17.73046875" bestFit="1" customWidth="1"/>
    <col min="11" max="11" width="14.265625" customWidth="1"/>
  </cols>
  <sheetData>
    <row r="1" spans="1:12" s="6" customFormat="1" x14ac:dyDescent="0.35">
      <c r="A1" s="18" t="s">
        <v>52</v>
      </c>
      <c r="B1" s="18"/>
      <c r="C1" s="18"/>
      <c r="D1" s="5"/>
      <c r="E1" s="5"/>
      <c r="F1" s="5"/>
      <c r="G1" s="5"/>
      <c r="H1" s="5"/>
      <c r="I1" s="5"/>
      <c r="J1" s="5"/>
      <c r="K1" s="5"/>
      <c r="L1" s="5"/>
    </row>
    <row r="2" spans="1:12" s="19" customFormat="1" ht="26.45" customHeight="1" x14ac:dyDescent="0.35">
      <c r="A2" s="18" t="s">
        <v>8</v>
      </c>
      <c r="B2" s="18" t="s">
        <v>9</v>
      </c>
      <c r="C2" s="18" t="s">
        <v>10</v>
      </c>
      <c r="D2" s="18" t="s">
        <v>11</v>
      </c>
      <c r="E2" s="18" t="s">
        <v>12</v>
      </c>
      <c r="F2" s="18" t="s">
        <v>13</v>
      </c>
      <c r="G2" s="18" t="s">
        <v>14</v>
      </c>
      <c r="H2" s="18" t="s">
        <v>15</v>
      </c>
      <c r="I2" s="18" t="s">
        <v>16</v>
      </c>
      <c r="J2" s="18" t="s">
        <v>17</v>
      </c>
      <c r="K2" s="12" t="s">
        <v>18</v>
      </c>
      <c r="L2" s="18" t="s">
        <v>19</v>
      </c>
    </row>
    <row r="3" spans="1:12" x14ac:dyDescent="0.35">
      <c r="A3" s="40" t="s">
        <v>20</v>
      </c>
      <c r="B3" s="133">
        <v>39332048</v>
      </c>
      <c r="C3" s="133">
        <v>9984330</v>
      </c>
      <c r="D3" s="56">
        <v>15293871</v>
      </c>
      <c r="E3" s="56">
        <v>4731520</v>
      </c>
      <c r="F3" s="56">
        <v>2276978</v>
      </c>
      <c r="G3" s="57">
        <v>2751640</v>
      </c>
      <c r="H3" s="56">
        <v>1272791</v>
      </c>
      <c r="I3" s="56">
        <v>2097752</v>
      </c>
      <c r="J3" s="58">
        <v>65.739999999999995</v>
      </c>
      <c r="K3" s="58">
        <v>116.18</v>
      </c>
      <c r="L3" s="379">
        <f t="shared" ref="L3:L26" si="0">D3/$D$28</f>
        <v>4.2834333976069422E-2</v>
      </c>
    </row>
    <row r="4" spans="1:12" x14ac:dyDescent="0.35">
      <c r="A4" s="40" t="s">
        <v>21</v>
      </c>
      <c r="B4" s="133">
        <v>14151591</v>
      </c>
      <c r="C4" s="133">
        <v>7981233</v>
      </c>
      <c r="D4" s="56">
        <v>8161737</v>
      </c>
      <c r="E4" s="56">
        <v>3559877</v>
      </c>
      <c r="F4" s="56">
        <v>1469623</v>
      </c>
      <c r="G4" s="57">
        <v>1713511</v>
      </c>
      <c r="H4" s="56">
        <v>545949</v>
      </c>
      <c r="I4" s="56">
        <v>85937</v>
      </c>
      <c r="J4" s="58">
        <v>53.9</v>
      </c>
      <c r="K4" s="58">
        <v>82.88</v>
      </c>
      <c r="L4" s="379">
        <f t="shared" si="0"/>
        <v>2.285899812302869E-2</v>
      </c>
    </row>
    <row r="5" spans="1:12" x14ac:dyDescent="0.35">
      <c r="A5" s="40" t="s">
        <v>22</v>
      </c>
      <c r="B5" s="133">
        <v>29202341</v>
      </c>
      <c r="C5" s="133">
        <v>18122001</v>
      </c>
      <c r="D5" s="56">
        <v>8182856</v>
      </c>
      <c r="E5" s="56">
        <v>6806297</v>
      </c>
      <c r="F5" s="56">
        <v>1974719</v>
      </c>
      <c r="G5" s="57">
        <v>2044921</v>
      </c>
      <c r="H5" s="56">
        <v>1098469</v>
      </c>
      <c r="I5" s="56">
        <v>451851</v>
      </c>
      <c r="J5" s="58">
        <v>32.22</v>
      </c>
      <c r="K5" s="58">
        <v>51.29</v>
      </c>
      <c r="L5" s="379">
        <f t="shared" si="0"/>
        <v>2.2918147196486979E-2</v>
      </c>
    </row>
    <row r="6" spans="1:12" x14ac:dyDescent="0.35">
      <c r="A6" s="40" t="s">
        <v>23</v>
      </c>
      <c r="B6" s="133">
        <v>66007575</v>
      </c>
      <c r="C6" s="133">
        <v>27381247</v>
      </c>
      <c r="D6" s="56">
        <v>40957648</v>
      </c>
      <c r="E6" s="56">
        <v>26963526</v>
      </c>
      <c r="F6" s="56">
        <v>13997491</v>
      </c>
      <c r="G6" s="57">
        <v>6848566</v>
      </c>
      <c r="H6" s="56">
        <v>6442037</v>
      </c>
      <c r="I6" s="56">
        <v>3714153</v>
      </c>
      <c r="J6" s="58">
        <v>57.69</v>
      </c>
      <c r="K6" s="58">
        <v>54.78</v>
      </c>
      <c r="L6" s="379">
        <f t="shared" si="0"/>
        <v>0.11471219897868183</v>
      </c>
    </row>
    <row r="7" spans="1:12" x14ac:dyDescent="0.35">
      <c r="A7" s="40" t="s">
        <v>24</v>
      </c>
      <c r="B7" s="133">
        <v>20188952</v>
      </c>
      <c r="C7" s="133">
        <v>9717203</v>
      </c>
      <c r="D7" s="56">
        <v>9204285</v>
      </c>
      <c r="E7" s="56">
        <v>8044259</v>
      </c>
      <c r="F7" s="56">
        <v>1381814</v>
      </c>
      <c r="G7" s="57">
        <v>3695307</v>
      </c>
      <c r="H7" s="56">
        <v>836955</v>
      </c>
      <c r="I7" s="59"/>
      <c r="J7" s="58">
        <v>22.69</v>
      </c>
      <c r="K7" s="58">
        <v>74.44</v>
      </c>
      <c r="L7" s="379">
        <f t="shared" si="0"/>
        <v>2.5778916122734793E-2</v>
      </c>
    </row>
    <row r="8" spans="1:12" x14ac:dyDescent="0.35">
      <c r="A8" s="40" t="s">
        <v>25</v>
      </c>
      <c r="B8" s="133">
        <v>79627741</v>
      </c>
      <c r="C8" s="133">
        <v>69484388</v>
      </c>
      <c r="D8" s="56">
        <v>10975319</v>
      </c>
      <c r="E8" s="56">
        <v>4855544</v>
      </c>
      <c r="F8" s="56">
        <v>2780770</v>
      </c>
      <c r="G8" s="57">
        <v>2723424</v>
      </c>
      <c r="H8" s="56">
        <v>-353663</v>
      </c>
      <c r="I8" s="59"/>
      <c r="J8" s="58">
        <v>46.06</v>
      </c>
      <c r="K8" s="58">
        <v>39.25</v>
      </c>
      <c r="L8" s="379">
        <f t="shared" si="0"/>
        <v>3.073914246693334E-2</v>
      </c>
    </row>
    <row r="9" spans="1:12" x14ac:dyDescent="0.35">
      <c r="A9" s="40" t="s">
        <v>26</v>
      </c>
      <c r="B9" s="133">
        <v>42303186</v>
      </c>
      <c r="C9" s="133">
        <v>22625363</v>
      </c>
      <c r="D9" s="56">
        <v>17968713</v>
      </c>
      <c r="E9" s="56">
        <v>9298912</v>
      </c>
      <c r="F9" s="56">
        <v>3481400</v>
      </c>
      <c r="G9" s="57">
        <v>4046197</v>
      </c>
      <c r="H9" s="56">
        <v>1323519</v>
      </c>
      <c r="I9" s="56">
        <v>838324</v>
      </c>
      <c r="J9" s="58">
        <v>48.65</v>
      </c>
      <c r="K9" s="58">
        <v>75.040000000000006</v>
      </c>
      <c r="L9" s="379">
        <f t="shared" si="0"/>
        <v>5.0325902040244765E-2</v>
      </c>
    </row>
    <row r="10" spans="1:12" x14ac:dyDescent="0.35">
      <c r="A10" s="40" t="s">
        <v>27</v>
      </c>
      <c r="B10" s="133">
        <v>7293363</v>
      </c>
      <c r="C10" s="133">
        <v>942287</v>
      </c>
      <c r="D10" s="56">
        <v>4257543</v>
      </c>
      <c r="E10" s="56">
        <v>3666966</v>
      </c>
      <c r="F10" s="56">
        <v>1078153</v>
      </c>
      <c r="G10" s="57">
        <v>2361843</v>
      </c>
      <c r="H10" s="56">
        <v>702495</v>
      </c>
      <c r="I10" s="56">
        <v>143952</v>
      </c>
      <c r="J10" s="58">
        <v>25.6</v>
      </c>
      <c r="K10" s="58">
        <v>72.75</v>
      </c>
      <c r="L10" s="379">
        <f t="shared" si="0"/>
        <v>1.1924320453564473E-2</v>
      </c>
    </row>
    <row r="11" spans="1:12" x14ac:dyDescent="0.35">
      <c r="A11" s="40" t="s">
        <v>28</v>
      </c>
      <c r="B11" s="133">
        <v>54576722</v>
      </c>
      <c r="C11" s="133">
        <v>41623445</v>
      </c>
      <c r="D11" s="56">
        <v>44432115</v>
      </c>
      <c r="E11" s="56">
        <v>14667818</v>
      </c>
      <c r="F11" s="56">
        <v>7040501</v>
      </c>
      <c r="G11" s="57">
        <v>6467096</v>
      </c>
      <c r="H11" s="56">
        <v>3000588</v>
      </c>
      <c r="I11" s="56">
        <v>3201416</v>
      </c>
      <c r="J11" s="58">
        <v>57.59</v>
      </c>
      <c r="K11" s="58">
        <v>77.45</v>
      </c>
      <c r="L11" s="379">
        <f t="shared" si="0"/>
        <v>0.12444331805682968</v>
      </c>
    </row>
    <row r="12" spans="1:12" x14ac:dyDescent="0.35">
      <c r="A12" s="40" t="s">
        <v>46</v>
      </c>
      <c r="B12" s="133">
        <v>11832978</v>
      </c>
      <c r="C12" s="133">
        <v>5805144</v>
      </c>
      <c r="D12" s="56">
        <v>1728726</v>
      </c>
      <c r="E12" s="56">
        <v>1344592</v>
      </c>
      <c r="F12" s="56">
        <v>70603</v>
      </c>
      <c r="G12" s="57">
        <v>1161799</v>
      </c>
      <c r="H12" s="56">
        <v>233424</v>
      </c>
      <c r="I12" s="56">
        <v>97023</v>
      </c>
      <c r="J12" s="58">
        <v>15.99</v>
      </c>
      <c r="K12" s="58">
        <v>316.02999999999997</v>
      </c>
      <c r="L12" s="379">
        <f t="shared" si="0"/>
        <v>4.8417321446685788E-3</v>
      </c>
    </row>
    <row r="13" spans="1:12" x14ac:dyDescent="0.35">
      <c r="A13" s="40" t="s">
        <v>29</v>
      </c>
      <c r="B13" s="133">
        <v>13816351</v>
      </c>
      <c r="C13" s="133">
        <v>8537304</v>
      </c>
      <c r="D13" s="56">
        <v>4452586</v>
      </c>
      <c r="E13" s="56">
        <v>3754819</v>
      </c>
      <c r="F13" s="56">
        <v>585872</v>
      </c>
      <c r="G13" s="57">
        <v>2080854</v>
      </c>
      <c r="H13" s="56">
        <v>18125</v>
      </c>
      <c r="I13" s="59">
        <v>0</v>
      </c>
      <c r="J13" s="58">
        <v>14.91</v>
      </c>
      <c r="K13" s="58">
        <v>53.42</v>
      </c>
      <c r="L13" s="379">
        <f t="shared" si="0"/>
        <v>1.2470587451742664E-2</v>
      </c>
    </row>
    <row r="14" spans="1:12" x14ac:dyDescent="0.35">
      <c r="A14" s="40" t="s">
        <v>30</v>
      </c>
      <c r="B14" s="133">
        <v>6519607</v>
      </c>
      <c r="C14" s="133">
        <v>4071718</v>
      </c>
      <c r="D14" s="56">
        <v>3426518</v>
      </c>
      <c r="E14" s="56">
        <v>3148673</v>
      </c>
      <c r="F14" s="56">
        <v>582756</v>
      </c>
      <c r="G14" s="57">
        <v>2776425</v>
      </c>
      <c r="H14" s="56">
        <v>521484</v>
      </c>
      <c r="I14" s="56">
        <v>97504</v>
      </c>
      <c r="J14" s="58">
        <v>19.059999999999999</v>
      </c>
      <c r="K14" s="58">
        <v>107.88</v>
      </c>
      <c r="L14" s="379">
        <f t="shared" si="0"/>
        <v>9.5968258387306542E-3</v>
      </c>
    </row>
    <row r="15" spans="1:12" x14ac:dyDescent="0.35">
      <c r="A15" s="40" t="s">
        <v>31</v>
      </c>
      <c r="B15" s="133">
        <v>17528274</v>
      </c>
      <c r="C15" s="133">
        <v>8556416</v>
      </c>
      <c r="D15" s="56">
        <v>2923532</v>
      </c>
      <c r="E15" s="56">
        <v>2569818</v>
      </c>
      <c r="F15" s="56">
        <v>2958945</v>
      </c>
      <c r="G15" s="57">
        <v>2253352</v>
      </c>
      <c r="H15" s="56">
        <v>249428</v>
      </c>
      <c r="I15" s="56">
        <v>55913</v>
      </c>
      <c r="J15" s="58">
        <v>83.73</v>
      </c>
      <c r="K15" s="58">
        <v>70.819999999999993</v>
      </c>
      <c r="L15" s="379">
        <f t="shared" si="0"/>
        <v>8.1880869845002736E-3</v>
      </c>
    </row>
    <row r="16" spans="1:12" x14ac:dyDescent="0.35">
      <c r="A16" s="40" t="s">
        <v>32</v>
      </c>
      <c r="B16" s="133">
        <v>47415427</v>
      </c>
      <c r="C16" s="133">
        <v>32306770</v>
      </c>
      <c r="D16" s="56">
        <v>12776645</v>
      </c>
      <c r="E16" s="56">
        <v>9089328</v>
      </c>
      <c r="F16" s="56">
        <v>2909515</v>
      </c>
      <c r="G16" s="57">
        <v>4498779</v>
      </c>
      <c r="H16" s="56">
        <v>1966440</v>
      </c>
      <c r="I16" s="56">
        <v>1193277</v>
      </c>
      <c r="J16" s="58">
        <v>33.79</v>
      </c>
      <c r="K16" s="58">
        <v>75.08</v>
      </c>
      <c r="L16" s="379">
        <f t="shared" si="0"/>
        <v>3.578420917919848E-2</v>
      </c>
    </row>
    <row r="17" spans="1:12" x14ac:dyDescent="0.35">
      <c r="A17" s="40" t="s">
        <v>33</v>
      </c>
      <c r="B17" s="133">
        <v>8551506</v>
      </c>
      <c r="C17" s="133">
        <v>1365615</v>
      </c>
      <c r="D17" s="56">
        <v>1840544</v>
      </c>
      <c r="E17" s="56">
        <v>1477837</v>
      </c>
      <c r="F17" s="56">
        <v>375515</v>
      </c>
      <c r="G17" s="57">
        <v>1325597</v>
      </c>
      <c r="H17" s="56">
        <v>154175</v>
      </c>
      <c r="I17" s="56">
        <v>151133</v>
      </c>
      <c r="J17" s="58">
        <v>100.4</v>
      </c>
      <c r="K17" s="58">
        <v>395.63</v>
      </c>
      <c r="L17" s="379">
        <f t="shared" si="0"/>
        <v>5.1549065892899657E-3</v>
      </c>
    </row>
    <row r="18" spans="1:12" x14ac:dyDescent="0.35">
      <c r="A18" s="40" t="s">
        <v>34</v>
      </c>
      <c r="B18" s="133">
        <v>12460200</v>
      </c>
      <c r="C18" s="133">
        <v>8157217</v>
      </c>
      <c r="D18" s="56">
        <v>1632606</v>
      </c>
      <c r="E18" s="56">
        <v>1330242</v>
      </c>
      <c r="F18" s="56">
        <v>204260</v>
      </c>
      <c r="G18" s="57">
        <v>732556</v>
      </c>
      <c r="H18" s="56">
        <v>186763</v>
      </c>
      <c r="I18" s="56">
        <v>73726</v>
      </c>
      <c r="J18" s="58">
        <v>23.82</v>
      </c>
      <c r="K18" s="58">
        <v>107.2</v>
      </c>
      <c r="L18" s="379">
        <f t="shared" si="0"/>
        <v>4.5725238989746146E-3</v>
      </c>
    </row>
    <row r="19" spans="1:12" x14ac:dyDescent="0.35">
      <c r="A19" s="40" t="s">
        <v>35</v>
      </c>
      <c r="B19" s="133">
        <v>28180996</v>
      </c>
      <c r="C19" s="133">
        <v>11737046</v>
      </c>
      <c r="D19" s="56">
        <v>6092548</v>
      </c>
      <c r="E19" s="56">
        <v>4486694</v>
      </c>
      <c r="F19" s="56">
        <v>792625</v>
      </c>
      <c r="G19" s="57">
        <v>3629500</v>
      </c>
      <c r="H19" s="56">
        <v>564411</v>
      </c>
      <c r="I19" s="56">
        <v>756397</v>
      </c>
      <c r="J19" s="58">
        <v>21.35</v>
      </c>
      <c r="K19" s="58">
        <v>112.98</v>
      </c>
      <c r="L19" s="379">
        <f t="shared" si="0"/>
        <v>1.7063713679632435E-2</v>
      </c>
    </row>
    <row r="20" spans="1:12" x14ac:dyDescent="0.35">
      <c r="A20" s="40" t="s">
        <v>36</v>
      </c>
      <c r="B20" s="133">
        <v>16977280</v>
      </c>
      <c r="C20" s="133">
        <v>6028463</v>
      </c>
      <c r="D20" s="56">
        <v>7689665</v>
      </c>
      <c r="E20" s="56">
        <v>6553553</v>
      </c>
      <c r="F20" s="56">
        <v>1783556</v>
      </c>
      <c r="G20" s="57">
        <v>4204607</v>
      </c>
      <c r="H20" s="56">
        <v>1015886</v>
      </c>
      <c r="I20" s="56">
        <v>443674</v>
      </c>
      <c r="J20" s="58">
        <v>27.62</v>
      </c>
      <c r="K20" s="58">
        <v>80.849999999999994</v>
      </c>
      <c r="L20" s="379">
        <f t="shared" si="0"/>
        <v>2.1536841704372416E-2</v>
      </c>
    </row>
    <row r="21" spans="1:12" x14ac:dyDescent="0.35">
      <c r="A21" s="40" t="s">
        <v>37</v>
      </c>
      <c r="B21" s="133">
        <v>9533675</v>
      </c>
      <c r="C21" s="133">
        <v>5384593</v>
      </c>
      <c r="D21" s="56">
        <v>5871035</v>
      </c>
      <c r="E21" s="56">
        <v>4694090</v>
      </c>
      <c r="F21" s="56">
        <v>1453626</v>
      </c>
      <c r="G21" s="57">
        <v>1950029</v>
      </c>
      <c r="H21" s="56">
        <v>859674</v>
      </c>
      <c r="I21" s="56">
        <v>582025</v>
      </c>
      <c r="J21" s="58">
        <v>43.96</v>
      </c>
      <c r="K21" s="58">
        <v>84.96</v>
      </c>
      <c r="L21" s="379">
        <f t="shared" si="0"/>
        <v>1.6443310786078472E-2</v>
      </c>
    </row>
    <row r="22" spans="1:12" x14ac:dyDescent="0.35">
      <c r="A22" s="40" t="s">
        <v>38</v>
      </c>
      <c r="B22" s="133">
        <v>11520694</v>
      </c>
      <c r="C22" s="133">
        <v>3012497</v>
      </c>
      <c r="D22" s="56">
        <v>5911059</v>
      </c>
      <c r="E22" s="56">
        <v>2878504</v>
      </c>
      <c r="F22" s="56">
        <v>938099</v>
      </c>
      <c r="G22" s="57">
        <v>1649987</v>
      </c>
      <c r="H22" s="56">
        <v>857631</v>
      </c>
      <c r="I22" s="56">
        <v>404207</v>
      </c>
      <c r="J22" s="58">
        <v>25.27</v>
      </c>
      <c r="K22" s="58">
        <v>67.540000000000006</v>
      </c>
      <c r="L22" s="379">
        <f t="shared" si="0"/>
        <v>1.6555408068908841E-2</v>
      </c>
    </row>
    <row r="23" spans="1:12" x14ac:dyDescent="0.35">
      <c r="A23" s="40" t="s">
        <v>39</v>
      </c>
      <c r="B23" s="133">
        <v>165447534</v>
      </c>
      <c r="C23" s="133">
        <v>83056162</v>
      </c>
      <c r="D23" s="56">
        <v>73317661</v>
      </c>
      <c r="E23" s="56">
        <v>48083355</v>
      </c>
      <c r="F23" s="56">
        <v>16309107</v>
      </c>
      <c r="G23" s="57">
        <v>28995658</v>
      </c>
      <c r="H23" s="56">
        <v>8042184</v>
      </c>
      <c r="I23" s="56">
        <v>6175373</v>
      </c>
      <c r="J23" s="58">
        <v>34.01</v>
      </c>
      <c r="K23" s="58">
        <v>77.239999999999995</v>
      </c>
      <c r="L23" s="379">
        <f t="shared" si="0"/>
        <v>0.2053445578047729</v>
      </c>
    </row>
    <row r="24" spans="1:12" x14ac:dyDescent="0.35">
      <c r="A24" s="40" t="s">
        <v>40</v>
      </c>
      <c r="B24" s="133">
        <v>76331698</v>
      </c>
      <c r="C24" s="133">
        <v>35132241</v>
      </c>
      <c r="D24" s="56">
        <v>34279032</v>
      </c>
      <c r="E24" s="56">
        <v>23292325</v>
      </c>
      <c r="F24" s="56">
        <v>4751173</v>
      </c>
      <c r="G24" s="57">
        <v>8102008</v>
      </c>
      <c r="H24" s="56">
        <v>5689034</v>
      </c>
      <c r="I24" s="56">
        <v>2454170</v>
      </c>
      <c r="J24" s="58">
        <v>20.96</v>
      </c>
      <c r="K24" s="58">
        <v>60.84</v>
      </c>
      <c r="L24" s="379">
        <f t="shared" si="0"/>
        <v>9.6007054398743838E-2</v>
      </c>
    </row>
    <row r="25" spans="1:12" x14ac:dyDescent="0.35">
      <c r="A25" s="40" t="s">
        <v>41</v>
      </c>
      <c r="B25" s="133">
        <v>10377355</v>
      </c>
      <c r="C25" s="133">
        <v>6449083</v>
      </c>
      <c r="D25" s="56">
        <v>3202626</v>
      </c>
      <c r="E25" s="56">
        <v>2299348</v>
      </c>
      <c r="F25" s="56">
        <v>971521</v>
      </c>
      <c r="G25" s="57">
        <v>2026379</v>
      </c>
      <c r="H25" s="56">
        <v>402000</v>
      </c>
      <c r="I25" s="56">
        <v>232145</v>
      </c>
      <c r="J25" s="58">
        <v>36.78</v>
      </c>
      <c r="K25" s="58">
        <v>91.94</v>
      </c>
      <c r="L25" s="379">
        <f t="shared" si="0"/>
        <v>8.9697599570732166E-3</v>
      </c>
    </row>
    <row r="26" spans="1:12" x14ac:dyDescent="0.35">
      <c r="A26" s="40" t="s">
        <v>42</v>
      </c>
      <c r="B26" s="133">
        <v>62181837</v>
      </c>
      <c r="C26" s="133">
        <v>28732374</v>
      </c>
      <c r="D26" s="56">
        <v>32468143</v>
      </c>
      <c r="E26" s="56">
        <v>25214065</v>
      </c>
      <c r="F26" s="56">
        <v>8561711</v>
      </c>
      <c r="G26" s="57">
        <v>7325464</v>
      </c>
      <c r="H26" s="56">
        <v>5364197</v>
      </c>
      <c r="I26" s="56">
        <v>1865937</v>
      </c>
      <c r="J26" s="58">
        <v>36.090000000000003</v>
      </c>
      <c r="K26" s="58">
        <v>53.49</v>
      </c>
      <c r="L26" s="379">
        <f t="shared" si="0"/>
        <v>9.0935204098738676E-2</v>
      </c>
    </row>
    <row r="27" spans="1:12" x14ac:dyDescent="0.35">
      <c r="A27" s="40" t="s">
        <v>43</v>
      </c>
      <c r="B27" s="40"/>
      <c r="C27" s="40"/>
      <c r="D27" s="59"/>
      <c r="E27" s="59"/>
      <c r="F27" s="59"/>
      <c r="G27" s="58"/>
      <c r="H27" s="59"/>
      <c r="I27" s="59"/>
      <c r="J27" s="58"/>
      <c r="K27" s="58"/>
      <c r="L27" s="58"/>
    </row>
    <row r="28" spans="1:12" ht="13.15" x14ac:dyDescent="0.4">
      <c r="A28" s="45" t="s">
        <v>44</v>
      </c>
      <c r="B28" s="67">
        <f t="shared" ref="B28:I28" si="1">SUM(B3:B27)</f>
        <v>851358931</v>
      </c>
      <c r="C28" s="67">
        <f t="shared" si="1"/>
        <v>456194140</v>
      </c>
      <c r="D28" s="67">
        <f t="shared" si="1"/>
        <v>357047013</v>
      </c>
      <c r="E28" s="67">
        <f t="shared" si="1"/>
        <v>222811962</v>
      </c>
      <c r="F28" s="67">
        <f t="shared" si="1"/>
        <v>78730333</v>
      </c>
      <c r="G28" s="67">
        <f t="shared" si="1"/>
        <v>105365499</v>
      </c>
      <c r="H28" s="67">
        <f t="shared" si="1"/>
        <v>40993996</v>
      </c>
      <c r="I28" s="67">
        <f t="shared" si="1"/>
        <v>25115889</v>
      </c>
      <c r="J28" s="70"/>
      <c r="K28" s="70"/>
      <c r="L28" s="69"/>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tabColor rgb="FF7030A0"/>
  </sheetPr>
  <dimension ref="A1:L28"/>
  <sheetViews>
    <sheetView workbookViewId="0"/>
  </sheetViews>
  <sheetFormatPr defaultRowHeight="12.75" x14ac:dyDescent="0.35"/>
  <cols>
    <col min="1" max="1" width="40.73046875" bestFit="1" customWidth="1"/>
    <col min="2" max="3" width="21.3984375" customWidth="1"/>
    <col min="4" max="4" width="17" customWidth="1"/>
    <col min="5" max="5" width="15.265625" customWidth="1"/>
    <col min="6" max="6" width="14" bestFit="1" customWidth="1"/>
    <col min="7" max="7" width="17" customWidth="1"/>
    <col min="8" max="8" width="15" customWidth="1"/>
    <col min="9" max="9" width="13.265625" customWidth="1"/>
    <col min="10" max="10" width="11.265625" bestFit="1" customWidth="1"/>
    <col min="12" max="12" width="9.73046875" customWidth="1"/>
  </cols>
  <sheetData>
    <row r="1" spans="1:12" x14ac:dyDescent="0.35">
      <c r="A1" s="18" t="s">
        <v>53</v>
      </c>
      <c r="B1" s="18"/>
      <c r="C1" s="18"/>
      <c r="D1" s="2"/>
      <c r="E1" s="2"/>
      <c r="F1" s="2"/>
      <c r="G1" s="2"/>
      <c r="H1" s="2"/>
      <c r="I1" s="2"/>
      <c r="J1" s="2"/>
      <c r="K1" s="2"/>
    </row>
    <row r="2" spans="1:12" s="16" customFormat="1" ht="25.5" x14ac:dyDescent="0.35">
      <c r="A2" s="12" t="s">
        <v>8</v>
      </c>
      <c r="B2" s="12" t="s">
        <v>9</v>
      </c>
      <c r="C2" s="12" t="s">
        <v>10</v>
      </c>
      <c r="D2" s="12" t="s">
        <v>11</v>
      </c>
      <c r="E2" s="12" t="s">
        <v>12</v>
      </c>
      <c r="F2" s="12" t="s">
        <v>13</v>
      </c>
      <c r="G2" s="12" t="s">
        <v>14</v>
      </c>
      <c r="H2" s="12" t="s">
        <v>15</v>
      </c>
      <c r="I2" s="12" t="s">
        <v>16</v>
      </c>
      <c r="J2" s="12" t="s">
        <v>17</v>
      </c>
      <c r="K2" s="12" t="s">
        <v>18</v>
      </c>
      <c r="L2" s="20" t="s">
        <v>19</v>
      </c>
    </row>
    <row r="3" spans="1:12" x14ac:dyDescent="0.35">
      <c r="A3" s="40" t="s">
        <v>20</v>
      </c>
      <c r="B3" s="133">
        <v>25913005</v>
      </c>
      <c r="C3" s="133">
        <v>7568199</v>
      </c>
      <c r="D3" s="56">
        <v>19803015</v>
      </c>
      <c r="E3" s="56">
        <v>6230635</v>
      </c>
      <c r="F3" s="71">
        <v>3180609</v>
      </c>
      <c r="G3" s="71">
        <v>4452357</v>
      </c>
      <c r="H3" s="71">
        <v>1748906</v>
      </c>
      <c r="I3" s="71">
        <v>2963512</v>
      </c>
      <c r="J3" s="58">
        <v>52.63</v>
      </c>
      <c r="K3" s="58">
        <v>102.6</v>
      </c>
      <c r="L3" s="381">
        <f t="shared" ref="L3:L27" si="0">D3/$D$28</f>
        <v>3.9408988917493448E-2</v>
      </c>
    </row>
    <row r="4" spans="1:12" x14ac:dyDescent="0.35">
      <c r="A4" s="40" t="s">
        <v>21</v>
      </c>
      <c r="B4" s="133">
        <v>30089270</v>
      </c>
      <c r="C4" s="133">
        <v>14500115</v>
      </c>
      <c r="D4" s="56">
        <v>19428422</v>
      </c>
      <c r="E4" s="56">
        <v>4077518</v>
      </c>
      <c r="F4" s="71">
        <v>2153687</v>
      </c>
      <c r="G4" s="71">
        <v>2579524</v>
      </c>
      <c r="H4" s="71">
        <v>636476</v>
      </c>
      <c r="I4" s="71">
        <v>1022909</v>
      </c>
      <c r="J4" s="58">
        <v>64.17</v>
      </c>
      <c r="K4" s="58">
        <v>95.83</v>
      </c>
      <c r="L4" s="381">
        <f t="shared" si="0"/>
        <v>3.8663530138334283E-2</v>
      </c>
    </row>
    <row r="5" spans="1:12" x14ac:dyDescent="0.35">
      <c r="A5" s="40" t="s">
        <v>22</v>
      </c>
      <c r="B5" s="133">
        <v>29121767</v>
      </c>
      <c r="C5" s="133">
        <v>18967565</v>
      </c>
      <c r="D5" s="56">
        <v>10537865</v>
      </c>
      <c r="E5" s="56">
        <v>8715600</v>
      </c>
      <c r="F5" s="71">
        <v>2616550</v>
      </c>
      <c r="G5" s="71">
        <v>3530347</v>
      </c>
      <c r="H5" s="71">
        <v>1691405</v>
      </c>
      <c r="I5" s="71">
        <v>621544</v>
      </c>
      <c r="J5" s="58">
        <v>30.93</v>
      </c>
      <c r="K5" s="58">
        <v>61.73</v>
      </c>
      <c r="L5" s="381">
        <f t="shared" si="0"/>
        <v>2.0970877666811952E-2</v>
      </c>
    </row>
    <row r="6" spans="1:12" x14ac:dyDescent="0.35">
      <c r="A6" s="40" t="s">
        <v>23</v>
      </c>
      <c r="B6" s="133">
        <v>65802958</v>
      </c>
      <c r="C6" s="133">
        <v>35341743</v>
      </c>
      <c r="D6" s="56">
        <v>55318328</v>
      </c>
      <c r="E6" s="56">
        <v>35864098</v>
      </c>
      <c r="F6" s="71">
        <v>20237637</v>
      </c>
      <c r="G6" s="71">
        <v>10168945</v>
      </c>
      <c r="H6" s="71">
        <v>8482642</v>
      </c>
      <c r="I6" s="71">
        <v>4959806</v>
      </c>
      <c r="J6" s="58">
        <v>62.15</v>
      </c>
      <c r="K6" s="58">
        <v>57.28</v>
      </c>
      <c r="L6" s="381">
        <f t="shared" si="0"/>
        <v>0.1100862356103991</v>
      </c>
    </row>
    <row r="7" spans="1:12" x14ac:dyDescent="0.35">
      <c r="A7" s="40" t="s">
        <v>24</v>
      </c>
      <c r="B7" s="133">
        <v>20137761</v>
      </c>
      <c r="C7" s="133">
        <v>9725775</v>
      </c>
      <c r="D7" s="56">
        <v>12520238</v>
      </c>
      <c r="E7" s="56">
        <v>10580084</v>
      </c>
      <c r="F7" s="71">
        <v>1621726</v>
      </c>
      <c r="G7" s="71">
        <v>5344372</v>
      </c>
      <c r="H7" s="71">
        <v>1107612</v>
      </c>
      <c r="I7" s="72"/>
      <c r="J7" s="58">
        <v>18.829999999999998</v>
      </c>
      <c r="K7" s="58">
        <v>74.91</v>
      </c>
      <c r="L7" s="381">
        <f t="shared" si="0"/>
        <v>2.4915898947022983E-2</v>
      </c>
    </row>
    <row r="8" spans="1:12" x14ac:dyDescent="0.35">
      <c r="A8" s="40" t="s">
        <v>25</v>
      </c>
      <c r="B8" s="133">
        <v>70273173</v>
      </c>
      <c r="C8" s="133">
        <v>59744171</v>
      </c>
      <c r="D8" s="56">
        <v>20964948</v>
      </c>
      <c r="E8" s="56">
        <v>6557913</v>
      </c>
      <c r="F8" s="71">
        <v>4083949</v>
      </c>
      <c r="G8" s="71">
        <v>3409614</v>
      </c>
      <c r="H8" s="71">
        <v>1735544</v>
      </c>
      <c r="I8" s="71">
        <v>2317180</v>
      </c>
      <c r="J8" s="58">
        <v>56.58</v>
      </c>
      <c r="K8" s="58">
        <v>71.290000000000006</v>
      </c>
      <c r="L8" s="381">
        <f t="shared" si="0"/>
        <v>4.1721293620583855E-2</v>
      </c>
    </row>
    <row r="9" spans="1:12" x14ac:dyDescent="0.35">
      <c r="A9" s="40" t="s">
        <v>26</v>
      </c>
      <c r="B9" s="133">
        <v>43267994</v>
      </c>
      <c r="C9" s="133">
        <v>23189379</v>
      </c>
      <c r="D9" s="56">
        <v>27400109</v>
      </c>
      <c r="E9" s="56">
        <v>13811384</v>
      </c>
      <c r="F9" s="71">
        <v>5941199</v>
      </c>
      <c r="G9" s="71">
        <v>8103677</v>
      </c>
      <c r="H9" s="71">
        <v>3036858</v>
      </c>
      <c r="I9" s="71">
        <v>1130258</v>
      </c>
      <c r="J9" s="58">
        <v>36.47</v>
      </c>
      <c r="K9" s="58">
        <v>68.39</v>
      </c>
      <c r="L9" s="381">
        <f t="shared" si="0"/>
        <v>5.4527585416620269E-2</v>
      </c>
    </row>
    <row r="10" spans="1:12" x14ac:dyDescent="0.35">
      <c r="A10" s="40" t="s">
        <v>27</v>
      </c>
      <c r="B10" s="133">
        <v>8153244</v>
      </c>
      <c r="C10" s="133">
        <v>2508167</v>
      </c>
      <c r="D10" s="56">
        <v>5505266</v>
      </c>
      <c r="E10" s="56">
        <v>4761991</v>
      </c>
      <c r="F10" s="71">
        <v>834989</v>
      </c>
      <c r="G10" s="71">
        <v>3487094</v>
      </c>
      <c r="H10" s="71">
        <v>908369</v>
      </c>
      <c r="I10" s="71">
        <v>241024</v>
      </c>
      <c r="J10" s="58">
        <v>18.41</v>
      </c>
      <c r="K10" s="58">
        <v>96.93</v>
      </c>
      <c r="L10" s="381">
        <f t="shared" si="0"/>
        <v>1.0955754302153157E-2</v>
      </c>
    </row>
    <row r="11" spans="1:12" x14ac:dyDescent="0.35">
      <c r="A11" s="40" t="s">
        <v>28</v>
      </c>
      <c r="B11" s="133">
        <v>48114096</v>
      </c>
      <c r="C11" s="133">
        <v>35844186</v>
      </c>
      <c r="D11" s="56">
        <v>52433629</v>
      </c>
      <c r="E11" s="56">
        <v>19663956</v>
      </c>
      <c r="F11" s="71">
        <v>10758499</v>
      </c>
      <c r="G11" s="71">
        <v>10325583</v>
      </c>
      <c r="H11" s="71">
        <v>4426348</v>
      </c>
      <c r="I11" s="71">
        <v>4475389</v>
      </c>
      <c r="J11" s="58">
        <v>59.68</v>
      </c>
      <c r="K11" s="58">
        <v>81.84</v>
      </c>
      <c r="L11" s="381">
        <f t="shared" si="0"/>
        <v>0.10434554052324674</v>
      </c>
    </row>
    <row r="12" spans="1:12" x14ac:dyDescent="0.35">
      <c r="A12" s="40" t="s">
        <v>46</v>
      </c>
      <c r="B12" s="133">
        <v>13016290</v>
      </c>
      <c r="C12" s="133">
        <v>5522533</v>
      </c>
      <c r="D12" s="56">
        <v>3340898</v>
      </c>
      <c r="E12" s="56">
        <v>2309511</v>
      </c>
      <c r="F12" s="71">
        <v>226352</v>
      </c>
      <c r="G12" s="71">
        <v>1828002</v>
      </c>
      <c r="H12" s="71">
        <v>451413</v>
      </c>
      <c r="I12" s="71">
        <v>325395</v>
      </c>
      <c r="J12" s="58">
        <v>33.53</v>
      </c>
      <c r="K12" s="58">
        <v>337.7</v>
      </c>
      <c r="L12" s="381">
        <f t="shared" si="0"/>
        <v>6.6485538821475431E-3</v>
      </c>
    </row>
    <row r="13" spans="1:12" x14ac:dyDescent="0.35">
      <c r="A13" s="40" t="s">
        <v>29</v>
      </c>
      <c r="B13" s="133">
        <v>14146930</v>
      </c>
      <c r="C13" s="133">
        <v>9958898</v>
      </c>
      <c r="D13" s="56">
        <v>5600711</v>
      </c>
      <c r="E13" s="56">
        <v>4575892</v>
      </c>
      <c r="F13" s="71">
        <v>1032709</v>
      </c>
      <c r="G13" s="71">
        <v>2946053</v>
      </c>
      <c r="H13" s="71">
        <v>451458</v>
      </c>
      <c r="I13" s="72"/>
      <c r="J13" s="58">
        <v>26.59</v>
      </c>
      <c r="K13" s="58">
        <v>87.49</v>
      </c>
      <c r="L13" s="381">
        <f t="shared" si="0"/>
        <v>1.1145694619182162E-2</v>
      </c>
    </row>
    <row r="14" spans="1:12" x14ac:dyDescent="0.35">
      <c r="A14" s="40" t="s">
        <v>30</v>
      </c>
      <c r="B14" s="133">
        <v>6670053</v>
      </c>
      <c r="C14" s="133">
        <v>4451646</v>
      </c>
      <c r="D14" s="56">
        <v>5095804</v>
      </c>
      <c r="E14" s="56">
        <v>4715750</v>
      </c>
      <c r="F14" s="71">
        <v>1280613</v>
      </c>
      <c r="G14" s="71">
        <v>3485349</v>
      </c>
      <c r="H14" s="71">
        <v>672369</v>
      </c>
      <c r="I14" s="71">
        <v>146759</v>
      </c>
      <c r="J14" s="58">
        <v>26.58</v>
      </c>
      <c r="K14" s="58">
        <v>86.29</v>
      </c>
      <c r="L14" s="381">
        <f t="shared" si="0"/>
        <v>1.0140904471451381E-2</v>
      </c>
    </row>
    <row r="15" spans="1:12" x14ac:dyDescent="0.35">
      <c r="A15" s="40" t="s">
        <v>31</v>
      </c>
      <c r="B15" s="133">
        <v>20971226</v>
      </c>
      <c r="C15" s="133">
        <v>12161900</v>
      </c>
      <c r="D15" s="56">
        <v>4341942</v>
      </c>
      <c r="E15" s="56">
        <v>3792904</v>
      </c>
      <c r="F15" s="71">
        <v>4090693</v>
      </c>
      <c r="G15" s="71">
        <v>3306500</v>
      </c>
      <c r="H15" s="71">
        <v>381924</v>
      </c>
      <c r="I15" s="71">
        <v>89071</v>
      </c>
      <c r="J15" s="58">
        <v>80.56</v>
      </c>
      <c r="K15" s="58">
        <v>72.64</v>
      </c>
      <c r="L15" s="381">
        <f t="shared" si="0"/>
        <v>8.6406814395888366E-3</v>
      </c>
    </row>
    <row r="16" spans="1:12" x14ac:dyDescent="0.35">
      <c r="A16" s="40" t="s">
        <v>32</v>
      </c>
      <c r="B16" s="133">
        <v>47937783</v>
      </c>
      <c r="C16" s="133">
        <v>33672117</v>
      </c>
      <c r="D16" s="56">
        <v>18792528</v>
      </c>
      <c r="E16" s="56">
        <v>13451205</v>
      </c>
      <c r="F16" s="71">
        <v>5153862</v>
      </c>
      <c r="G16" s="71">
        <v>6672689</v>
      </c>
      <c r="H16" s="71">
        <v>3376012</v>
      </c>
      <c r="I16" s="71">
        <v>1762426</v>
      </c>
      <c r="J16" s="58">
        <v>38.06</v>
      </c>
      <c r="K16" s="58">
        <v>74.209999999999994</v>
      </c>
      <c r="L16" s="381">
        <f t="shared" si="0"/>
        <v>3.73980693184187E-2</v>
      </c>
    </row>
    <row r="17" spans="1:12" x14ac:dyDescent="0.35">
      <c r="A17" s="40" t="s">
        <v>33</v>
      </c>
      <c r="B17" s="133">
        <v>8180638</v>
      </c>
      <c r="C17" s="133">
        <v>795563</v>
      </c>
      <c r="D17" s="56">
        <v>2895848</v>
      </c>
      <c r="E17" s="56">
        <v>2368154</v>
      </c>
      <c r="F17" s="71">
        <v>856900</v>
      </c>
      <c r="G17" s="71">
        <v>2064105</v>
      </c>
      <c r="H17" s="71">
        <v>278073</v>
      </c>
      <c r="I17" s="71">
        <v>228782</v>
      </c>
      <c r="J17" s="58">
        <v>60.95</v>
      </c>
      <c r="K17" s="58">
        <v>166.6</v>
      </c>
      <c r="L17" s="381">
        <f t="shared" si="0"/>
        <v>5.7628821539924885E-3</v>
      </c>
    </row>
    <row r="18" spans="1:12" x14ac:dyDescent="0.35">
      <c r="A18" s="40" t="s">
        <v>34</v>
      </c>
      <c r="B18" s="133">
        <v>12341329</v>
      </c>
      <c r="C18" s="133">
        <v>7516425</v>
      </c>
      <c r="D18" s="56">
        <v>2185742</v>
      </c>
      <c r="E18" s="56">
        <v>1785763</v>
      </c>
      <c r="F18" s="71">
        <v>451241</v>
      </c>
      <c r="G18" s="71">
        <v>1131033</v>
      </c>
      <c r="H18" s="71">
        <v>306311</v>
      </c>
      <c r="I18" s="71">
        <v>102581</v>
      </c>
      <c r="J18" s="58">
        <v>41.02</v>
      </c>
      <c r="K18" s="58">
        <v>130.65</v>
      </c>
      <c r="L18" s="381">
        <f t="shared" si="0"/>
        <v>4.3497357475364212E-3</v>
      </c>
    </row>
    <row r="19" spans="1:12" x14ac:dyDescent="0.35">
      <c r="A19" s="40" t="s">
        <v>35</v>
      </c>
      <c r="B19" s="133">
        <v>25840985</v>
      </c>
      <c r="C19" s="133">
        <v>11806685</v>
      </c>
      <c r="D19" s="56">
        <v>8007464</v>
      </c>
      <c r="E19" s="56">
        <v>5805121</v>
      </c>
      <c r="F19" s="71">
        <v>1695257</v>
      </c>
      <c r="G19" s="71">
        <v>5560342</v>
      </c>
      <c r="H19" s="71">
        <v>1048434</v>
      </c>
      <c r="I19" s="71">
        <v>950149</v>
      </c>
      <c r="J19" s="58">
        <v>30.02</v>
      </c>
      <c r="K19" s="58">
        <v>117.03</v>
      </c>
      <c r="L19" s="381">
        <f t="shared" si="0"/>
        <v>1.593525329517893E-2</v>
      </c>
    </row>
    <row r="20" spans="1:12" x14ac:dyDescent="0.35">
      <c r="A20" s="40" t="s">
        <v>36</v>
      </c>
      <c r="B20" s="133">
        <v>15888748</v>
      </c>
      <c r="C20" s="133">
        <v>3262985</v>
      </c>
      <c r="D20" s="56">
        <v>11404519</v>
      </c>
      <c r="E20" s="56">
        <v>9137951</v>
      </c>
      <c r="F20" s="71">
        <v>2116533</v>
      </c>
      <c r="G20" s="71">
        <v>6772337</v>
      </c>
      <c r="H20" s="71">
        <v>1449807</v>
      </c>
      <c r="I20" s="71">
        <v>713210</v>
      </c>
      <c r="J20" s="58">
        <v>23.56</v>
      </c>
      <c r="K20" s="58">
        <v>91.51</v>
      </c>
      <c r="L20" s="381">
        <f t="shared" si="0"/>
        <v>2.2695562412104592E-2</v>
      </c>
    </row>
    <row r="21" spans="1:12" x14ac:dyDescent="0.35">
      <c r="A21" s="40" t="s">
        <v>37</v>
      </c>
      <c r="B21" s="133">
        <v>10702339</v>
      </c>
      <c r="C21" s="133">
        <v>6401428</v>
      </c>
      <c r="D21" s="56">
        <v>9090763</v>
      </c>
      <c r="E21" s="56">
        <v>7650557</v>
      </c>
      <c r="F21" s="71">
        <v>1045197</v>
      </c>
      <c r="G21" s="71">
        <v>3159813</v>
      </c>
      <c r="H21" s="71">
        <v>1400214</v>
      </c>
      <c r="I21" s="71">
        <v>681727</v>
      </c>
      <c r="J21" s="58">
        <v>18.09</v>
      </c>
      <c r="K21" s="58">
        <v>78.930000000000007</v>
      </c>
      <c r="L21" s="381">
        <f t="shared" si="0"/>
        <v>1.8091072410870743E-2</v>
      </c>
    </row>
    <row r="22" spans="1:12" x14ac:dyDescent="0.35">
      <c r="A22" s="40" t="s">
        <v>38</v>
      </c>
      <c r="B22" s="133">
        <v>10542128</v>
      </c>
      <c r="C22" s="133">
        <v>5906627</v>
      </c>
      <c r="D22" s="56">
        <v>7843605</v>
      </c>
      <c r="E22" s="56">
        <v>4738801</v>
      </c>
      <c r="F22" s="71">
        <v>1234574</v>
      </c>
      <c r="G22" s="71">
        <v>2654842</v>
      </c>
      <c r="H22" s="71">
        <v>638441</v>
      </c>
      <c r="I22" s="71">
        <v>516973</v>
      </c>
      <c r="J22" s="58">
        <v>28.19</v>
      </c>
      <c r="K22" s="58">
        <v>75.19</v>
      </c>
      <c r="L22" s="381">
        <f t="shared" si="0"/>
        <v>1.5609165701192277E-2</v>
      </c>
    </row>
    <row r="23" spans="1:12" x14ac:dyDescent="0.35">
      <c r="A23" s="40" t="s">
        <v>39</v>
      </c>
      <c r="B23" s="133">
        <v>158883834</v>
      </c>
      <c r="C23" s="133">
        <v>85419062</v>
      </c>
      <c r="D23" s="56">
        <v>91107961</v>
      </c>
      <c r="E23" s="56">
        <v>59535438</v>
      </c>
      <c r="F23" s="71">
        <v>26047748</v>
      </c>
      <c r="G23" s="71">
        <v>36903112</v>
      </c>
      <c r="H23" s="71">
        <v>10752397</v>
      </c>
      <c r="I23" s="71">
        <v>6534844</v>
      </c>
      <c r="J23" s="58">
        <v>42.17</v>
      </c>
      <c r="K23" s="58">
        <v>77.150000000000006</v>
      </c>
      <c r="L23" s="381">
        <f t="shared" si="0"/>
        <v>0.181309392804299</v>
      </c>
    </row>
    <row r="24" spans="1:12" x14ac:dyDescent="0.35">
      <c r="A24" s="40" t="s">
        <v>40</v>
      </c>
      <c r="B24" s="133">
        <v>80237296</v>
      </c>
      <c r="C24" s="133">
        <v>50095615</v>
      </c>
      <c r="D24" s="56">
        <v>52056048</v>
      </c>
      <c r="E24" s="56">
        <v>32585525</v>
      </c>
      <c r="F24" s="71">
        <v>7191796</v>
      </c>
      <c r="G24" s="71">
        <v>13538079</v>
      </c>
      <c r="H24" s="71">
        <v>8891209</v>
      </c>
      <c r="I24" s="71">
        <v>3228185</v>
      </c>
      <c r="J24" s="58">
        <v>23.28</v>
      </c>
      <c r="K24" s="58">
        <v>72.61</v>
      </c>
      <c r="L24" s="381">
        <f t="shared" si="0"/>
        <v>0.10359413547485102</v>
      </c>
    </row>
    <row r="25" spans="1:12" x14ac:dyDescent="0.35">
      <c r="A25" s="40" t="s">
        <v>41</v>
      </c>
      <c r="B25" s="133">
        <v>8898333</v>
      </c>
      <c r="C25" s="133">
        <v>6286289</v>
      </c>
      <c r="D25" s="56">
        <v>4469576</v>
      </c>
      <c r="E25" s="56">
        <v>3165081</v>
      </c>
      <c r="F25" s="71">
        <v>1369752</v>
      </c>
      <c r="G25" s="71">
        <v>3080261</v>
      </c>
      <c r="H25" s="71">
        <v>229755</v>
      </c>
      <c r="I25" s="72"/>
      <c r="J25" s="58">
        <v>38.159999999999997</v>
      </c>
      <c r="K25" s="58">
        <v>92.21</v>
      </c>
      <c r="L25" s="381">
        <f t="shared" si="0"/>
        <v>8.8946794743070528E-3</v>
      </c>
    </row>
    <row r="26" spans="1:12" x14ac:dyDescent="0.35">
      <c r="A26" s="40" t="s">
        <v>42</v>
      </c>
      <c r="B26" s="133">
        <v>70390941</v>
      </c>
      <c r="C26" s="133">
        <v>28373963</v>
      </c>
      <c r="D26" s="56">
        <v>46165423</v>
      </c>
      <c r="E26" s="56">
        <v>35055515</v>
      </c>
      <c r="F26" s="71">
        <v>13136251</v>
      </c>
      <c r="G26" s="71">
        <v>15501281</v>
      </c>
      <c r="H26" s="71">
        <v>6829388</v>
      </c>
      <c r="I26" s="71">
        <v>2844384</v>
      </c>
      <c r="J26" s="58">
        <v>36.9</v>
      </c>
      <c r="K26" s="58">
        <v>62.73</v>
      </c>
      <c r="L26" s="381">
        <f t="shared" si="0"/>
        <v>9.1871497515827613E-2</v>
      </c>
    </row>
    <row r="27" spans="1:12" x14ac:dyDescent="0.35">
      <c r="A27" s="40" t="s">
        <v>43</v>
      </c>
      <c r="B27" s="133">
        <v>20042148</v>
      </c>
      <c r="C27" s="133">
        <v>15204922</v>
      </c>
      <c r="D27" s="56">
        <v>6189299</v>
      </c>
      <c r="E27" s="56">
        <v>5701577</v>
      </c>
      <c r="F27" s="71">
        <v>876763</v>
      </c>
      <c r="G27" s="71">
        <v>4678497</v>
      </c>
      <c r="H27" s="71">
        <v>869743</v>
      </c>
      <c r="I27" s="72"/>
      <c r="J27" s="58">
        <v>16.98</v>
      </c>
      <c r="K27" s="58">
        <v>107.46</v>
      </c>
      <c r="L27" s="381">
        <f t="shared" si="0"/>
        <v>1.2317014136385458E-2</v>
      </c>
    </row>
    <row r="28" spans="1:12" ht="13.15" x14ac:dyDescent="0.4">
      <c r="A28" s="45" t="s">
        <v>44</v>
      </c>
      <c r="B28" s="67">
        <f t="shared" ref="B28:I28" si="1">SUM(B3:B27)</f>
        <v>865564269</v>
      </c>
      <c r="C28" s="67">
        <f t="shared" si="1"/>
        <v>494225958</v>
      </c>
      <c r="D28" s="67">
        <f t="shared" si="1"/>
        <v>502499951</v>
      </c>
      <c r="E28" s="67">
        <f t="shared" si="1"/>
        <v>306637924</v>
      </c>
      <c r="F28" s="67">
        <f t="shared" si="1"/>
        <v>119235086</v>
      </c>
      <c r="G28" s="67">
        <f t="shared" si="1"/>
        <v>164683808</v>
      </c>
      <c r="H28" s="67">
        <f t="shared" si="1"/>
        <v>61801108</v>
      </c>
      <c r="I28" s="67">
        <f t="shared" si="1"/>
        <v>35856108</v>
      </c>
      <c r="J28" s="61"/>
      <c r="K28" s="61"/>
      <c r="L28" s="69"/>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tabColor rgb="FF7030A0"/>
  </sheetPr>
  <dimension ref="A1:L29"/>
  <sheetViews>
    <sheetView workbookViewId="0">
      <selection activeCell="B17" sqref="B17"/>
    </sheetView>
  </sheetViews>
  <sheetFormatPr defaultRowHeight="12.75" x14ac:dyDescent="0.35"/>
  <cols>
    <col min="1" max="1" width="40.73046875" bestFit="1" customWidth="1"/>
    <col min="2" max="3" width="21.3984375" customWidth="1"/>
    <col min="4" max="4" width="15.73046875" customWidth="1"/>
    <col min="5" max="5" width="14.3984375" customWidth="1"/>
    <col min="6" max="6" width="12.3984375" bestFit="1" customWidth="1"/>
    <col min="7" max="7" width="14.3984375" customWidth="1"/>
    <col min="8" max="9" width="12.73046875" customWidth="1"/>
  </cols>
  <sheetData>
    <row r="1" spans="1:12" x14ac:dyDescent="0.35">
      <c r="A1" s="18" t="s">
        <v>54</v>
      </c>
      <c r="B1" s="18"/>
      <c r="C1" s="18"/>
      <c r="D1" s="2"/>
      <c r="E1" s="2"/>
      <c r="F1" s="2"/>
      <c r="G1" s="2"/>
      <c r="H1" s="2"/>
      <c r="I1" s="2"/>
      <c r="J1" s="2"/>
      <c r="K1" s="2"/>
    </row>
    <row r="2" spans="1:12" s="16" customFormat="1" ht="25.5" x14ac:dyDescent="0.35">
      <c r="A2" s="12" t="s">
        <v>8</v>
      </c>
      <c r="B2" s="12" t="s">
        <v>9</v>
      </c>
      <c r="C2" s="12" t="s">
        <v>10</v>
      </c>
      <c r="D2" s="12" t="s">
        <v>11</v>
      </c>
      <c r="E2" s="12" t="s">
        <v>12</v>
      </c>
      <c r="F2" s="12" t="s">
        <v>13</v>
      </c>
      <c r="G2" s="12" t="s">
        <v>14</v>
      </c>
      <c r="H2" s="12" t="s">
        <v>15</v>
      </c>
      <c r="I2" s="12" t="s">
        <v>16</v>
      </c>
      <c r="J2" s="12" t="s">
        <v>17</v>
      </c>
      <c r="K2" s="12" t="s">
        <v>18</v>
      </c>
      <c r="L2" s="20" t="s">
        <v>19</v>
      </c>
    </row>
    <row r="3" spans="1:12" x14ac:dyDescent="0.35">
      <c r="A3" s="40" t="s">
        <v>20</v>
      </c>
      <c r="B3" s="133">
        <v>39188796</v>
      </c>
      <c r="C3" s="133">
        <v>9066611</v>
      </c>
      <c r="D3" s="56">
        <v>26713707</v>
      </c>
      <c r="E3" s="56">
        <v>8428933</v>
      </c>
      <c r="F3" s="56">
        <v>3023209</v>
      </c>
      <c r="G3" s="56">
        <v>7254497</v>
      </c>
      <c r="H3" s="56">
        <v>1654693</v>
      </c>
      <c r="I3" s="56">
        <v>2669628</v>
      </c>
      <c r="J3" s="58">
        <v>43.25</v>
      </c>
      <c r="K3" s="58">
        <v>127.46</v>
      </c>
      <c r="L3" s="381">
        <f t="shared" ref="L3:L27" si="0">D3/$D$28</f>
        <v>4.3310545230994361E-2</v>
      </c>
    </row>
    <row r="4" spans="1:12" x14ac:dyDescent="0.35">
      <c r="A4" s="40" t="s">
        <v>21</v>
      </c>
      <c r="B4" s="133">
        <v>14316345</v>
      </c>
      <c r="C4" s="133">
        <v>7612361</v>
      </c>
      <c r="D4" s="56">
        <v>24409164</v>
      </c>
      <c r="E4" s="56">
        <v>4509522</v>
      </c>
      <c r="F4" s="56">
        <v>1957098</v>
      </c>
      <c r="G4" s="56">
        <v>4303987</v>
      </c>
      <c r="H4" s="56">
        <v>830687</v>
      </c>
      <c r="I4" s="56">
        <v>1768935</v>
      </c>
      <c r="J4" s="58">
        <v>48.6</v>
      </c>
      <c r="K4" s="58">
        <v>127.51</v>
      </c>
      <c r="L4" s="381">
        <f t="shared" si="0"/>
        <v>3.9574223130947689E-2</v>
      </c>
    </row>
    <row r="5" spans="1:12" x14ac:dyDescent="0.35">
      <c r="A5" s="40" t="s">
        <v>22</v>
      </c>
      <c r="B5" s="133">
        <v>27777919</v>
      </c>
      <c r="C5" s="133">
        <v>20422714</v>
      </c>
      <c r="D5" s="56">
        <v>14633754</v>
      </c>
      <c r="E5" s="56">
        <v>12201309</v>
      </c>
      <c r="F5" s="56">
        <v>3787190</v>
      </c>
      <c r="G5" s="56">
        <v>6386036</v>
      </c>
      <c r="H5" s="56">
        <v>2124837</v>
      </c>
      <c r="I5" s="56">
        <v>772080</v>
      </c>
      <c r="J5" s="58">
        <v>32.93</v>
      </c>
      <c r="K5" s="58">
        <v>73.989999999999995</v>
      </c>
      <c r="L5" s="381">
        <f t="shared" si="0"/>
        <v>2.3725492853397121E-2</v>
      </c>
    </row>
    <row r="6" spans="1:12" x14ac:dyDescent="0.35">
      <c r="A6" s="40" t="s">
        <v>23</v>
      </c>
      <c r="B6" s="133">
        <v>69563067</v>
      </c>
      <c r="C6" s="133">
        <v>36520948</v>
      </c>
      <c r="D6" s="56">
        <v>70398623</v>
      </c>
      <c r="E6" s="56">
        <v>45644359</v>
      </c>
      <c r="F6" s="56">
        <v>28283092</v>
      </c>
      <c r="G6" s="56">
        <v>12612940</v>
      </c>
      <c r="H6" s="56">
        <v>10464009</v>
      </c>
      <c r="I6" s="56">
        <v>6084051</v>
      </c>
      <c r="J6" s="58">
        <v>59.18</v>
      </c>
      <c r="K6" s="58">
        <v>48.28</v>
      </c>
      <c r="L6" s="381">
        <f t="shared" si="0"/>
        <v>0.11413626516309473</v>
      </c>
    </row>
    <row r="7" spans="1:12" x14ac:dyDescent="0.35">
      <c r="A7" s="40" t="s">
        <v>24</v>
      </c>
      <c r="B7" s="133">
        <v>19773946</v>
      </c>
      <c r="C7" s="133">
        <v>10285849</v>
      </c>
      <c r="D7" s="56">
        <v>15696407</v>
      </c>
      <c r="E7" s="56">
        <v>13291009</v>
      </c>
      <c r="F7" s="56">
        <v>2909053</v>
      </c>
      <c r="G7" s="56">
        <v>6416540</v>
      </c>
      <c r="H7" s="56">
        <v>2343848</v>
      </c>
      <c r="I7" s="59"/>
      <c r="J7" s="58">
        <v>23.6</v>
      </c>
      <c r="K7" s="58">
        <v>71.08</v>
      </c>
      <c r="L7" s="381">
        <f t="shared" si="0"/>
        <v>2.5448356730782308E-2</v>
      </c>
    </row>
    <row r="8" spans="1:12" x14ac:dyDescent="0.35">
      <c r="A8" s="40" t="s">
        <v>25</v>
      </c>
      <c r="B8" s="40"/>
      <c r="C8" s="40"/>
      <c r="D8" s="59"/>
      <c r="E8" s="59"/>
      <c r="F8" s="59"/>
      <c r="G8" s="59"/>
      <c r="H8" s="59"/>
      <c r="I8" s="59"/>
      <c r="J8" s="58"/>
      <c r="K8" s="58"/>
      <c r="L8" s="381">
        <f t="shared" si="0"/>
        <v>0</v>
      </c>
    </row>
    <row r="9" spans="1:12" x14ac:dyDescent="0.35">
      <c r="A9" s="40" t="s">
        <v>26</v>
      </c>
      <c r="B9" s="133">
        <v>35349512</v>
      </c>
      <c r="C9" s="133">
        <v>26019732</v>
      </c>
      <c r="D9" s="56">
        <v>46397194</v>
      </c>
      <c r="E9" s="56">
        <v>16933639</v>
      </c>
      <c r="F9" s="56">
        <v>10223309</v>
      </c>
      <c r="G9" s="56">
        <v>17741439</v>
      </c>
      <c r="H9" s="56">
        <v>3033044</v>
      </c>
      <c r="I9" s="56">
        <v>3180105</v>
      </c>
      <c r="J9" s="58">
        <v>50.52</v>
      </c>
      <c r="K9" s="58">
        <v>102.66</v>
      </c>
      <c r="L9" s="381">
        <f t="shared" si="0"/>
        <v>7.5223096866646771E-2</v>
      </c>
    </row>
    <row r="10" spans="1:12" x14ac:dyDescent="0.35">
      <c r="A10" s="40" t="s">
        <v>27</v>
      </c>
      <c r="B10" s="40"/>
      <c r="C10" s="40"/>
      <c r="D10" s="59"/>
      <c r="E10" s="59"/>
      <c r="F10" s="59"/>
      <c r="G10" s="59"/>
      <c r="H10" s="59"/>
      <c r="I10" s="59"/>
      <c r="J10" s="58"/>
      <c r="K10" s="58"/>
      <c r="L10" s="381">
        <f t="shared" si="0"/>
        <v>0</v>
      </c>
    </row>
    <row r="11" spans="1:12" x14ac:dyDescent="0.35">
      <c r="A11" s="40" t="s">
        <v>28</v>
      </c>
      <c r="B11" s="133">
        <v>51392376</v>
      </c>
      <c r="C11" s="133">
        <v>37268627</v>
      </c>
      <c r="D11" s="56">
        <v>63307559</v>
      </c>
      <c r="E11" s="56">
        <v>22713117</v>
      </c>
      <c r="F11" s="56">
        <v>13802850</v>
      </c>
      <c r="G11" s="56">
        <v>13963670</v>
      </c>
      <c r="H11" s="56">
        <v>6249114</v>
      </c>
      <c r="I11" s="56">
        <v>5693189</v>
      </c>
      <c r="J11" s="58">
        <v>59.3</v>
      </c>
      <c r="K11" s="58">
        <v>86.84</v>
      </c>
      <c r="L11" s="381">
        <f t="shared" si="0"/>
        <v>0.10263962607411034</v>
      </c>
    </row>
    <row r="12" spans="1:12" x14ac:dyDescent="0.35">
      <c r="A12" s="40" t="s">
        <v>46</v>
      </c>
      <c r="B12" s="133">
        <v>13429411</v>
      </c>
      <c r="C12" s="133">
        <v>5969997</v>
      </c>
      <c r="D12" s="56">
        <v>4620995</v>
      </c>
      <c r="E12" s="56">
        <v>3419333</v>
      </c>
      <c r="F12" s="56">
        <v>560876</v>
      </c>
      <c r="G12" s="56">
        <v>3130175</v>
      </c>
      <c r="H12" s="56">
        <v>681506</v>
      </c>
      <c r="I12" s="56">
        <v>397821</v>
      </c>
      <c r="J12" s="58">
        <v>30.98</v>
      </c>
      <c r="K12" s="58">
        <v>210.53</v>
      </c>
      <c r="L12" s="381">
        <f t="shared" si="0"/>
        <v>7.491952088854564E-3</v>
      </c>
    </row>
    <row r="13" spans="1:12" x14ac:dyDescent="0.35">
      <c r="A13" s="40" t="s">
        <v>29</v>
      </c>
      <c r="B13" s="133">
        <v>13169353</v>
      </c>
      <c r="C13" s="133">
        <v>10978067</v>
      </c>
      <c r="D13" s="56">
        <v>6603825</v>
      </c>
      <c r="E13" s="56">
        <v>5247417</v>
      </c>
      <c r="F13" s="56">
        <v>1485090</v>
      </c>
      <c r="G13" s="56">
        <v>5626911</v>
      </c>
      <c r="H13" s="56">
        <v>270263</v>
      </c>
      <c r="I13" s="59">
        <v>0</v>
      </c>
      <c r="J13" s="58">
        <v>26.32</v>
      </c>
      <c r="K13" s="58">
        <v>104.53</v>
      </c>
      <c r="L13" s="381">
        <f t="shared" si="0"/>
        <v>1.0706685573816892E-2</v>
      </c>
    </row>
    <row r="14" spans="1:12" x14ac:dyDescent="0.35">
      <c r="A14" s="40" t="s">
        <v>30</v>
      </c>
      <c r="B14" s="133">
        <v>7292904</v>
      </c>
      <c r="C14" s="133">
        <v>4683690</v>
      </c>
      <c r="D14" s="56">
        <v>6782645</v>
      </c>
      <c r="E14" s="56">
        <v>6223208</v>
      </c>
      <c r="F14" s="56">
        <v>1576699</v>
      </c>
      <c r="G14" s="56">
        <v>4475381</v>
      </c>
      <c r="H14" s="56">
        <v>853505</v>
      </c>
      <c r="I14" s="56">
        <v>225169</v>
      </c>
      <c r="J14" s="58">
        <v>25.27</v>
      </c>
      <c r="K14" s="58">
        <v>85.42</v>
      </c>
      <c r="L14" s="381">
        <f t="shared" si="0"/>
        <v>1.0996603843048729E-2</v>
      </c>
    </row>
    <row r="15" spans="1:12" x14ac:dyDescent="0.35">
      <c r="A15" s="40" t="s">
        <v>31</v>
      </c>
      <c r="B15" s="133">
        <v>20897652</v>
      </c>
      <c r="C15" s="133">
        <v>12217708</v>
      </c>
      <c r="D15" s="56">
        <v>5428571</v>
      </c>
      <c r="E15" s="56">
        <v>4623564</v>
      </c>
      <c r="F15" s="56">
        <v>4486058</v>
      </c>
      <c r="G15" s="56">
        <v>4196335</v>
      </c>
      <c r="H15" s="56">
        <v>455659</v>
      </c>
      <c r="I15" s="56">
        <v>137616</v>
      </c>
      <c r="J15" s="58">
        <v>69.81</v>
      </c>
      <c r="K15" s="58">
        <v>72.39</v>
      </c>
      <c r="L15" s="381">
        <f t="shared" si="0"/>
        <v>8.8012633302882396E-3</v>
      </c>
    </row>
    <row r="16" spans="1:12" x14ac:dyDescent="0.35">
      <c r="A16" s="40" t="s">
        <v>32</v>
      </c>
      <c r="B16" s="133">
        <v>47668134</v>
      </c>
      <c r="C16" s="133">
        <v>32315080</v>
      </c>
      <c r="D16" s="56">
        <v>25178385</v>
      </c>
      <c r="E16" s="56">
        <v>18187027</v>
      </c>
      <c r="F16" s="56">
        <v>6088195</v>
      </c>
      <c r="G16" s="56">
        <v>10079411</v>
      </c>
      <c r="H16" s="56">
        <v>4542618</v>
      </c>
      <c r="I16" s="56">
        <v>2312796</v>
      </c>
      <c r="J16" s="58">
        <v>33.67</v>
      </c>
      <c r="K16" s="58">
        <v>80.88</v>
      </c>
      <c r="L16" s="381">
        <f t="shared" si="0"/>
        <v>4.0821349967860687E-2</v>
      </c>
    </row>
    <row r="17" spans="1:12" x14ac:dyDescent="0.35">
      <c r="A17" s="40" t="s">
        <v>33</v>
      </c>
      <c r="B17" s="133">
        <v>6546905</v>
      </c>
      <c r="C17" s="133">
        <v>645693</v>
      </c>
      <c r="D17" s="56">
        <v>5364724</v>
      </c>
      <c r="E17" s="56">
        <v>3203039</v>
      </c>
      <c r="F17" s="56">
        <v>1821399</v>
      </c>
      <c r="G17" s="56">
        <v>5994122</v>
      </c>
      <c r="H17" s="56">
        <v>448501</v>
      </c>
      <c r="I17" s="56">
        <v>317956</v>
      </c>
      <c r="J17" s="58">
        <v>45.59</v>
      </c>
      <c r="K17" s="58">
        <v>161.26</v>
      </c>
      <c r="L17" s="381">
        <f t="shared" si="0"/>
        <v>8.6977491163544238E-3</v>
      </c>
    </row>
    <row r="18" spans="1:12" x14ac:dyDescent="0.35">
      <c r="A18" s="40" t="s">
        <v>34</v>
      </c>
      <c r="B18" s="133">
        <v>13762899</v>
      </c>
      <c r="C18" s="133">
        <v>9358586</v>
      </c>
      <c r="D18" s="56">
        <v>2598426</v>
      </c>
      <c r="E18" s="56">
        <v>2209943</v>
      </c>
      <c r="F18" s="56">
        <v>471998</v>
      </c>
      <c r="G18" s="56">
        <v>1555633</v>
      </c>
      <c r="H18" s="56">
        <v>355425</v>
      </c>
      <c r="I18" s="56">
        <v>102581</v>
      </c>
      <c r="J18" s="58">
        <v>35.25</v>
      </c>
      <c r="K18" s="58">
        <v>142.72</v>
      </c>
      <c r="L18" s="381">
        <f t="shared" si="0"/>
        <v>4.2127903402695756E-3</v>
      </c>
    </row>
    <row r="19" spans="1:12" x14ac:dyDescent="0.35">
      <c r="A19" s="40" t="s">
        <v>35</v>
      </c>
      <c r="B19" s="133">
        <v>24672597</v>
      </c>
      <c r="C19" s="133">
        <v>12622070</v>
      </c>
      <c r="D19" s="56">
        <v>10658912</v>
      </c>
      <c r="E19" s="56">
        <v>7880253</v>
      </c>
      <c r="F19" s="56">
        <v>2172991</v>
      </c>
      <c r="G19" s="56">
        <v>7203286</v>
      </c>
      <c r="H19" s="56">
        <v>1249815</v>
      </c>
      <c r="I19" s="56">
        <v>1218263</v>
      </c>
      <c r="J19" s="58">
        <v>26.37</v>
      </c>
      <c r="K19" s="58">
        <v>102.6</v>
      </c>
      <c r="L19" s="381">
        <f t="shared" si="0"/>
        <v>1.7281139240210599E-2</v>
      </c>
    </row>
    <row r="20" spans="1:12" x14ac:dyDescent="0.35">
      <c r="A20" s="40" t="s">
        <v>36</v>
      </c>
      <c r="B20" s="133">
        <v>21247397</v>
      </c>
      <c r="C20" s="133">
        <v>3932969</v>
      </c>
      <c r="D20" s="56">
        <v>19137690</v>
      </c>
      <c r="E20" s="56">
        <v>15152447</v>
      </c>
      <c r="F20" s="56">
        <v>4005017</v>
      </c>
      <c r="G20" s="56">
        <v>9116595</v>
      </c>
      <c r="H20" s="56">
        <v>2408441</v>
      </c>
      <c r="I20" s="56">
        <v>1499801</v>
      </c>
      <c r="J20" s="58">
        <v>27.11</v>
      </c>
      <c r="K20" s="58">
        <v>78.010000000000005</v>
      </c>
      <c r="L20" s="381">
        <f t="shared" si="0"/>
        <v>3.1027658885445904E-2</v>
      </c>
    </row>
    <row r="21" spans="1:12" x14ac:dyDescent="0.35">
      <c r="A21" s="40" t="s">
        <v>37</v>
      </c>
      <c r="B21" s="133">
        <v>12761710</v>
      </c>
      <c r="C21" s="133">
        <v>6741542</v>
      </c>
      <c r="D21" s="56">
        <v>12476495</v>
      </c>
      <c r="E21" s="56">
        <v>10118625</v>
      </c>
      <c r="F21" s="56">
        <v>-227426</v>
      </c>
      <c r="G21" s="56">
        <v>5267185</v>
      </c>
      <c r="H21" s="56">
        <v>1950108</v>
      </c>
      <c r="I21" s="56">
        <v>858887</v>
      </c>
      <c r="J21" s="58">
        <v>-2.91</v>
      </c>
      <c r="K21" s="58">
        <v>92.44</v>
      </c>
      <c r="L21" s="381">
        <f t="shared" si="0"/>
        <v>2.0227960163738224E-2</v>
      </c>
    </row>
    <row r="22" spans="1:12" x14ac:dyDescent="0.35">
      <c r="A22" s="40" t="s">
        <v>38</v>
      </c>
      <c r="B22" s="40"/>
      <c r="C22" s="40"/>
      <c r="D22" s="59"/>
      <c r="E22" s="59"/>
      <c r="F22" s="59"/>
      <c r="G22" s="59"/>
      <c r="H22" s="59"/>
      <c r="I22" s="59"/>
      <c r="J22" s="58"/>
      <c r="K22" s="58"/>
      <c r="L22" s="381">
        <f t="shared" si="0"/>
        <v>0</v>
      </c>
    </row>
    <row r="23" spans="1:12" x14ac:dyDescent="0.35">
      <c r="A23" s="40" t="s">
        <v>39</v>
      </c>
      <c r="B23" s="133">
        <v>164325803</v>
      </c>
      <c r="C23" s="133">
        <v>84563147</v>
      </c>
      <c r="D23" s="56">
        <v>113001655</v>
      </c>
      <c r="E23" s="56">
        <v>68649438</v>
      </c>
      <c r="F23" s="56">
        <v>33266006</v>
      </c>
      <c r="G23" s="56">
        <v>50529156</v>
      </c>
      <c r="H23" s="56">
        <v>12604690</v>
      </c>
      <c r="I23" s="56">
        <v>10739416</v>
      </c>
      <c r="J23" s="58">
        <v>46.67</v>
      </c>
      <c r="K23" s="58">
        <v>88.57</v>
      </c>
      <c r="L23" s="381">
        <f t="shared" si="0"/>
        <v>0.18320794227677648</v>
      </c>
    </row>
    <row r="24" spans="1:12" x14ac:dyDescent="0.35">
      <c r="A24" s="40" t="s">
        <v>40</v>
      </c>
      <c r="B24" s="133">
        <v>97740801</v>
      </c>
      <c r="C24" s="133">
        <v>72054969</v>
      </c>
      <c r="D24" s="56">
        <v>71228815</v>
      </c>
      <c r="E24" s="56">
        <v>41452879</v>
      </c>
      <c r="F24" s="56">
        <v>11302158</v>
      </c>
      <c r="G24" s="56">
        <v>20251212</v>
      </c>
      <c r="H24" s="56">
        <v>11620598</v>
      </c>
      <c r="I24" s="56">
        <v>1512848</v>
      </c>
      <c r="J24" s="58">
        <v>28.8</v>
      </c>
      <c r="K24" s="58">
        <v>81.2</v>
      </c>
      <c r="L24" s="381">
        <f t="shared" si="0"/>
        <v>0.11548224339690592</v>
      </c>
    </row>
    <row r="25" spans="1:12" x14ac:dyDescent="0.35">
      <c r="A25" s="40" t="s">
        <v>41</v>
      </c>
      <c r="B25" s="133">
        <v>8312087</v>
      </c>
      <c r="C25" s="133">
        <v>6634922</v>
      </c>
      <c r="D25" s="56">
        <v>5983230</v>
      </c>
      <c r="E25" s="56">
        <v>4384921</v>
      </c>
      <c r="F25" s="56">
        <v>1402340</v>
      </c>
      <c r="G25" s="56">
        <v>4205062</v>
      </c>
      <c r="H25" s="56">
        <v>324400</v>
      </c>
      <c r="I25" s="59"/>
      <c r="J25" s="58">
        <v>27.9</v>
      </c>
      <c r="K25" s="58">
        <v>90.13</v>
      </c>
      <c r="L25" s="381">
        <f t="shared" si="0"/>
        <v>9.7005239124035598E-3</v>
      </c>
    </row>
    <row r="26" spans="1:12" x14ac:dyDescent="0.35">
      <c r="A26" s="40" t="s">
        <v>42</v>
      </c>
      <c r="B26" s="133">
        <v>62471603</v>
      </c>
      <c r="C26" s="133">
        <v>37533470</v>
      </c>
      <c r="D26" s="56">
        <v>58159973</v>
      </c>
      <c r="E26" s="56">
        <v>43982530</v>
      </c>
      <c r="F26" s="56">
        <v>18082695</v>
      </c>
      <c r="G26" s="56">
        <v>25194407</v>
      </c>
      <c r="H26" s="56">
        <v>8665411</v>
      </c>
      <c r="I26" s="56">
        <v>3784526</v>
      </c>
      <c r="J26" s="58">
        <v>40.08</v>
      </c>
      <c r="K26" s="58">
        <v>75.040000000000006</v>
      </c>
      <c r="L26" s="381">
        <f t="shared" si="0"/>
        <v>9.4293919643945734E-2</v>
      </c>
    </row>
    <row r="27" spans="1:12" x14ac:dyDescent="0.35">
      <c r="A27" s="40" t="s">
        <v>43</v>
      </c>
      <c r="B27" s="133">
        <v>20689001</v>
      </c>
      <c r="C27" s="133">
        <v>15159978</v>
      </c>
      <c r="D27" s="56">
        <v>8013772</v>
      </c>
      <c r="E27" s="56">
        <v>7253411</v>
      </c>
      <c r="F27" s="56">
        <v>1329418</v>
      </c>
      <c r="G27" s="56">
        <v>6812135</v>
      </c>
      <c r="H27" s="56">
        <v>1371493</v>
      </c>
      <c r="I27" s="59"/>
      <c r="J27" s="58">
        <v>16.989999999999998</v>
      </c>
      <c r="K27" s="58">
        <v>104.6</v>
      </c>
      <c r="L27" s="381">
        <f t="shared" si="0"/>
        <v>1.2992612170107134E-2</v>
      </c>
    </row>
    <row r="28" spans="1:12" ht="13.15" x14ac:dyDescent="0.4">
      <c r="A28" s="45" t="s">
        <v>44</v>
      </c>
      <c r="B28" s="135">
        <f t="shared" ref="B28:I28" si="1">SUM(B3:B27)</f>
        <v>792350218</v>
      </c>
      <c r="C28" s="135">
        <f t="shared" si="1"/>
        <v>462608730</v>
      </c>
      <c r="D28" s="135">
        <f t="shared" si="1"/>
        <v>616794521</v>
      </c>
      <c r="E28" s="135">
        <f t="shared" si="1"/>
        <v>365709923</v>
      </c>
      <c r="F28" s="135">
        <f t="shared" si="1"/>
        <v>151809315</v>
      </c>
      <c r="G28" s="135">
        <f t="shared" si="1"/>
        <v>232316115</v>
      </c>
      <c r="H28" s="135">
        <f t="shared" si="1"/>
        <v>74502665</v>
      </c>
      <c r="I28" s="135">
        <f t="shared" si="1"/>
        <v>43275668</v>
      </c>
      <c r="J28" s="74"/>
      <c r="K28" s="74"/>
      <c r="L28" s="69"/>
    </row>
    <row r="29" spans="1:12" x14ac:dyDescent="0.35">
      <c r="B29" s="136"/>
      <c r="C29" s="136"/>
      <c r="D29" s="136"/>
      <c r="E29" s="136"/>
      <c r="F29" s="136"/>
      <c r="G29" s="136"/>
      <c r="H29" s="136"/>
      <c r="I29" s="136"/>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tabColor rgb="FF7030A0"/>
  </sheetPr>
  <dimension ref="A1:L28"/>
  <sheetViews>
    <sheetView topLeftCell="A7" workbookViewId="0">
      <selection activeCell="B19" sqref="B19"/>
    </sheetView>
  </sheetViews>
  <sheetFormatPr defaultRowHeight="12.75" x14ac:dyDescent="0.35"/>
  <cols>
    <col min="1" max="1" width="40.73046875" bestFit="1" customWidth="1"/>
    <col min="2" max="3" width="23.3984375" customWidth="1"/>
    <col min="4" max="4" width="16.3984375" customWidth="1"/>
    <col min="5" max="5" width="15" customWidth="1"/>
    <col min="6" max="6" width="14" bestFit="1" customWidth="1"/>
    <col min="7" max="7" width="16.265625" customWidth="1"/>
    <col min="8" max="8" width="15.3984375" customWidth="1"/>
    <col min="9" max="9" width="13.73046875" customWidth="1"/>
  </cols>
  <sheetData>
    <row r="1" spans="1:12" s="6" customFormat="1" x14ac:dyDescent="0.35">
      <c r="A1" s="18" t="s">
        <v>55</v>
      </c>
      <c r="B1" s="18"/>
      <c r="C1" s="18"/>
      <c r="D1" s="5"/>
      <c r="E1" s="5"/>
      <c r="F1" s="5"/>
      <c r="G1" s="5"/>
      <c r="H1" s="5"/>
      <c r="I1" s="5"/>
      <c r="J1" s="5"/>
      <c r="K1" s="5"/>
      <c r="L1" s="5"/>
    </row>
    <row r="2" spans="1:12" s="16" customFormat="1" ht="25.5" x14ac:dyDescent="0.35">
      <c r="A2" s="12" t="s">
        <v>8</v>
      </c>
      <c r="B2" s="12" t="s">
        <v>9</v>
      </c>
      <c r="C2" s="12" t="s">
        <v>10</v>
      </c>
      <c r="D2" s="12" t="s">
        <v>11</v>
      </c>
      <c r="E2" s="12" t="s">
        <v>12</v>
      </c>
      <c r="F2" s="12" t="s">
        <v>13</v>
      </c>
      <c r="G2" s="12" t="s">
        <v>14</v>
      </c>
      <c r="H2" s="12" t="s">
        <v>15</v>
      </c>
      <c r="I2" s="12" t="s">
        <v>16</v>
      </c>
      <c r="J2" s="12" t="s">
        <v>17</v>
      </c>
      <c r="K2" s="12" t="s">
        <v>18</v>
      </c>
      <c r="L2" s="12" t="s">
        <v>19</v>
      </c>
    </row>
    <row r="3" spans="1:12" x14ac:dyDescent="0.35">
      <c r="A3" s="40" t="s">
        <v>20</v>
      </c>
      <c r="B3" s="133">
        <v>56096878</v>
      </c>
      <c r="C3" s="133">
        <v>9039789</v>
      </c>
      <c r="D3" s="56">
        <v>10992032</v>
      </c>
      <c r="E3" s="56">
        <v>3644249</v>
      </c>
      <c r="F3" s="57">
        <v>2030134</v>
      </c>
      <c r="G3" s="56">
        <v>3492059</v>
      </c>
      <c r="H3" s="56">
        <v>1529360</v>
      </c>
      <c r="I3" s="56">
        <v>1857660</v>
      </c>
      <c r="J3" s="77">
        <v>94.53</v>
      </c>
      <c r="K3" s="77">
        <v>233.81</v>
      </c>
      <c r="L3" s="382">
        <f t="shared" ref="L3:L27" si="0">D3/$D$28</f>
        <v>4.4592132103060331E-2</v>
      </c>
    </row>
    <row r="4" spans="1:12" x14ac:dyDescent="0.35">
      <c r="A4" s="40" t="s">
        <v>21</v>
      </c>
      <c r="B4" s="133">
        <v>14796915</v>
      </c>
      <c r="C4" s="133">
        <v>7806854</v>
      </c>
      <c r="D4" s="56">
        <v>5031476</v>
      </c>
      <c r="E4" s="56">
        <v>3293665</v>
      </c>
      <c r="F4" s="57">
        <v>1154144</v>
      </c>
      <c r="G4" s="56">
        <v>1063889</v>
      </c>
      <c r="H4" s="56">
        <v>394649</v>
      </c>
      <c r="I4" s="56">
        <v>653676</v>
      </c>
      <c r="J4" s="77">
        <v>59.72</v>
      </c>
      <c r="K4" s="77">
        <v>75.47</v>
      </c>
      <c r="L4" s="382">
        <f t="shared" si="0"/>
        <v>2.0411534688525065E-2</v>
      </c>
    </row>
    <row r="5" spans="1:12" x14ac:dyDescent="0.35">
      <c r="A5" s="40" t="s">
        <v>22</v>
      </c>
      <c r="B5" s="133">
        <v>32646455</v>
      </c>
      <c r="C5" s="133">
        <v>23164981</v>
      </c>
      <c r="D5" s="56">
        <v>4329392</v>
      </c>
      <c r="E5" s="56">
        <v>3660295</v>
      </c>
      <c r="F5" s="57">
        <v>131483</v>
      </c>
      <c r="G5" s="56">
        <v>1458090</v>
      </c>
      <c r="H5" s="56">
        <v>761162</v>
      </c>
      <c r="I5" s="56">
        <v>191360</v>
      </c>
      <c r="J5" s="77">
        <v>4.8099999999999996</v>
      </c>
      <c r="K5" s="77">
        <v>81.25</v>
      </c>
      <c r="L5" s="382">
        <f t="shared" si="0"/>
        <v>1.7563342245540459E-2</v>
      </c>
    </row>
    <row r="6" spans="1:12" x14ac:dyDescent="0.35">
      <c r="A6" s="40" t="s">
        <v>23</v>
      </c>
      <c r="B6" s="133">
        <v>95235199</v>
      </c>
      <c r="C6" s="133">
        <v>42713904</v>
      </c>
      <c r="D6" s="56">
        <v>28856203</v>
      </c>
      <c r="E6" s="56">
        <v>20676539</v>
      </c>
      <c r="F6" s="57">
        <v>10229321</v>
      </c>
      <c r="G6" s="56">
        <v>4463520</v>
      </c>
      <c r="H6" s="56">
        <v>4093408</v>
      </c>
      <c r="I6" s="56">
        <v>2399317</v>
      </c>
      <c r="J6" s="77">
        <v>55.36</v>
      </c>
      <c r="K6" s="77">
        <v>46.31</v>
      </c>
      <c r="L6" s="382">
        <f t="shared" si="0"/>
        <v>0.11706294306355056</v>
      </c>
    </row>
    <row r="7" spans="1:12" x14ac:dyDescent="0.35">
      <c r="A7" s="40" t="s">
        <v>24</v>
      </c>
      <c r="B7" s="133">
        <v>23471554</v>
      </c>
      <c r="C7" s="133">
        <v>13254531</v>
      </c>
      <c r="D7" s="56">
        <v>6031322</v>
      </c>
      <c r="E7" s="56">
        <v>4827201</v>
      </c>
      <c r="F7" s="57">
        <v>1115316</v>
      </c>
      <c r="G7" s="56">
        <v>1717544</v>
      </c>
      <c r="H7" s="56">
        <v>704729</v>
      </c>
      <c r="I7" s="59"/>
      <c r="J7" s="77">
        <v>31.01</v>
      </c>
      <c r="K7" s="77">
        <v>67.349999999999994</v>
      </c>
      <c r="L7" s="382">
        <f t="shared" si="0"/>
        <v>2.4467678713098181E-2</v>
      </c>
    </row>
    <row r="8" spans="1:12" x14ac:dyDescent="0.35">
      <c r="A8" s="40" t="s">
        <v>25</v>
      </c>
      <c r="B8" s="133">
        <v>77547574</v>
      </c>
      <c r="C8" s="133">
        <v>68457724</v>
      </c>
      <c r="D8" s="56">
        <v>9432166</v>
      </c>
      <c r="E8" s="56">
        <v>4509076</v>
      </c>
      <c r="F8" s="57">
        <v>1947907</v>
      </c>
      <c r="G8" s="56">
        <v>1200421</v>
      </c>
      <c r="H8" s="56">
        <v>1591370</v>
      </c>
      <c r="I8" s="56">
        <v>1479142</v>
      </c>
      <c r="J8" s="77">
        <v>93.44</v>
      </c>
      <c r="K8" s="77">
        <v>133.91999999999999</v>
      </c>
      <c r="L8" s="382">
        <f t="shared" si="0"/>
        <v>3.8264116433612466E-2</v>
      </c>
    </row>
    <row r="9" spans="1:12" x14ac:dyDescent="0.35">
      <c r="A9" s="40" t="s">
        <v>26</v>
      </c>
      <c r="B9" s="133">
        <v>31762022</v>
      </c>
      <c r="C9" s="133">
        <v>25924492</v>
      </c>
      <c r="D9" s="56">
        <v>11215277</v>
      </c>
      <c r="E9" s="56">
        <v>6145357</v>
      </c>
      <c r="F9" s="57">
        <v>3831752</v>
      </c>
      <c r="G9" s="56">
        <v>2081138</v>
      </c>
      <c r="H9" s="56">
        <v>804268</v>
      </c>
      <c r="I9" s="56">
        <v>1476234</v>
      </c>
      <c r="J9" s="77">
        <v>119.77</v>
      </c>
      <c r="K9" s="77">
        <v>90.19</v>
      </c>
      <c r="L9" s="382">
        <f t="shared" si="0"/>
        <v>4.5497785446441036E-2</v>
      </c>
    </row>
    <row r="10" spans="1:12" x14ac:dyDescent="0.35">
      <c r="A10" s="40" t="s">
        <v>27</v>
      </c>
      <c r="B10" s="133">
        <v>8100895</v>
      </c>
      <c r="C10" s="133">
        <v>1817060</v>
      </c>
      <c r="D10" s="56">
        <v>1890082</v>
      </c>
      <c r="E10" s="56">
        <v>1523040</v>
      </c>
      <c r="F10" s="57">
        <v>491329</v>
      </c>
      <c r="G10" s="56">
        <v>968114</v>
      </c>
      <c r="H10" s="56">
        <v>311864</v>
      </c>
      <c r="I10" s="56">
        <v>128465</v>
      </c>
      <c r="J10" s="77">
        <v>15.46</v>
      </c>
      <c r="K10" s="77">
        <v>40.28</v>
      </c>
      <c r="L10" s="382">
        <f t="shared" si="0"/>
        <v>7.6676256245993887E-3</v>
      </c>
    </row>
    <row r="11" spans="1:12" x14ac:dyDescent="0.35">
      <c r="A11" s="40" t="s">
        <v>28</v>
      </c>
      <c r="B11" s="133">
        <v>63413049</v>
      </c>
      <c r="C11" s="133">
        <v>38267312</v>
      </c>
      <c r="D11" s="56">
        <v>23524076</v>
      </c>
      <c r="E11" s="56">
        <v>10944757</v>
      </c>
      <c r="F11" s="57">
        <v>4413149</v>
      </c>
      <c r="G11" s="56">
        <v>4766851</v>
      </c>
      <c r="H11" s="56">
        <v>2021909</v>
      </c>
      <c r="I11" s="56">
        <v>1555437</v>
      </c>
      <c r="J11" s="77">
        <v>38.81</v>
      </c>
      <c r="K11" s="77">
        <v>59.7</v>
      </c>
      <c r="L11" s="382">
        <f t="shared" si="0"/>
        <v>9.5431736788469224E-2</v>
      </c>
    </row>
    <row r="12" spans="1:12" x14ac:dyDescent="0.35">
      <c r="A12" s="40" t="s">
        <v>46</v>
      </c>
      <c r="B12" s="133">
        <v>14311231</v>
      </c>
      <c r="C12" s="133">
        <v>6655179</v>
      </c>
      <c r="D12" s="56">
        <v>1536595</v>
      </c>
      <c r="E12" s="56">
        <v>1365360</v>
      </c>
      <c r="F12" s="57">
        <v>4362</v>
      </c>
      <c r="G12" s="56">
        <v>768936</v>
      </c>
      <c r="H12" s="56">
        <v>255300</v>
      </c>
      <c r="I12" s="56">
        <v>97901</v>
      </c>
      <c r="J12" s="77">
        <v>0.49</v>
      </c>
      <c r="K12" s="77">
        <v>115.7</v>
      </c>
      <c r="L12" s="382">
        <f t="shared" si="0"/>
        <v>6.233610603471859E-3</v>
      </c>
    </row>
    <row r="13" spans="1:12" x14ac:dyDescent="0.35">
      <c r="A13" s="40" t="s">
        <v>29</v>
      </c>
      <c r="B13" s="133">
        <v>13410837</v>
      </c>
      <c r="C13" s="133">
        <v>11410914</v>
      </c>
      <c r="D13" s="56">
        <v>2654824</v>
      </c>
      <c r="E13" s="56">
        <v>2226268</v>
      </c>
      <c r="F13" s="57">
        <v>517248</v>
      </c>
      <c r="G13" s="56">
        <v>895543</v>
      </c>
      <c r="H13" s="56">
        <v>174198</v>
      </c>
      <c r="I13" s="59"/>
      <c r="J13" s="77">
        <v>25.34</v>
      </c>
      <c r="K13" s="77">
        <v>52.41</v>
      </c>
      <c r="L13" s="382">
        <f t="shared" si="0"/>
        <v>1.077000708498438E-2</v>
      </c>
    </row>
    <row r="14" spans="1:12" x14ac:dyDescent="0.35">
      <c r="A14" s="40" t="s">
        <v>30</v>
      </c>
      <c r="B14" s="133">
        <v>7986971</v>
      </c>
      <c r="C14" s="133">
        <v>5347693</v>
      </c>
      <c r="D14" s="56">
        <v>2529766</v>
      </c>
      <c r="E14" s="56">
        <v>2339327</v>
      </c>
      <c r="F14" s="57">
        <v>381247</v>
      </c>
      <c r="G14" s="56">
        <v>858257</v>
      </c>
      <c r="H14" s="56">
        <v>595519</v>
      </c>
      <c r="I14" s="56">
        <v>77598</v>
      </c>
      <c r="J14" s="77">
        <v>25.08</v>
      </c>
      <c r="K14" s="77">
        <v>95.62</v>
      </c>
      <c r="L14" s="382">
        <f t="shared" si="0"/>
        <v>1.0262675696525494E-2</v>
      </c>
    </row>
    <row r="15" spans="1:12" x14ac:dyDescent="0.35">
      <c r="A15" s="40" t="s">
        <v>31</v>
      </c>
      <c r="B15" s="133">
        <v>19540082</v>
      </c>
      <c r="C15" s="133">
        <v>12836327</v>
      </c>
      <c r="D15" s="56">
        <v>2746197</v>
      </c>
      <c r="E15" s="56">
        <v>2161073</v>
      </c>
      <c r="F15" s="57">
        <v>257404</v>
      </c>
      <c r="G15" s="56">
        <v>1253562</v>
      </c>
      <c r="H15" s="56">
        <v>335198</v>
      </c>
      <c r="I15" s="56">
        <v>133459</v>
      </c>
      <c r="J15" s="77">
        <v>23.27</v>
      </c>
      <c r="K15" s="77">
        <v>143.63</v>
      </c>
      <c r="L15" s="382">
        <f t="shared" si="0"/>
        <v>1.1140686217528112E-2</v>
      </c>
    </row>
    <row r="16" spans="1:12" x14ac:dyDescent="0.35">
      <c r="A16" s="40" t="s">
        <v>32</v>
      </c>
      <c r="B16" s="133">
        <v>50351490</v>
      </c>
      <c r="C16" s="133">
        <v>35804415</v>
      </c>
      <c r="D16" s="56">
        <v>9068354</v>
      </c>
      <c r="E16" s="56">
        <v>6262413</v>
      </c>
      <c r="F16" s="57">
        <v>1827917</v>
      </c>
      <c r="G16" s="56">
        <v>3127673</v>
      </c>
      <c r="H16" s="56">
        <v>928965</v>
      </c>
      <c r="I16" s="56">
        <v>907991</v>
      </c>
      <c r="J16" s="77">
        <v>38.76</v>
      </c>
      <c r="K16" s="77">
        <v>86.03</v>
      </c>
      <c r="L16" s="382">
        <f t="shared" si="0"/>
        <v>3.6788215274966042E-2</v>
      </c>
    </row>
    <row r="17" spans="1:12" x14ac:dyDescent="0.35">
      <c r="A17" s="40" t="s">
        <v>33</v>
      </c>
      <c r="B17" s="133">
        <v>7325001</v>
      </c>
      <c r="C17" s="133">
        <v>1067066</v>
      </c>
      <c r="D17" s="56">
        <v>2877335</v>
      </c>
      <c r="E17" s="56">
        <v>2171595</v>
      </c>
      <c r="F17" s="57">
        <v>155224</v>
      </c>
      <c r="G17" s="56">
        <v>969669</v>
      </c>
      <c r="H17" s="56">
        <v>310099</v>
      </c>
      <c r="I17" s="56">
        <v>254760</v>
      </c>
      <c r="J17" s="77">
        <v>23.53</v>
      </c>
      <c r="K17" s="77">
        <v>194.01</v>
      </c>
      <c r="L17" s="382">
        <f t="shared" si="0"/>
        <v>1.1672682760090135E-2</v>
      </c>
    </row>
    <row r="18" spans="1:12" x14ac:dyDescent="0.35">
      <c r="A18" s="40" t="s">
        <v>34</v>
      </c>
      <c r="B18" s="133">
        <v>13418249</v>
      </c>
      <c r="C18" s="133">
        <v>10047027</v>
      </c>
      <c r="D18" s="56">
        <v>818842</v>
      </c>
      <c r="E18" s="56">
        <v>692678</v>
      </c>
      <c r="F18" s="57">
        <v>81328</v>
      </c>
      <c r="G18" s="56">
        <v>498488</v>
      </c>
      <c r="H18" s="56">
        <v>81432</v>
      </c>
      <c r="I18" s="56">
        <v>45156</v>
      </c>
      <c r="J18" s="77">
        <v>15.1</v>
      </c>
      <c r="K18" s="77">
        <v>107.7</v>
      </c>
      <c r="L18" s="382">
        <f t="shared" si="0"/>
        <v>3.3218526506777024E-3</v>
      </c>
    </row>
    <row r="19" spans="1:12" x14ac:dyDescent="0.35">
      <c r="A19" s="40" t="s">
        <v>35</v>
      </c>
      <c r="B19" s="133">
        <v>26793549</v>
      </c>
      <c r="C19" s="133">
        <v>13712889</v>
      </c>
      <c r="D19" s="56">
        <v>4639883</v>
      </c>
      <c r="E19" s="56">
        <v>4097974</v>
      </c>
      <c r="F19" s="57">
        <v>343585</v>
      </c>
      <c r="G19" s="56">
        <v>1587229</v>
      </c>
      <c r="H19" s="56">
        <v>485228</v>
      </c>
      <c r="I19" s="56">
        <v>222814</v>
      </c>
      <c r="J19" s="77">
        <v>14.66</v>
      </c>
      <c r="K19" s="77">
        <v>88.4</v>
      </c>
      <c r="L19" s="382">
        <f t="shared" si="0"/>
        <v>1.8822932436763636E-2</v>
      </c>
    </row>
    <row r="20" spans="1:12" x14ac:dyDescent="0.35">
      <c r="A20" s="40" t="s">
        <v>36</v>
      </c>
      <c r="B20" s="133">
        <v>21320220</v>
      </c>
      <c r="C20" s="133">
        <v>4403988</v>
      </c>
      <c r="D20" s="56">
        <v>5209725</v>
      </c>
      <c r="E20" s="56">
        <v>4447466</v>
      </c>
      <c r="F20" s="57">
        <v>1517723</v>
      </c>
      <c r="G20" s="56">
        <v>2484596</v>
      </c>
      <c r="H20" s="56">
        <v>820541</v>
      </c>
      <c r="I20" s="56">
        <v>233710</v>
      </c>
      <c r="J20" s="77">
        <v>33.21</v>
      </c>
      <c r="K20" s="77">
        <v>72.33</v>
      </c>
      <c r="L20" s="382">
        <f t="shared" si="0"/>
        <v>2.1134649664467493E-2</v>
      </c>
    </row>
    <row r="21" spans="1:12" x14ac:dyDescent="0.35">
      <c r="A21" s="40" t="s">
        <v>37</v>
      </c>
      <c r="B21" s="133">
        <v>15220483</v>
      </c>
      <c r="C21" s="133">
        <v>8139428</v>
      </c>
      <c r="D21" s="56">
        <v>5464538</v>
      </c>
      <c r="E21" s="56">
        <v>4599710</v>
      </c>
      <c r="F21" s="57">
        <v>713725</v>
      </c>
      <c r="G21" s="56">
        <v>1446774</v>
      </c>
      <c r="H21" s="56">
        <v>656477</v>
      </c>
      <c r="I21" s="56">
        <v>320622</v>
      </c>
      <c r="J21" s="77">
        <v>26.61</v>
      </c>
      <c r="K21" s="77">
        <v>78.42</v>
      </c>
      <c r="L21" s="382">
        <f t="shared" si="0"/>
        <v>2.2168367084283696E-2</v>
      </c>
    </row>
    <row r="22" spans="1:12" x14ac:dyDescent="0.35">
      <c r="A22" s="40" t="s">
        <v>38</v>
      </c>
      <c r="B22" s="133">
        <v>16434748</v>
      </c>
      <c r="C22" s="133">
        <v>5361583</v>
      </c>
      <c r="D22" s="56">
        <v>5171513</v>
      </c>
      <c r="E22" s="56">
        <v>1747315</v>
      </c>
      <c r="F22" s="57">
        <v>773784</v>
      </c>
      <c r="G22" s="56">
        <v>1078956</v>
      </c>
      <c r="H22" s="56">
        <v>702861</v>
      </c>
      <c r="I22" s="56">
        <v>676918</v>
      </c>
      <c r="J22" s="77">
        <v>38.43</v>
      </c>
      <c r="K22" s="77">
        <v>88.5</v>
      </c>
      <c r="L22" s="382">
        <f t="shared" si="0"/>
        <v>2.0979632416344297E-2</v>
      </c>
    </row>
    <row r="23" spans="1:12" x14ac:dyDescent="0.35">
      <c r="A23" s="40" t="s">
        <v>39</v>
      </c>
      <c r="B23" s="133">
        <v>156812754</v>
      </c>
      <c r="C23" s="133">
        <v>72535369</v>
      </c>
      <c r="D23" s="56">
        <v>44718092</v>
      </c>
      <c r="E23" s="56">
        <v>14677800</v>
      </c>
      <c r="F23" s="57">
        <v>10134470</v>
      </c>
      <c r="G23" s="56">
        <v>10497984</v>
      </c>
      <c r="H23" s="56">
        <v>6538670</v>
      </c>
      <c r="I23" s="56">
        <v>4265547</v>
      </c>
      <c r="J23" s="77">
        <v>50.93</v>
      </c>
      <c r="K23" s="77">
        <v>85.62</v>
      </c>
      <c r="L23" s="382">
        <f t="shared" si="0"/>
        <v>0.18141095894378811</v>
      </c>
    </row>
    <row r="24" spans="1:12" x14ac:dyDescent="0.35">
      <c r="A24" s="40" t="s">
        <v>40</v>
      </c>
      <c r="B24" s="133">
        <v>105529511</v>
      </c>
      <c r="C24" s="133">
        <v>88207883</v>
      </c>
      <c r="D24" s="56">
        <v>29844820</v>
      </c>
      <c r="E24" s="56">
        <v>18186774</v>
      </c>
      <c r="F24" s="57">
        <v>4185555</v>
      </c>
      <c r="G24" s="56">
        <v>6370504</v>
      </c>
      <c r="H24" s="56">
        <v>4392831</v>
      </c>
      <c r="I24" s="56">
        <v>1806551</v>
      </c>
      <c r="J24" s="77">
        <v>25.72</v>
      </c>
      <c r="K24" s="77">
        <v>66.13</v>
      </c>
      <c r="L24" s="382">
        <f t="shared" si="0"/>
        <v>0.12107353363163945</v>
      </c>
    </row>
    <row r="25" spans="1:12" x14ac:dyDescent="0.35">
      <c r="A25" s="40" t="s">
        <v>41</v>
      </c>
      <c r="B25" s="133">
        <v>7968015</v>
      </c>
      <c r="C25" s="133">
        <v>6354852</v>
      </c>
      <c r="D25" s="56">
        <v>1588001</v>
      </c>
      <c r="E25" s="56">
        <v>1508315</v>
      </c>
      <c r="F25" s="57">
        <v>658269</v>
      </c>
      <c r="G25" s="56">
        <v>1010754</v>
      </c>
      <c r="H25" s="56">
        <v>176025</v>
      </c>
      <c r="I25" s="59"/>
      <c r="J25" s="77">
        <v>52.07</v>
      </c>
      <c r="K25" s="77">
        <v>93.88</v>
      </c>
      <c r="L25" s="382">
        <f t="shared" si="0"/>
        <v>6.4421528587063704E-3</v>
      </c>
    </row>
    <row r="26" spans="1:12" x14ac:dyDescent="0.35">
      <c r="A26" s="40" t="s">
        <v>42</v>
      </c>
      <c r="B26" s="133">
        <v>74240605</v>
      </c>
      <c r="C26" s="133">
        <v>46408078</v>
      </c>
      <c r="D26" s="56">
        <v>23207064</v>
      </c>
      <c r="E26" s="56">
        <v>17790262</v>
      </c>
      <c r="F26" s="57">
        <v>5054086</v>
      </c>
      <c r="G26" s="56">
        <v>4900886</v>
      </c>
      <c r="H26" s="56">
        <v>4056736</v>
      </c>
      <c r="I26" s="56">
        <v>1739324</v>
      </c>
      <c r="J26" s="77">
        <v>35.89</v>
      </c>
      <c r="K26" s="77">
        <v>63.6</v>
      </c>
      <c r="L26" s="382">
        <f t="shared" si="0"/>
        <v>9.4145692408116682E-2</v>
      </c>
    </row>
    <row r="27" spans="1:12" x14ac:dyDescent="0.35">
      <c r="A27" s="40" t="s">
        <v>43</v>
      </c>
      <c r="B27" s="133">
        <v>21476809</v>
      </c>
      <c r="C27" s="133">
        <v>16004747</v>
      </c>
      <c r="D27" s="56">
        <v>3124027</v>
      </c>
      <c r="E27" s="56">
        <v>2419452</v>
      </c>
      <c r="F27" s="57">
        <v>609384</v>
      </c>
      <c r="G27" s="56">
        <v>1612260</v>
      </c>
      <c r="H27" s="56">
        <v>352622</v>
      </c>
      <c r="I27" s="59"/>
      <c r="J27" s="77">
        <v>35.61</v>
      </c>
      <c r="K27" s="77">
        <v>114.82</v>
      </c>
      <c r="L27" s="382">
        <f t="shared" si="0"/>
        <v>1.2673455160749827E-2</v>
      </c>
    </row>
    <row r="28" spans="1:12" ht="13.15" x14ac:dyDescent="0.4">
      <c r="A28" s="45" t="s">
        <v>44</v>
      </c>
      <c r="B28" s="134">
        <f t="shared" ref="B28:I28" si="1">SUM(B3:B27)</f>
        <v>975211096</v>
      </c>
      <c r="C28" s="134">
        <f t="shared" si="1"/>
        <v>574744085</v>
      </c>
      <c r="D28" s="60">
        <f t="shared" si="1"/>
        <v>246501602</v>
      </c>
      <c r="E28" s="60">
        <f t="shared" si="1"/>
        <v>145917961</v>
      </c>
      <c r="F28" s="60">
        <f t="shared" si="1"/>
        <v>52559846</v>
      </c>
      <c r="G28" s="60">
        <f t="shared" si="1"/>
        <v>60573697</v>
      </c>
      <c r="H28" s="60">
        <f t="shared" si="1"/>
        <v>33075421</v>
      </c>
      <c r="I28" s="60">
        <f t="shared" si="1"/>
        <v>20523642</v>
      </c>
      <c r="J28" s="78"/>
      <c r="K28" s="78"/>
      <c r="L28" s="62"/>
    </row>
  </sheetData>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tabColor rgb="FF7030A0"/>
  </sheetPr>
  <dimension ref="A1:L28"/>
  <sheetViews>
    <sheetView topLeftCell="A6" workbookViewId="0"/>
  </sheetViews>
  <sheetFormatPr defaultRowHeight="12.75" x14ac:dyDescent="0.35"/>
  <cols>
    <col min="1" max="1" width="40.73046875" bestFit="1" customWidth="1"/>
    <col min="2" max="3" width="20.3984375" customWidth="1"/>
    <col min="4" max="4" width="16.265625" customWidth="1"/>
    <col min="5" max="5" width="12.73046875" customWidth="1"/>
    <col min="6" max="6" width="12.3984375" bestFit="1" customWidth="1"/>
    <col min="7" max="7" width="14.265625" customWidth="1"/>
    <col min="8" max="8" width="12.73046875" customWidth="1"/>
    <col min="9" max="9" width="12.265625" customWidth="1"/>
    <col min="10" max="10" width="11.265625" bestFit="1" customWidth="1"/>
    <col min="11" max="11" width="12.3984375" bestFit="1" customWidth="1"/>
  </cols>
  <sheetData>
    <row r="1" spans="1:12" x14ac:dyDescent="0.35">
      <c r="A1" s="18" t="s">
        <v>56</v>
      </c>
      <c r="B1" s="18"/>
      <c r="C1" s="18"/>
      <c r="D1" s="2"/>
      <c r="E1" s="2"/>
      <c r="F1" s="2"/>
      <c r="G1" s="2"/>
      <c r="H1" s="2"/>
      <c r="I1" s="2"/>
      <c r="J1" s="2"/>
      <c r="K1" s="2"/>
      <c r="L1" s="5"/>
    </row>
    <row r="2" spans="1:12" s="16" customFormat="1" ht="25.5" x14ac:dyDescent="0.35">
      <c r="A2" s="12" t="s">
        <v>8</v>
      </c>
      <c r="B2" s="12" t="s">
        <v>9</v>
      </c>
      <c r="C2" s="12" t="s">
        <v>10</v>
      </c>
      <c r="D2" s="12" t="s">
        <v>11</v>
      </c>
      <c r="E2" s="12" t="s">
        <v>12</v>
      </c>
      <c r="F2" s="12" t="s">
        <v>13</v>
      </c>
      <c r="G2" s="12" t="s">
        <v>14</v>
      </c>
      <c r="H2" s="12" t="s">
        <v>15</v>
      </c>
      <c r="I2" s="12" t="s">
        <v>16</v>
      </c>
      <c r="J2" s="12" t="s">
        <v>17</v>
      </c>
      <c r="K2" s="12" t="s">
        <v>18</v>
      </c>
      <c r="L2" s="12" t="s">
        <v>19</v>
      </c>
    </row>
    <row r="3" spans="1:12" x14ac:dyDescent="0.35">
      <c r="A3" s="40" t="s">
        <v>20</v>
      </c>
      <c r="B3" s="133">
        <v>82458248</v>
      </c>
      <c r="C3" s="133">
        <v>15466231</v>
      </c>
      <c r="D3" s="56">
        <v>21718057</v>
      </c>
      <c r="E3" s="56">
        <v>7795703</v>
      </c>
      <c r="F3" s="56">
        <v>7227067</v>
      </c>
      <c r="G3" s="56">
        <v>4098869</v>
      </c>
      <c r="H3" s="56">
        <v>1879511</v>
      </c>
      <c r="I3" s="56">
        <v>3245111</v>
      </c>
      <c r="J3" s="77">
        <v>106.88</v>
      </c>
      <c r="K3" s="77">
        <v>88.42</v>
      </c>
      <c r="L3" s="382">
        <f t="shared" ref="L3:L27" si="0">D3/$D$28</f>
        <v>4.9145000635875985E-2</v>
      </c>
    </row>
    <row r="4" spans="1:12" x14ac:dyDescent="0.35">
      <c r="A4" s="40" t="s">
        <v>21</v>
      </c>
      <c r="B4" s="133">
        <v>16101773</v>
      </c>
      <c r="C4" s="133">
        <v>6348334</v>
      </c>
      <c r="D4" s="56">
        <v>8683446</v>
      </c>
      <c r="E4" s="56">
        <v>5432161</v>
      </c>
      <c r="F4" s="56">
        <v>3172288</v>
      </c>
      <c r="G4" s="56">
        <v>2448495</v>
      </c>
      <c r="H4" s="56">
        <v>779571</v>
      </c>
      <c r="I4" s="56">
        <v>1631699</v>
      </c>
      <c r="J4" s="77">
        <v>86.89</v>
      </c>
      <c r="K4" s="77">
        <v>88.42</v>
      </c>
      <c r="L4" s="382">
        <f t="shared" si="0"/>
        <v>1.9649453871108027E-2</v>
      </c>
    </row>
    <row r="5" spans="1:12" x14ac:dyDescent="0.35">
      <c r="A5" s="40" t="s">
        <v>22</v>
      </c>
      <c r="B5" s="133">
        <v>27878039</v>
      </c>
      <c r="C5" s="133">
        <v>19020119</v>
      </c>
      <c r="D5" s="56">
        <v>8486110</v>
      </c>
      <c r="E5" s="56">
        <v>6613910</v>
      </c>
      <c r="F5" s="56">
        <v>2248882</v>
      </c>
      <c r="G5" s="56">
        <v>3346295</v>
      </c>
      <c r="H5" s="56">
        <v>1251936</v>
      </c>
      <c r="I5" s="56">
        <v>412821</v>
      </c>
      <c r="J5" s="77">
        <v>34.57</v>
      </c>
      <c r="K5" s="77">
        <v>70.69</v>
      </c>
      <c r="L5" s="382">
        <f t="shared" si="0"/>
        <v>1.920290941984882E-2</v>
      </c>
    </row>
    <row r="6" spans="1:12" x14ac:dyDescent="0.35">
      <c r="A6" s="40" t="s">
        <v>23</v>
      </c>
      <c r="B6" s="133">
        <v>151051480</v>
      </c>
      <c r="C6" s="133">
        <v>45062558</v>
      </c>
      <c r="D6" s="56">
        <v>54333630</v>
      </c>
      <c r="E6" s="56">
        <v>38675311</v>
      </c>
      <c r="F6" s="56">
        <v>21546634</v>
      </c>
      <c r="G6" s="56">
        <v>8484680</v>
      </c>
      <c r="H6" s="56">
        <v>7740934</v>
      </c>
      <c r="I6" s="56">
        <v>4424202</v>
      </c>
      <c r="J6" s="77">
        <v>60.57</v>
      </c>
      <c r="K6" s="77">
        <v>45.61</v>
      </c>
      <c r="L6" s="382">
        <f t="shared" si="0"/>
        <v>0.12294959355247344</v>
      </c>
    </row>
    <row r="7" spans="1:12" x14ac:dyDescent="0.35">
      <c r="A7" s="40" t="s">
        <v>24</v>
      </c>
      <c r="B7" s="133">
        <v>27308327</v>
      </c>
      <c r="C7" s="133">
        <v>14064038</v>
      </c>
      <c r="D7" s="56">
        <v>11795588</v>
      </c>
      <c r="E7" s="56">
        <v>9684377</v>
      </c>
      <c r="F7" s="56">
        <v>1915127</v>
      </c>
      <c r="G7" s="56">
        <v>3235112</v>
      </c>
      <c r="H7" s="56">
        <v>1900788</v>
      </c>
      <c r="I7" s="59"/>
      <c r="J7" s="77">
        <v>26.8</v>
      </c>
      <c r="K7" s="77">
        <v>71.88</v>
      </c>
      <c r="L7" s="382">
        <f t="shared" si="0"/>
        <v>2.6691806719198276E-2</v>
      </c>
    </row>
    <row r="8" spans="1:12" x14ac:dyDescent="0.35">
      <c r="A8" s="40" t="s">
        <v>25</v>
      </c>
      <c r="B8" s="133">
        <v>79434531</v>
      </c>
      <c r="C8" s="133">
        <v>74987013</v>
      </c>
      <c r="D8" s="56">
        <v>12222905</v>
      </c>
      <c r="E8" s="56">
        <v>6018085</v>
      </c>
      <c r="F8" s="56">
        <v>5742529</v>
      </c>
      <c r="G8" s="56">
        <v>2661632</v>
      </c>
      <c r="H8" s="56">
        <v>2173285</v>
      </c>
      <c r="I8" s="56">
        <v>1779157</v>
      </c>
      <c r="J8" s="77">
        <v>138.15</v>
      </c>
      <c r="K8" s="77">
        <v>116.32</v>
      </c>
      <c r="L8" s="382">
        <f t="shared" si="0"/>
        <v>2.7658766803920432E-2</v>
      </c>
    </row>
    <row r="9" spans="1:12" x14ac:dyDescent="0.35">
      <c r="A9" s="40" t="s">
        <v>26</v>
      </c>
      <c r="B9" s="133">
        <v>40269210</v>
      </c>
      <c r="C9" s="133">
        <v>26565953</v>
      </c>
      <c r="D9" s="56">
        <v>32294745</v>
      </c>
      <c r="E9" s="56">
        <v>18949538</v>
      </c>
      <c r="F9" s="56">
        <v>7166614</v>
      </c>
      <c r="G9" s="56">
        <v>4903397</v>
      </c>
      <c r="H9" s="56">
        <v>1297432</v>
      </c>
      <c r="I9" s="56">
        <v>2415367</v>
      </c>
      <c r="J9" s="77">
        <v>74.180000000000007</v>
      </c>
      <c r="K9" s="77">
        <v>64.180000000000007</v>
      </c>
      <c r="L9" s="382">
        <f t="shared" si="0"/>
        <v>7.3078602913716123E-2</v>
      </c>
    </row>
    <row r="10" spans="1:12" x14ac:dyDescent="0.35">
      <c r="A10" s="40" t="s">
        <v>27</v>
      </c>
      <c r="B10" s="40"/>
      <c r="C10" s="40"/>
      <c r="D10" s="59"/>
      <c r="E10" s="59"/>
      <c r="F10" s="59"/>
      <c r="G10" s="59"/>
      <c r="H10" s="59"/>
      <c r="I10" s="59"/>
      <c r="J10" s="77"/>
      <c r="K10" s="77"/>
      <c r="L10" s="382">
        <f t="shared" si="0"/>
        <v>0</v>
      </c>
    </row>
    <row r="11" spans="1:12" x14ac:dyDescent="0.35">
      <c r="A11" s="40" t="s">
        <v>28</v>
      </c>
      <c r="B11" s="133">
        <v>71118929</v>
      </c>
      <c r="C11" s="133">
        <v>43049659</v>
      </c>
      <c r="D11" s="56">
        <v>46921525</v>
      </c>
      <c r="E11" s="56">
        <v>21373709</v>
      </c>
      <c r="F11" s="56">
        <v>11151746</v>
      </c>
      <c r="G11" s="56">
        <v>9410308</v>
      </c>
      <c r="H11" s="56">
        <v>3566175</v>
      </c>
      <c r="I11" s="56">
        <v>3489392</v>
      </c>
      <c r="J11" s="77">
        <v>60.02</v>
      </c>
      <c r="K11" s="77">
        <v>69.849999999999994</v>
      </c>
      <c r="L11" s="382">
        <f t="shared" si="0"/>
        <v>0.1061770109527418</v>
      </c>
    </row>
    <row r="12" spans="1:12" x14ac:dyDescent="0.35">
      <c r="A12" s="40" t="s">
        <v>46</v>
      </c>
      <c r="B12" s="133">
        <v>14478134</v>
      </c>
      <c r="C12" s="133">
        <v>6496547</v>
      </c>
      <c r="D12" s="56">
        <v>2889876</v>
      </c>
      <c r="E12" s="56">
        <v>2354790</v>
      </c>
      <c r="F12" s="56">
        <v>573487</v>
      </c>
      <c r="G12" s="56">
        <v>1875414</v>
      </c>
      <c r="H12" s="56">
        <v>395691</v>
      </c>
      <c r="I12" s="56">
        <v>200106</v>
      </c>
      <c r="J12" s="77">
        <v>31.98</v>
      </c>
      <c r="K12" s="77">
        <v>126.64</v>
      </c>
      <c r="L12" s="382">
        <f t="shared" si="0"/>
        <v>6.5393952072969859E-3</v>
      </c>
    </row>
    <row r="13" spans="1:12" x14ac:dyDescent="0.35">
      <c r="A13" s="40" t="s">
        <v>29</v>
      </c>
      <c r="B13" s="133">
        <v>18499890</v>
      </c>
      <c r="C13" s="133">
        <v>12260064</v>
      </c>
      <c r="D13" s="56">
        <v>4767634</v>
      </c>
      <c r="E13" s="56">
        <v>3922138</v>
      </c>
      <c r="F13" s="56">
        <v>2295690</v>
      </c>
      <c r="G13" s="56">
        <v>1877614</v>
      </c>
      <c r="H13" s="59">
        <v>0</v>
      </c>
      <c r="I13" s="59"/>
      <c r="J13" s="77">
        <v>73.28</v>
      </c>
      <c r="K13" s="77">
        <v>59.93</v>
      </c>
      <c r="L13" s="382">
        <f t="shared" si="0"/>
        <v>1.0788505434055356E-2</v>
      </c>
    </row>
    <row r="14" spans="1:12" x14ac:dyDescent="0.35">
      <c r="A14" s="40" t="s">
        <v>30</v>
      </c>
      <c r="B14" s="133">
        <v>8644321</v>
      </c>
      <c r="C14" s="133">
        <v>5809330</v>
      </c>
      <c r="D14" s="56">
        <v>4610814</v>
      </c>
      <c r="E14" s="56">
        <v>4238777</v>
      </c>
      <c r="F14" s="56">
        <v>1071231</v>
      </c>
      <c r="G14" s="56">
        <v>1787423</v>
      </c>
      <c r="H14" s="56">
        <v>771352</v>
      </c>
      <c r="I14" s="56">
        <v>144293</v>
      </c>
      <c r="J14" s="77">
        <v>28.63</v>
      </c>
      <c r="K14" s="77">
        <v>68.37</v>
      </c>
      <c r="L14" s="382">
        <f t="shared" si="0"/>
        <v>1.0433643164391082E-2</v>
      </c>
    </row>
    <row r="15" spans="1:12" x14ac:dyDescent="0.35">
      <c r="A15" s="40" t="s">
        <v>31</v>
      </c>
      <c r="B15" s="133">
        <v>20839912</v>
      </c>
      <c r="C15" s="133">
        <v>13034976</v>
      </c>
      <c r="D15" s="56">
        <v>4381613</v>
      </c>
      <c r="E15" s="56">
        <v>3268253</v>
      </c>
      <c r="F15" s="56">
        <v>689207</v>
      </c>
      <c r="G15" s="56">
        <v>2269325</v>
      </c>
      <c r="H15" s="56">
        <v>514407</v>
      </c>
      <c r="I15" s="56">
        <v>204787</v>
      </c>
      <c r="J15" s="77">
        <v>27.25</v>
      </c>
      <c r="K15" s="77">
        <v>110.05</v>
      </c>
      <c r="L15" s="382">
        <f t="shared" si="0"/>
        <v>9.9149925645356986E-3</v>
      </c>
    </row>
    <row r="16" spans="1:12" x14ac:dyDescent="0.35">
      <c r="A16" s="40" t="s">
        <v>32</v>
      </c>
      <c r="B16" s="133">
        <v>51487575</v>
      </c>
      <c r="C16" s="133">
        <v>36623170</v>
      </c>
      <c r="D16" s="56">
        <v>16558085</v>
      </c>
      <c r="E16" s="56">
        <v>11451548</v>
      </c>
      <c r="F16" s="56">
        <v>5544880</v>
      </c>
      <c r="G16" s="56">
        <v>4967305</v>
      </c>
      <c r="H16" s="56">
        <v>2273528</v>
      </c>
      <c r="I16" s="56">
        <v>1745759</v>
      </c>
      <c r="J16" s="77">
        <v>56.67</v>
      </c>
      <c r="K16" s="77">
        <v>74</v>
      </c>
      <c r="L16" s="382">
        <f t="shared" si="0"/>
        <v>3.7468687822943304E-2</v>
      </c>
    </row>
    <row r="17" spans="1:12" x14ac:dyDescent="0.35">
      <c r="A17" s="40" t="s">
        <v>33</v>
      </c>
      <c r="B17" s="133">
        <v>4950761</v>
      </c>
      <c r="C17" s="133">
        <v>1116622</v>
      </c>
      <c r="D17" s="56">
        <v>4952753</v>
      </c>
      <c r="E17" s="56">
        <v>3341590</v>
      </c>
      <c r="F17" s="56">
        <v>813491</v>
      </c>
      <c r="G17" s="56">
        <v>2270801</v>
      </c>
      <c r="H17" s="56">
        <v>645141</v>
      </c>
      <c r="I17" s="56">
        <v>591397</v>
      </c>
      <c r="J17" s="77">
        <v>33.67</v>
      </c>
      <c r="K17" s="77">
        <v>120.68</v>
      </c>
      <c r="L17" s="382">
        <f t="shared" si="0"/>
        <v>1.12074044807202E-2</v>
      </c>
    </row>
    <row r="18" spans="1:12" x14ac:dyDescent="0.35">
      <c r="A18" s="40" t="s">
        <v>34</v>
      </c>
      <c r="B18" s="133">
        <v>14544158</v>
      </c>
      <c r="C18" s="133">
        <v>10804291</v>
      </c>
      <c r="D18" s="56">
        <v>1825518</v>
      </c>
      <c r="E18" s="56">
        <v>1398280</v>
      </c>
      <c r="F18" s="56">
        <v>238020</v>
      </c>
      <c r="G18" s="56">
        <v>910230</v>
      </c>
      <c r="H18" s="56">
        <v>170907</v>
      </c>
      <c r="I18" s="56">
        <v>146842</v>
      </c>
      <c r="J18" s="77">
        <v>17.22</v>
      </c>
      <c r="K18" s="77">
        <v>78.209999999999994</v>
      </c>
      <c r="L18" s="382">
        <f t="shared" si="0"/>
        <v>4.1308982323235944E-3</v>
      </c>
    </row>
    <row r="19" spans="1:12" x14ac:dyDescent="0.35">
      <c r="A19" s="40" t="s">
        <v>35</v>
      </c>
      <c r="B19" s="133">
        <v>35390892</v>
      </c>
      <c r="C19" s="133">
        <v>19690907</v>
      </c>
      <c r="D19" s="56">
        <v>7473034</v>
      </c>
      <c r="E19" s="56">
        <v>6141472</v>
      </c>
      <c r="F19" s="56">
        <v>1386274</v>
      </c>
      <c r="G19" s="56">
        <v>3146475</v>
      </c>
      <c r="H19" s="56">
        <v>731428</v>
      </c>
      <c r="I19" s="56">
        <v>376179</v>
      </c>
      <c r="J19" s="77">
        <v>31.37</v>
      </c>
      <c r="K19" s="77">
        <v>87.74</v>
      </c>
      <c r="L19" s="382">
        <f t="shared" si="0"/>
        <v>1.691045661598194E-2</v>
      </c>
    </row>
    <row r="20" spans="1:12" x14ac:dyDescent="0.35">
      <c r="A20" s="40" t="s">
        <v>36</v>
      </c>
      <c r="B20" s="133">
        <v>22163501</v>
      </c>
      <c r="C20" s="133">
        <v>4422597</v>
      </c>
      <c r="D20" s="56">
        <v>9095651</v>
      </c>
      <c r="E20" s="56">
        <v>7381339</v>
      </c>
      <c r="F20" s="56">
        <v>2488373</v>
      </c>
      <c r="G20" s="56">
        <v>5062578</v>
      </c>
      <c r="H20" s="56">
        <v>1213105</v>
      </c>
      <c r="I20" s="56">
        <v>517953</v>
      </c>
      <c r="J20" s="77">
        <v>37.270000000000003</v>
      </c>
      <c r="K20" s="77">
        <v>94.01</v>
      </c>
      <c r="L20" s="382">
        <f t="shared" si="0"/>
        <v>2.0582217561115439E-2</v>
      </c>
    </row>
    <row r="21" spans="1:12" x14ac:dyDescent="0.35">
      <c r="A21" s="40" t="s">
        <v>37</v>
      </c>
      <c r="B21" s="133">
        <v>16345838</v>
      </c>
      <c r="C21" s="133">
        <v>8695735</v>
      </c>
      <c r="D21" s="56">
        <v>8840727</v>
      </c>
      <c r="E21" s="56">
        <v>7052793</v>
      </c>
      <c r="F21" s="56">
        <v>2228697</v>
      </c>
      <c r="G21" s="56">
        <v>3096177</v>
      </c>
      <c r="H21" s="56">
        <v>1405452</v>
      </c>
      <c r="I21" s="56">
        <v>599451</v>
      </c>
      <c r="J21" s="77">
        <v>38.08</v>
      </c>
      <c r="K21" s="77">
        <v>76.92</v>
      </c>
      <c r="L21" s="382">
        <f t="shared" si="0"/>
        <v>2.0005359320891643E-2</v>
      </c>
    </row>
    <row r="22" spans="1:12" x14ac:dyDescent="0.35">
      <c r="A22" s="40" t="s">
        <v>38</v>
      </c>
      <c r="B22" s="40"/>
      <c r="C22" s="40"/>
      <c r="D22" s="59"/>
      <c r="E22" s="59"/>
      <c r="F22" s="59"/>
      <c r="G22" s="59"/>
      <c r="H22" s="59"/>
      <c r="I22" s="59"/>
      <c r="J22" s="77"/>
      <c r="K22" s="77"/>
      <c r="L22" s="382">
        <f t="shared" si="0"/>
        <v>0</v>
      </c>
    </row>
    <row r="23" spans="1:12" x14ac:dyDescent="0.35">
      <c r="A23" s="40" t="s">
        <v>39</v>
      </c>
      <c r="B23" s="133">
        <v>170772550</v>
      </c>
      <c r="C23" s="133">
        <v>76234990</v>
      </c>
      <c r="D23" s="56">
        <v>79693416</v>
      </c>
      <c r="E23" s="56">
        <v>44329398</v>
      </c>
      <c r="F23" s="56">
        <v>29051719</v>
      </c>
      <c r="G23" s="56">
        <v>22716542</v>
      </c>
      <c r="H23" s="56">
        <v>9760140</v>
      </c>
      <c r="I23" s="56">
        <v>7173249</v>
      </c>
      <c r="J23" s="77">
        <v>65.849999999999994</v>
      </c>
      <c r="K23" s="77">
        <v>73.62</v>
      </c>
      <c r="L23" s="382">
        <f t="shared" si="0"/>
        <v>0.18033533018147663</v>
      </c>
    </row>
    <row r="24" spans="1:12" x14ac:dyDescent="0.35">
      <c r="A24" s="40" t="s">
        <v>40</v>
      </c>
      <c r="B24" s="133">
        <v>115534827</v>
      </c>
      <c r="C24" s="133">
        <v>95994760</v>
      </c>
      <c r="D24" s="56">
        <v>50493088</v>
      </c>
      <c r="E24" s="56">
        <v>30320833</v>
      </c>
      <c r="F24" s="56">
        <v>7568432</v>
      </c>
      <c r="G24" s="56">
        <v>12490275</v>
      </c>
      <c r="H24" s="56">
        <v>7527023</v>
      </c>
      <c r="I24" s="56">
        <v>3593800</v>
      </c>
      <c r="J24" s="77">
        <v>27.74</v>
      </c>
      <c r="K24" s="77">
        <v>73.36</v>
      </c>
      <c r="L24" s="382">
        <f t="shared" si="0"/>
        <v>0.11425897085855066</v>
      </c>
    </row>
    <row r="25" spans="1:12" x14ac:dyDescent="0.35">
      <c r="A25" s="40" t="s">
        <v>41</v>
      </c>
      <c r="B25" s="133">
        <v>12856217</v>
      </c>
      <c r="C25" s="133">
        <v>8694448</v>
      </c>
      <c r="D25" s="56">
        <v>3434850</v>
      </c>
      <c r="E25" s="56">
        <v>3014021</v>
      </c>
      <c r="F25" s="56">
        <v>1461227</v>
      </c>
      <c r="G25" s="56">
        <v>2222403</v>
      </c>
      <c r="H25" s="56">
        <v>126511</v>
      </c>
      <c r="I25" s="59"/>
      <c r="J25" s="77">
        <v>55.8</v>
      </c>
      <c r="K25" s="77">
        <v>89.7</v>
      </c>
      <c r="L25" s="382">
        <f t="shared" si="0"/>
        <v>7.772597034538524E-3</v>
      </c>
    </row>
    <row r="26" spans="1:12" x14ac:dyDescent="0.35">
      <c r="A26" s="40" t="s">
        <v>42</v>
      </c>
      <c r="B26" s="133">
        <v>72061279</v>
      </c>
      <c r="C26" s="133">
        <v>49324226</v>
      </c>
      <c r="D26" s="56">
        <v>40952059</v>
      </c>
      <c r="E26" s="56">
        <v>29193482</v>
      </c>
      <c r="F26" s="56">
        <v>15303299</v>
      </c>
      <c r="G26" s="56">
        <v>9784051</v>
      </c>
      <c r="H26" s="56">
        <v>6792282</v>
      </c>
      <c r="I26" s="56">
        <v>3547198</v>
      </c>
      <c r="J26" s="77">
        <v>61.14</v>
      </c>
      <c r="K26" s="77">
        <v>66.23</v>
      </c>
      <c r="L26" s="382">
        <f t="shared" si="0"/>
        <v>9.2668923633243569E-2</v>
      </c>
    </row>
    <row r="27" spans="1:12" x14ac:dyDescent="0.35">
      <c r="A27" s="40" t="s">
        <v>43</v>
      </c>
      <c r="B27" s="133">
        <v>22196921</v>
      </c>
      <c r="C27" s="133">
        <v>15987715</v>
      </c>
      <c r="D27" s="56">
        <v>5492807</v>
      </c>
      <c r="E27" s="56">
        <v>4444375</v>
      </c>
      <c r="F27" s="56">
        <v>1215591</v>
      </c>
      <c r="G27" s="56">
        <v>3318927</v>
      </c>
      <c r="H27" s="56">
        <v>579953</v>
      </c>
      <c r="I27" s="59"/>
      <c r="J27" s="80">
        <v>37.909999999999997</v>
      </c>
      <c r="K27" s="80">
        <v>121.59</v>
      </c>
      <c r="L27" s="383">
        <f t="shared" si="0"/>
        <v>1.242947301905249E-2</v>
      </c>
    </row>
    <row r="28" spans="1:12" ht="13.15" x14ac:dyDescent="0.4">
      <c r="A28" s="45" t="s">
        <v>44</v>
      </c>
      <c r="B28" s="134">
        <f t="shared" ref="B28:I28" si="1">SUM(B3:B27)</f>
        <v>1096387313</v>
      </c>
      <c r="C28" s="134">
        <f t="shared" si="1"/>
        <v>609754283</v>
      </c>
      <c r="D28" s="60">
        <f t="shared" si="1"/>
        <v>441917931</v>
      </c>
      <c r="E28" s="60">
        <f t="shared" si="1"/>
        <v>276395883</v>
      </c>
      <c r="F28" s="60">
        <f t="shared" si="1"/>
        <v>132100505</v>
      </c>
      <c r="G28" s="60">
        <f t="shared" si="1"/>
        <v>116384328</v>
      </c>
      <c r="H28" s="60">
        <f t="shared" si="1"/>
        <v>53496552</v>
      </c>
      <c r="I28" s="79">
        <f t="shared" si="1"/>
        <v>36238763</v>
      </c>
      <c r="J28" s="74"/>
      <c r="K28" s="74"/>
      <c r="L28" s="69"/>
    </row>
  </sheetData>
  <pageMargins left="0.7" right="0.7" top="0.75" bottom="0.75" header="0.3" footer="0.3"/>
  <pageSetup paperSize="9" orientation="portrait"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tabColor rgb="FF7030A0"/>
  </sheetPr>
  <dimension ref="A1:L28"/>
  <sheetViews>
    <sheetView topLeftCell="A2" workbookViewId="0">
      <selection activeCell="A21" sqref="A21"/>
    </sheetView>
  </sheetViews>
  <sheetFormatPr defaultRowHeight="12.75" x14ac:dyDescent="0.35"/>
  <cols>
    <col min="1" max="1" width="40.73046875" bestFit="1" customWidth="1"/>
    <col min="2" max="3" width="22.3984375" customWidth="1"/>
    <col min="4" max="4" width="20.265625" bestFit="1" customWidth="1"/>
    <col min="5" max="5" width="18.3984375" bestFit="1" customWidth="1"/>
    <col min="6" max="6" width="14" bestFit="1" customWidth="1"/>
    <col min="7" max="7" width="19.265625" bestFit="1" customWidth="1"/>
    <col min="8" max="8" width="18.3984375" bestFit="1" customWidth="1"/>
    <col min="9" max="9" width="17.73046875" bestFit="1" customWidth="1"/>
    <col min="10" max="10" width="11.265625" bestFit="1" customWidth="1"/>
  </cols>
  <sheetData>
    <row r="1" spans="1:12" s="6" customFormat="1" x14ac:dyDescent="0.35">
      <c r="A1" s="18" t="s">
        <v>57</v>
      </c>
      <c r="B1" s="18"/>
      <c r="C1" s="18"/>
      <c r="D1" s="5"/>
      <c r="E1" s="5"/>
      <c r="F1" s="5"/>
      <c r="G1" s="5"/>
      <c r="H1" s="5"/>
      <c r="I1" s="5"/>
      <c r="J1" s="5"/>
      <c r="K1" s="5"/>
    </row>
    <row r="2" spans="1:12" s="16" customFormat="1" ht="25.5" x14ac:dyDescent="0.35">
      <c r="A2" s="12" t="s">
        <v>8</v>
      </c>
      <c r="B2" s="12" t="s">
        <v>9</v>
      </c>
      <c r="C2" s="12" t="s">
        <v>10</v>
      </c>
      <c r="D2" s="12" t="s">
        <v>11</v>
      </c>
      <c r="E2" s="12" t="s">
        <v>12</v>
      </c>
      <c r="F2" s="12" t="s">
        <v>13</v>
      </c>
      <c r="G2" s="12" t="s">
        <v>14</v>
      </c>
      <c r="H2" s="12" t="s">
        <v>15</v>
      </c>
      <c r="I2" s="12" t="s">
        <v>16</v>
      </c>
      <c r="J2" s="12" t="s">
        <v>17</v>
      </c>
      <c r="K2" s="12" t="s">
        <v>18</v>
      </c>
      <c r="L2" s="12" t="s">
        <v>19</v>
      </c>
    </row>
    <row r="3" spans="1:12" x14ac:dyDescent="0.35">
      <c r="A3" s="40" t="s">
        <v>20</v>
      </c>
      <c r="B3" s="133">
        <v>70488781</v>
      </c>
      <c r="C3" s="133">
        <v>16835043</v>
      </c>
      <c r="D3" s="71">
        <v>33105408</v>
      </c>
      <c r="E3" s="71">
        <v>8696519</v>
      </c>
      <c r="F3" s="56">
        <v>5061915</v>
      </c>
      <c r="G3" s="56">
        <v>7064321</v>
      </c>
      <c r="H3" s="56">
        <v>2811352</v>
      </c>
      <c r="I3" s="56">
        <v>5481554</v>
      </c>
      <c r="J3" s="77">
        <v>64.17</v>
      </c>
      <c r="K3" s="77">
        <v>125.19</v>
      </c>
      <c r="L3" s="382">
        <f t="shared" ref="L3:L27" si="0">D3/$D$28</f>
        <v>5.0510147191102014E-2</v>
      </c>
    </row>
    <row r="4" spans="1:12" x14ac:dyDescent="0.35">
      <c r="A4" s="40" t="s">
        <v>21</v>
      </c>
      <c r="B4" s="133">
        <v>24574010</v>
      </c>
      <c r="C4" s="133">
        <v>8275407</v>
      </c>
      <c r="D4" s="71">
        <v>19188721</v>
      </c>
      <c r="E4" s="71">
        <v>7644170</v>
      </c>
      <c r="F4" s="56">
        <v>6418687</v>
      </c>
      <c r="G4" s="56">
        <v>3874210</v>
      </c>
      <c r="H4" s="56">
        <v>1136200</v>
      </c>
      <c r="I4" s="56">
        <v>2165202</v>
      </c>
      <c r="J4" s="77">
        <v>102.22</v>
      </c>
      <c r="K4" s="77">
        <v>79.790000000000006</v>
      </c>
      <c r="L4" s="382">
        <f t="shared" si="0"/>
        <v>2.9276942369022917E-2</v>
      </c>
    </row>
    <row r="5" spans="1:12" x14ac:dyDescent="0.35">
      <c r="A5" s="40" t="s">
        <v>22</v>
      </c>
      <c r="B5" s="133">
        <v>26659687</v>
      </c>
      <c r="C5" s="133">
        <v>18024677</v>
      </c>
      <c r="D5" s="71">
        <v>13538070</v>
      </c>
      <c r="E5" s="71">
        <v>10547979</v>
      </c>
      <c r="F5" s="56">
        <v>2856516</v>
      </c>
      <c r="G5" s="56">
        <v>4919797</v>
      </c>
      <c r="H5" s="56">
        <v>1745819</v>
      </c>
      <c r="I5" s="56">
        <v>641250</v>
      </c>
      <c r="J5" s="77">
        <v>25.92</v>
      </c>
      <c r="K5" s="77">
        <v>60.48</v>
      </c>
      <c r="L5" s="382">
        <f t="shared" si="0"/>
        <v>2.0655534841420544E-2</v>
      </c>
    </row>
    <row r="6" spans="1:12" x14ac:dyDescent="0.35">
      <c r="A6" s="40" t="s">
        <v>23</v>
      </c>
      <c r="B6" s="133">
        <v>119399956</v>
      </c>
      <c r="C6" s="133">
        <v>42661739</v>
      </c>
      <c r="D6" s="71">
        <v>79843628</v>
      </c>
      <c r="E6" s="71">
        <v>53838001</v>
      </c>
      <c r="F6" s="56">
        <v>30092621</v>
      </c>
      <c r="G6" s="56">
        <v>12455926</v>
      </c>
      <c r="H6" s="56">
        <v>12196946</v>
      </c>
      <c r="I6" s="56">
        <v>6814511</v>
      </c>
      <c r="J6" s="77">
        <v>60.62</v>
      </c>
      <c r="K6" s="77">
        <v>49.67</v>
      </c>
      <c r="L6" s="382">
        <f t="shared" si="0"/>
        <v>0.12182038060221442</v>
      </c>
    </row>
    <row r="7" spans="1:12" x14ac:dyDescent="0.35">
      <c r="A7" s="40" t="s">
        <v>24</v>
      </c>
      <c r="B7" s="133">
        <v>27180024</v>
      </c>
      <c r="C7" s="133">
        <v>13584068</v>
      </c>
      <c r="D7" s="71">
        <v>16975044</v>
      </c>
      <c r="E7" s="71">
        <v>13375794</v>
      </c>
      <c r="F7" s="56">
        <v>2568762</v>
      </c>
      <c r="G7" s="56">
        <v>4942893</v>
      </c>
      <c r="H7" s="56">
        <v>2415257</v>
      </c>
      <c r="I7" s="59"/>
      <c r="J7" s="77">
        <v>24.87</v>
      </c>
      <c r="K7" s="77">
        <v>71.25</v>
      </c>
      <c r="L7" s="382">
        <f t="shared" si="0"/>
        <v>2.5899453376784634E-2</v>
      </c>
    </row>
    <row r="8" spans="1:12" x14ac:dyDescent="0.35">
      <c r="A8" s="40" t="s">
        <v>25</v>
      </c>
      <c r="B8" s="133">
        <v>59204820</v>
      </c>
      <c r="C8" s="133">
        <v>49343901</v>
      </c>
      <c r="D8" s="71">
        <v>28275360</v>
      </c>
      <c r="E8" s="71">
        <v>9650505</v>
      </c>
      <c r="F8" s="56">
        <v>6243736</v>
      </c>
      <c r="G8" s="56">
        <v>4019325</v>
      </c>
      <c r="H8" s="56">
        <v>2793230</v>
      </c>
      <c r="I8" s="56">
        <v>2772401</v>
      </c>
      <c r="J8" s="77">
        <v>80.86</v>
      </c>
      <c r="K8" s="77">
        <v>88.23</v>
      </c>
      <c r="L8" s="382">
        <f t="shared" si="0"/>
        <v>4.3140764055268503E-2</v>
      </c>
    </row>
    <row r="9" spans="1:12" x14ac:dyDescent="0.35">
      <c r="A9" s="40" t="s">
        <v>26</v>
      </c>
      <c r="B9" s="133">
        <v>44086965</v>
      </c>
      <c r="C9" s="133">
        <v>29941750</v>
      </c>
      <c r="D9" s="71">
        <v>53648128</v>
      </c>
      <c r="E9" s="71">
        <v>29228361</v>
      </c>
      <c r="F9" s="56">
        <v>10198185</v>
      </c>
      <c r="G9" s="56">
        <v>10017704</v>
      </c>
      <c r="H9" s="56">
        <v>2602988</v>
      </c>
      <c r="I9" s="56">
        <v>3695157</v>
      </c>
      <c r="J9" s="77">
        <v>54.6</v>
      </c>
      <c r="K9" s="77">
        <v>67.58</v>
      </c>
      <c r="L9" s="382">
        <f t="shared" si="0"/>
        <v>8.1852935985778558E-2</v>
      </c>
    </row>
    <row r="10" spans="1:12" x14ac:dyDescent="0.35">
      <c r="A10" s="40" t="s">
        <v>27</v>
      </c>
      <c r="B10" s="40"/>
      <c r="C10" s="40"/>
      <c r="D10" s="72"/>
      <c r="E10" s="72"/>
      <c r="F10" s="59"/>
      <c r="G10" s="59"/>
      <c r="H10" s="59"/>
      <c r="I10" s="59"/>
      <c r="J10" s="77"/>
      <c r="K10" s="77"/>
      <c r="L10" s="382">
        <f t="shared" si="0"/>
        <v>0</v>
      </c>
    </row>
    <row r="11" spans="1:12" x14ac:dyDescent="0.35">
      <c r="A11" s="40" t="s">
        <v>28</v>
      </c>
      <c r="B11" s="133">
        <v>67899081</v>
      </c>
      <c r="C11" s="133">
        <v>42337590</v>
      </c>
      <c r="D11" s="71">
        <v>62096516</v>
      </c>
      <c r="E11" s="71">
        <v>29744735</v>
      </c>
      <c r="F11" s="56">
        <v>15518005</v>
      </c>
      <c r="G11" s="56">
        <v>14486319</v>
      </c>
      <c r="H11" s="56">
        <v>5572079</v>
      </c>
      <c r="I11" s="56">
        <v>5604146</v>
      </c>
      <c r="J11" s="77">
        <v>59.04</v>
      </c>
      <c r="K11" s="77">
        <v>76.319999999999993</v>
      </c>
      <c r="L11" s="382">
        <f t="shared" si="0"/>
        <v>9.4742954480869751E-2</v>
      </c>
    </row>
    <row r="12" spans="1:12" x14ac:dyDescent="0.35">
      <c r="A12" s="40" t="s">
        <v>46</v>
      </c>
      <c r="B12" s="133">
        <v>14723653</v>
      </c>
      <c r="C12" s="133">
        <v>6186825</v>
      </c>
      <c r="D12" s="71">
        <v>4520685</v>
      </c>
      <c r="E12" s="71">
        <v>3189359</v>
      </c>
      <c r="F12" s="56">
        <v>688761</v>
      </c>
      <c r="G12" s="56">
        <v>3186773</v>
      </c>
      <c r="H12" s="56">
        <v>607380</v>
      </c>
      <c r="I12" s="56">
        <v>451423</v>
      </c>
      <c r="J12" s="77">
        <v>23.06</v>
      </c>
      <c r="K12" s="77">
        <v>127.01</v>
      </c>
      <c r="L12" s="382">
        <f t="shared" si="0"/>
        <v>6.8973765481037726E-3</v>
      </c>
    </row>
    <row r="13" spans="1:12" x14ac:dyDescent="0.35">
      <c r="A13" s="40" t="s">
        <v>29</v>
      </c>
      <c r="B13" s="133">
        <v>15016630</v>
      </c>
      <c r="C13" s="133">
        <v>12173991</v>
      </c>
      <c r="D13" s="71">
        <v>6237712</v>
      </c>
      <c r="E13" s="71">
        <v>5087984</v>
      </c>
      <c r="F13" s="56">
        <v>3198324</v>
      </c>
      <c r="G13" s="56">
        <v>2689021</v>
      </c>
      <c r="H13" s="56">
        <v>531909</v>
      </c>
      <c r="I13" s="56">
        <v>261223</v>
      </c>
      <c r="J13" s="77">
        <v>80.27</v>
      </c>
      <c r="K13" s="77">
        <v>80.84</v>
      </c>
      <c r="L13" s="382">
        <f t="shared" si="0"/>
        <v>9.5171082397082479E-3</v>
      </c>
    </row>
    <row r="14" spans="1:12" x14ac:dyDescent="0.35">
      <c r="A14" s="40" t="s">
        <v>30</v>
      </c>
      <c r="B14" s="133">
        <v>9050939</v>
      </c>
      <c r="C14" s="133">
        <v>5669292</v>
      </c>
      <c r="D14" s="71">
        <v>7005988</v>
      </c>
      <c r="E14" s="71">
        <v>6535719</v>
      </c>
      <c r="F14" s="56">
        <v>2660332</v>
      </c>
      <c r="G14" s="56">
        <v>2697608</v>
      </c>
      <c r="H14" s="56">
        <v>961493</v>
      </c>
      <c r="I14" s="56">
        <v>248452</v>
      </c>
      <c r="J14" s="77">
        <v>43.48</v>
      </c>
      <c r="K14" s="77">
        <v>59.8</v>
      </c>
      <c r="L14" s="382">
        <f t="shared" si="0"/>
        <v>1.0689295389414757E-2</v>
      </c>
    </row>
    <row r="15" spans="1:12" x14ac:dyDescent="0.35">
      <c r="A15" s="40" t="s">
        <v>31</v>
      </c>
      <c r="B15" s="133">
        <v>19721768</v>
      </c>
      <c r="C15" s="133">
        <v>12782468</v>
      </c>
      <c r="D15" s="71">
        <v>6234054</v>
      </c>
      <c r="E15" s="71">
        <v>4722627</v>
      </c>
      <c r="F15" s="56">
        <v>1063658</v>
      </c>
      <c r="G15" s="56">
        <v>3355496</v>
      </c>
      <c r="H15" s="56">
        <v>700986</v>
      </c>
      <c r="I15" s="56">
        <v>281277</v>
      </c>
      <c r="J15" s="77">
        <v>27.55</v>
      </c>
      <c r="K15" s="77">
        <v>105.07</v>
      </c>
      <c r="L15" s="382">
        <f t="shared" si="0"/>
        <v>9.5115270936180062E-3</v>
      </c>
    </row>
    <row r="16" spans="1:12" x14ac:dyDescent="0.35">
      <c r="A16" s="40" t="s">
        <v>32</v>
      </c>
      <c r="B16" s="133">
        <v>53364323</v>
      </c>
      <c r="C16" s="133">
        <v>39772658</v>
      </c>
      <c r="D16" s="71">
        <v>24258005</v>
      </c>
      <c r="E16" s="71">
        <v>17152535</v>
      </c>
      <c r="F16" s="56">
        <v>9837921</v>
      </c>
      <c r="G16" s="56">
        <v>8580610</v>
      </c>
      <c r="H16" s="56">
        <v>3504526</v>
      </c>
      <c r="I16" s="56">
        <v>2470137</v>
      </c>
      <c r="J16" s="77">
        <v>64.849999999999994</v>
      </c>
      <c r="K16" s="77">
        <v>79.66</v>
      </c>
      <c r="L16" s="382">
        <f t="shared" si="0"/>
        <v>3.7011336731221936E-2</v>
      </c>
    </row>
    <row r="17" spans="1:12" x14ac:dyDescent="0.35">
      <c r="A17" s="40" t="s">
        <v>33</v>
      </c>
      <c r="B17" s="133">
        <v>4877389</v>
      </c>
      <c r="C17" s="133">
        <v>1187825</v>
      </c>
      <c r="D17" s="71">
        <v>10008567</v>
      </c>
      <c r="E17" s="71">
        <v>7393497</v>
      </c>
      <c r="F17" s="56">
        <v>2017482</v>
      </c>
      <c r="G17" s="56">
        <v>3855051</v>
      </c>
      <c r="H17" s="56">
        <v>872281</v>
      </c>
      <c r="I17" s="56">
        <v>904890</v>
      </c>
      <c r="J17" s="77">
        <v>34.68</v>
      </c>
      <c r="K17" s="77">
        <v>81.27</v>
      </c>
      <c r="L17" s="382">
        <f t="shared" si="0"/>
        <v>1.5270441383534868E-2</v>
      </c>
    </row>
    <row r="18" spans="1:12" x14ac:dyDescent="0.35">
      <c r="A18" s="40" t="s">
        <v>34</v>
      </c>
      <c r="B18" s="133">
        <v>15363430</v>
      </c>
      <c r="C18" s="133">
        <v>11664510</v>
      </c>
      <c r="D18" s="71">
        <v>2716750</v>
      </c>
      <c r="E18" s="71">
        <v>2359106</v>
      </c>
      <c r="F18" s="56">
        <v>190039</v>
      </c>
      <c r="G18" s="56">
        <v>1472962</v>
      </c>
      <c r="H18" s="56">
        <v>255765</v>
      </c>
      <c r="I18" s="56">
        <v>146842</v>
      </c>
      <c r="J18" s="77">
        <v>9.17</v>
      </c>
      <c r="K18" s="77">
        <v>83.45</v>
      </c>
      <c r="L18" s="382">
        <f t="shared" si="0"/>
        <v>4.1450461018763584E-3</v>
      </c>
    </row>
    <row r="19" spans="1:12" x14ac:dyDescent="0.35">
      <c r="A19" s="40" t="s">
        <v>35</v>
      </c>
      <c r="B19" s="133">
        <v>32951458</v>
      </c>
      <c r="C19" s="133">
        <v>21162789</v>
      </c>
      <c r="D19" s="71">
        <v>10812891</v>
      </c>
      <c r="E19" s="71">
        <v>9019275</v>
      </c>
      <c r="F19" s="56">
        <v>2625598</v>
      </c>
      <c r="G19" s="56">
        <v>5754868</v>
      </c>
      <c r="H19" s="56">
        <v>982367</v>
      </c>
      <c r="I19" s="56">
        <v>557871</v>
      </c>
      <c r="J19" s="77">
        <v>36.32</v>
      </c>
      <c r="K19" s="77">
        <v>93.21</v>
      </c>
      <c r="L19" s="382">
        <f t="shared" si="0"/>
        <v>1.6497628302038818E-2</v>
      </c>
    </row>
    <row r="20" spans="1:12" x14ac:dyDescent="0.35">
      <c r="A20" s="40" t="s">
        <v>36</v>
      </c>
      <c r="B20" s="133">
        <v>21177636</v>
      </c>
      <c r="C20" s="133">
        <v>5850080</v>
      </c>
      <c r="D20" s="71">
        <v>14527452</v>
      </c>
      <c r="E20" s="71">
        <v>11989434</v>
      </c>
      <c r="F20" s="56">
        <v>4262241</v>
      </c>
      <c r="G20" s="56">
        <v>7554096</v>
      </c>
      <c r="H20" s="56">
        <v>1769356</v>
      </c>
      <c r="I20" s="56">
        <v>779472</v>
      </c>
      <c r="J20" s="77">
        <v>33.96</v>
      </c>
      <c r="K20" s="77">
        <v>74.290000000000006</v>
      </c>
      <c r="L20" s="382">
        <f t="shared" si="0"/>
        <v>2.2165071604967664E-2</v>
      </c>
    </row>
    <row r="21" spans="1:12" x14ac:dyDescent="0.35">
      <c r="A21" s="40" t="s">
        <v>37</v>
      </c>
      <c r="B21" s="133">
        <v>17544812</v>
      </c>
      <c r="C21" s="133">
        <v>8981441</v>
      </c>
      <c r="D21" s="71">
        <v>13822799</v>
      </c>
      <c r="E21" s="71">
        <v>11104356</v>
      </c>
      <c r="F21" s="56">
        <v>3759573</v>
      </c>
      <c r="G21" s="56">
        <v>4693520</v>
      </c>
      <c r="H21" s="56">
        <v>2229936</v>
      </c>
      <c r="I21" s="56">
        <v>898890</v>
      </c>
      <c r="J21" s="77">
        <v>39.869999999999997</v>
      </c>
      <c r="K21" s="77">
        <v>73.430000000000007</v>
      </c>
      <c r="L21" s="382">
        <f t="shared" si="0"/>
        <v>2.1089956422920924E-2</v>
      </c>
    </row>
    <row r="22" spans="1:12" x14ac:dyDescent="0.35">
      <c r="A22" s="40" t="s">
        <v>38</v>
      </c>
      <c r="B22" s="133">
        <v>14592340</v>
      </c>
      <c r="C22" s="133">
        <v>4183699</v>
      </c>
      <c r="D22" s="71">
        <v>10819934</v>
      </c>
      <c r="E22" s="71">
        <v>4824685</v>
      </c>
      <c r="F22" s="56">
        <v>2948266</v>
      </c>
      <c r="G22" s="56">
        <v>3154670</v>
      </c>
      <c r="H22" s="56">
        <v>1301389</v>
      </c>
      <c r="I22" s="56">
        <v>1403687</v>
      </c>
      <c r="J22" s="77">
        <v>63.61</v>
      </c>
      <c r="K22" s="77">
        <v>96.15</v>
      </c>
      <c r="L22" s="382">
        <f t="shared" si="0"/>
        <v>1.6508374068007533E-2</v>
      </c>
    </row>
    <row r="23" spans="1:12" x14ac:dyDescent="0.35">
      <c r="A23" s="40" t="s">
        <v>39</v>
      </c>
      <c r="B23" s="133">
        <v>171401267</v>
      </c>
      <c r="C23" s="133">
        <v>79271298</v>
      </c>
      <c r="D23" s="71">
        <v>106235930</v>
      </c>
      <c r="E23" s="71">
        <v>66397852</v>
      </c>
      <c r="F23" s="56">
        <v>41775288</v>
      </c>
      <c r="G23" s="56">
        <v>34080004</v>
      </c>
      <c r="H23" s="56">
        <v>11117766</v>
      </c>
      <c r="I23" s="56">
        <v>10386791</v>
      </c>
      <c r="J23" s="77">
        <v>67.36</v>
      </c>
      <c r="K23" s="77">
        <v>72.88</v>
      </c>
      <c r="L23" s="382">
        <f t="shared" si="0"/>
        <v>0.16208809331948454</v>
      </c>
    </row>
    <row r="24" spans="1:12" x14ac:dyDescent="0.35">
      <c r="A24" s="40" t="s">
        <v>40</v>
      </c>
      <c r="B24" s="133">
        <v>123063329</v>
      </c>
      <c r="C24" s="133">
        <v>98024845</v>
      </c>
      <c r="D24" s="71">
        <v>68626095</v>
      </c>
      <c r="E24" s="71">
        <v>47651229</v>
      </c>
      <c r="F24" s="56">
        <v>15238110</v>
      </c>
      <c r="G24" s="56">
        <v>20173771</v>
      </c>
      <c r="H24" s="56">
        <v>10687604</v>
      </c>
      <c r="I24" s="56">
        <v>3783417</v>
      </c>
      <c r="J24" s="77">
        <v>37.1</v>
      </c>
      <c r="K24" s="77">
        <v>75.13</v>
      </c>
      <c r="L24" s="382">
        <f t="shared" si="0"/>
        <v>0.10470537501306584</v>
      </c>
    </row>
    <row r="25" spans="1:12" x14ac:dyDescent="0.35">
      <c r="A25" s="40" t="s">
        <v>41</v>
      </c>
      <c r="B25" s="133">
        <v>13075457</v>
      </c>
      <c r="C25" s="133">
        <v>11185462</v>
      </c>
      <c r="D25" s="71">
        <v>5688329</v>
      </c>
      <c r="E25" s="71">
        <v>5103410</v>
      </c>
      <c r="F25" s="56">
        <v>2270498</v>
      </c>
      <c r="G25" s="56">
        <v>3937137</v>
      </c>
      <c r="H25" s="56">
        <v>182794</v>
      </c>
      <c r="I25" s="59"/>
      <c r="J25" s="77">
        <v>50.96</v>
      </c>
      <c r="K25" s="77">
        <v>92.47</v>
      </c>
      <c r="L25" s="382">
        <f t="shared" si="0"/>
        <v>8.6788942477740837E-3</v>
      </c>
    </row>
    <row r="26" spans="1:12" x14ac:dyDescent="0.35">
      <c r="A26" s="40" t="s">
        <v>42</v>
      </c>
      <c r="B26" s="133">
        <v>75237383</v>
      </c>
      <c r="C26" s="133">
        <v>50708410</v>
      </c>
      <c r="D26" s="71">
        <v>57234871</v>
      </c>
      <c r="E26" s="71">
        <v>39708569</v>
      </c>
      <c r="F26" s="56">
        <v>19941603</v>
      </c>
      <c r="G26" s="56">
        <v>14478191</v>
      </c>
      <c r="H26" s="56">
        <v>8964257</v>
      </c>
      <c r="I26" s="56">
        <v>5294474</v>
      </c>
      <c r="J26" s="77">
        <v>56.65</v>
      </c>
      <c r="K26" s="77">
        <v>66.599999999999994</v>
      </c>
      <c r="L26" s="382">
        <f t="shared" si="0"/>
        <v>8.7325362631801309E-2</v>
      </c>
    </row>
    <row r="27" spans="1:12" x14ac:dyDescent="0.35">
      <c r="A27" s="40" t="s">
        <v>43</v>
      </c>
      <c r="B27" s="40"/>
      <c r="C27" s="40"/>
      <c r="D27" s="72"/>
      <c r="E27" s="72"/>
      <c r="F27" s="59"/>
      <c r="G27" s="59"/>
      <c r="H27" s="59"/>
      <c r="I27" s="59"/>
      <c r="J27" s="78"/>
      <c r="K27" s="78"/>
      <c r="L27" s="81">
        <f t="shared" si="0"/>
        <v>0</v>
      </c>
    </row>
    <row r="28" spans="1:12" ht="13.15" x14ac:dyDescent="0.4">
      <c r="A28" s="45" t="s">
        <v>44</v>
      </c>
      <c r="B28" s="60">
        <f t="shared" ref="B28:I28" si="1">SUM(B3:B27)</f>
        <v>1040655138</v>
      </c>
      <c r="C28" s="60">
        <f t="shared" si="1"/>
        <v>589809768</v>
      </c>
      <c r="D28" s="60">
        <f t="shared" si="1"/>
        <v>655420937</v>
      </c>
      <c r="E28" s="60">
        <f t="shared" si="1"/>
        <v>404965701</v>
      </c>
      <c r="F28" s="60">
        <f t="shared" si="1"/>
        <v>191436121</v>
      </c>
      <c r="G28" s="60">
        <f t="shared" si="1"/>
        <v>181444273</v>
      </c>
      <c r="H28" s="60">
        <f t="shared" si="1"/>
        <v>75943680</v>
      </c>
      <c r="I28" s="60">
        <f t="shared" si="1"/>
        <v>55043067</v>
      </c>
      <c r="J28" s="74"/>
      <c r="K28" s="74"/>
      <c r="L28" s="69"/>
    </row>
  </sheetData>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tabColor rgb="FF7030A0"/>
  </sheetPr>
  <dimension ref="A1:L27"/>
  <sheetViews>
    <sheetView topLeftCell="A5" workbookViewId="0">
      <selection activeCell="A16" sqref="A16"/>
    </sheetView>
  </sheetViews>
  <sheetFormatPr defaultRowHeight="12.75" x14ac:dyDescent="0.35"/>
  <cols>
    <col min="1" max="1" width="40.73046875" bestFit="1" customWidth="1"/>
    <col min="2" max="2" width="14.265625" bestFit="1" customWidth="1"/>
    <col min="3" max="3" width="21.3984375" customWidth="1"/>
    <col min="4" max="4" width="20.265625" bestFit="1" customWidth="1"/>
    <col min="5" max="5" width="18.3984375" bestFit="1" customWidth="1"/>
    <col min="6" max="6" width="14" bestFit="1" customWidth="1"/>
    <col min="7" max="7" width="19.265625" bestFit="1" customWidth="1"/>
    <col min="8" max="8" width="18.3984375" bestFit="1" customWidth="1"/>
    <col min="9" max="9" width="17.73046875" bestFit="1" customWidth="1"/>
    <col min="10" max="10" width="10.73046875" bestFit="1" customWidth="1"/>
    <col min="11" max="11" width="12.3984375" bestFit="1" customWidth="1"/>
  </cols>
  <sheetData>
    <row r="1" spans="1:12" s="26" customFormat="1" x14ac:dyDescent="0.35">
      <c r="A1" s="18" t="s">
        <v>58</v>
      </c>
      <c r="B1" s="114"/>
      <c r="C1" s="114"/>
      <c r="D1" s="114"/>
      <c r="E1" s="25"/>
      <c r="F1" s="25"/>
      <c r="G1" s="25"/>
      <c r="H1" s="25"/>
      <c r="I1" s="25"/>
      <c r="J1" s="25"/>
      <c r="K1" s="25"/>
      <c r="L1" s="25"/>
    </row>
    <row r="2" spans="1:12" s="16" customFormat="1" ht="25.5" x14ac:dyDescent="0.35">
      <c r="A2" s="12" t="s">
        <v>8</v>
      </c>
      <c r="B2" s="12" t="s">
        <v>9</v>
      </c>
      <c r="C2" s="12" t="s">
        <v>10</v>
      </c>
      <c r="D2" s="12" t="s">
        <v>11</v>
      </c>
      <c r="E2" s="12" t="s">
        <v>12</v>
      </c>
      <c r="F2" s="12" t="s">
        <v>13</v>
      </c>
      <c r="G2" s="12" t="s">
        <v>14</v>
      </c>
      <c r="H2" s="12" t="s">
        <v>15</v>
      </c>
      <c r="I2" s="12" t="s">
        <v>16</v>
      </c>
      <c r="J2" s="12" t="s">
        <v>17</v>
      </c>
      <c r="K2" s="12" t="s">
        <v>18</v>
      </c>
      <c r="L2" s="12" t="s">
        <v>19</v>
      </c>
    </row>
    <row r="3" spans="1:12" x14ac:dyDescent="0.35">
      <c r="A3" s="40" t="s">
        <v>20</v>
      </c>
      <c r="B3" s="133">
        <v>64498741</v>
      </c>
      <c r="C3" s="133">
        <v>21025574</v>
      </c>
      <c r="D3" s="56">
        <v>38268180</v>
      </c>
      <c r="E3" s="56">
        <v>9920122</v>
      </c>
      <c r="F3" s="56">
        <v>3594490</v>
      </c>
      <c r="G3" s="56">
        <v>8572117</v>
      </c>
      <c r="H3" s="56">
        <v>2601711</v>
      </c>
      <c r="I3" s="56">
        <v>4602827</v>
      </c>
      <c r="J3" s="77">
        <v>36.71</v>
      </c>
      <c r="K3" s="77">
        <v>114.11</v>
      </c>
      <c r="L3" s="382">
        <f t="shared" ref="L3:L26" si="0">D3/$D$27</f>
        <v>4.4876391926634347E-2</v>
      </c>
    </row>
    <row r="4" spans="1:12" x14ac:dyDescent="0.35">
      <c r="A4" s="40" t="s">
        <v>21</v>
      </c>
      <c r="B4" s="133">
        <v>21828518</v>
      </c>
      <c r="C4" s="133">
        <v>6212174</v>
      </c>
      <c r="D4" s="56">
        <v>21858529</v>
      </c>
      <c r="E4" s="56">
        <v>9132966</v>
      </c>
      <c r="F4" s="56">
        <v>7909124</v>
      </c>
      <c r="G4" s="56">
        <v>5953386</v>
      </c>
      <c r="H4" s="56">
        <v>1571850</v>
      </c>
      <c r="I4" s="56">
        <v>2758284</v>
      </c>
      <c r="J4" s="77">
        <v>99.5</v>
      </c>
      <c r="K4" s="77">
        <v>94.67</v>
      </c>
      <c r="L4" s="382">
        <f t="shared" si="0"/>
        <v>2.5633095546840814E-2</v>
      </c>
    </row>
    <row r="5" spans="1:12" x14ac:dyDescent="0.35">
      <c r="A5" s="40" t="s">
        <v>22</v>
      </c>
      <c r="B5" s="133">
        <v>32248770</v>
      </c>
      <c r="C5" s="133">
        <v>19616347</v>
      </c>
      <c r="D5" s="56">
        <v>20357071</v>
      </c>
      <c r="E5" s="56">
        <v>16109191</v>
      </c>
      <c r="F5" s="56">
        <v>2300629</v>
      </c>
      <c r="G5" s="56">
        <v>6550790</v>
      </c>
      <c r="H5" s="56">
        <v>2639315</v>
      </c>
      <c r="I5" s="56">
        <v>1107763</v>
      </c>
      <c r="J5" s="77">
        <v>18.079999999999998</v>
      </c>
      <c r="K5" s="77">
        <v>72.209999999999994</v>
      </c>
      <c r="L5" s="382">
        <f t="shared" si="0"/>
        <v>2.3872363323113932E-2</v>
      </c>
    </row>
    <row r="6" spans="1:12" x14ac:dyDescent="0.35">
      <c r="A6" s="40" t="s">
        <v>23</v>
      </c>
      <c r="B6" s="133">
        <v>125075875</v>
      </c>
      <c r="C6" s="133">
        <v>45303929</v>
      </c>
      <c r="D6" s="56">
        <v>100996493</v>
      </c>
      <c r="E6" s="56">
        <v>66323003</v>
      </c>
      <c r="F6" s="56">
        <v>35761386</v>
      </c>
      <c r="G6" s="56">
        <v>15644553</v>
      </c>
      <c r="H6" s="56">
        <v>14028623</v>
      </c>
      <c r="I6" s="56">
        <v>8985023</v>
      </c>
      <c r="J6" s="77">
        <v>62.43</v>
      </c>
      <c r="K6" s="77">
        <v>51.8</v>
      </c>
      <c r="L6" s="382">
        <f t="shared" si="0"/>
        <v>0.11843673263488314</v>
      </c>
    </row>
    <row r="7" spans="1:12" x14ac:dyDescent="0.35">
      <c r="A7" s="40" t="s">
        <v>24</v>
      </c>
      <c r="B7" s="133">
        <v>27319228</v>
      </c>
      <c r="C7" s="133">
        <v>12678647</v>
      </c>
      <c r="D7" s="56">
        <v>21294662</v>
      </c>
      <c r="E7" s="56">
        <v>17314597</v>
      </c>
      <c r="F7" s="56">
        <v>3731253</v>
      </c>
      <c r="G7" s="56">
        <v>7046044</v>
      </c>
      <c r="H7" s="56">
        <v>4493420</v>
      </c>
      <c r="I7" s="56">
        <v>1194019</v>
      </c>
      <c r="J7" s="77">
        <v>24.77</v>
      </c>
      <c r="K7" s="77">
        <v>76.599999999999994</v>
      </c>
      <c r="L7" s="382">
        <f t="shared" si="0"/>
        <v>2.4971859070831357E-2</v>
      </c>
    </row>
    <row r="8" spans="1:12" x14ac:dyDescent="0.35">
      <c r="A8" s="40" t="s">
        <v>25</v>
      </c>
      <c r="B8" s="133">
        <v>92765930</v>
      </c>
      <c r="C8" s="133">
        <v>51230856</v>
      </c>
      <c r="D8" s="56">
        <v>31536467</v>
      </c>
      <c r="E8" s="56">
        <v>10771827</v>
      </c>
      <c r="F8" s="56">
        <v>6409441</v>
      </c>
      <c r="G8" s="56">
        <v>5061680</v>
      </c>
      <c r="H8" s="56">
        <v>3184236</v>
      </c>
      <c r="I8" s="56">
        <v>3046487</v>
      </c>
      <c r="J8" s="77">
        <v>67.03</v>
      </c>
      <c r="K8" s="77">
        <v>86.24</v>
      </c>
      <c r="L8" s="382">
        <f t="shared" si="0"/>
        <v>3.698223571315308E-2</v>
      </c>
    </row>
    <row r="9" spans="1:12" x14ac:dyDescent="0.35">
      <c r="A9" s="40" t="s">
        <v>26</v>
      </c>
      <c r="B9" s="133">
        <v>46348336</v>
      </c>
      <c r="C9" s="133">
        <v>37179812</v>
      </c>
      <c r="D9" s="56">
        <v>68638428</v>
      </c>
      <c r="E9" s="56">
        <v>36252847</v>
      </c>
      <c r="F9" s="56">
        <v>18050884</v>
      </c>
      <c r="G9" s="56">
        <v>14940615</v>
      </c>
      <c r="H9" s="56">
        <v>3461922</v>
      </c>
      <c r="I9" s="56">
        <v>4462415</v>
      </c>
      <c r="J9" s="77">
        <v>65.2</v>
      </c>
      <c r="K9" s="77">
        <v>66.47</v>
      </c>
      <c r="L9" s="382">
        <f t="shared" si="0"/>
        <v>8.0491024035009573E-2</v>
      </c>
    </row>
    <row r="10" spans="1:12" x14ac:dyDescent="0.35">
      <c r="A10" s="40" t="s">
        <v>27</v>
      </c>
      <c r="B10" s="133">
        <v>10519532</v>
      </c>
      <c r="C10" s="133">
        <v>2661922</v>
      </c>
      <c r="D10" s="56">
        <v>6756000</v>
      </c>
      <c r="E10" s="56">
        <v>5811661</v>
      </c>
      <c r="F10" s="56">
        <v>1668353</v>
      </c>
      <c r="G10" s="56">
        <v>3516602</v>
      </c>
      <c r="H10" s="56">
        <v>985598</v>
      </c>
      <c r="I10" s="59"/>
      <c r="J10" s="77">
        <v>25.95</v>
      </c>
      <c r="K10" s="77">
        <v>70.03</v>
      </c>
      <c r="L10" s="382">
        <f t="shared" si="0"/>
        <v>7.9226371323732041E-3</v>
      </c>
    </row>
    <row r="11" spans="1:12" x14ac:dyDescent="0.35">
      <c r="A11" s="40" t="s">
        <v>28</v>
      </c>
      <c r="B11" s="133">
        <v>122567517</v>
      </c>
      <c r="C11" s="133">
        <v>41020441</v>
      </c>
      <c r="D11" s="56">
        <v>77273501</v>
      </c>
      <c r="E11" s="56">
        <v>38095102</v>
      </c>
      <c r="F11" s="56">
        <v>19641297</v>
      </c>
      <c r="G11" s="56">
        <v>18960307</v>
      </c>
      <c r="H11" s="56">
        <v>7663876</v>
      </c>
      <c r="I11" s="56">
        <v>6794212</v>
      </c>
      <c r="J11" s="77">
        <v>59.49</v>
      </c>
      <c r="K11" s="77">
        <v>80.64</v>
      </c>
      <c r="L11" s="382">
        <f t="shared" si="0"/>
        <v>9.061721556706305E-2</v>
      </c>
    </row>
    <row r="12" spans="1:12" x14ac:dyDescent="0.35">
      <c r="A12" s="40" t="s">
        <v>46</v>
      </c>
      <c r="B12" s="133">
        <v>15840583</v>
      </c>
      <c r="C12" s="133">
        <v>6293234</v>
      </c>
      <c r="D12" s="56">
        <v>6508200</v>
      </c>
      <c r="E12" s="56">
        <v>4966003</v>
      </c>
      <c r="F12" s="56">
        <v>1071498</v>
      </c>
      <c r="G12" s="56">
        <v>4986702</v>
      </c>
      <c r="H12" s="56">
        <v>975942</v>
      </c>
      <c r="I12" s="56">
        <v>620891</v>
      </c>
      <c r="J12" s="77">
        <v>26.64</v>
      </c>
      <c r="K12" s="77">
        <v>148.25</v>
      </c>
      <c r="L12" s="382">
        <f t="shared" si="0"/>
        <v>7.6320466229886459E-3</v>
      </c>
    </row>
    <row r="13" spans="1:12" x14ac:dyDescent="0.35">
      <c r="A13" s="40" t="s">
        <v>30</v>
      </c>
      <c r="B13" s="133">
        <v>10574723</v>
      </c>
      <c r="C13" s="133">
        <v>5737450</v>
      </c>
      <c r="D13" s="56">
        <v>10101455</v>
      </c>
      <c r="E13" s="56">
        <v>9352708</v>
      </c>
      <c r="F13" s="56">
        <v>3075143</v>
      </c>
      <c r="G13" s="56">
        <v>3932387</v>
      </c>
      <c r="H13" s="56">
        <v>1210027</v>
      </c>
      <c r="I13" s="56">
        <v>413822</v>
      </c>
      <c r="J13" s="77">
        <v>37.119999999999997</v>
      </c>
      <c r="K13" s="77">
        <v>62.07</v>
      </c>
      <c r="L13" s="382">
        <f t="shared" si="0"/>
        <v>1.1845790774718321E-2</v>
      </c>
    </row>
    <row r="14" spans="1:12" x14ac:dyDescent="0.35">
      <c r="A14" s="40" t="s">
        <v>31</v>
      </c>
      <c r="B14" s="133">
        <v>20079681</v>
      </c>
      <c r="C14" s="133">
        <v>11328008</v>
      </c>
      <c r="D14" s="56">
        <v>7948288</v>
      </c>
      <c r="E14" s="56">
        <v>5873714</v>
      </c>
      <c r="F14" s="56">
        <v>1235446</v>
      </c>
      <c r="G14" s="56">
        <v>5029572</v>
      </c>
      <c r="H14" s="56">
        <v>861548</v>
      </c>
      <c r="I14" s="56">
        <v>329113</v>
      </c>
      <c r="J14" s="77">
        <v>24.24</v>
      </c>
      <c r="K14" s="77">
        <v>115.58</v>
      </c>
      <c r="L14" s="382">
        <f t="shared" si="0"/>
        <v>9.3208113747182287E-3</v>
      </c>
    </row>
    <row r="15" spans="1:12" x14ac:dyDescent="0.35">
      <c r="A15" s="40" t="s">
        <v>32</v>
      </c>
      <c r="B15" s="133">
        <v>55949598</v>
      </c>
      <c r="C15" s="133">
        <v>42131361</v>
      </c>
      <c r="D15" s="56">
        <v>34770287</v>
      </c>
      <c r="E15" s="56">
        <v>24369895</v>
      </c>
      <c r="F15" s="56">
        <v>11343172</v>
      </c>
      <c r="G15" s="56">
        <v>12578038</v>
      </c>
      <c r="H15" s="56">
        <v>4901174</v>
      </c>
      <c r="I15" s="56">
        <v>3632585</v>
      </c>
      <c r="J15" s="77">
        <v>54</v>
      </c>
      <c r="K15" s="77">
        <v>83.22</v>
      </c>
      <c r="L15" s="382">
        <f t="shared" si="0"/>
        <v>4.077447704107065E-2</v>
      </c>
    </row>
    <row r="16" spans="1:12" x14ac:dyDescent="0.35">
      <c r="A16" s="40" t="s">
        <v>33</v>
      </c>
      <c r="B16" s="133">
        <v>24946602</v>
      </c>
      <c r="C16" s="133">
        <v>1305638</v>
      </c>
      <c r="D16" s="56">
        <v>12158093</v>
      </c>
      <c r="E16" s="56">
        <v>9285451</v>
      </c>
      <c r="F16" s="56">
        <v>1996418</v>
      </c>
      <c r="G16" s="56">
        <v>5751973</v>
      </c>
      <c r="H16" s="56">
        <v>1473373</v>
      </c>
      <c r="I16" s="56">
        <v>1027614</v>
      </c>
      <c r="J16" s="77">
        <v>24.37</v>
      </c>
      <c r="K16" s="77">
        <v>88.18</v>
      </c>
      <c r="L16" s="382">
        <f t="shared" si="0"/>
        <v>1.4257572389083295E-2</v>
      </c>
    </row>
    <row r="17" spans="1:12" x14ac:dyDescent="0.35">
      <c r="A17" s="40" t="s">
        <v>34</v>
      </c>
      <c r="B17" s="133">
        <v>16047721</v>
      </c>
      <c r="C17" s="133">
        <v>12585910</v>
      </c>
      <c r="D17" s="56">
        <v>3872158</v>
      </c>
      <c r="E17" s="56">
        <v>3220752</v>
      </c>
      <c r="F17" s="56">
        <v>474343</v>
      </c>
      <c r="G17" s="56">
        <v>2173747</v>
      </c>
      <c r="H17" s="56">
        <v>391933</v>
      </c>
      <c r="I17" s="56">
        <v>263707</v>
      </c>
      <c r="J17" s="77">
        <v>16.059999999999999</v>
      </c>
      <c r="K17" s="77">
        <v>86.87</v>
      </c>
      <c r="L17" s="382">
        <f t="shared" si="0"/>
        <v>4.540808578036703E-3</v>
      </c>
    </row>
    <row r="18" spans="1:12" x14ac:dyDescent="0.35">
      <c r="A18" s="40" t="s">
        <v>35</v>
      </c>
      <c r="B18" s="133">
        <v>52290151</v>
      </c>
      <c r="C18" s="133">
        <v>21316604</v>
      </c>
      <c r="D18" s="56">
        <v>14952408</v>
      </c>
      <c r="E18" s="56">
        <v>12079663</v>
      </c>
      <c r="F18" s="56">
        <v>2755157</v>
      </c>
      <c r="G18" s="56">
        <v>8761195</v>
      </c>
      <c r="H18" s="56">
        <v>1377810</v>
      </c>
      <c r="I18" s="56">
        <v>958936</v>
      </c>
      <c r="J18" s="77">
        <v>28.97</v>
      </c>
      <c r="K18" s="77">
        <v>106.6</v>
      </c>
      <c r="L18" s="382">
        <f t="shared" si="0"/>
        <v>1.7534414274599491E-2</v>
      </c>
    </row>
    <row r="19" spans="1:12" x14ac:dyDescent="0.35">
      <c r="A19" s="40" t="s">
        <v>36</v>
      </c>
      <c r="B19" s="133">
        <v>24449580</v>
      </c>
      <c r="C19" s="133">
        <v>5830603</v>
      </c>
      <c r="D19" s="56">
        <v>23090012</v>
      </c>
      <c r="E19" s="56">
        <v>18811969</v>
      </c>
      <c r="F19" s="56">
        <v>5990356</v>
      </c>
      <c r="G19" s="56">
        <v>10726423</v>
      </c>
      <c r="H19" s="56">
        <v>2797787</v>
      </c>
      <c r="I19" s="56">
        <v>1299561</v>
      </c>
      <c r="J19" s="77">
        <v>32.15</v>
      </c>
      <c r="K19" s="77">
        <v>72.59</v>
      </c>
      <c r="L19" s="382">
        <f t="shared" si="0"/>
        <v>2.7077233045906288E-2</v>
      </c>
    </row>
    <row r="20" spans="1:12" x14ac:dyDescent="0.35">
      <c r="A20" s="40" t="s">
        <v>37</v>
      </c>
      <c r="B20" s="133">
        <v>16031929</v>
      </c>
      <c r="C20" s="133">
        <v>9355900</v>
      </c>
      <c r="D20" s="56">
        <v>17807025</v>
      </c>
      <c r="E20" s="56">
        <v>13798468</v>
      </c>
      <c r="F20" s="56">
        <v>5540215</v>
      </c>
      <c r="G20" s="56">
        <v>6747219</v>
      </c>
      <c r="H20" s="56">
        <v>2990989</v>
      </c>
      <c r="I20" s="56">
        <v>1184291</v>
      </c>
      <c r="J20" s="77">
        <v>42.58</v>
      </c>
      <c r="K20" s="77">
        <v>74.849999999999994</v>
      </c>
      <c r="L20" s="382">
        <f t="shared" si="0"/>
        <v>2.0881971208125811E-2</v>
      </c>
    </row>
    <row r="21" spans="1:12" x14ac:dyDescent="0.35">
      <c r="A21" s="40" t="s">
        <v>38</v>
      </c>
      <c r="B21" s="133">
        <v>34395368</v>
      </c>
      <c r="C21" s="133">
        <v>3552943</v>
      </c>
      <c r="D21" s="56">
        <v>12913133</v>
      </c>
      <c r="E21" s="56">
        <v>7043430</v>
      </c>
      <c r="F21" s="56">
        <v>3482697</v>
      </c>
      <c r="G21" s="56">
        <v>4463203</v>
      </c>
      <c r="H21" s="56">
        <v>2016205</v>
      </c>
      <c r="I21" s="56">
        <v>1368113</v>
      </c>
      <c r="J21" s="77">
        <v>48.43</v>
      </c>
      <c r="K21" s="77">
        <v>90.1</v>
      </c>
      <c r="L21" s="382">
        <f t="shared" si="0"/>
        <v>1.5142993931479248E-2</v>
      </c>
    </row>
    <row r="22" spans="1:12" x14ac:dyDescent="0.35">
      <c r="A22" s="40" t="s">
        <v>39</v>
      </c>
      <c r="B22" s="133">
        <v>199333965</v>
      </c>
      <c r="C22" s="133">
        <v>81236795</v>
      </c>
      <c r="D22" s="56">
        <v>138748188</v>
      </c>
      <c r="E22" s="56">
        <v>67539389</v>
      </c>
      <c r="F22" s="56">
        <v>44363539</v>
      </c>
      <c r="G22" s="56">
        <v>48287364</v>
      </c>
      <c r="H22" s="56">
        <v>15308051</v>
      </c>
      <c r="I22" s="56">
        <v>16237446</v>
      </c>
      <c r="J22" s="77">
        <v>57.12</v>
      </c>
      <c r="K22" s="77">
        <v>81.89</v>
      </c>
      <c r="L22" s="382">
        <f t="shared" si="0"/>
        <v>0.16270745208678186</v>
      </c>
    </row>
    <row r="23" spans="1:12" x14ac:dyDescent="0.35">
      <c r="A23" s="40" t="s">
        <v>40</v>
      </c>
      <c r="B23" s="133">
        <v>140415469</v>
      </c>
      <c r="C23" s="133">
        <v>104273737</v>
      </c>
      <c r="D23" s="56">
        <v>91070345</v>
      </c>
      <c r="E23" s="56">
        <v>55563991</v>
      </c>
      <c r="F23" s="56">
        <v>14175807</v>
      </c>
      <c r="G23" s="56">
        <v>29296128</v>
      </c>
      <c r="H23" s="56">
        <v>15892509</v>
      </c>
      <c r="I23" s="56">
        <v>7265521</v>
      </c>
      <c r="J23" s="77">
        <v>28.75</v>
      </c>
      <c r="K23" s="77">
        <v>91.65</v>
      </c>
      <c r="L23" s="382">
        <f t="shared" si="0"/>
        <v>0.10679652115971558</v>
      </c>
    </row>
    <row r="24" spans="1:12" x14ac:dyDescent="0.35">
      <c r="A24" s="40" t="s">
        <v>41</v>
      </c>
      <c r="B24" s="133">
        <v>13666331</v>
      </c>
      <c r="C24" s="133">
        <v>11979147</v>
      </c>
      <c r="D24" s="56">
        <v>7856036</v>
      </c>
      <c r="E24" s="56">
        <v>7111623</v>
      </c>
      <c r="F24" s="56">
        <v>2848096</v>
      </c>
      <c r="G24" s="56">
        <v>5235701</v>
      </c>
      <c r="H24" s="56">
        <v>294974</v>
      </c>
      <c r="I24" s="59"/>
      <c r="J24" s="77">
        <v>43.5</v>
      </c>
      <c r="K24" s="77">
        <v>84.47</v>
      </c>
      <c r="L24" s="382">
        <f t="shared" si="0"/>
        <v>9.2126291484400033E-3</v>
      </c>
    </row>
    <row r="25" spans="1:12" x14ac:dyDescent="0.35">
      <c r="A25" s="40" t="s">
        <v>42</v>
      </c>
      <c r="B25" s="133">
        <v>87121045</v>
      </c>
      <c r="C25" s="133">
        <v>46547400</v>
      </c>
      <c r="D25" s="56">
        <v>72759737</v>
      </c>
      <c r="E25" s="56">
        <v>49604198</v>
      </c>
      <c r="F25" s="56">
        <v>23969741</v>
      </c>
      <c r="G25" s="56">
        <v>20568966</v>
      </c>
      <c r="H25" s="56">
        <v>11093402</v>
      </c>
      <c r="I25" s="56">
        <v>7078012</v>
      </c>
      <c r="J25" s="77">
        <v>55.13</v>
      </c>
      <c r="K25" s="77">
        <v>72.819999999999993</v>
      </c>
      <c r="L25" s="382">
        <f t="shared" si="0"/>
        <v>8.5324007415320979E-2</v>
      </c>
    </row>
    <row r="26" spans="1:12" x14ac:dyDescent="0.35">
      <c r="A26" s="40" t="s">
        <v>43</v>
      </c>
      <c r="B26" s="133">
        <v>31869974</v>
      </c>
      <c r="C26" s="133">
        <v>14659412</v>
      </c>
      <c r="D26" s="56">
        <v>11211667</v>
      </c>
      <c r="E26" s="56">
        <v>8518353</v>
      </c>
      <c r="F26" s="56">
        <v>6143274</v>
      </c>
      <c r="G26" s="56">
        <v>7660528</v>
      </c>
      <c r="H26" s="56">
        <v>2120633</v>
      </c>
      <c r="I26" s="56">
        <v>1231188</v>
      </c>
      <c r="J26" s="77">
        <v>75.849999999999994</v>
      </c>
      <c r="K26" s="77">
        <v>120.76</v>
      </c>
      <c r="L26" s="382">
        <f t="shared" si="0"/>
        <v>1.3147715999112387E-2</v>
      </c>
    </row>
    <row r="27" spans="1:12" ht="13.15" x14ac:dyDescent="0.4">
      <c r="A27" s="45" t="s">
        <v>44</v>
      </c>
      <c r="B27" s="60">
        <f t="shared" ref="B27:I27" si="1">SUM(B3:B26)</f>
        <v>1286185167</v>
      </c>
      <c r="C27" s="60">
        <f t="shared" si="1"/>
        <v>615063844</v>
      </c>
      <c r="D27" s="60">
        <f t="shared" si="1"/>
        <v>852746363</v>
      </c>
      <c r="E27" s="60">
        <f t="shared" si="1"/>
        <v>506870923</v>
      </c>
      <c r="F27" s="60">
        <f t="shared" si="1"/>
        <v>227531759</v>
      </c>
      <c r="G27" s="60">
        <f t="shared" si="1"/>
        <v>262445240</v>
      </c>
      <c r="H27" s="60">
        <f t="shared" si="1"/>
        <v>104336908</v>
      </c>
      <c r="I27" s="60">
        <f t="shared" si="1"/>
        <v>75861830</v>
      </c>
      <c r="J27" s="74"/>
      <c r="K27" s="74"/>
      <c r="L27" s="69"/>
    </row>
  </sheetData>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tabColor rgb="FF7030A0"/>
  </sheetPr>
  <dimension ref="A1:L29"/>
  <sheetViews>
    <sheetView topLeftCell="A7" workbookViewId="0">
      <selection activeCell="C27" sqref="C27"/>
    </sheetView>
  </sheetViews>
  <sheetFormatPr defaultRowHeight="12.75" x14ac:dyDescent="0.35"/>
  <cols>
    <col min="1" max="1" width="40.73046875" bestFit="1" customWidth="1"/>
    <col min="2" max="3" width="17.265625" customWidth="1"/>
    <col min="4" max="4" width="20.265625" bestFit="1" customWidth="1"/>
    <col min="5" max="5" width="18.3984375" bestFit="1" customWidth="1"/>
    <col min="6" max="6" width="14" bestFit="1" customWidth="1"/>
    <col min="7" max="7" width="19.265625" bestFit="1" customWidth="1"/>
    <col min="8" max="8" width="18.3984375" bestFit="1" customWidth="1"/>
    <col min="9" max="9" width="17.73046875" bestFit="1" customWidth="1"/>
    <col min="10" max="10" width="10.73046875" bestFit="1" customWidth="1"/>
    <col min="11" max="11" width="12.3984375" bestFit="1" customWidth="1"/>
  </cols>
  <sheetData>
    <row r="1" spans="1:12" s="28" customFormat="1" x14ac:dyDescent="0.35">
      <c r="A1" s="12" t="s">
        <v>59</v>
      </c>
      <c r="B1" s="115"/>
      <c r="C1" s="115"/>
      <c r="D1" s="27"/>
      <c r="E1" s="27"/>
      <c r="F1" s="27"/>
      <c r="G1" s="27"/>
      <c r="H1" s="27"/>
      <c r="I1" s="27"/>
      <c r="J1" s="27"/>
      <c r="K1" s="27"/>
      <c r="L1" s="27"/>
    </row>
    <row r="2" spans="1:12" s="16" customFormat="1" ht="25.5" x14ac:dyDescent="0.35">
      <c r="A2" s="12" t="s">
        <v>8</v>
      </c>
      <c r="B2" s="12" t="s">
        <v>9</v>
      </c>
      <c r="C2" s="12" t="s">
        <v>10</v>
      </c>
      <c r="D2" s="12" t="s">
        <v>11</v>
      </c>
      <c r="E2" s="12" t="s">
        <v>12</v>
      </c>
      <c r="F2" s="12" t="s">
        <v>13</v>
      </c>
      <c r="G2" s="12" t="s">
        <v>14</v>
      </c>
      <c r="H2" s="12" t="s">
        <v>15</v>
      </c>
      <c r="I2" s="12" t="s">
        <v>16</v>
      </c>
      <c r="J2" s="12" t="s">
        <v>17</v>
      </c>
      <c r="K2" s="12" t="s">
        <v>18</v>
      </c>
      <c r="L2" s="12" t="s">
        <v>19</v>
      </c>
    </row>
    <row r="3" spans="1:12" x14ac:dyDescent="0.35">
      <c r="A3" s="384" t="s">
        <v>20</v>
      </c>
      <c r="B3" s="385">
        <v>59429976</v>
      </c>
      <c r="C3" s="385">
        <v>17620413</v>
      </c>
      <c r="D3" s="82">
        <v>13996241</v>
      </c>
      <c r="E3" s="82">
        <v>5511385</v>
      </c>
      <c r="F3" s="82">
        <v>591302</v>
      </c>
      <c r="G3" s="82">
        <v>2468859</v>
      </c>
      <c r="H3" s="82">
        <v>1535774</v>
      </c>
      <c r="I3" s="82">
        <v>2298168</v>
      </c>
      <c r="J3" s="386">
        <v>19.61</v>
      </c>
      <c r="K3" s="386">
        <v>132.84</v>
      </c>
      <c r="L3" s="382">
        <f>D3/$D$29</f>
        <v>4.2284700043542282E-2</v>
      </c>
    </row>
    <row r="4" spans="1:12" x14ac:dyDescent="0.35">
      <c r="A4" s="384" t="s">
        <v>21</v>
      </c>
      <c r="B4" s="385">
        <v>28787738</v>
      </c>
      <c r="C4" s="385">
        <v>2340842</v>
      </c>
      <c r="D4" s="82">
        <v>7831040</v>
      </c>
      <c r="E4" s="82">
        <v>2764319</v>
      </c>
      <c r="F4" s="82">
        <v>1387582</v>
      </c>
      <c r="G4" s="82">
        <v>1129937</v>
      </c>
      <c r="H4" s="82">
        <v>358279</v>
      </c>
      <c r="I4" s="82">
        <v>621415</v>
      </c>
      <c r="J4" s="386">
        <v>67.290000000000006</v>
      </c>
      <c r="K4" s="386">
        <v>72.17</v>
      </c>
      <c r="L4" s="382">
        <f t="shared" ref="L4:L28" si="0">D4/$D$29</f>
        <v>2.3658722183262017E-2</v>
      </c>
    </row>
    <row r="5" spans="1:12" x14ac:dyDescent="0.35">
      <c r="A5" s="384" t="s">
        <v>60</v>
      </c>
      <c r="B5" s="384"/>
      <c r="C5" s="384"/>
      <c r="D5" s="83"/>
      <c r="E5" s="83"/>
      <c r="F5" s="83"/>
      <c r="G5" s="83"/>
      <c r="H5" s="83"/>
      <c r="I5" s="83"/>
      <c r="J5" s="386"/>
      <c r="K5" s="386"/>
      <c r="L5" s="382">
        <f t="shared" si="0"/>
        <v>0</v>
      </c>
    </row>
    <row r="6" spans="1:12" x14ac:dyDescent="0.35">
      <c r="A6" s="384" t="s">
        <v>22</v>
      </c>
      <c r="B6" s="385">
        <v>37437876</v>
      </c>
      <c r="C6" s="385">
        <v>22583326</v>
      </c>
      <c r="D6" s="82">
        <v>9979671</v>
      </c>
      <c r="E6" s="82">
        <v>7492403</v>
      </c>
      <c r="F6" s="82">
        <v>745575</v>
      </c>
      <c r="G6" s="82">
        <v>2385634</v>
      </c>
      <c r="H6" s="82">
        <v>1187899</v>
      </c>
      <c r="I6" s="82">
        <v>747762</v>
      </c>
      <c r="J6" s="386">
        <v>10.81</v>
      </c>
      <c r="K6" s="386">
        <v>51.83</v>
      </c>
      <c r="L6" s="382">
        <f t="shared" si="0"/>
        <v>3.0150052058137439E-2</v>
      </c>
    </row>
    <row r="7" spans="1:12" x14ac:dyDescent="0.35">
      <c r="A7" s="384" t="s">
        <v>23</v>
      </c>
      <c r="B7" s="385">
        <v>124547917</v>
      </c>
      <c r="C7" s="385">
        <v>39963600</v>
      </c>
      <c r="D7" s="82">
        <v>45816072</v>
      </c>
      <c r="E7" s="82">
        <v>27338813</v>
      </c>
      <c r="F7" s="82">
        <v>9257651</v>
      </c>
      <c r="G7" s="82">
        <v>5680786</v>
      </c>
      <c r="H7" s="82">
        <v>1814485</v>
      </c>
      <c r="I7" s="83"/>
      <c r="J7" s="386">
        <v>54.59</v>
      </c>
      <c r="K7" s="386">
        <v>44.2</v>
      </c>
      <c r="L7" s="382">
        <f t="shared" si="0"/>
        <v>0.13841708367934907</v>
      </c>
    </row>
    <row r="8" spans="1:12" x14ac:dyDescent="0.35">
      <c r="A8" s="384" t="s">
        <v>24</v>
      </c>
      <c r="B8" s="385">
        <v>30137311</v>
      </c>
      <c r="C8" s="385">
        <v>13745242</v>
      </c>
      <c r="D8" s="82">
        <v>8818917</v>
      </c>
      <c r="E8" s="82">
        <v>7835445</v>
      </c>
      <c r="F8" s="82">
        <v>1685577</v>
      </c>
      <c r="G8" s="82">
        <v>2087189</v>
      </c>
      <c r="H8" s="82">
        <v>1905080</v>
      </c>
      <c r="I8" s="82">
        <v>344215</v>
      </c>
      <c r="J8" s="386">
        <v>29.36</v>
      </c>
      <c r="K8" s="386">
        <v>69.540000000000006</v>
      </c>
      <c r="L8" s="382">
        <f t="shared" si="0"/>
        <v>2.6643243714787115E-2</v>
      </c>
    </row>
    <row r="9" spans="1:12" x14ac:dyDescent="0.35">
      <c r="A9" s="384" t="s">
        <v>25</v>
      </c>
      <c r="B9" s="385">
        <v>82470589</v>
      </c>
      <c r="C9" s="385">
        <v>49757384</v>
      </c>
      <c r="D9" s="82">
        <v>9867185</v>
      </c>
      <c r="E9" s="82">
        <v>5586097</v>
      </c>
      <c r="F9" s="82">
        <v>2092510</v>
      </c>
      <c r="G9" s="82">
        <v>1722606</v>
      </c>
      <c r="H9" s="82">
        <v>24603</v>
      </c>
      <c r="I9" s="83"/>
      <c r="J9" s="386">
        <v>61.39</v>
      </c>
      <c r="K9" s="386">
        <v>51.26</v>
      </c>
      <c r="L9" s="382">
        <f t="shared" si="0"/>
        <v>2.9810215328468531E-2</v>
      </c>
    </row>
    <row r="10" spans="1:12" x14ac:dyDescent="0.35">
      <c r="A10" s="384" t="s">
        <v>26</v>
      </c>
      <c r="B10" s="385">
        <v>56055711</v>
      </c>
      <c r="C10" s="385">
        <v>41192618</v>
      </c>
      <c r="D10" s="82">
        <v>31323338</v>
      </c>
      <c r="E10" s="82">
        <v>16263862</v>
      </c>
      <c r="F10" s="82">
        <v>2891455</v>
      </c>
      <c r="G10" s="82">
        <v>4842933</v>
      </c>
      <c r="H10" s="82">
        <v>675963</v>
      </c>
      <c r="I10" s="82">
        <v>1931879</v>
      </c>
      <c r="J10" s="386">
        <v>33.11</v>
      </c>
      <c r="K10" s="386">
        <v>63.21</v>
      </c>
      <c r="L10" s="382">
        <f t="shared" si="0"/>
        <v>9.4632405350300097E-2</v>
      </c>
    </row>
    <row r="11" spans="1:12" x14ac:dyDescent="0.35">
      <c r="A11" s="384" t="s">
        <v>27</v>
      </c>
      <c r="B11" s="384"/>
      <c r="C11" s="384"/>
      <c r="D11" s="83"/>
      <c r="E11" s="83"/>
      <c r="F11" s="83"/>
      <c r="G11" s="83"/>
      <c r="H11" s="83"/>
      <c r="I11" s="83"/>
      <c r="J11" s="386"/>
      <c r="K11" s="386"/>
      <c r="L11" s="382">
        <f t="shared" si="0"/>
        <v>0</v>
      </c>
    </row>
    <row r="12" spans="1:12" x14ac:dyDescent="0.35">
      <c r="A12" s="384" t="s">
        <v>28</v>
      </c>
      <c r="B12" s="385">
        <v>129134648</v>
      </c>
      <c r="C12" s="385">
        <v>56973517</v>
      </c>
      <c r="D12" s="82">
        <v>16494312</v>
      </c>
      <c r="E12" s="82">
        <v>11944679</v>
      </c>
      <c r="F12" s="82">
        <v>4732755</v>
      </c>
      <c r="G12" s="82">
        <v>6477854</v>
      </c>
      <c r="H12" s="82">
        <v>3058163</v>
      </c>
      <c r="I12" s="82">
        <v>1102277</v>
      </c>
      <c r="J12" s="386">
        <v>43.16</v>
      </c>
      <c r="K12" s="386">
        <v>86.96</v>
      </c>
      <c r="L12" s="382">
        <f t="shared" si="0"/>
        <v>4.9831739489524365E-2</v>
      </c>
    </row>
    <row r="13" spans="1:12" x14ac:dyDescent="0.35">
      <c r="A13" s="384" t="s">
        <v>46</v>
      </c>
      <c r="B13" s="384"/>
      <c r="C13" s="384"/>
      <c r="D13" s="83"/>
      <c r="E13" s="83"/>
      <c r="F13" s="83"/>
      <c r="G13" s="83"/>
      <c r="H13" s="83"/>
      <c r="I13" s="83"/>
      <c r="J13" s="386"/>
      <c r="K13" s="386"/>
      <c r="L13" s="382">
        <f t="shared" si="0"/>
        <v>0</v>
      </c>
    </row>
    <row r="14" spans="1:12" x14ac:dyDescent="0.35">
      <c r="A14" s="384" t="s">
        <v>29</v>
      </c>
      <c r="B14" s="385">
        <v>17485325</v>
      </c>
      <c r="C14" s="385">
        <v>12794540</v>
      </c>
      <c r="D14" s="82">
        <v>4387423</v>
      </c>
      <c r="E14" s="82">
        <v>5104855</v>
      </c>
      <c r="F14" s="82">
        <v>456325</v>
      </c>
      <c r="G14" s="82">
        <v>1105135</v>
      </c>
      <c r="H14" s="82">
        <v>66544</v>
      </c>
      <c r="I14" s="83"/>
      <c r="J14" s="386">
        <v>34.880000000000003</v>
      </c>
      <c r="K14" s="386">
        <v>89.56</v>
      </c>
      <c r="L14" s="382">
        <f t="shared" si="0"/>
        <v>1.3255049374981355E-2</v>
      </c>
    </row>
    <row r="15" spans="1:12" x14ac:dyDescent="0.35">
      <c r="A15" s="384" t="s">
        <v>30</v>
      </c>
      <c r="B15" s="385">
        <v>10804187</v>
      </c>
      <c r="C15" s="385">
        <v>6965623</v>
      </c>
      <c r="D15" s="82">
        <v>3451870</v>
      </c>
      <c r="E15" s="82">
        <v>3262779</v>
      </c>
      <c r="F15" s="82">
        <v>546538</v>
      </c>
      <c r="G15" s="82">
        <v>1349586</v>
      </c>
      <c r="H15" s="82">
        <v>816931</v>
      </c>
      <c r="I15" s="82">
        <v>74242</v>
      </c>
      <c r="J15" s="386">
        <v>17.190000000000001</v>
      </c>
      <c r="K15" s="386">
        <v>68.13</v>
      </c>
      <c r="L15" s="382">
        <f t="shared" si="0"/>
        <v>1.0428606333607881E-2</v>
      </c>
    </row>
    <row r="16" spans="1:12" x14ac:dyDescent="0.35">
      <c r="A16" s="384" t="s">
        <v>31</v>
      </c>
      <c r="B16" s="385">
        <v>36089119</v>
      </c>
      <c r="C16" s="385">
        <v>29495058</v>
      </c>
      <c r="D16" s="82">
        <v>3669167</v>
      </c>
      <c r="E16" s="82">
        <v>3053178</v>
      </c>
      <c r="F16" s="82">
        <v>-607739</v>
      </c>
      <c r="G16" s="82">
        <v>1276258</v>
      </c>
      <c r="H16" s="82">
        <v>367397</v>
      </c>
      <c r="I16" s="82">
        <v>161336</v>
      </c>
      <c r="J16" s="386">
        <v>-27.45</v>
      </c>
      <c r="K16" s="386">
        <v>74.23</v>
      </c>
      <c r="L16" s="382">
        <f t="shared" si="0"/>
        <v>1.1085092490523984E-2</v>
      </c>
    </row>
    <row r="17" spans="1:12" x14ac:dyDescent="0.35">
      <c r="A17" s="384" t="s">
        <v>32</v>
      </c>
      <c r="B17" s="385">
        <v>60097333</v>
      </c>
      <c r="C17" s="385">
        <v>48340907</v>
      </c>
      <c r="D17" s="82">
        <v>11979380</v>
      </c>
      <c r="E17" s="82">
        <v>8383478</v>
      </c>
      <c r="F17" s="82">
        <v>2697166</v>
      </c>
      <c r="G17" s="82">
        <v>3917138</v>
      </c>
      <c r="H17" s="82">
        <v>1549953</v>
      </c>
      <c r="I17" s="82">
        <v>1174828</v>
      </c>
      <c r="J17" s="386">
        <v>37.53</v>
      </c>
      <c r="K17" s="386">
        <v>76.069999999999993</v>
      </c>
      <c r="L17" s="382">
        <f t="shared" si="0"/>
        <v>3.6191466695065448E-2</v>
      </c>
    </row>
    <row r="18" spans="1:12" x14ac:dyDescent="0.35">
      <c r="A18" s="384" t="s">
        <v>33</v>
      </c>
      <c r="B18" s="385">
        <v>29287873</v>
      </c>
      <c r="C18" s="385">
        <v>16539682</v>
      </c>
      <c r="D18" s="82">
        <v>8002504</v>
      </c>
      <c r="E18" s="82">
        <v>3915149</v>
      </c>
      <c r="F18" s="82">
        <v>755601</v>
      </c>
      <c r="G18" s="82">
        <v>2113594</v>
      </c>
      <c r="H18" s="82">
        <v>625745</v>
      </c>
      <c r="I18" s="82">
        <v>710908</v>
      </c>
      <c r="J18" s="386">
        <v>19.989999999999998</v>
      </c>
      <c r="K18" s="386">
        <v>72.489999999999995</v>
      </c>
      <c r="L18" s="382">
        <f t="shared" si="0"/>
        <v>2.4176740114524125E-2</v>
      </c>
    </row>
    <row r="19" spans="1:12" x14ac:dyDescent="0.35">
      <c r="A19" s="384" t="s">
        <v>34</v>
      </c>
      <c r="B19" s="385">
        <v>18061413</v>
      </c>
      <c r="C19" s="385">
        <v>14278321</v>
      </c>
      <c r="D19" s="82">
        <v>2108777</v>
      </c>
      <c r="E19" s="82">
        <v>1716048</v>
      </c>
      <c r="F19" s="82">
        <v>259399</v>
      </c>
      <c r="G19" s="82">
        <v>785659</v>
      </c>
      <c r="H19" s="82">
        <v>276581</v>
      </c>
      <c r="I19" s="82">
        <v>128705</v>
      </c>
      <c r="J19" s="386">
        <v>20.43</v>
      </c>
      <c r="K19" s="386">
        <v>83.66</v>
      </c>
      <c r="L19" s="382">
        <f t="shared" si="0"/>
        <v>6.370925086508653E-3</v>
      </c>
    </row>
    <row r="20" spans="1:12" x14ac:dyDescent="0.35">
      <c r="A20" s="384" t="s">
        <v>35</v>
      </c>
      <c r="B20" s="385">
        <v>60200333</v>
      </c>
      <c r="C20" s="385">
        <v>23873111</v>
      </c>
      <c r="D20" s="82">
        <v>7277981</v>
      </c>
      <c r="E20" s="82">
        <v>5299467</v>
      </c>
      <c r="F20" s="82">
        <v>1940229</v>
      </c>
      <c r="G20" s="82">
        <v>2062870</v>
      </c>
      <c r="H20" s="82">
        <v>494250</v>
      </c>
      <c r="I20" s="82">
        <v>619146</v>
      </c>
      <c r="J20" s="386">
        <v>44.2</v>
      </c>
      <c r="K20" s="386">
        <v>58.26</v>
      </c>
      <c r="L20" s="382">
        <f t="shared" si="0"/>
        <v>2.1987849702473677E-2</v>
      </c>
    </row>
    <row r="21" spans="1:12" x14ac:dyDescent="0.35">
      <c r="A21" s="384" t="s">
        <v>36</v>
      </c>
      <c r="B21" s="385">
        <v>33236121</v>
      </c>
      <c r="C21" s="385">
        <v>15965005</v>
      </c>
      <c r="D21" s="82">
        <v>8138703</v>
      </c>
      <c r="E21" s="82">
        <v>7156609</v>
      </c>
      <c r="F21" s="82">
        <v>2555811</v>
      </c>
      <c r="G21" s="82">
        <v>3592106</v>
      </c>
      <c r="H21" s="82">
        <v>822003</v>
      </c>
      <c r="I21" s="82">
        <v>288614</v>
      </c>
      <c r="J21" s="386">
        <v>39.700000000000003</v>
      </c>
      <c r="K21" s="386">
        <v>68.56</v>
      </c>
      <c r="L21" s="382">
        <f t="shared" si="0"/>
        <v>2.4588217300522169E-2</v>
      </c>
    </row>
    <row r="22" spans="1:12" x14ac:dyDescent="0.35">
      <c r="A22" s="384" t="s">
        <v>37</v>
      </c>
      <c r="B22" s="385">
        <v>16962471</v>
      </c>
      <c r="C22" s="385">
        <v>7215358</v>
      </c>
      <c r="D22" s="82">
        <v>6519583</v>
      </c>
      <c r="E22" s="82">
        <v>5454350</v>
      </c>
      <c r="F22" s="82">
        <v>812149</v>
      </c>
      <c r="G22" s="82">
        <v>1814043</v>
      </c>
      <c r="H22" s="82">
        <v>742134</v>
      </c>
      <c r="I22" s="82">
        <v>391013</v>
      </c>
      <c r="J22" s="386">
        <v>22.79</v>
      </c>
      <c r="K22" s="386">
        <v>71.72</v>
      </c>
      <c r="L22" s="382">
        <f t="shared" si="0"/>
        <v>1.9696617939343679E-2</v>
      </c>
    </row>
    <row r="23" spans="1:12" x14ac:dyDescent="0.35">
      <c r="A23" s="384" t="s">
        <v>38</v>
      </c>
      <c r="B23" s="385">
        <v>30861542</v>
      </c>
      <c r="C23" s="385">
        <v>6522847</v>
      </c>
      <c r="D23" s="82">
        <v>3523141</v>
      </c>
      <c r="E23" s="82">
        <v>1312831</v>
      </c>
      <c r="F23" s="82">
        <v>1287842</v>
      </c>
      <c r="G23" s="82">
        <v>1119994</v>
      </c>
      <c r="H23" s="82">
        <v>463920</v>
      </c>
      <c r="I23" s="82">
        <v>626856</v>
      </c>
      <c r="J23" s="386">
        <v>69.959999999999994</v>
      </c>
      <c r="K23" s="386">
        <v>86.04</v>
      </c>
      <c r="L23" s="382">
        <f t="shared" si="0"/>
        <v>1.0643926493985463E-2</v>
      </c>
    </row>
    <row r="24" spans="1:12" x14ac:dyDescent="0.35">
      <c r="A24" s="384" t="s">
        <v>39</v>
      </c>
      <c r="B24" s="385">
        <v>195078303</v>
      </c>
      <c r="C24" s="385">
        <v>89665841</v>
      </c>
      <c r="D24" s="82">
        <v>48033912</v>
      </c>
      <c r="E24" s="82">
        <v>37802073</v>
      </c>
      <c r="F24" s="82">
        <v>7473734</v>
      </c>
      <c r="G24" s="82">
        <v>15695986</v>
      </c>
      <c r="H24" s="82">
        <v>4816132</v>
      </c>
      <c r="I24" s="82">
        <v>2217050</v>
      </c>
      <c r="J24" s="386">
        <v>22.48</v>
      </c>
      <c r="K24" s="386">
        <v>61.7</v>
      </c>
      <c r="L24" s="382">
        <f t="shared" si="0"/>
        <v>0.14511750410970389</v>
      </c>
    </row>
    <row r="25" spans="1:12" x14ac:dyDescent="0.35">
      <c r="A25" s="384" t="s">
        <v>40</v>
      </c>
      <c r="B25" s="385">
        <v>156690627</v>
      </c>
      <c r="C25" s="385">
        <v>120841259</v>
      </c>
      <c r="D25" s="82">
        <v>39893875</v>
      </c>
      <c r="E25" s="82">
        <v>24125888</v>
      </c>
      <c r="F25" s="82">
        <v>5905467</v>
      </c>
      <c r="G25" s="82">
        <v>7449498</v>
      </c>
      <c r="H25" s="82">
        <v>6121531</v>
      </c>
      <c r="I25" s="82">
        <v>2306867</v>
      </c>
      <c r="J25" s="386">
        <v>27.57</v>
      </c>
      <c r="K25" s="386">
        <v>63.36</v>
      </c>
      <c r="L25" s="382">
        <f t="shared" si="0"/>
        <v>0.12052525659922333</v>
      </c>
    </row>
    <row r="26" spans="1:12" x14ac:dyDescent="0.35">
      <c r="A26" s="384" t="s">
        <v>41</v>
      </c>
      <c r="B26" s="385">
        <v>15043849</v>
      </c>
      <c r="C26" s="385">
        <v>13835058</v>
      </c>
      <c r="D26" s="82">
        <v>3188906</v>
      </c>
      <c r="E26" s="82">
        <v>2993243</v>
      </c>
      <c r="F26" s="82">
        <v>990910</v>
      </c>
      <c r="G26" s="82">
        <v>1343041</v>
      </c>
      <c r="H26" s="82">
        <v>127918</v>
      </c>
      <c r="I26" s="83"/>
      <c r="J26" s="386">
        <v>37.43</v>
      </c>
      <c r="K26" s="386">
        <v>55.57</v>
      </c>
      <c r="L26" s="382">
        <f t="shared" si="0"/>
        <v>9.6341534614224084E-3</v>
      </c>
    </row>
    <row r="27" spans="1:12" x14ac:dyDescent="0.35">
      <c r="A27" s="384" t="s">
        <v>42</v>
      </c>
      <c r="B27" s="385">
        <v>88403198</v>
      </c>
      <c r="C27" s="385">
        <v>57229503</v>
      </c>
      <c r="D27" s="82">
        <v>32724046</v>
      </c>
      <c r="E27" s="82">
        <v>19278640</v>
      </c>
      <c r="F27" s="82">
        <v>4308333</v>
      </c>
      <c r="G27" s="82">
        <v>5871210</v>
      </c>
      <c r="H27" s="82">
        <v>5544446</v>
      </c>
      <c r="I27" s="82">
        <v>3958686</v>
      </c>
      <c r="J27" s="386">
        <v>25.81</v>
      </c>
      <c r="K27" s="386">
        <v>68.39</v>
      </c>
      <c r="L27" s="382">
        <f t="shared" si="0"/>
        <v>9.8864149975774182E-2</v>
      </c>
    </row>
    <row r="28" spans="1:12" x14ac:dyDescent="0.35">
      <c r="A28" s="384" t="s">
        <v>43</v>
      </c>
      <c r="B28" s="385">
        <v>34443673</v>
      </c>
      <c r="C28" s="385">
        <v>8558460</v>
      </c>
      <c r="D28" s="82">
        <v>3974081</v>
      </c>
      <c r="E28" s="82">
        <v>3211502</v>
      </c>
      <c r="F28" s="82">
        <v>814009</v>
      </c>
      <c r="G28" s="82">
        <v>2310171</v>
      </c>
      <c r="H28" s="82">
        <v>726119</v>
      </c>
      <c r="I28" s="82">
        <v>441696</v>
      </c>
      <c r="J28" s="386">
        <v>28.92</v>
      </c>
      <c r="K28" s="386">
        <v>107.86</v>
      </c>
      <c r="L28" s="382">
        <f t="shared" si="0"/>
        <v>1.2006282474968854E-2</v>
      </c>
    </row>
    <row r="29" spans="1:12" ht="13.15" x14ac:dyDescent="0.4">
      <c r="A29" s="45" t="s">
        <v>44</v>
      </c>
      <c r="B29" s="60">
        <f t="shared" ref="B29:I29" si="1">SUM(B3:B28)</f>
        <v>1350747133</v>
      </c>
      <c r="C29" s="60">
        <f t="shared" si="1"/>
        <v>716297515</v>
      </c>
      <c r="D29" s="60">
        <f t="shared" si="1"/>
        <v>331000125</v>
      </c>
      <c r="E29" s="60">
        <f t="shared" si="1"/>
        <v>216807093</v>
      </c>
      <c r="F29" s="60">
        <f t="shared" si="1"/>
        <v>53580181</v>
      </c>
      <c r="G29" s="60">
        <f t="shared" si="1"/>
        <v>78602087</v>
      </c>
      <c r="H29" s="60">
        <f t="shared" si="1"/>
        <v>34121850</v>
      </c>
      <c r="I29" s="60">
        <f t="shared" si="1"/>
        <v>20145663</v>
      </c>
      <c r="J29" s="74"/>
      <c r="K29" s="74"/>
      <c r="L29" s="84"/>
    </row>
  </sheetData>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tabColor rgb="FF7030A0"/>
  </sheetPr>
  <dimension ref="A1:L29"/>
  <sheetViews>
    <sheetView workbookViewId="0"/>
  </sheetViews>
  <sheetFormatPr defaultRowHeight="12.75" x14ac:dyDescent="0.35"/>
  <cols>
    <col min="1" max="1" width="40.73046875" bestFit="1" customWidth="1"/>
    <col min="2" max="3" width="22.3984375" customWidth="1"/>
    <col min="4" max="4" width="20.265625" bestFit="1" customWidth="1"/>
    <col min="5" max="5" width="18.3984375" bestFit="1" customWidth="1"/>
    <col min="6" max="6" width="14" bestFit="1" customWidth="1"/>
    <col min="7" max="7" width="19.265625" bestFit="1" customWidth="1"/>
    <col min="8" max="8" width="18.3984375" bestFit="1" customWidth="1"/>
    <col min="9" max="9" width="17.73046875" bestFit="1" customWidth="1"/>
    <col min="10" max="10" width="11.265625" bestFit="1" customWidth="1"/>
    <col min="11" max="11" width="12.3984375" bestFit="1" customWidth="1"/>
  </cols>
  <sheetData>
    <row r="1" spans="1:12" x14ac:dyDescent="0.35">
      <c r="A1" s="18" t="s">
        <v>61</v>
      </c>
      <c r="B1" s="114"/>
      <c r="C1" s="114"/>
      <c r="D1" s="2"/>
      <c r="E1" s="2"/>
      <c r="F1" s="2"/>
      <c r="G1" s="2"/>
      <c r="H1" s="2"/>
      <c r="I1" s="2"/>
      <c r="J1" s="2"/>
      <c r="K1" s="2"/>
      <c r="L1" s="2"/>
    </row>
    <row r="2" spans="1:12" s="16" customFormat="1" ht="25.5" x14ac:dyDescent="0.35">
      <c r="A2" s="12" t="s">
        <v>8</v>
      </c>
      <c r="B2" s="12" t="s">
        <v>9</v>
      </c>
      <c r="C2" s="12" t="s">
        <v>10</v>
      </c>
      <c r="D2" s="12" t="s">
        <v>11</v>
      </c>
      <c r="E2" s="12" t="s">
        <v>12</v>
      </c>
      <c r="F2" s="12" t="s">
        <v>13</v>
      </c>
      <c r="G2" s="12" t="s">
        <v>14</v>
      </c>
      <c r="H2" s="12" t="s">
        <v>15</v>
      </c>
      <c r="I2" s="12" t="s">
        <v>16</v>
      </c>
      <c r="J2" s="12" t="s">
        <v>17</v>
      </c>
      <c r="K2" s="12" t="s">
        <v>18</v>
      </c>
      <c r="L2" s="12" t="s">
        <v>19</v>
      </c>
    </row>
    <row r="3" spans="1:12" x14ac:dyDescent="0.35">
      <c r="A3" s="40" t="s">
        <v>20</v>
      </c>
      <c r="B3" s="133">
        <v>47552545</v>
      </c>
      <c r="C3" s="133">
        <v>21186417</v>
      </c>
      <c r="D3" s="82">
        <v>24338631</v>
      </c>
      <c r="E3" s="82">
        <v>7807586</v>
      </c>
      <c r="F3" s="82">
        <v>1924197</v>
      </c>
      <c r="G3" s="82">
        <v>5216647</v>
      </c>
      <c r="H3" s="82">
        <v>2150752</v>
      </c>
      <c r="I3" s="82">
        <v>3766554</v>
      </c>
      <c r="J3" s="78">
        <v>34.590000000000003</v>
      </c>
      <c r="K3" s="78">
        <v>132.44</v>
      </c>
      <c r="L3" s="81">
        <f>D3/$D$29</f>
        <v>4.0714239798858604E-2</v>
      </c>
    </row>
    <row r="4" spans="1:12" x14ac:dyDescent="0.35">
      <c r="A4" s="40" t="s">
        <v>21</v>
      </c>
      <c r="B4" s="133">
        <v>25933886</v>
      </c>
      <c r="C4" s="133">
        <v>11463878</v>
      </c>
      <c r="D4" s="82">
        <v>11040178</v>
      </c>
      <c r="E4" s="82">
        <v>4709292</v>
      </c>
      <c r="F4" s="82">
        <v>2824341</v>
      </c>
      <c r="G4" s="82">
        <v>3062121</v>
      </c>
      <c r="H4" s="82">
        <v>700755</v>
      </c>
      <c r="I4" s="82">
        <v>999349</v>
      </c>
      <c r="J4" s="78">
        <v>65.680000000000007</v>
      </c>
      <c r="K4" s="78">
        <v>87.5</v>
      </c>
      <c r="L4" s="81">
        <f t="shared" ref="L4:L28" si="0">D4/$D$29</f>
        <v>1.8468271880784221E-2</v>
      </c>
    </row>
    <row r="5" spans="1:12" x14ac:dyDescent="0.35">
      <c r="A5" s="40" t="s">
        <v>60</v>
      </c>
      <c r="B5" s="133">
        <v>20281739</v>
      </c>
      <c r="C5" s="133">
        <v>16421725</v>
      </c>
      <c r="D5" s="82">
        <v>2035917</v>
      </c>
      <c r="E5" s="82">
        <v>1496035</v>
      </c>
      <c r="F5" s="82">
        <v>44311</v>
      </c>
      <c r="G5" s="82">
        <v>2334653</v>
      </c>
      <c r="H5" s="82">
        <v>9274</v>
      </c>
      <c r="I5" s="82">
        <v>230288</v>
      </c>
      <c r="J5" s="78">
        <v>3.64</v>
      </c>
      <c r="K5" s="78">
        <v>192.31</v>
      </c>
      <c r="L5" s="81">
        <f t="shared" si="0"/>
        <v>3.4057302955360475E-3</v>
      </c>
    </row>
    <row r="6" spans="1:12" x14ac:dyDescent="0.35">
      <c r="A6" s="40" t="s">
        <v>22</v>
      </c>
      <c r="B6" s="133">
        <v>43114460</v>
      </c>
      <c r="C6" s="133">
        <v>26062152</v>
      </c>
      <c r="D6" s="82">
        <v>17481242</v>
      </c>
      <c r="E6" s="82">
        <v>13746247</v>
      </c>
      <c r="F6" s="82">
        <v>2476996</v>
      </c>
      <c r="G6" s="82">
        <v>3539038</v>
      </c>
      <c r="H6" s="82">
        <v>1858489</v>
      </c>
      <c r="I6" s="82">
        <v>1149269</v>
      </c>
      <c r="J6" s="78">
        <v>20</v>
      </c>
      <c r="K6" s="78">
        <v>43.58</v>
      </c>
      <c r="L6" s="81">
        <f t="shared" si="0"/>
        <v>2.9243036667505194E-2</v>
      </c>
    </row>
    <row r="7" spans="1:12" x14ac:dyDescent="0.35">
      <c r="A7" s="40" t="s">
        <v>23</v>
      </c>
      <c r="B7" s="133">
        <v>126869460</v>
      </c>
      <c r="C7" s="133">
        <v>49713679</v>
      </c>
      <c r="D7" s="82">
        <v>85298541</v>
      </c>
      <c r="E7" s="82">
        <v>49979505</v>
      </c>
      <c r="F7" s="82">
        <v>18070997</v>
      </c>
      <c r="G7" s="82">
        <v>11935464</v>
      </c>
      <c r="H7" s="82">
        <v>11337255</v>
      </c>
      <c r="I7" s="82">
        <v>7731099</v>
      </c>
      <c r="J7" s="78">
        <v>49.8</v>
      </c>
      <c r="K7" s="78">
        <v>64.14</v>
      </c>
      <c r="L7" s="81">
        <f t="shared" si="0"/>
        <v>0.14268942459281184</v>
      </c>
    </row>
    <row r="8" spans="1:12" x14ac:dyDescent="0.35">
      <c r="A8" s="40" t="s">
        <v>24</v>
      </c>
      <c r="B8" s="133">
        <v>35860714</v>
      </c>
      <c r="C8" s="133">
        <v>21717116</v>
      </c>
      <c r="D8" s="82">
        <v>17384534</v>
      </c>
      <c r="E8" s="82">
        <v>14257009</v>
      </c>
      <c r="F8" s="82">
        <v>2939724</v>
      </c>
      <c r="G8" s="82">
        <v>4345578</v>
      </c>
      <c r="H8" s="82">
        <v>3647949</v>
      </c>
      <c r="I8" s="82">
        <v>990155</v>
      </c>
      <c r="J8" s="78">
        <v>26.78</v>
      </c>
      <c r="K8" s="78">
        <v>72.83</v>
      </c>
      <c r="L8" s="81">
        <f t="shared" si="0"/>
        <v>2.9081261229007109E-2</v>
      </c>
    </row>
    <row r="9" spans="1:12" x14ac:dyDescent="0.35">
      <c r="A9" s="40" t="s">
        <v>25</v>
      </c>
      <c r="B9" s="133">
        <v>83090857</v>
      </c>
      <c r="C9" s="133">
        <v>47780084</v>
      </c>
      <c r="D9" s="82">
        <v>14647061</v>
      </c>
      <c r="E9" s="82">
        <v>8384688</v>
      </c>
      <c r="F9" s="82">
        <v>3793054</v>
      </c>
      <c r="G9" s="82">
        <v>3108639</v>
      </c>
      <c r="H9" s="82">
        <v>2309607</v>
      </c>
      <c r="I9" s="82">
        <v>1875041</v>
      </c>
      <c r="J9" s="78">
        <v>65.11</v>
      </c>
      <c r="K9" s="78">
        <v>93.01</v>
      </c>
      <c r="L9" s="81">
        <f t="shared" si="0"/>
        <v>2.4501951399916851E-2</v>
      </c>
    </row>
    <row r="10" spans="1:12" x14ac:dyDescent="0.35">
      <c r="A10" s="40" t="s">
        <v>26</v>
      </c>
      <c r="B10" s="133">
        <v>62115687</v>
      </c>
      <c r="C10" s="133">
        <v>45768016</v>
      </c>
      <c r="D10" s="82">
        <v>45558120</v>
      </c>
      <c r="E10" s="82">
        <v>20936373</v>
      </c>
      <c r="F10" s="82">
        <v>2546394</v>
      </c>
      <c r="G10" s="82">
        <v>8143932</v>
      </c>
      <c r="H10" s="82">
        <v>1634145</v>
      </c>
      <c r="I10" s="83"/>
      <c r="J10" s="78">
        <v>19.809999999999999</v>
      </c>
      <c r="K10" s="78">
        <v>76.08</v>
      </c>
      <c r="L10" s="81">
        <f t="shared" si="0"/>
        <v>7.6210704803617593E-2</v>
      </c>
    </row>
    <row r="11" spans="1:12" x14ac:dyDescent="0.35">
      <c r="A11" s="40" t="s">
        <v>27</v>
      </c>
      <c r="B11" s="40"/>
      <c r="C11" s="40"/>
      <c r="D11" s="83"/>
      <c r="E11" s="83"/>
      <c r="F11" s="83"/>
      <c r="G11" s="83"/>
      <c r="H11" s="83"/>
      <c r="I11" s="83"/>
      <c r="J11" s="78"/>
      <c r="K11" s="78"/>
      <c r="L11" s="81">
        <f t="shared" si="0"/>
        <v>0</v>
      </c>
    </row>
    <row r="12" spans="1:12" x14ac:dyDescent="0.35">
      <c r="A12" s="40" t="s">
        <v>28</v>
      </c>
      <c r="B12" s="133">
        <v>128067936</v>
      </c>
      <c r="C12" s="133">
        <v>53497664</v>
      </c>
      <c r="D12" s="82">
        <v>51590275</v>
      </c>
      <c r="E12" s="82">
        <v>24887408</v>
      </c>
      <c r="F12" s="82">
        <v>13292712</v>
      </c>
      <c r="G12" s="82">
        <v>12004057</v>
      </c>
      <c r="H12" s="82">
        <v>6120176</v>
      </c>
      <c r="I12" s="82">
        <v>3466072</v>
      </c>
      <c r="J12" s="78">
        <v>58.06</v>
      </c>
      <c r="K12" s="78">
        <v>79.16</v>
      </c>
      <c r="L12" s="81">
        <f t="shared" si="0"/>
        <v>8.6301436906581153E-2</v>
      </c>
    </row>
    <row r="13" spans="1:12" x14ac:dyDescent="0.35">
      <c r="A13" s="40" t="s">
        <v>46</v>
      </c>
      <c r="B13" s="133">
        <v>14417323</v>
      </c>
      <c r="C13" s="133">
        <v>5983402</v>
      </c>
      <c r="D13" s="82">
        <v>4054758</v>
      </c>
      <c r="E13" s="82">
        <v>3744086</v>
      </c>
      <c r="F13" s="82">
        <v>527961</v>
      </c>
      <c r="G13" s="82">
        <v>3847764</v>
      </c>
      <c r="H13" s="82">
        <v>703336</v>
      </c>
      <c r="I13" s="82">
        <v>292557</v>
      </c>
      <c r="J13" s="78">
        <v>16.88</v>
      </c>
      <c r="K13" s="78">
        <v>145.51</v>
      </c>
      <c r="L13" s="81">
        <f t="shared" si="0"/>
        <v>6.7828954528436833E-3</v>
      </c>
    </row>
    <row r="14" spans="1:12" x14ac:dyDescent="0.35">
      <c r="A14" s="40" t="s">
        <v>29</v>
      </c>
      <c r="B14" s="133">
        <v>27218002</v>
      </c>
      <c r="C14" s="133">
        <v>22830193</v>
      </c>
      <c r="D14" s="82">
        <v>8674479</v>
      </c>
      <c r="E14" s="82">
        <v>7173087</v>
      </c>
      <c r="F14" s="82">
        <v>1644773</v>
      </c>
      <c r="G14" s="82">
        <v>2070496</v>
      </c>
      <c r="H14" s="82">
        <v>612359</v>
      </c>
      <c r="I14" s="82">
        <v>479472</v>
      </c>
      <c r="J14" s="78">
        <v>46.7</v>
      </c>
      <c r="K14" s="78">
        <v>76.17</v>
      </c>
      <c r="L14" s="81">
        <f t="shared" si="0"/>
        <v>1.4510874425770421E-2</v>
      </c>
    </row>
    <row r="15" spans="1:12" x14ac:dyDescent="0.35">
      <c r="A15" s="40" t="s">
        <v>30</v>
      </c>
      <c r="B15" s="133">
        <v>11904193</v>
      </c>
      <c r="C15" s="133">
        <v>6965623</v>
      </c>
      <c r="D15" s="82">
        <v>7392708</v>
      </c>
      <c r="E15" s="82">
        <v>6947836</v>
      </c>
      <c r="F15" s="82">
        <v>2523445</v>
      </c>
      <c r="G15" s="82">
        <v>2555688</v>
      </c>
      <c r="H15" s="82">
        <v>1126231</v>
      </c>
      <c r="I15" s="82">
        <v>177514</v>
      </c>
      <c r="J15" s="78">
        <v>36.76</v>
      </c>
      <c r="K15" s="78">
        <v>53.64</v>
      </c>
      <c r="L15" s="81">
        <f t="shared" si="0"/>
        <v>1.2366697464411222E-2</v>
      </c>
    </row>
    <row r="16" spans="1:12" x14ac:dyDescent="0.35">
      <c r="A16" s="40" t="s">
        <v>31</v>
      </c>
      <c r="B16" s="133">
        <v>36901795</v>
      </c>
      <c r="C16" s="133">
        <v>29495058</v>
      </c>
      <c r="D16" s="82">
        <v>5757668</v>
      </c>
      <c r="E16" s="82">
        <v>4514674</v>
      </c>
      <c r="F16" s="82">
        <v>-288603</v>
      </c>
      <c r="G16" s="82">
        <v>2778451</v>
      </c>
      <c r="H16" s="82">
        <v>548146</v>
      </c>
      <c r="I16" s="82">
        <v>296311</v>
      </c>
      <c r="J16" s="78">
        <v>-7.32</v>
      </c>
      <c r="K16" s="78">
        <v>84.38</v>
      </c>
      <c r="L16" s="81">
        <f t="shared" si="0"/>
        <v>9.6315637323321351E-3</v>
      </c>
    </row>
    <row r="17" spans="1:12" x14ac:dyDescent="0.35">
      <c r="A17" s="40" t="s">
        <v>32</v>
      </c>
      <c r="B17" s="133">
        <v>63436114</v>
      </c>
      <c r="C17" s="133">
        <v>48340907</v>
      </c>
      <c r="D17" s="82">
        <v>22055297</v>
      </c>
      <c r="E17" s="82">
        <v>16192337</v>
      </c>
      <c r="F17" s="82">
        <v>2934438</v>
      </c>
      <c r="G17" s="82">
        <v>8020019</v>
      </c>
      <c r="H17" s="82">
        <v>2887069</v>
      </c>
      <c r="I17" s="82">
        <v>2012016</v>
      </c>
      <c r="J17" s="78">
        <v>22.02</v>
      </c>
      <c r="K17" s="78">
        <v>81.849999999999994</v>
      </c>
      <c r="L17" s="81">
        <f t="shared" si="0"/>
        <v>3.6894624471402959E-2</v>
      </c>
    </row>
    <row r="18" spans="1:12" x14ac:dyDescent="0.35">
      <c r="A18" s="40" t="s">
        <v>33</v>
      </c>
      <c r="B18" s="133">
        <v>29301461</v>
      </c>
      <c r="C18" s="133">
        <v>16539682</v>
      </c>
      <c r="D18" s="82">
        <v>13772718</v>
      </c>
      <c r="E18" s="82">
        <v>8087745</v>
      </c>
      <c r="F18" s="82">
        <v>2052912</v>
      </c>
      <c r="G18" s="82">
        <v>4082517</v>
      </c>
      <c r="H18" s="82">
        <v>1263557</v>
      </c>
      <c r="I18" s="82">
        <v>1304015</v>
      </c>
      <c r="J18" s="78">
        <v>34.11</v>
      </c>
      <c r="K18" s="78">
        <v>88.84</v>
      </c>
      <c r="L18" s="81">
        <f t="shared" si="0"/>
        <v>2.3039329670352299E-2</v>
      </c>
    </row>
    <row r="19" spans="1:12" x14ac:dyDescent="0.35">
      <c r="A19" s="40" t="s">
        <v>34</v>
      </c>
      <c r="B19" s="133">
        <v>18759614</v>
      </c>
      <c r="C19" s="133">
        <v>14278321</v>
      </c>
      <c r="D19" s="82">
        <v>5058783</v>
      </c>
      <c r="E19" s="82">
        <v>4530787</v>
      </c>
      <c r="F19" s="82">
        <v>404653</v>
      </c>
      <c r="G19" s="82">
        <v>1761783</v>
      </c>
      <c r="H19" s="82">
        <v>552431</v>
      </c>
      <c r="I19" s="82">
        <v>177908</v>
      </c>
      <c r="J19" s="78">
        <v>11.63</v>
      </c>
      <c r="K19" s="78">
        <v>66.5</v>
      </c>
      <c r="L19" s="81">
        <f t="shared" si="0"/>
        <v>8.4624523109943749E-3</v>
      </c>
    </row>
    <row r="20" spans="1:12" x14ac:dyDescent="0.35">
      <c r="A20" s="40" t="s">
        <v>35</v>
      </c>
      <c r="B20" s="133">
        <v>61586565</v>
      </c>
      <c r="C20" s="133">
        <v>23873111</v>
      </c>
      <c r="D20" s="82">
        <v>11921899</v>
      </c>
      <c r="E20" s="82">
        <v>9552272</v>
      </c>
      <c r="F20" s="82">
        <v>2749423</v>
      </c>
      <c r="G20" s="82">
        <v>4458928</v>
      </c>
      <c r="H20" s="82">
        <v>833981</v>
      </c>
      <c r="I20" s="82">
        <v>763397</v>
      </c>
      <c r="J20" s="78">
        <v>41.67</v>
      </c>
      <c r="K20" s="78">
        <v>80.22</v>
      </c>
      <c r="L20" s="81">
        <f t="shared" si="0"/>
        <v>1.9943235703921581E-2</v>
      </c>
    </row>
    <row r="21" spans="1:12" x14ac:dyDescent="0.35">
      <c r="A21" s="40" t="s">
        <v>36</v>
      </c>
      <c r="B21" s="133">
        <v>38193598</v>
      </c>
      <c r="C21" s="133">
        <v>15965005</v>
      </c>
      <c r="D21" s="82">
        <v>15189650</v>
      </c>
      <c r="E21" s="82">
        <v>11260878</v>
      </c>
      <c r="F21" s="82">
        <v>3444654</v>
      </c>
      <c r="G21" s="82">
        <v>6761041</v>
      </c>
      <c r="H21" s="82">
        <v>1548030</v>
      </c>
      <c r="I21" s="82">
        <v>1168797</v>
      </c>
      <c r="J21" s="78">
        <v>34.99</v>
      </c>
      <c r="K21" s="78">
        <v>84.4</v>
      </c>
      <c r="L21" s="81">
        <f t="shared" si="0"/>
        <v>2.5409607161583268E-2</v>
      </c>
    </row>
    <row r="22" spans="1:12" x14ac:dyDescent="0.35">
      <c r="A22" s="40" t="s">
        <v>62</v>
      </c>
      <c r="B22" s="133">
        <v>16576878</v>
      </c>
      <c r="C22" s="133">
        <v>7215358</v>
      </c>
      <c r="D22" s="82">
        <v>10963566</v>
      </c>
      <c r="E22" s="82">
        <v>8959720</v>
      </c>
      <c r="F22" s="82">
        <v>2654934</v>
      </c>
      <c r="G22" s="82">
        <v>3424343</v>
      </c>
      <c r="H22" s="82">
        <v>1495117</v>
      </c>
      <c r="I22" s="82">
        <v>804598</v>
      </c>
      <c r="J22" s="78">
        <v>34.99</v>
      </c>
      <c r="K22" s="78">
        <v>64.84</v>
      </c>
      <c r="L22" s="81">
        <f t="shared" si="0"/>
        <v>1.8340113508217164E-2</v>
      </c>
    </row>
    <row r="23" spans="1:12" x14ac:dyDescent="0.35">
      <c r="A23" s="40" t="s">
        <v>38</v>
      </c>
      <c r="B23" s="133">
        <v>29687106</v>
      </c>
      <c r="C23" s="133">
        <v>6522847</v>
      </c>
      <c r="D23" s="82">
        <v>6200617</v>
      </c>
      <c r="E23" s="82">
        <v>3187208</v>
      </c>
      <c r="F23" s="82">
        <v>1341606</v>
      </c>
      <c r="G23" s="82">
        <v>3174027</v>
      </c>
      <c r="H23" s="82">
        <v>706500</v>
      </c>
      <c r="I23" s="82">
        <v>826269</v>
      </c>
      <c r="J23" s="78">
        <v>56.61</v>
      </c>
      <c r="K23" s="78">
        <v>163.72999999999999</v>
      </c>
      <c r="L23" s="81">
        <f t="shared" si="0"/>
        <v>1.0372539336287206E-2</v>
      </c>
    </row>
    <row r="24" spans="1:12" x14ac:dyDescent="0.35">
      <c r="A24" s="40" t="s">
        <v>39</v>
      </c>
      <c r="B24" s="133">
        <v>191846917</v>
      </c>
      <c r="C24" s="133">
        <v>89665841</v>
      </c>
      <c r="D24" s="82">
        <v>88086068</v>
      </c>
      <c r="E24" s="82">
        <v>59037625</v>
      </c>
      <c r="F24" s="82">
        <v>15815648</v>
      </c>
      <c r="G24" s="82">
        <v>28724056</v>
      </c>
      <c r="H24" s="82">
        <v>7882415</v>
      </c>
      <c r="I24" s="82">
        <v>7535209</v>
      </c>
      <c r="J24" s="78">
        <v>37.619999999999997</v>
      </c>
      <c r="K24" s="78">
        <v>87.07</v>
      </c>
      <c r="L24" s="81">
        <f t="shared" si="0"/>
        <v>0.14735246594151352</v>
      </c>
    </row>
    <row r="25" spans="1:12" x14ac:dyDescent="0.35">
      <c r="A25" s="40" t="s">
        <v>40</v>
      </c>
      <c r="B25" s="133">
        <v>160850003</v>
      </c>
      <c r="C25" s="133">
        <v>120841259</v>
      </c>
      <c r="D25" s="82">
        <v>60278226</v>
      </c>
      <c r="E25" s="82">
        <v>42321309</v>
      </c>
      <c r="F25" s="82">
        <v>8640005</v>
      </c>
      <c r="G25" s="82">
        <v>15970098</v>
      </c>
      <c r="H25" s="82">
        <v>10373502</v>
      </c>
      <c r="I25" s="82">
        <v>3580754</v>
      </c>
      <c r="J25" s="78">
        <v>23.44</v>
      </c>
      <c r="K25" s="78">
        <v>71.45</v>
      </c>
      <c r="L25" s="81">
        <f t="shared" si="0"/>
        <v>0.1008348476138117</v>
      </c>
    </row>
    <row r="26" spans="1:12" x14ac:dyDescent="0.35">
      <c r="A26" s="40" t="s">
        <v>41</v>
      </c>
      <c r="B26" s="133">
        <v>17670381</v>
      </c>
      <c r="C26" s="133">
        <v>13835058</v>
      </c>
      <c r="D26" s="82">
        <v>6128490</v>
      </c>
      <c r="E26" s="82">
        <v>5119382</v>
      </c>
      <c r="F26" s="82">
        <v>1863485</v>
      </c>
      <c r="G26" s="82">
        <v>2699114</v>
      </c>
      <c r="H26" s="82">
        <v>-5505</v>
      </c>
      <c r="I26" s="83"/>
      <c r="J26" s="78">
        <v>42.07</v>
      </c>
      <c r="K26" s="78">
        <v>60.81</v>
      </c>
      <c r="L26" s="81">
        <f t="shared" si="0"/>
        <v>1.025188357820565E-2</v>
      </c>
    </row>
    <row r="27" spans="1:12" x14ac:dyDescent="0.35">
      <c r="A27" s="40" t="s">
        <v>42</v>
      </c>
      <c r="B27" s="133">
        <v>91769100</v>
      </c>
      <c r="C27" s="133">
        <v>57229503</v>
      </c>
      <c r="D27" s="82">
        <v>55981759</v>
      </c>
      <c r="E27" s="82">
        <v>37138495</v>
      </c>
      <c r="F27" s="82">
        <v>11200608</v>
      </c>
      <c r="G27" s="82">
        <v>11261000</v>
      </c>
      <c r="H27" s="82">
        <v>8996634</v>
      </c>
      <c r="I27" s="82">
        <v>5974026</v>
      </c>
      <c r="J27" s="78">
        <v>35.950000000000003</v>
      </c>
      <c r="K27" s="78">
        <v>65.02</v>
      </c>
      <c r="L27" s="81">
        <f t="shared" si="0"/>
        <v>9.3647615606971102E-2</v>
      </c>
    </row>
    <row r="28" spans="1:12" x14ac:dyDescent="0.35">
      <c r="A28" s="40" t="s">
        <v>43</v>
      </c>
      <c r="B28" s="133">
        <v>33469430</v>
      </c>
      <c r="C28" s="133">
        <v>8558460</v>
      </c>
      <c r="D28" s="82">
        <v>6900426</v>
      </c>
      <c r="E28" s="82">
        <v>5587077</v>
      </c>
      <c r="F28" s="82">
        <v>4294248</v>
      </c>
      <c r="G28" s="82">
        <v>7559105</v>
      </c>
      <c r="H28" s="82">
        <v>1309258</v>
      </c>
      <c r="I28" s="82">
        <v>544725</v>
      </c>
      <c r="J28" s="78">
        <v>91.24</v>
      </c>
      <c r="K28" s="78">
        <v>188.42</v>
      </c>
      <c r="L28" s="81">
        <f t="shared" si="0"/>
        <v>1.1543196446763118E-2</v>
      </c>
    </row>
    <row r="29" spans="1:12" x14ac:dyDescent="0.35">
      <c r="A29" s="5" t="s">
        <v>63</v>
      </c>
      <c r="B29" s="60">
        <f t="shared" ref="B29:I29" si="1">SUM(B3:B28)</f>
        <v>1416475764</v>
      </c>
      <c r="C29" s="60">
        <f t="shared" si="1"/>
        <v>781750359</v>
      </c>
      <c r="D29" s="60">
        <f t="shared" si="1"/>
        <v>597791611</v>
      </c>
      <c r="E29" s="60">
        <f t="shared" si="1"/>
        <v>379558661</v>
      </c>
      <c r="F29" s="60">
        <f t="shared" si="1"/>
        <v>109716916</v>
      </c>
      <c r="G29" s="60">
        <f t="shared" si="1"/>
        <v>162838559</v>
      </c>
      <c r="H29" s="60">
        <f t="shared" si="1"/>
        <v>70601463</v>
      </c>
      <c r="I29" s="60">
        <f t="shared" si="1"/>
        <v>46145395</v>
      </c>
      <c r="J29" s="74"/>
      <c r="K29" s="74"/>
      <c r="L29" s="69"/>
    </row>
  </sheetData>
  <pageMargins left="0.7" right="0.7" top="0.75" bottom="0.75"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sheetPr>
    <tabColor rgb="FF7030A0"/>
  </sheetPr>
  <dimension ref="A1:L28"/>
  <sheetViews>
    <sheetView workbookViewId="0">
      <selection activeCell="C27" sqref="B3:C27"/>
    </sheetView>
  </sheetViews>
  <sheetFormatPr defaultRowHeight="12.75" x14ac:dyDescent="0.35"/>
  <cols>
    <col min="1" max="1" width="40.73046875" bestFit="1" customWidth="1"/>
    <col min="2" max="3" width="21.73046875" customWidth="1"/>
    <col min="4" max="4" width="20.265625" bestFit="1" customWidth="1"/>
    <col min="5" max="5" width="18.3984375" bestFit="1" customWidth="1"/>
    <col min="6" max="6" width="14" bestFit="1" customWidth="1"/>
    <col min="7" max="7" width="19.265625" bestFit="1" customWidth="1"/>
    <col min="8" max="8" width="18.3984375" bestFit="1" customWidth="1"/>
    <col min="9" max="9" width="17.73046875" bestFit="1" customWidth="1"/>
    <col min="10" max="10" width="10.73046875" bestFit="1" customWidth="1"/>
    <col min="11" max="11" width="12.3984375" bestFit="1" customWidth="1"/>
  </cols>
  <sheetData>
    <row r="1" spans="1:12" x14ac:dyDescent="0.35">
      <c r="A1" s="18" t="s">
        <v>64</v>
      </c>
      <c r="B1" s="114"/>
      <c r="C1" s="114"/>
      <c r="D1" s="2"/>
      <c r="E1" s="2"/>
      <c r="F1" s="2"/>
      <c r="G1" s="2"/>
      <c r="H1" s="2"/>
      <c r="I1" s="2"/>
      <c r="J1" s="2"/>
      <c r="K1" s="2"/>
    </row>
    <row r="2" spans="1:12" s="16" customFormat="1" ht="25.5" x14ac:dyDescent="0.35">
      <c r="A2" s="12" t="s">
        <v>8</v>
      </c>
      <c r="B2" s="12" t="s">
        <v>9</v>
      </c>
      <c r="C2" s="12" t="s">
        <v>10</v>
      </c>
      <c r="D2" s="12" t="s">
        <v>11</v>
      </c>
      <c r="E2" s="12" t="s">
        <v>12</v>
      </c>
      <c r="F2" s="12" t="s">
        <v>13</v>
      </c>
      <c r="G2" s="12" t="s">
        <v>14</v>
      </c>
      <c r="H2" s="12" t="s">
        <v>15</v>
      </c>
      <c r="I2" s="12" t="s">
        <v>16</v>
      </c>
      <c r="J2" s="12" t="s">
        <v>17</v>
      </c>
      <c r="K2" s="12" t="s">
        <v>18</v>
      </c>
      <c r="L2" s="20" t="s">
        <v>19</v>
      </c>
    </row>
    <row r="3" spans="1:12" x14ac:dyDescent="0.35">
      <c r="A3" s="40" t="s">
        <v>20</v>
      </c>
      <c r="B3" s="133">
        <v>42503339</v>
      </c>
      <c r="C3" s="133">
        <v>20122248</v>
      </c>
      <c r="D3" s="49">
        <v>33381618</v>
      </c>
      <c r="E3" s="54">
        <v>10687816</v>
      </c>
      <c r="F3" s="49">
        <v>2994700</v>
      </c>
      <c r="G3" s="49">
        <v>8011302</v>
      </c>
      <c r="H3" s="49">
        <v>2946079</v>
      </c>
      <c r="I3" s="49">
        <v>5377218</v>
      </c>
      <c r="J3" s="2">
        <v>33.58</v>
      </c>
      <c r="K3" s="2">
        <v>122.86</v>
      </c>
      <c r="L3" s="3">
        <f>D3/$D$28</f>
        <v>3.9339036290057569E-2</v>
      </c>
    </row>
    <row r="4" spans="1:12" x14ac:dyDescent="0.35">
      <c r="A4" s="40" t="s">
        <v>21</v>
      </c>
      <c r="B4" s="133">
        <v>29819720</v>
      </c>
      <c r="C4" s="133">
        <v>11720911</v>
      </c>
      <c r="D4" s="49">
        <v>22066163</v>
      </c>
      <c r="E4" s="54">
        <v>8324793</v>
      </c>
      <c r="F4" s="49">
        <v>4590660</v>
      </c>
      <c r="G4" s="49">
        <v>5287627</v>
      </c>
      <c r="H4" s="49">
        <v>1051824</v>
      </c>
      <c r="I4" s="49">
        <v>1429484</v>
      </c>
      <c r="J4" s="2">
        <v>55.53</v>
      </c>
      <c r="K4" s="2">
        <v>76.69</v>
      </c>
      <c r="L4" s="3">
        <f t="shared" ref="L4:L27" si="0">D4/$D$28</f>
        <v>2.6004179516982237E-2</v>
      </c>
    </row>
    <row r="5" spans="1:12" x14ac:dyDescent="0.35">
      <c r="A5" s="40" t="s">
        <v>60</v>
      </c>
      <c r="B5" s="133">
        <v>24981295</v>
      </c>
      <c r="C5" s="133">
        <v>17401880</v>
      </c>
      <c r="D5" s="49">
        <v>3808205</v>
      </c>
      <c r="E5" s="54">
        <v>2714018</v>
      </c>
      <c r="F5" s="49">
        <v>220422</v>
      </c>
      <c r="G5" s="49">
        <v>3150732</v>
      </c>
      <c r="H5" s="49">
        <v>403144</v>
      </c>
      <c r="I5" s="49">
        <v>446231</v>
      </c>
      <c r="J5" s="2">
        <v>12.81</v>
      </c>
      <c r="K5" s="2">
        <v>206.52</v>
      </c>
      <c r="L5" s="3">
        <f t="shared" si="0"/>
        <v>4.487832635763152E-3</v>
      </c>
    </row>
    <row r="6" spans="1:12" x14ac:dyDescent="0.35">
      <c r="A6" s="40" t="s">
        <v>22</v>
      </c>
      <c r="B6" s="133">
        <v>43132546</v>
      </c>
      <c r="C6" s="133">
        <v>27958033</v>
      </c>
      <c r="D6" s="49">
        <v>24210007</v>
      </c>
      <c r="E6" s="54">
        <v>19694202</v>
      </c>
      <c r="F6" s="49">
        <v>5349483</v>
      </c>
      <c r="G6" s="49">
        <v>5520937</v>
      </c>
      <c r="H6" s="49">
        <v>2679958</v>
      </c>
      <c r="I6" s="49">
        <v>1384561</v>
      </c>
      <c r="J6" s="2">
        <v>30.91</v>
      </c>
      <c r="K6" s="2">
        <v>47.38</v>
      </c>
      <c r="L6" s="3">
        <f t="shared" si="0"/>
        <v>2.8530622570647948E-2</v>
      </c>
    </row>
    <row r="7" spans="1:12" x14ac:dyDescent="0.35">
      <c r="A7" s="40" t="s">
        <v>23</v>
      </c>
      <c r="B7" s="133">
        <v>115051630</v>
      </c>
      <c r="C7" s="133">
        <v>56552524</v>
      </c>
      <c r="D7" s="49">
        <v>112077470</v>
      </c>
      <c r="E7" s="54">
        <v>68715195</v>
      </c>
      <c r="F7" s="49">
        <v>29715412</v>
      </c>
      <c r="G7" s="49">
        <v>16388594</v>
      </c>
      <c r="H7" s="49">
        <v>15120289</v>
      </c>
      <c r="I7" s="49">
        <v>9745315</v>
      </c>
      <c r="J7" s="2">
        <v>51.42</v>
      </c>
      <c r="K7" s="2">
        <v>54.53</v>
      </c>
      <c r="L7" s="3">
        <f t="shared" si="0"/>
        <v>0.13207926768642067</v>
      </c>
    </row>
    <row r="8" spans="1:12" x14ac:dyDescent="0.35">
      <c r="A8" s="40" t="s">
        <v>24</v>
      </c>
      <c r="B8" s="133">
        <v>39534188</v>
      </c>
      <c r="C8" s="133">
        <v>23807696</v>
      </c>
      <c r="D8" s="49">
        <v>25239236</v>
      </c>
      <c r="E8" s="54">
        <v>20802852</v>
      </c>
      <c r="F8" s="49">
        <v>3787666</v>
      </c>
      <c r="G8" s="49">
        <v>6292890</v>
      </c>
      <c r="H8" s="49">
        <v>5189110</v>
      </c>
      <c r="I8" s="49">
        <v>1242092</v>
      </c>
      <c r="J8" s="2">
        <v>22.91</v>
      </c>
      <c r="K8" s="2">
        <v>69.459999999999994</v>
      </c>
      <c r="L8" s="3">
        <f t="shared" si="0"/>
        <v>2.9743531932374501E-2</v>
      </c>
    </row>
    <row r="9" spans="1:12" x14ac:dyDescent="0.35">
      <c r="A9" s="40" t="s">
        <v>25</v>
      </c>
      <c r="B9" s="133">
        <v>95192120</v>
      </c>
      <c r="C9" s="133">
        <v>55097555</v>
      </c>
      <c r="D9" s="49">
        <v>30633038</v>
      </c>
      <c r="E9" s="54">
        <v>12893914</v>
      </c>
      <c r="F9" s="49">
        <v>6621172</v>
      </c>
      <c r="G9" s="49">
        <v>4958877</v>
      </c>
      <c r="H9" s="49">
        <v>2959169</v>
      </c>
      <c r="I9" s="49">
        <v>3022806</v>
      </c>
      <c r="J9" s="2">
        <v>72.73</v>
      </c>
      <c r="K9" s="2">
        <v>86.97</v>
      </c>
      <c r="L9" s="3">
        <f t="shared" si="0"/>
        <v>3.6099933608871579E-2</v>
      </c>
    </row>
    <row r="10" spans="1:12" x14ac:dyDescent="0.35">
      <c r="A10" s="40" t="s">
        <v>26</v>
      </c>
      <c r="B10" s="133">
        <v>53975793</v>
      </c>
      <c r="C10" s="133">
        <v>43057199</v>
      </c>
      <c r="D10" s="49">
        <v>58204463</v>
      </c>
      <c r="E10" s="54">
        <v>28859210</v>
      </c>
      <c r="F10" s="49">
        <v>9087541</v>
      </c>
      <c r="G10" s="49">
        <v>11564395</v>
      </c>
      <c r="H10" s="49">
        <v>3794326</v>
      </c>
      <c r="I10" s="49">
        <v>5051100</v>
      </c>
      <c r="J10" s="2">
        <v>33.89</v>
      </c>
      <c r="K10" s="2">
        <v>57.28</v>
      </c>
      <c r="L10" s="3">
        <f t="shared" si="0"/>
        <v>6.8591866403848761E-2</v>
      </c>
    </row>
    <row r="11" spans="1:12" x14ac:dyDescent="0.35">
      <c r="A11" s="40" t="s">
        <v>27</v>
      </c>
      <c r="B11" s="40"/>
      <c r="C11" s="40"/>
      <c r="D11" s="50"/>
      <c r="E11" s="51"/>
      <c r="F11" s="50"/>
      <c r="G11" s="50"/>
      <c r="H11" s="50"/>
      <c r="I11" s="50"/>
      <c r="J11" s="2"/>
      <c r="K11" s="2"/>
      <c r="L11" s="3">
        <f t="shared" si="0"/>
        <v>0</v>
      </c>
    </row>
    <row r="12" spans="1:12" x14ac:dyDescent="0.35">
      <c r="A12" s="40" t="s">
        <v>28</v>
      </c>
      <c r="B12" s="133">
        <v>133183718</v>
      </c>
      <c r="C12" s="133">
        <v>57571906</v>
      </c>
      <c r="D12" s="49">
        <v>70307005</v>
      </c>
      <c r="E12" s="54">
        <v>37186175</v>
      </c>
      <c r="F12" s="49">
        <v>16542313</v>
      </c>
      <c r="G12" s="49">
        <v>18037196</v>
      </c>
      <c r="H12" s="49">
        <v>8108206</v>
      </c>
      <c r="I12" s="49">
        <v>5241517</v>
      </c>
      <c r="J12" s="2">
        <v>48.8</v>
      </c>
      <c r="K12" s="2">
        <v>77.12</v>
      </c>
      <c r="L12" s="3">
        <f t="shared" si="0"/>
        <v>8.2854276899947121E-2</v>
      </c>
    </row>
    <row r="13" spans="1:12" x14ac:dyDescent="0.35">
      <c r="A13" s="40" t="s">
        <v>46</v>
      </c>
      <c r="B13" s="133">
        <v>14291872</v>
      </c>
      <c r="C13" s="133">
        <v>6433728</v>
      </c>
      <c r="D13" s="49">
        <v>6160864</v>
      </c>
      <c r="E13" s="54">
        <v>5839056</v>
      </c>
      <c r="F13" s="49">
        <v>1110965</v>
      </c>
      <c r="G13" s="49">
        <v>5680132</v>
      </c>
      <c r="H13" s="49">
        <v>1044688</v>
      </c>
      <c r="I13" s="49">
        <v>367643</v>
      </c>
      <c r="J13" s="2">
        <v>22.98</v>
      </c>
      <c r="K13" s="2">
        <v>139.12</v>
      </c>
      <c r="L13" s="3">
        <f t="shared" si="0"/>
        <v>7.2603566571910697E-3</v>
      </c>
    </row>
    <row r="14" spans="1:12" x14ac:dyDescent="0.35">
      <c r="A14" s="40" t="s">
        <v>29</v>
      </c>
      <c r="B14" s="133">
        <v>27939190</v>
      </c>
      <c r="C14" s="133">
        <v>23583370</v>
      </c>
      <c r="D14" s="49">
        <v>10725727</v>
      </c>
      <c r="E14" s="54">
        <v>8675587</v>
      </c>
      <c r="F14" s="49">
        <v>3432994</v>
      </c>
      <c r="G14" s="49">
        <v>4071096</v>
      </c>
      <c r="H14" s="49">
        <v>854602</v>
      </c>
      <c r="I14" s="49">
        <v>635827</v>
      </c>
      <c r="J14" s="2">
        <v>56.31</v>
      </c>
      <c r="K14" s="2">
        <v>80.790000000000006</v>
      </c>
      <c r="L14" s="3">
        <f t="shared" si="0"/>
        <v>1.2639883533813439E-2</v>
      </c>
    </row>
    <row r="15" spans="1:12" x14ac:dyDescent="0.35">
      <c r="A15" s="40" t="s">
        <v>31</v>
      </c>
      <c r="B15" s="133">
        <v>38346966</v>
      </c>
      <c r="C15" s="133">
        <v>28826283</v>
      </c>
      <c r="D15" s="49">
        <v>8553946</v>
      </c>
      <c r="E15" s="54">
        <v>6668649</v>
      </c>
      <c r="F15" s="49">
        <v>376995</v>
      </c>
      <c r="G15" s="49">
        <v>4500905</v>
      </c>
      <c r="H15" s="49">
        <v>798894</v>
      </c>
      <c r="I15" s="49">
        <v>450561</v>
      </c>
      <c r="J15" s="2">
        <v>6.58</v>
      </c>
      <c r="K15" s="2">
        <v>92.52</v>
      </c>
      <c r="L15" s="3">
        <f t="shared" si="0"/>
        <v>1.0080517730362644E-2</v>
      </c>
    </row>
    <row r="16" spans="1:12" x14ac:dyDescent="0.35">
      <c r="A16" s="40" t="s">
        <v>32</v>
      </c>
      <c r="B16" s="133">
        <v>64660586</v>
      </c>
      <c r="C16" s="133">
        <v>46804508</v>
      </c>
      <c r="D16" s="49">
        <v>33824149</v>
      </c>
      <c r="E16" s="54">
        <v>23499486</v>
      </c>
      <c r="F16" s="49">
        <v>7467795</v>
      </c>
      <c r="G16" s="49">
        <v>12762583</v>
      </c>
      <c r="H16" s="49">
        <v>4735382</v>
      </c>
      <c r="I16" s="49">
        <v>3689146</v>
      </c>
      <c r="J16" s="2">
        <v>28.62</v>
      </c>
      <c r="K16" s="2">
        <v>67.06</v>
      </c>
      <c r="L16" s="3">
        <f t="shared" si="0"/>
        <v>3.9860543158552544E-2</v>
      </c>
    </row>
    <row r="17" spans="1:12" x14ac:dyDescent="0.35">
      <c r="A17" s="40" t="s">
        <v>33</v>
      </c>
      <c r="B17" s="133">
        <v>32496951</v>
      </c>
      <c r="C17" s="133">
        <v>19368830</v>
      </c>
      <c r="D17" s="49">
        <v>19349335</v>
      </c>
      <c r="E17" s="54">
        <v>13907502</v>
      </c>
      <c r="F17" s="49">
        <v>2981226</v>
      </c>
      <c r="G17" s="49">
        <v>6334625</v>
      </c>
      <c r="H17" s="49">
        <v>1961237</v>
      </c>
      <c r="I17" s="49">
        <v>1723328</v>
      </c>
      <c r="J17" s="2">
        <v>28.06</v>
      </c>
      <c r="K17" s="2">
        <v>78.08</v>
      </c>
      <c r="L17" s="3">
        <f t="shared" si="0"/>
        <v>2.2802495425880226E-2</v>
      </c>
    </row>
    <row r="18" spans="1:12" x14ac:dyDescent="0.35">
      <c r="A18" s="40" t="s">
        <v>34</v>
      </c>
      <c r="B18" s="133">
        <v>29983155</v>
      </c>
      <c r="C18" s="133">
        <v>25624345</v>
      </c>
      <c r="D18" s="49">
        <v>7142773</v>
      </c>
      <c r="E18" s="54">
        <v>6563858</v>
      </c>
      <c r="F18" s="49">
        <v>369454</v>
      </c>
      <c r="G18" s="49">
        <v>2790727</v>
      </c>
      <c r="H18" s="49">
        <v>814571</v>
      </c>
      <c r="I18" s="49">
        <v>204982</v>
      </c>
      <c r="J18" s="2">
        <v>8.0299999999999994</v>
      </c>
      <c r="K18" s="2">
        <v>78.41</v>
      </c>
      <c r="L18" s="3">
        <f t="shared" si="0"/>
        <v>8.4175011007148713E-3</v>
      </c>
    </row>
    <row r="19" spans="1:12" x14ac:dyDescent="0.35">
      <c r="A19" s="40" t="s">
        <v>35</v>
      </c>
      <c r="B19" s="133">
        <v>63757723</v>
      </c>
      <c r="C19" s="133">
        <v>32964650</v>
      </c>
      <c r="D19" s="49">
        <v>16367245</v>
      </c>
      <c r="E19" s="54">
        <v>12148324</v>
      </c>
      <c r="F19" s="49">
        <v>2780541</v>
      </c>
      <c r="G19" s="49">
        <v>6639774</v>
      </c>
      <c r="H19" s="49">
        <v>1379088</v>
      </c>
      <c r="I19" s="49">
        <v>1151496</v>
      </c>
      <c r="J19" s="2">
        <v>28.16</v>
      </c>
      <c r="K19" s="2">
        <v>81.2</v>
      </c>
      <c r="L19" s="3">
        <f t="shared" si="0"/>
        <v>1.9288209607552974E-2</v>
      </c>
    </row>
    <row r="20" spans="1:12" x14ac:dyDescent="0.35">
      <c r="A20" s="40" t="s">
        <v>36</v>
      </c>
      <c r="B20" s="133">
        <v>41125812</v>
      </c>
      <c r="C20" s="133">
        <v>18364119</v>
      </c>
      <c r="D20" s="49">
        <v>21713555</v>
      </c>
      <c r="E20" s="54">
        <v>16984147</v>
      </c>
      <c r="F20" s="49">
        <v>5994498</v>
      </c>
      <c r="G20" s="49">
        <v>11058913</v>
      </c>
      <c r="H20" s="49">
        <v>2085363</v>
      </c>
      <c r="I20" s="49">
        <v>1459361</v>
      </c>
      <c r="J20" s="2">
        <v>35.04</v>
      </c>
      <c r="K20" s="2">
        <v>76.83</v>
      </c>
      <c r="L20" s="3">
        <f t="shared" si="0"/>
        <v>2.5588643670033041E-2</v>
      </c>
    </row>
    <row r="21" spans="1:12" x14ac:dyDescent="0.35">
      <c r="A21" s="40" t="s">
        <v>62</v>
      </c>
      <c r="B21" s="133">
        <v>27402059</v>
      </c>
      <c r="C21" s="133">
        <v>15181623</v>
      </c>
      <c r="D21" s="49">
        <v>24948711</v>
      </c>
      <c r="E21" s="54">
        <v>21499412</v>
      </c>
      <c r="F21" s="49">
        <v>7520147</v>
      </c>
      <c r="G21" s="49">
        <v>9735766</v>
      </c>
      <c r="H21" s="49">
        <v>3557956</v>
      </c>
      <c r="I21" s="49">
        <v>1356095</v>
      </c>
      <c r="J21" s="2">
        <v>35.39</v>
      </c>
      <c r="K21" s="2">
        <v>62.56</v>
      </c>
      <c r="L21" s="3">
        <f t="shared" si="0"/>
        <v>2.9401158668197522E-2</v>
      </c>
    </row>
    <row r="22" spans="1:12" x14ac:dyDescent="0.35">
      <c r="A22" s="40" t="s">
        <v>38</v>
      </c>
      <c r="B22" s="133">
        <v>25183216</v>
      </c>
      <c r="C22" s="133">
        <v>6530158</v>
      </c>
      <c r="D22" s="49">
        <v>9017482</v>
      </c>
      <c r="E22" s="54">
        <v>4647994</v>
      </c>
      <c r="F22" s="49">
        <v>2043358</v>
      </c>
      <c r="G22" s="49">
        <v>4874073</v>
      </c>
      <c r="H22" s="49">
        <v>1217502</v>
      </c>
      <c r="I22" s="49">
        <v>1203827</v>
      </c>
      <c r="J22" s="2">
        <v>48.06</v>
      </c>
      <c r="K22" s="2">
        <v>143.28</v>
      </c>
      <c r="L22" s="3">
        <f t="shared" si="0"/>
        <v>1.0626778235942335E-2</v>
      </c>
    </row>
    <row r="23" spans="1:12" x14ac:dyDescent="0.35">
      <c r="A23" s="40" t="s">
        <v>39</v>
      </c>
      <c r="B23" s="133">
        <v>193299665</v>
      </c>
      <c r="C23" s="133">
        <v>95523195</v>
      </c>
      <c r="D23" s="49">
        <v>128221658</v>
      </c>
      <c r="E23" s="54">
        <v>73152646</v>
      </c>
      <c r="F23" s="49">
        <v>16104868</v>
      </c>
      <c r="G23" s="49">
        <v>46853306</v>
      </c>
      <c r="H23" s="49">
        <v>10989157</v>
      </c>
      <c r="I23" s="49">
        <v>12658783</v>
      </c>
      <c r="J23" s="2">
        <v>28.09</v>
      </c>
      <c r="K23" s="2">
        <v>100.9</v>
      </c>
      <c r="L23" s="3">
        <f t="shared" si="0"/>
        <v>0.15110461264140493</v>
      </c>
    </row>
    <row r="24" spans="1:12" x14ac:dyDescent="0.35">
      <c r="A24" s="40" t="s">
        <v>40</v>
      </c>
      <c r="B24" s="133">
        <v>172320823</v>
      </c>
      <c r="C24" s="133">
        <v>129667839</v>
      </c>
      <c r="D24" s="49">
        <v>82749633</v>
      </c>
      <c r="E24" s="54">
        <v>59903519</v>
      </c>
      <c r="F24" s="49">
        <v>19390268</v>
      </c>
      <c r="G24" s="49">
        <v>24359890</v>
      </c>
      <c r="H24" s="49">
        <v>14099775</v>
      </c>
      <c r="I24" s="49">
        <v>4820036</v>
      </c>
      <c r="J24" s="2">
        <v>35.729999999999997</v>
      </c>
      <c r="K24" s="2">
        <v>70.86</v>
      </c>
      <c r="L24" s="3">
        <f t="shared" si="0"/>
        <v>9.7517466516330795E-2</v>
      </c>
    </row>
    <row r="25" spans="1:12" x14ac:dyDescent="0.35">
      <c r="A25" s="40" t="s">
        <v>41</v>
      </c>
      <c r="B25" s="133">
        <v>22019424</v>
      </c>
      <c r="C25" s="133">
        <v>19079992</v>
      </c>
      <c r="D25" s="49">
        <v>8651165</v>
      </c>
      <c r="E25" s="54">
        <v>7241470</v>
      </c>
      <c r="F25" s="49">
        <v>3185650</v>
      </c>
      <c r="G25" s="49">
        <v>4015161</v>
      </c>
      <c r="H25" s="49">
        <v>144553</v>
      </c>
      <c r="I25" s="50"/>
      <c r="J25" s="2">
        <v>50.7</v>
      </c>
      <c r="K25" s="2">
        <v>66.2</v>
      </c>
      <c r="L25" s="3">
        <f t="shared" si="0"/>
        <v>1.019508682551804E-2</v>
      </c>
    </row>
    <row r="26" spans="1:12" x14ac:dyDescent="0.35">
      <c r="A26" s="40" t="s">
        <v>42</v>
      </c>
      <c r="B26" s="133">
        <v>88182816</v>
      </c>
      <c r="C26" s="133">
        <v>59592208</v>
      </c>
      <c r="D26" s="49">
        <v>77991905</v>
      </c>
      <c r="E26" s="54">
        <v>51564086</v>
      </c>
      <c r="F26" s="49">
        <v>17922447</v>
      </c>
      <c r="G26" s="49">
        <v>19825405</v>
      </c>
      <c r="H26" s="49">
        <v>12005171</v>
      </c>
      <c r="I26" s="49">
        <v>8327241</v>
      </c>
      <c r="J26" s="2">
        <v>39.49</v>
      </c>
      <c r="K26" s="2">
        <v>70.13</v>
      </c>
      <c r="L26" s="3">
        <f t="shared" si="0"/>
        <v>9.1910655173326902E-2</v>
      </c>
    </row>
    <row r="27" spans="1:12" x14ac:dyDescent="0.35">
      <c r="A27" s="40" t="s">
        <v>43</v>
      </c>
      <c r="B27" s="133">
        <v>38007330</v>
      </c>
      <c r="C27" s="133">
        <v>9758293</v>
      </c>
      <c r="D27" s="49">
        <v>13216817</v>
      </c>
      <c r="E27" s="54">
        <v>8904774</v>
      </c>
      <c r="F27" s="49">
        <v>3952064</v>
      </c>
      <c r="G27" s="49">
        <v>7248472</v>
      </c>
      <c r="H27" s="49">
        <v>1869172</v>
      </c>
      <c r="I27" s="49">
        <v>1306226</v>
      </c>
      <c r="J27" s="2">
        <v>60.69</v>
      </c>
      <c r="K27" s="2">
        <v>140.01</v>
      </c>
      <c r="L27" s="3">
        <f t="shared" si="0"/>
        <v>1.5575543510265135E-2</v>
      </c>
    </row>
    <row r="28" spans="1:12" s="6" customFormat="1" x14ac:dyDescent="0.35">
      <c r="A28" s="5" t="s">
        <v>63</v>
      </c>
      <c r="B28" s="44">
        <f t="shared" ref="B28:I28" si="1">SUM(B3:B27)</f>
        <v>1456391937</v>
      </c>
      <c r="C28" s="44">
        <f t="shared" si="1"/>
        <v>850593093</v>
      </c>
      <c r="D28" s="44">
        <f t="shared" si="1"/>
        <v>848562170</v>
      </c>
      <c r="E28" s="44">
        <f t="shared" si="1"/>
        <v>531078685</v>
      </c>
      <c r="F28" s="44">
        <f t="shared" si="1"/>
        <v>173542639</v>
      </c>
      <c r="G28" s="44">
        <f t="shared" si="1"/>
        <v>249963378</v>
      </c>
      <c r="H28" s="44">
        <f t="shared" si="1"/>
        <v>99809216</v>
      </c>
      <c r="I28" s="44">
        <f t="shared" si="1"/>
        <v>72294876</v>
      </c>
      <c r="L28" s="46"/>
    </row>
  </sheetData>
  <pageMargins left="0.7" right="0.7" top="0.75" bottom="0.75" header="0.3" footer="0.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sheetPr>
    <tabColor rgb="FF7030A0"/>
  </sheetPr>
  <dimension ref="A1:L28"/>
  <sheetViews>
    <sheetView topLeftCell="B22" workbookViewId="0">
      <selection activeCell="H27" sqref="H3:I27"/>
    </sheetView>
  </sheetViews>
  <sheetFormatPr defaultRowHeight="12.75" x14ac:dyDescent="0.35"/>
  <cols>
    <col min="1" max="1" width="40.73046875" bestFit="1" customWidth="1"/>
    <col min="2" max="2" width="16" bestFit="1" customWidth="1"/>
    <col min="3" max="3" width="14.265625" customWidth="1"/>
    <col min="4" max="4" width="16" bestFit="1" customWidth="1"/>
    <col min="5" max="5" width="15.3984375" customWidth="1"/>
    <col min="6" max="6" width="14.265625" bestFit="1" customWidth="1"/>
    <col min="7" max="7" width="14.265625" customWidth="1"/>
    <col min="8" max="8" width="15.3984375" customWidth="1"/>
    <col min="9" max="9" width="17.73046875" bestFit="1" customWidth="1"/>
    <col min="10" max="10" width="11.265625" bestFit="1" customWidth="1"/>
    <col min="11" max="11" width="12.3984375" bestFit="1" customWidth="1"/>
  </cols>
  <sheetData>
    <row r="1" spans="1:12" s="6" customFormat="1" x14ac:dyDescent="0.35">
      <c r="A1" s="17" t="s">
        <v>65</v>
      </c>
      <c r="B1" s="116"/>
      <c r="C1" s="116"/>
      <c r="D1" s="14"/>
      <c r="E1" s="14"/>
      <c r="F1" s="14"/>
      <c r="G1" s="14"/>
      <c r="H1" s="14"/>
      <c r="I1" s="14"/>
      <c r="J1" s="14"/>
      <c r="K1" s="14"/>
      <c r="L1" s="5"/>
    </row>
    <row r="2" spans="1:12" s="16" customFormat="1" ht="25.5" x14ac:dyDescent="0.35">
      <c r="A2" s="15" t="s">
        <v>8</v>
      </c>
      <c r="B2" s="15" t="s">
        <v>9</v>
      </c>
      <c r="C2" s="15" t="s">
        <v>10</v>
      </c>
      <c r="D2" s="15" t="s">
        <v>11</v>
      </c>
      <c r="E2" s="15" t="s">
        <v>12</v>
      </c>
      <c r="F2" s="15" t="s">
        <v>13</v>
      </c>
      <c r="G2" s="15" t="s">
        <v>14</v>
      </c>
      <c r="H2" s="15" t="s">
        <v>15</v>
      </c>
      <c r="I2" s="15" t="s">
        <v>16</v>
      </c>
      <c r="J2" s="15" t="s">
        <v>17</v>
      </c>
      <c r="K2" s="15" t="s">
        <v>18</v>
      </c>
      <c r="L2" s="15" t="s">
        <v>19</v>
      </c>
    </row>
    <row r="3" spans="1:12" x14ac:dyDescent="0.35">
      <c r="A3" s="387" t="s">
        <v>20</v>
      </c>
      <c r="B3" s="388">
        <v>45319975</v>
      </c>
      <c r="C3" s="388">
        <v>20751760</v>
      </c>
      <c r="D3" s="88">
        <v>41088107</v>
      </c>
      <c r="E3" s="88">
        <v>12991357</v>
      </c>
      <c r="F3" s="88">
        <v>3556979</v>
      </c>
      <c r="G3" s="88">
        <v>11220945</v>
      </c>
      <c r="H3" s="164">
        <v>2682920</v>
      </c>
      <c r="I3" s="164">
        <v>5144768</v>
      </c>
      <c r="J3" s="178">
        <v>28.88</v>
      </c>
      <c r="K3" s="178">
        <v>112.89</v>
      </c>
      <c r="L3" s="81">
        <f t="shared" ref="L3:L27" si="0">D3/$D$28</f>
        <v>3.8357869097426486E-2</v>
      </c>
    </row>
    <row r="4" spans="1:12" x14ac:dyDescent="0.35">
      <c r="A4" s="387" t="s">
        <v>21</v>
      </c>
      <c r="B4" s="388">
        <v>26559165</v>
      </c>
      <c r="C4" s="388">
        <v>11760031</v>
      </c>
      <c r="D4" s="88">
        <v>27183279</v>
      </c>
      <c r="E4" s="88">
        <v>10655022</v>
      </c>
      <c r="F4" s="88">
        <v>4293538</v>
      </c>
      <c r="G4" s="88">
        <v>9199729</v>
      </c>
      <c r="H4" s="164">
        <v>1828008</v>
      </c>
      <c r="I4" s="164">
        <v>1963133</v>
      </c>
      <c r="J4" s="178">
        <v>44.36</v>
      </c>
      <c r="K4" s="178">
        <v>113.93</v>
      </c>
      <c r="L4" s="81">
        <f t="shared" si="0"/>
        <v>2.5376994309346552E-2</v>
      </c>
    </row>
    <row r="5" spans="1:12" x14ac:dyDescent="0.35">
      <c r="A5" s="387" t="s">
        <v>60</v>
      </c>
      <c r="B5" s="388">
        <v>27648386</v>
      </c>
      <c r="C5" s="388">
        <v>20326831</v>
      </c>
      <c r="D5" s="88">
        <v>4979480</v>
      </c>
      <c r="E5" s="88">
        <v>3867157</v>
      </c>
      <c r="F5" s="88">
        <v>412144</v>
      </c>
      <c r="G5" s="88">
        <v>4209677</v>
      </c>
      <c r="H5" s="164">
        <v>556994</v>
      </c>
      <c r="I5" s="164">
        <v>525931</v>
      </c>
      <c r="J5" s="178">
        <v>14.21</v>
      </c>
      <c r="K5" s="178">
        <v>164.35</v>
      </c>
      <c r="L5" s="81">
        <f t="shared" si="0"/>
        <v>4.6486016504302136E-3</v>
      </c>
    </row>
    <row r="6" spans="1:12" x14ac:dyDescent="0.35">
      <c r="A6" s="387" t="s">
        <v>22</v>
      </c>
      <c r="B6" s="388">
        <v>42391951</v>
      </c>
      <c r="C6" s="388">
        <v>27794689</v>
      </c>
      <c r="D6" s="88">
        <v>30530397</v>
      </c>
      <c r="E6" s="88">
        <v>24739031</v>
      </c>
      <c r="F6" s="88">
        <v>6249589</v>
      </c>
      <c r="G6" s="88">
        <v>12323081</v>
      </c>
      <c r="H6" s="164">
        <v>3378037</v>
      </c>
      <c r="I6" s="164">
        <v>1783114</v>
      </c>
      <c r="J6" s="178">
        <v>28.17</v>
      </c>
      <c r="K6" s="178">
        <v>70.760000000000005</v>
      </c>
      <c r="L6" s="81">
        <f t="shared" si="0"/>
        <v>2.8501701760523118E-2</v>
      </c>
    </row>
    <row r="7" spans="1:12" x14ac:dyDescent="0.35">
      <c r="A7" s="387" t="s">
        <v>23</v>
      </c>
      <c r="B7" s="388">
        <v>119700818</v>
      </c>
      <c r="C7" s="388">
        <v>63036437</v>
      </c>
      <c r="D7" s="88">
        <v>135446537</v>
      </c>
      <c r="E7" s="88">
        <v>86187235</v>
      </c>
      <c r="F7" s="88">
        <v>40490136</v>
      </c>
      <c r="G7" s="88">
        <v>19447969</v>
      </c>
      <c r="H7" s="164">
        <v>18423972</v>
      </c>
      <c r="I7" s="164">
        <v>11328272</v>
      </c>
      <c r="J7" s="178">
        <v>50.96</v>
      </c>
      <c r="K7" s="178">
        <v>47.67</v>
      </c>
      <c r="L7" s="81">
        <f t="shared" si="0"/>
        <v>0.12644633484686293</v>
      </c>
    </row>
    <row r="8" spans="1:12" x14ac:dyDescent="0.35">
      <c r="A8" s="387" t="s">
        <v>24</v>
      </c>
      <c r="B8" s="388">
        <v>39301485</v>
      </c>
      <c r="C8" s="388">
        <v>24644456</v>
      </c>
      <c r="D8" s="88">
        <v>31468150</v>
      </c>
      <c r="E8" s="88">
        <v>25727677</v>
      </c>
      <c r="F8" s="88">
        <v>7748578</v>
      </c>
      <c r="G8" s="88">
        <v>9167901</v>
      </c>
      <c r="H8" s="164">
        <v>6328771</v>
      </c>
      <c r="I8" s="164">
        <v>1790669</v>
      </c>
      <c r="J8" s="178">
        <v>32.29</v>
      </c>
      <c r="K8" s="178">
        <v>64.58</v>
      </c>
      <c r="L8" s="81">
        <f t="shared" si="0"/>
        <v>2.9377142598421026E-2</v>
      </c>
    </row>
    <row r="9" spans="1:12" x14ac:dyDescent="0.35">
      <c r="A9" s="387" t="s">
        <v>25</v>
      </c>
      <c r="B9" s="388">
        <v>104506366</v>
      </c>
      <c r="C9" s="388">
        <v>53481711</v>
      </c>
      <c r="D9" s="88">
        <v>33526207</v>
      </c>
      <c r="E9" s="88">
        <v>14599855</v>
      </c>
      <c r="F9" s="88">
        <v>8226803</v>
      </c>
      <c r="G9" s="88">
        <v>5801576</v>
      </c>
      <c r="H9" s="164">
        <v>3483369</v>
      </c>
      <c r="I9" s="164">
        <v>3269290</v>
      </c>
      <c r="J9" s="178">
        <v>63.47</v>
      </c>
      <c r="K9" s="178">
        <v>71.63</v>
      </c>
      <c r="L9" s="81">
        <f t="shared" si="0"/>
        <v>3.1298445057087287E-2</v>
      </c>
    </row>
    <row r="10" spans="1:12" x14ac:dyDescent="0.35">
      <c r="A10" s="387" t="s">
        <v>26</v>
      </c>
      <c r="B10" s="388">
        <v>65350597</v>
      </c>
      <c r="C10" s="388">
        <v>44247959</v>
      </c>
      <c r="D10" s="88">
        <v>69660874</v>
      </c>
      <c r="E10" s="88">
        <v>32608409</v>
      </c>
      <c r="F10" s="88">
        <v>17331349</v>
      </c>
      <c r="G10" s="88">
        <v>18146902</v>
      </c>
      <c r="H10" s="164">
        <v>3340191</v>
      </c>
      <c r="I10" s="164">
        <v>6508811</v>
      </c>
      <c r="J10" s="178">
        <v>50.75</v>
      </c>
      <c r="K10" s="178">
        <v>62.92</v>
      </c>
      <c r="L10" s="81">
        <f t="shared" si="0"/>
        <v>6.5032022188423522E-2</v>
      </c>
    </row>
    <row r="11" spans="1:12" x14ac:dyDescent="0.35">
      <c r="A11" s="387" t="s">
        <v>27</v>
      </c>
      <c r="B11" s="389"/>
      <c r="C11" s="390"/>
      <c r="D11" s="88"/>
      <c r="E11" s="88"/>
      <c r="F11" s="88"/>
      <c r="G11" s="88"/>
      <c r="H11" s="164"/>
      <c r="I11" s="164"/>
      <c r="J11" s="178"/>
      <c r="K11" s="178"/>
      <c r="L11" s="81">
        <f t="shared" si="0"/>
        <v>0</v>
      </c>
    </row>
    <row r="12" spans="1:12" x14ac:dyDescent="0.35">
      <c r="A12" s="387" t="s">
        <v>28</v>
      </c>
      <c r="B12" s="388">
        <v>119227505</v>
      </c>
      <c r="C12" s="388">
        <v>59169918</v>
      </c>
      <c r="D12" s="88">
        <v>84094685</v>
      </c>
      <c r="E12" s="88">
        <v>46644624</v>
      </c>
      <c r="F12" s="88">
        <v>21503224</v>
      </c>
      <c r="G12" s="88">
        <v>24239845</v>
      </c>
      <c r="H12" s="164">
        <v>10847516</v>
      </c>
      <c r="I12" s="164">
        <v>6563152</v>
      </c>
      <c r="J12" s="178">
        <v>46.34</v>
      </c>
      <c r="K12" s="178">
        <v>75.61</v>
      </c>
      <c r="L12" s="81">
        <f t="shared" si="0"/>
        <v>7.8506729916258108E-2</v>
      </c>
    </row>
    <row r="13" spans="1:12" x14ac:dyDescent="0.35">
      <c r="A13" s="387" t="s">
        <v>46</v>
      </c>
      <c r="B13" s="388">
        <v>14929346</v>
      </c>
      <c r="C13" s="388">
        <v>6392001</v>
      </c>
      <c r="D13" s="88">
        <v>9599046</v>
      </c>
      <c r="E13" s="88">
        <v>7979731</v>
      </c>
      <c r="F13" s="88">
        <v>1417633</v>
      </c>
      <c r="G13" s="88">
        <v>7348522</v>
      </c>
      <c r="H13" s="164">
        <v>1412302</v>
      </c>
      <c r="I13" s="164">
        <v>550652</v>
      </c>
      <c r="J13" s="178">
        <v>20.329999999999998</v>
      </c>
      <c r="K13" s="178">
        <v>125.61</v>
      </c>
      <c r="L13" s="81">
        <f t="shared" si="0"/>
        <v>8.9612050009550276E-3</v>
      </c>
    </row>
    <row r="14" spans="1:12" x14ac:dyDescent="0.35">
      <c r="A14" s="387" t="s">
        <v>29</v>
      </c>
      <c r="B14" s="388">
        <v>30828946</v>
      </c>
      <c r="C14" s="388">
        <v>26070353</v>
      </c>
      <c r="D14" s="88">
        <v>13366245</v>
      </c>
      <c r="E14" s="88">
        <v>9667356</v>
      </c>
      <c r="F14" s="88">
        <v>2784913</v>
      </c>
      <c r="G14" s="88">
        <v>6813174</v>
      </c>
      <c r="H14" s="164">
        <v>1339534</v>
      </c>
      <c r="I14" s="164">
        <v>912482</v>
      </c>
      <c r="J14" s="178">
        <v>37.68</v>
      </c>
      <c r="K14" s="178">
        <v>110.31</v>
      </c>
      <c r="L14" s="81">
        <f t="shared" si="0"/>
        <v>1.2478079752716066E-2</v>
      </c>
    </row>
    <row r="15" spans="1:12" x14ac:dyDescent="0.35">
      <c r="A15" s="387" t="s">
        <v>31</v>
      </c>
      <c r="B15" s="388">
        <v>41139620</v>
      </c>
      <c r="C15" s="388">
        <v>31089835</v>
      </c>
      <c r="D15" s="88">
        <v>10998238</v>
      </c>
      <c r="E15" s="88">
        <v>8595107</v>
      </c>
      <c r="F15" s="88">
        <v>651834</v>
      </c>
      <c r="G15" s="88">
        <v>6518180</v>
      </c>
      <c r="H15" s="164">
        <v>1245418</v>
      </c>
      <c r="I15" s="164">
        <v>589712</v>
      </c>
      <c r="J15" s="178">
        <v>8.18</v>
      </c>
      <c r="K15" s="178">
        <v>97.4</v>
      </c>
      <c r="L15" s="81">
        <f t="shared" si="0"/>
        <v>1.0267422967583822E-2</v>
      </c>
    </row>
    <row r="16" spans="1:12" x14ac:dyDescent="0.35">
      <c r="A16" s="387" t="s">
        <v>32</v>
      </c>
      <c r="B16" s="388">
        <v>70488681</v>
      </c>
      <c r="C16" s="388">
        <v>51219766</v>
      </c>
      <c r="D16" s="88">
        <v>46278553</v>
      </c>
      <c r="E16" s="88">
        <v>29739207</v>
      </c>
      <c r="F16" s="88">
        <v>10669249</v>
      </c>
      <c r="G16" s="88">
        <v>17211376</v>
      </c>
      <c r="H16" s="164">
        <v>6795086</v>
      </c>
      <c r="I16" s="164">
        <v>5919872</v>
      </c>
      <c r="J16" s="178">
        <v>43.71</v>
      </c>
      <c r="K16" s="178">
        <v>98.34</v>
      </c>
      <c r="L16" s="81">
        <f t="shared" si="0"/>
        <v>4.3203418400178759E-2</v>
      </c>
    </row>
    <row r="17" spans="1:12" x14ac:dyDescent="0.35">
      <c r="A17" s="387" t="s">
        <v>33</v>
      </c>
      <c r="B17" s="388">
        <v>32222222</v>
      </c>
      <c r="C17" s="388">
        <v>20922917</v>
      </c>
      <c r="D17" s="88">
        <v>29389566</v>
      </c>
      <c r="E17" s="88">
        <v>23395909</v>
      </c>
      <c r="F17" s="88">
        <v>4797692</v>
      </c>
      <c r="G17" s="88">
        <v>14854602</v>
      </c>
      <c r="H17" s="164">
        <v>3586840</v>
      </c>
      <c r="I17" s="164">
        <v>1472645</v>
      </c>
      <c r="J17" s="178">
        <v>27.31</v>
      </c>
      <c r="K17" s="178">
        <v>104.96</v>
      </c>
      <c r="L17" s="81">
        <f t="shared" si="0"/>
        <v>2.7436677125528709E-2</v>
      </c>
    </row>
    <row r="18" spans="1:12" x14ac:dyDescent="0.35">
      <c r="A18" s="387" t="s">
        <v>34</v>
      </c>
      <c r="B18" s="388">
        <v>30818171</v>
      </c>
      <c r="C18" s="388">
        <v>21740952</v>
      </c>
      <c r="D18" s="88">
        <v>8952071</v>
      </c>
      <c r="E18" s="88">
        <v>8263759</v>
      </c>
      <c r="F18" s="88">
        <v>786110</v>
      </c>
      <c r="G18" s="88">
        <v>3911232</v>
      </c>
      <c r="H18" s="164">
        <v>1082261</v>
      </c>
      <c r="I18" s="164">
        <v>229302</v>
      </c>
      <c r="J18" s="178">
        <v>13.25</v>
      </c>
      <c r="K18" s="178">
        <v>84.15</v>
      </c>
      <c r="L18" s="81">
        <f t="shared" si="0"/>
        <v>8.3572204377502183E-3</v>
      </c>
    </row>
    <row r="19" spans="1:12" x14ac:dyDescent="0.35">
      <c r="A19" s="387" t="s">
        <v>35</v>
      </c>
      <c r="B19" s="388">
        <v>64047359</v>
      </c>
      <c r="C19" s="388">
        <v>35102038</v>
      </c>
      <c r="D19" s="88">
        <v>20357511</v>
      </c>
      <c r="E19" s="88">
        <v>15541069</v>
      </c>
      <c r="F19" s="88">
        <v>3809321</v>
      </c>
      <c r="G19" s="88">
        <v>9369513</v>
      </c>
      <c r="H19" s="164">
        <v>1923294</v>
      </c>
      <c r="I19" s="164">
        <v>1426158</v>
      </c>
      <c r="J19" s="178">
        <v>26.92</v>
      </c>
      <c r="K19" s="178">
        <v>79.8</v>
      </c>
      <c r="L19" s="81">
        <f t="shared" si="0"/>
        <v>1.9004787494527789E-2</v>
      </c>
    </row>
    <row r="20" spans="1:12" x14ac:dyDescent="0.35">
      <c r="A20" s="387" t="s">
        <v>36</v>
      </c>
      <c r="B20" s="388">
        <v>49363019</v>
      </c>
      <c r="C20" s="388">
        <v>23316936</v>
      </c>
      <c r="D20" s="88">
        <v>30876093</v>
      </c>
      <c r="E20" s="88">
        <v>25472316</v>
      </c>
      <c r="F20" s="88">
        <v>7119189</v>
      </c>
      <c r="G20" s="88">
        <v>14103691</v>
      </c>
      <c r="H20" s="164">
        <v>3425403</v>
      </c>
      <c r="I20" s="164">
        <v>1712185</v>
      </c>
      <c r="J20" s="178">
        <v>30.98</v>
      </c>
      <c r="K20" s="178">
        <v>76.290000000000006</v>
      </c>
      <c r="L20" s="81">
        <f t="shared" si="0"/>
        <v>2.8824426823410632E-2</v>
      </c>
    </row>
    <row r="21" spans="1:12" x14ac:dyDescent="0.35">
      <c r="A21" s="387" t="s">
        <v>62</v>
      </c>
      <c r="B21" s="388">
        <v>27337326</v>
      </c>
      <c r="C21" s="388">
        <v>16282356</v>
      </c>
      <c r="D21" s="88">
        <v>28733674</v>
      </c>
      <c r="E21" s="88">
        <v>25795739</v>
      </c>
      <c r="F21" s="88">
        <v>9206821</v>
      </c>
      <c r="G21" s="88">
        <v>13295785</v>
      </c>
      <c r="H21" s="164">
        <v>5561963</v>
      </c>
      <c r="I21" s="164">
        <v>2546396</v>
      </c>
      <c r="J21" s="178">
        <v>34.659999999999997</v>
      </c>
      <c r="K21" s="178">
        <v>71</v>
      </c>
      <c r="L21" s="81">
        <f t="shared" si="0"/>
        <v>2.6824368082475222E-2</v>
      </c>
    </row>
    <row r="22" spans="1:12" x14ac:dyDescent="0.35">
      <c r="A22" s="387" t="s">
        <v>38</v>
      </c>
      <c r="B22" s="388">
        <v>22829574</v>
      </c>
      <c r="C22" s="388">
        <v>3508473</v>
      </c>
      <c r="D22" s="88">
        <v>11207580</v>
      </c>
      <c r="E22" s="88">
        <v>5258534</v>
      </c>
      <c r="F22" s="88">
        <v>3274362</v>
      </c>
      <c r="G22" s="88">
        <v>6566205</v>
      </c>
      <c r="H22" s="164">
        <v>1490875</v>
      </c>
      <c r="I22" s="164">
        <v>1589881</v>
      </c>
      <c r="J22" s="178">
        <v>67.099999999999994</v>
      </c>
      <c r="K22" s="178">
        <v>165.12</v>
      </c>
      <c r="L22" s="81">
        <f t="shared" si="0"/>
        <v>1.0462854532065328E-2</v>
      </c>
    </row>
    <row r="23" spans="1:12" x14ac:dyDescent="0.35">
      <c r="A23" s="387" t="s">
        <v>39</v>
      </c>
      <c r="B23" s="388">
        <v>181607916</v>
      </c>
      <c r="C23" s="388">
        <v>97331590</v>
      </c>
      <c r="D23" s="88">
        <v>160061927</v>
      </c>
      <c r="E23" s="88">
        <v>94782654</v>
      </c>
      <c r="F23" s="88">
        <v>17280274</v>
      </c>
      <c r="G23" s="88">
        <v>75185078</v>
      </c>
      <c r="H23" s="164">
        <v>14487916</v>
      </c>
      <c r="I23" s="164">
        <v>15665740</v>
      </c>
      <c r="J23" s="178">
        <v>25.4</v>
      </c>
      <c r="K23" s="178">
        <v>131.83000000000001</v>
      </c>
      <c r="L23" s="81">
        <f t="shared" si="0"/>
        <v>0.14942607220497731</v>
      </c>
    </row>
    <row r="24" spans="1:12" x14ac:dyDescent="0.35">
      <c r="A24" s="387" t="s">
        <v>40</v>
      </c>
      <c r="B24" s="388">
        <v>178880400</v>
      </c>
      <c r="C24" s="388">
        <v>136447327</v>
      </c>
      <c r="D24" s="88">
        <v>119757344</v>
      </c>
      <c r="E24" s="88">
        <v>76479145</v>
      </c>
      <c r="F24" s="88">
        <v>24259304</v>
      </c>
      <c r="G24" s="88">
        <v>35276293</v>
      </c>
      <c r="H24" s="164">
        <v>20381686</v>
      </c>
      <c r="I24" s="164">
        <v>6294859</v>
      </c>
      <c r="J24" s="178">
        <v>36</v>
      </c>
      <c r="K24" s="178">
        <v>82.59</v>
      </c>
      <c r="L24" s="81">
        <f t="shared" si="0"/>
        <v>0.11179966321172871</v>
      </c>
    </row>
    <row r="25" spans="1:12" x14ac:dyDescent="0.35">
      <c r="A25" s="387" t="s">
        <v>41</v>
      </c>
      <c r="B25" s="388">
        <v>22291588</v>
      </c>
      <c r="C25" s="388">
        <v>19998962</v>
      </c>
      <c r="D25" s="88">
        <v>11167973</v>
      </c>
      <c r="E25" s="88">
        <v>9364138</v>
      </c>
      <c r="F25" s="88">
        <v>3998285</v>
      </c>
      <c r="G25" s="88">
        <v>5674869</v>
      </c>
      <c r="H25" s="164">
        <v>237559</v>
      </c>
      <c r="I25" s="164"/>
      <c r="J25" s="178">
        <v>49.53</v>
      </c>
      <c r="K25" s="178">
        <v>73.25</v>
      </c>
      <c r="L25" s="81">
        <f t="shared" si="0"/>
        <v>1.042587935281597E-2</v>
      </c>
    </row>
    <row r="26" spans="1:12" x14ac:dyDescent="0.35">
      <c r="A26" s="387" t="s">
        <v>42</v>
      </c>
      <c r="B26" s="388">
        <v>93423594</v>
      </c>
      <c r="C26" s="388">
        <v>66422972</v>
      </c>
      <c r="D26" s="88">
        <v>97164806</v>
      </c>
      <c r="E26" s="88">
        <v>61217713</v>
      </c>
      <c r="F26" s="88">
        <v>21652511</v>
      </c>
      <c r="G26" s="88">
        <v>27609779</v>
      </c>
      <c r="H26" s="164">
        <v>14357571</v>
      </c>
      <c r="I26" s="164">
        <v>11040815</v>
      </c>
      <c r="J26" s="178">
        <v>37.64</v>
      </c>
      <c r="K26" s="178">
        <v>72.95</v>
      </c>
      <c r="L26" s="81">
        <f t="shared" si="0"/>
        <v>9.0708362627288708E-2</v>
      </c>
    </row>
    <row r="27" spans="1:12" x14ac:dyDescent="0.35">
      <c r="A27" s="387" t="s">
        <v>43</v>
      </c>
      <c r="B27" s="388">
        <v>34497189</v>
      </c>
      <c r="C27" s="388">
        <v>8701858</v>
      </c>
      <c r="D27" s="88">
        <v>15289696</v>
      </c>
      <c r="E27" s="88">
        <v>11024064</v>
      </c>
      <c r="F27" s="88">
        <v>8059346</v>
      </c>
      <c r="G27" s="88">
        <v>9438477</v>
      </c>
      <c r="H27" s="164">
        <v>2506665</v>
      </c>
      <c r="I27" s="164">
        <v>1407972</v>
      </c>
      <c r="J27" s="178">
        <v>80.44</v>
      </c>
      <c r="K27" s="178">
        <v>119.23</v>
      </c>
      <c r="L27" s="81">
        <f t="shared" si="0"/>
        <v>1.4273720561218489E-2</v>
      </c>
    </row>
    <row r="28" spans="1:12" ht="16.149999999999999" x14ac:dyDescent="0.35">
      <c r="A28" s="5" t="s">
        <v>63</v>
      </c>
      <c r="B28" s="131">
        <f>SUM(B3:B27)</f>
        <v>1484711199</v>
      </c>
      <c r="C28" s="131">
        <f>SUM(C3:C27)</f>
        <v>889762128</v>
      </c>
      <c r="D28" s="90">
        <f t="shared" ref="D28:I28" si="1">SUM(D3:D27)</f>
        <v>1071178039</v>
      </c>
      <c r="E28" s="89">
        <f t="shared" si="1"/>
        <v>670596808</v>
      </c>
      <c r="F28" s="89">
        <f t="shared" si="1"/>
        <v>229579184</v>
      </c>
      <c r="G28" s="89">
        <f t="shared" si="1"/>
        <v>366934401</v>
      </c>
      <c r="H28" s="89">
        <f t="shared" si="1"/>
        <v>130704151</v>
      </c>
      <c r="I28" s="89">
        <f t="shared" si="1"/>
        <v>90235811</v>
      </c>
      <c r="J28" s="73"/>
      <c r="K28" s="73"/>
      <c r="L28" s="73"/>
    </row>
  </sheetData>
  <pageMargins left="0.7" right="0.7" top="0.75" bottom="0.75" header="0.3" footer="0.3"/>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sheetPr>
    <tabColor rgb="FF7030A0"/>
  </sheetPr>
  <dimension ref="A1:L30"/>
  <sheetViews>
    <sheetView workbookViewId="0"/>
  </sheetViews>
  <sheetFormatPr defaultColWidth="20.3984375" defaultRowHeight="12.75" x14ac:dyDescent="0.35"/>
  <cols>
    <col min="1" max="1" width="42.265625" customWidth="1"/>
    <col min="2" max="2" width="14" customWidth="1"/>
    <col min="3" max="3" width="15.73046875" customWidth="1"/>
    <col min="4" max="4" width="16.73046875" customWidth="1"/>
    <col min="5" max="5" width="12.73046875" customWidth="1"/>
    <col min="6" max="6" width="13.265625" customWidth="1"/>
    <col min="7" max="7" width="16.3984375" customWidth="1"/>
    <col min="8" max="8" width="15.265625" customWidth="1"/>
    <col min="9" max="9" width="11.73046875" customWidth="1"/>
    <col min="10" max="10" width="12.73046875" customWidth="1"/>
    <col min="11" max="11" width="17.73046875" customWidth="1"/>
    <col min="12" max="12" width="13.3984375" customWidth="1"/>
  </cols>
  <sheetData>
    <row r="1" spans="1:12" ht="14.1" customHeight="1" x14ac:dyDescent="0.4">
      <c r="A1" s="11" t="s">
        <v>66</v>
      </c>
      <c r="B1" s="117"/>
      <c r="C1" s="117"/>
      <c r="D1" s="4"/>
      <c r="E1" s="2"/>
      <c r="F1" s="2"/>
      <c r="G1" s="2"/>
      <c r="H1" s="2"/>
    </row>
    <row r="2" spans="1:12" s="19" customFormat="1" ht="29.25" customHeight="1" x14ac:dyDescent="0.4">
      <c r="A2" s="11" t="s">
        <v>8</v>
      </c>
      <c r="B2" s="11" t="s">
        <v>9</v>
      </c>
      <c r="C2" s="11" t="s">
        <v>10</v>
      </c>
      <c r="D2" s="11" t="s">
        <v>67</v>
      </c>
      <c r="E2" s="12" t="s">
        <v>12</v>
      </c>
      <c r="F2" s="12" t="s">
        <v>68</v>
      </c>
      <c r="G2" s="12" t="s">
        <v>14</v>
      </c>
      <c r="H2" s="12" t="s">
        <v>15</v>
      </c>
      <c r="I2" s="18" t="s">
        <v>16</v>
      </c>
      <c r="J2" s="18" t="s">
        <v>17</v>
      </c>
      <c r="K2" s="18" t="s">
        <v>18</v>
      </c>
      <c r="L2" s="18" t="s">
        <v>19</v>
      </c>
    </row>
    <row r="3" spans="1:12" ht="14.1" customHeight="1" x14ac:dyDescent="0.35">
      <c r="A3" s="38" t="s">
        <v>20</v>
      </c>
      <c r="B3" s="129">
        <v>55420317</v>
      </c>
      <c r="C3" s="129">
        <v>24370958</v>
      </c>
      <c r="D3" s="82">
        <v>18733392</v>
      </c>
      <c r="E3" s="82">
        <v>5315047</v>
      </c>
      <c r="F3" s="82">
        <v>1555579</v>
      </c>
      <c r="G3" s="92">
        <v>2332176</v>
      </c>
      <c r="H3" s="92">
        <v>1855327</v>
      </c>
      <c r="I3" s="82">
        <v>3996894</v>
      </c>
      <c r="J3" s="93">
        <v>51.53</v>
      </c>
      <c r="K3" s="93">
        <v>138.72</v>
      </c>
      <c r="L3" s="86">
        <f t="shared" ref="L3:L29" si="0">D3/$D$30</f>
        <v>5.1725391295101154E-2</v>
      </c>
    </row>
    <row r="4" spans="1:12" ht="14.1" customHeight="1" x14ac:dyDescent="0.35">
      <c r="A4" s="38" t="s">
        <v>21</v>
      </c>
      <c r="B4" s="129">
        <v>32454923</v>
      </c>
      <c r="C4" s="129">
        <v>9945274</v>
      </c>
      <c r="D4" s="82">
        <v>9654777</v>
      </c>
      <c r="E4" s="82">
        <v>4228156</v>
      </c>
      <c r="F4" s="82">
        <v>2345512</v>
      </c>
      <c r="G4" s="92">
        <v>2263428</v>
      </c>
      <c r="H4" s="92">
        <v>608296</v>
      </c>
      <c r="I4" s="82">
        <v>511977</v>
      </c>
      <c r="J4" s="93">
        <v>81.73</v>
      </c>
      <c r="K4" s="93">
        <v>100.07</v>
      </c>
      <c r="L4" s="86">
        <f t="shared" si="0"/>
        <v>2.6658125671631856E-2</v>
      </c>
    </row>
    <row r="5" spans="1:12" ht="14.1" customHeight="1" x14ac:dyDescent="0.35">
      <c r="A5" s="38" t="s">
        <v>60</v>
      </c>
      <c r="B5" s="121"/>
      <c r="C5" s="121"/>
      <c r="D5" s="83"/>
      <c r="E5" s="83"/>
      <c r="F5" s="83"/>
      <c r="G5" s="75"/>
      <c r="H5" s="75"/>
      <c r="I5" s="83"/>
      <c r="J5" s="93"/>
      <c r="K5" s="93"/>
      <c r="L5" s="86">
        <f t="shared" si="0"/>
        <v>0</v>
      </c>
    </row>
    <row r="6" spans="1:12" ht="14.1" customHeight="1" x14ac:dyDescent="0.35">
      <c r="A6" s="38" t="s">
        <v>22</v>
      </c>
      <c r="B6" s="129">
        <v>48222645</v>
      </c>
      <c r="C6" s="129">
        <v>26653127</v>
      </c>
      <c r="D6" s="82">
        <v>10806595</v>
      </c>
      <c r="E6" s="82">
        <v>8573097</v>
      </c>
      <c r="F6" s="82">
        <v>2291978</v>
      </c>
      <c r="G6" s="92">
        <v>2156958</v>
      </c>
      <c r="H6" s="92">
        <v>1385034</v>
      </c>
      <c r="I6" s="82">
        <v>688443</v>
      </c>
      <c r="J6" s="93">
        <v>46.12</v>
      </c>
      <c r="K6" s="93">
        <v>71.27</v>
      </c>
      <c r="L6" s="86">
        <f t="shared" si="0"/>
        <v>2.9838448634538991E-2</v>
      </c>
    </row>
    <row r="7" spans="1:12" ht="14.1" customHeight="1" x14ac:dyDescent="0.35">
      <c r="A7" s="38" t="s">
        <v>23</v>
      </c>
      <c r="B7" s="129">
        <v>140807899</v>
      </c>
      <c r="C7" s="129">
        <v>83264156</v>
      </c>
      <c r="D7" s="82">
        <v>53083094</v>
      </c>
      <c r="E7" s="82">
        <v>31435500</v>
      </c>
      <c r="F7" s="82">
        <v>19391817</v>
      </c>
      <c r="G7" s="92">
        <v>5900987</v>
      </c>
      <c r="H7" s="92">
        <v>4673551</v>
      </c>
      <c r="I7" s="82">
        <v>2992575</v>
      </c>
      <c r="J7" s="93">
        <v>92.29</v>
      </c>
      <c r="K7" s="93">
        <v>50.32</v>
      </c>
      <c r="L7" s="86">
        <f t="shared" si="0"/>
        <v>0.14656949517229106</v>
      </c>
    </row>
    <row r="8" spans="1:12" ht="14.1" customHeight="1" x14ac:dyDescent="0.35">
      <c r="A8" s="38" t="s">
        <v>24</v>
      </c>
      <c r="B8" s="129">
        <v>43818600</v>
      </c>
      <c r="C8" s="129">
        <v>27133595</v>
      </c>
      <c r="D8" s="82">
        <v>11172679</v>
      </c>
      <c r="E8" s="82">
        <v>9377891</v>
      </c>
      <c r="F8" s="82">
        <v>2482144</v>
      </c>
      <c r="G8" s="92">
        <v>2846201</v>
      </c>
      <c r="H8" s="92">
        <v>2221172</v>
      </c>
      <c r="I8" s="82">
        <v>539414</v>
      </c>
      <c r="J8" s="93">
        <v>30.95</v>
      </c>
      <c r="K8" s="93">
        <v>63.19</v>
      </c>
      <c r="L8" s="86">
        <f t="shared" si="0"/>
        <v>3.0849255334514936E-2</v>
      </c>
    </row>
    <row r="9" spans="1:12" ht="14.1" customHeight="1" x14ac:dyDescent="0.35">
      <c r="A9" s="38" t="s">
        <v>25</v>
      </c>
      <c r="B9" s="129">
        <v>94984065</v>
      </c>
      <c r="C9" s="129">
        <v>52505831</v>
      </c>
      <c r="D9" s="82">
        <v>13346143</v>
      </c>
      <c r="E9" s="82">
        <v>6945668</v>
      </c>
      <c r="F9" s="82">
        <v>2822418</v>
      </c>
      <c r="G9" s="92">
        <v>2256264</v>
      </c>
      <c r="H9" s="92">
        <v>75470</v>
      </c>
      <c r="I9" s="83"/>
      <c r="J9" s="93">
        <v>46.96</v>
      </c>
      <c r="K9" s="93">
        <v>38.799999999999997</v>
      </c>
      <c r="L9" s="86">
        <f t="shared" si="0"/>
        <v>3.6850479024587497E-2</v>
      </c>
    </row>
    <row r="10" spans="1:12" ht="14.1" customHeight="1" x14ac:dyDescent="0.35">
      <c r="A10" s="38" t="s">
        <v>26</v>
      </c>
      <c r="B10" s="129">
        <v>63530398</v>
      </c>
      <c r="C10" s="129">
        <v>42473327</v>
      </c>
      <c r="D10" s="82">
        <v>22109055</v>
      </c>
      <c r="E10" s="82">
        <v>8495475</v>
      </c>
      <c r="F10" s="82">
        <v>2368818</v>
      </c>
      <c r="G10" s="92">
        <v>4304090</v>
      </c>
      <c r="H10" s="92">
        <v>1160669</v>
      </c>
      <c r="I10" s="82">
        <v>1212342</v>
      </c>
      <c r="J10" s="93">
        <v>28.19</v>
      </c>
      <c r="K10" s="93">
        <v>65.03</v>
      </c>
      <c r="L10" s="86">
        <f t="shared" si="0"/>
        <v>6.1046046601699926E-2</v>
      </c>
    </row>
    <row r="11" spans="1:12" ht="14.1" customHeight="1" x14ac:dyDescent="0.35">
      <c r="A11" s="38" t="s">
        <v>27</v>
      </c>
      <c r="B11" s="121"/>
      <c r="C11" s="121"/>
      <c r="D11" s="83"/>
      <c r="E11" s="83"/>
      <c r="F11" s="83"/>
      <c r="G11" s="75"/>
      <c r="H11" s="75"/>
      <c r="I11" s="83"/>
      <c r="J11" s="93"/>
      <c r="K11" s="93"/>
      <c r="L11" s="86">
        <f t="shared" si="0"/>
        <v>0</v>
      </c>
    </row>
    <row r="12" spans="1:12" ht="14.1" customHeight="1" x14ac:dyDescent="0.35">
      <c r="A12" s="38" t="s">
        <v>28</v>
      </c>
      <c r="B12" s="129">
        <v>127631170</v>
      </c>
      <c r="C12" s="129">
        <v>58571372</v>
      </c>
      <c r="D12" s="82">
        <v>24742087</v>
      </c>
      <c r="E12" s="82">
        <v>16963970</v>
      </c>
      <c r="F12" s="82">
        <v>5237743</v>
      </c>
      <c r="G12" s="92">
        <v>5811513</v>
      </c>
      <c r="H12" s="92">
        <v>4258832</v>
      </c>
      <c r="I12" s="82">
        <v>2106517</v>
      </c>
      <c r="J12" s="93">
        <v>46.54</v>
      </c>
      <c r="K12" s="93">
        <v>89.48</v>
      </c>
      <c r="L12" s="86">
        <f t="shared" si="0"/>
        <v>6.8316198771286876E-2</v>
      </c>
    </row>
    <row r="13" spans="1:12" ht="14.1" customHeight="1" x14ac:dyDescent="0.35">
      <c r="A13" s="38" t="s">
        <v>46</v>
      </c>
      <c r="B13" s="129">
        <v>15241371</v>
      </c>
      <c r="C13" s="129">
        <v>6576346</v>
      </c>
      <c r="D13" s="82">
        <v>3067123</v>
      </c>
      <c r="E13" s="82">
        <v>2987389</v>
      </c>
      <c r="F13" s="82">
        <v>637265</v>
      </c>
      <c r="G13" s="92">
        <v>1716216</v>
      </c>
      <c r="H13" s="92">
        <v>504159</v>
      </c>
      <c r="I13" s="82">
        <v>111887</v>
      </c>
      <c r="J13" s="93">
        <v>24.44</v>
      </c>
      <c r="K13" s="93">
        <v>85.16</v>
      </c>
      <c r="L13" s="86">
        <f t="shared" si="0"/>
        <v>8.4687352576193631E-3</v>
      </c>
    </row>
    <row r="14" spans="1:12" ht="14.1" customHeight="1" x14ac:dyDescent="0.35">
      <c r="A14" s="38" t="s">
        <v>69</v>
      </c>
      <c r="B14" s="120"/>
      <c r="C14" s="121"/>
      <c r="D14" s="83"/>
      <c r="E14" s="83"/>
      <c r="F14" s="83"/>
      <c r="G14" s="75"/>
      <c r="H14" s="75"/>
      <c r="I14" s="83"/>
      <c r="J14" s="93"/>
      <c r="K14" s="93"/>
      <c r="L14" s="86">
        <f t="shared" si="0"/>
        <v>0</v>
      </c>
    </row>
    <row r="15" spans="1:12" ht="14.1" customHeight="1" x14ac:dyDescent="0.35">
      <c r="A15" s="38" t="s">
        <v>29</v>
      </c>
      <c r="B15" s="129">
        <v>34338427</v>
      </c>
      <c r="C15" s="129">
        <v>28977958</v>
      </c>
      <c r="D15" s="82">
        <v>6940909</v>
      </c>
      <c r="E15" s="82">
        <v>5996450</v>
      </c>
      <c r="F15" s="82">
        <v>1236661</v>
      </c>
      <c r="G15" s="92">
        <v>1849457</v>
      </c>
      <c r="H15" s="92">
        <v>380422</v>
      </c>
      <c r="I15" s="82">
        <v>261264</v>
      </c>
      <c r="J15" s="93">
        <v>47.33</v>
      </c>
      <c r="K15" s="93">
        <v>85.34</v>
      </c>
      <c r="L15" s="86">
        <f t="shared" si="0"/>
        <v>1.9164774535689492E-2</v>
      </c>
    </row>
    <row r="16" spans="1:12" ht="14.1" customHeight="1" x14ac:dyDescent="0.35">
      <c r="A16" s="38" t="s">
        <v>70</v>
      </c>
      <c r="B16" s="121"/>
      <c r="C16" s="121"/>
      <c r="D16" s="83"/>
      <c r="E16" s="83"/>
      <c r="F16" s="83"/>
      <c r="G16" s="75"/>
      <c r="H16" s="75"/>
      <c r="I16" s="83"/>
      <c r="J16" s="93"/>
      <c r="K16" s="93"/>
      <c r="L16" s="86">
        <f t="shared" si="0"/>
        <v>0</v>
      </c>
    </row>
    <row r="17" spans="1:12" ht="14.1" customHeight="1" x14ac:dyDescent="0.35">
      <c r="A17" s="38" t="s">
        <v>31</v>
      </c>
      <c r="B17" s="129">
        <v>46635470</v>
      </c>
      <c r="C17" s="129">
        <v>33819758</v>
      </c>
      <c r="D17" s="82">
        <v>4870730</v>
      </c>
      <c r="E17" s="82">
        <v>3322073</v>
      </c>
      <c r="F17" s="82">
        <v>489151</v>
      </c>
      <c r="G17" s="92">
        <v>2008419</v>
      </c>
      <c r="H17" s="92">
        <v>700747</v>
      </c>
      <c r="I17" s="82">
        <v>457843</v>
      </c>
      <c r="J17" s="93">
        <v>21.78</v>
      </c>
      <c r="K17" s="93">
        <v>120.61</v>
      </c>
      <c r="L17" s="86">
        <f t="shared" si="0"/>
        <v>1.3448734492012339E-2</v>
      </c>
    </row>
    <row r="18" spans="1:12" ht="14.1" customHeight="1" x14ac:dyDescent="0.35">
      <c r="A18" s="38" t="s">
        <v>32</v>
      </c>
      <c r="B18" s="129">
        <v>74683970</v>
      </c>
      <c r="C18" s="129">
        <v>54918525</v>
      </c>
      <c r="D18" s="82">
        <v>15328065</v>
      </c>
      <c r="E18" s="82">
        <v>11038212</v>
      </c>
      <c r="F18" s="82">
        <v>3432017</v>
      </c>
      <c r="G18" s="92">
        <v>6403053</v>
      </c>
      <c r="H18" s="92">
        <v>2637223</v>
      </c>
      <c r="I18" s="82">
        <v>1498797</v>
      </c>
      <c r="J18" s="93">
        <v>29.9</v>
      </c>
      <c r="K18" s="93">
        <v>78.760000000000005</v>
      </c>
      <c r="L18" s="86">
        <f t="shared" si="0"/>
        <v>4.2322829732156599E-2</v>
      </c>
    </row>
    <row r="19" spans="1:12" ht="14.1" customHeight="1" x14ac:dyDescent="0.35">
      <c r="A19" s="38" t="s">
        <v>33</v>
      </c>
      <c r="B19" s="129">
        <v>39114492</v>
      </c>
      <c r="C19" s="129">
        <v>20751699</v>
      </c>
      <c r="D19" s="82">
        <v>12246903</v>
      </c>
      <c r="E19" s="82">
        <v>10352081</v>
      </c>
      <c r="F19" s="82">
        <v>2243788</v>
      </c>
      <c r="G19" s="92">
        <v>2865160</v>
      </c>
      <c r="H19" s="92">
        <v>1357897</v>
      </c>
      <c r="I19" s="82">
        <v>857952</v>
      </c>
      <c r="J19" s="93">
        <v>47.36</v>
      </c>
      <c r="K19" s="93">
        <v>89.13</v>
      </c>
      <c r="L19" s="86">
        <f t="shared" si="0"/>
        <v>3.3815330925021383E-2</v>
      </c>
    </row>
    <row r="20" spans="1:12" ht="14.1" customHeight="1" x14ac:dyDescent="0.35">
      <c r="A20" s="38" t="s">
        <v>34</v>
      </c>
      <c r="B20" s="129">
        <v>31527325</v>
      </c>
      <c r="C20" s="129">
        <v>19777019</v>
      </c>
      <c r="D20" s="82">
        <v>4062057</v>
      </c>
      <c r="E20" s="82">
        <v>3893351</v>
      </c>
      <c r="F20" s="82">
        <v>1139401</v>
      </c>
      <c r="G20" s="92">
        <v>1786777</v>
      </c>
      <c r="H20" s="92">
        <v>290730</v>
      </c>
      <c r="I20" s="82">
        <v>54364</v>
      </c>
      <c r="J20" s="93">
        <v>43.1</v>
      </c>
      <c r="K20" s="93">
        <v>78.59</v>
      </c>
      <c r="L20" s="86">
        <f t="shared" si="0"/>
        <v>1.1215880593754975E-2</v>
      </c>
    </row>
    <row r="21" spans="1:12" ht="14.1" customHeight="1" x14ac:dyDescent="0.35">
      <c r="A21" s="38" t="s">
        <v>35</v>
      </c>
      <c r="B21" s="121"/>
      <c r="C21" s="121"/>
      <c r="D21" s="83"/>
      <c r="E21" s="83"/>
      <c r="F21" s="83"/>
      <c r="G21" s="75"/>
      <c r="H21" s="75"/>
      <c r="I21" s="83"/>
      <c r="J21" s="93"/>
      <c r="K21" s="93"/>
      <c r="L21" s="86">
        <f t="shared" si="0"/>
        <v>0</v>
      </c>
    </row>
    <row r="22" spans="1:12" ht="14.1" customHeight="1" x14ac:dyDescent="0.35">
      <c r="A22" s="38" t="s">
        <v>36</v>
      </c>
      <c r="B22" s="129">
        <v>50711958</v>
      </c>
      <c r="C22" s="129">
        <v>24780786</v>
      </c>
      <c r="D22" s="82">
        <v>9416733</v>
      </c>
      <c r="E22" s="82">
        <v>5790249</v>
      </c>
      <c r="F22" s="82">
        <v>1917577</v>
      </c>
      <c r="G22" s="92">
        <v>3777399</v>
      </c>
      <c r="H22" s="92">
        <v>974882</v>
      </c>
      <c r="I22" s="82">
        <v>1100502</v>
      </c>
      <c r="J22" s="93">
        <v>39.28</v>
      </c>
      <c r="K22" s="93">
        <v>97.35</v>
      </c>
      <c r="L22" s="86">
        <f t="shared" si="0"/>
        <v>2.6000854471336092E-2</v>
      </c>
    </row>
    <row r="23" spans="1:12" ht="14.1" customHeight="1" x14ac:dyDescent="0.35">
      <c r="A23" s="38" t="s">
        <v>62</v>
      </c>
      <c r="B23" s="121"/>
      <c r="C23" s="121"/>
      <c r="D23" s="83"/>
      <c r="E23" s="83"/>
      <c r="F23" s="83"/>
      <c r="G23" s="75"/>
      <c r="H23" s="75"/>
      <c r="I23" s="83"/>
      <c r="J23" s="93"/>
      <c r="K23" s="93"/>
      <c r="L23" s="86">
        <f t="shared" si="0"/>
        <v>0</v>
      </c>
    </row>
    <row r="24" spans="1:12" ht="14.1" customHeight="1" x14ac:dyDescent="0.35">
      <c r="A24" s="38" t="s">
        <v>38</v>
      </c>
      <c r="B24" s="129">
        <v>26123698</v>
      </c>
      <c r="C24" s="129">
        <v>5980622</v>
      </c>
      <c r="D24" s="82">
        <v>6307905</v>
      </c>
      <c r="E24" s="82">
        <v>3749745</v>
      </c>
      <c r="F24" s="82">
        <v>977308</v>
      </c>
      <c r="G24" s="92">
        <v>1660541</v>
      </c>
      <c r="H24" s="92">
        <v>966300</v>
      </c>
      <c r="I24" s="82">
        <v>648180</v>
      </c>
      <c r="J24" s="93">
        <v>40.15</v>
      </c>
      <c r="K24" s="93">
        <v>107.91</v>
      </c>
      <c r="L24" s="86">
        <f t="shared" si="0"/>
        <v>1.7416966152062851E-2</v>
      </c>
    </row>
    <row r="25" spans="1:12" ht="14.1" customHeight="1" x14ac:dyDescent="0.35">
      <c r="A25" s="38" t="s">
        <v>39</v>
      </c>
      <c r="B25" s="129">
        <v>191925837</v>
      </c>
      <c r="C25" s="129">
        <v>105981504</v>
      </c>
      <c r="D25" s="82">
        <v>51492304</v>
      </c>
      <c r="E25" s="82">
        <v>33053095</v>
      </c>
      <c r="F25" s="82">
        <v>7712396</v>
      </c>
      <c r="G25" s="92">
        <v>19247638</v>
      </c>
      <c r="H25" s="92">
        <v>5557813</v>
      </c>
      <c r="I25" s="82">
        <v>4245567</v>
      </c>
      <c r="J25" s="93">
        <v>27.94</v>
      </c>
      <c r="K25" s="93">
        <v>89.87</v>
      </c>
      <c r="L25" s="86">
        <f t="shared" si="0"/>
        <v>0.14217711203002117</v>
      </c>
    </row>
    <row r="26" spans="1:12" ht="14.1" customHeight="1" x14ac:dyDescent="0.35">
      <c r="A26" s="38" t="s">
        <v>40</v>
      </c>
      <c r="B26" s="129">
        <v>197911684</v>
      </c>
      <c r="C26" s="129">
        <v>154358902</v>
      </c>
      <c r="D26" s="82">
        <v>38580052</v>
      </c>
      <c r="E26" s="82">
        <v>29561032</v>
      </c>
      <c r="F26" s="82">
        <v>9941007</v>
      </c>
      <c r="G26" s="92">
        <v>9338452</v>
      </c>
      <c r="H26" s="92">
        <v>7323976</v>
      </c>
      <c r="I26" s="82">
        <v>2122912</v>
      </c>
      <c r="J26" s="93">
        <v>36.479999999999997</v>
      </c>
      <c r="K26" s="93">
        <v>61.15</v>
      </c>
      <c r="L26" s="86">
        <f t="shared" si="0"/>
        <v>0.10652466386681866</v>
      </c>
    </row>
    <row r="27" spans="1:12" ht="14.1" customHeight="1" x14ac:dyDescent="0.35">
      <c r="A27" s="38" t="s">
        <v>41</v>
      </c>
      <c r="B27" s="129">
        <v>23251596</v>
      </c>
      <c r="C27" s="129">
        <v>20925907</v>
      </c>
      <c r="D27" s="82">
        <v>3223168</v>
      </c>
      <c r="E27" s="82">
        <v>2662427</v>
      </c>
      <c r="F27" s="82">
        <v>1067012</v>
      </c>
      <c r="G27" s="92">
        <v>1562213</v>
      </c>
      <c r="H27" s="92">
        <v>77238</v>
      </c>
      <c r="I27" s="83"/>
      <c r="J27" s="93">
        <v>45.74</v>
      </c>
      <c r="K27" s="93">
        <v>70.27</v>
      </c>
      <c r="L27" s="86">
        <f t="shared" si="0"/>
        <v>8.8995962936049486E-3</v>
      </c>
    </row>
    <row r="28" spans="1:12" ht="14.1" customHeight="1" x14ac:dyDescent="0.35">
      <c r="A28" s="38" t="s">
        <v>42</v>
      </c>
      <c r="B28" s="129">
        <v>90588052</v>
      </c>
      <c r="C28" s="129">
        <v>65888076</v>
      </c>
      <c r="D28" s="82">
        <v>37981203</v>
      </c>
      <c r="E28" s="82">
        <v>25467735</v>
      </c>
      <c r="F28" s="82">
        <v>7861820</v>
      </c>
      <c r="G28" s="92">
        <v>7330706</v>
      </c>
      <c r="H28" s="92">
        <v>6563902</v>
      </c>
      <c r="I28" s="82">
        <v>4810536</v>
      </c>
      <c r="J28" s="93">
        <v>35.979999999999997</v>
      </c>
      <c r="K28" s="93">
        <v>63.59</v>
      </c>
      <c r="L28" s="86">
        <f t="shared" si="0"/>
        <v>0.10487116198890568</v>
      </c>
    </row>
    <row r="29" spans="1:12" ht="14.1" customHeight="1" x14ac:dyDescent="0.35">
      <c r="A29" s="38" t="s">
        <v>43</v>
      </c>
      <c r="B29" s="129">
        <v>37554448</v>
      </c>
      <c r="C29" s="129">
        <v>19917440</v>
      </c>
      <c r="D29" s="82">
        <v>5005162</v>
      </c>
      <c r="E29" s="82">
        <v>3266366</v>
      </c>
      <c r="F29" s="82">
        <v>1877438</v>
      </c>
      <c r="G29" s="92">
        <v>2292252</v>
      </c>
      <c r="H29" s="92">
        <v>799596</v>
      </c>
      <c r="I29" s="82">
        <v>491350</v>
      </c>
      <c r="J29" s="93">
        <v>58.39</v>
      </c>
      <c r="K29" s="93">
        <v>96.15</v>
      </c>
      <c r="L29" s="86">
        <f t="shared" si="0"/>
        <v>1.3819919155344161E-2</v>
      </c>
    </row>
    <row r="30" spans="1:12" ht="14.1" customHeight="1" x14ac:dyDescent="0.4">
      <c r="A30" s="47" t="s">
        <v>44</v>
      </c>
      <c r="B30" s="130">
        <f>SUM(B3:B29)</f>
        <v>1466478345</v>
      </c>
      <c r="C30" s="130">
        <f>SUM(C3:C29)</f>
        <v>887572182</v>
      </c>
      <c r="D30" s="94">
        <v>362170136</v>
      </c>
      <c r="E30" s="95">
        <v>232475009</v>
      </c>
      <c r="F30" s="95">
        <v>79028851</v>
      </c>
      <c r="G30" s="55">
        <v>89709900</v>
      </c>
      <c r="H30" s="55">
        <v>44373236</v>
      </c>
      <c r="I30" s="96">
        <v>28709316</v>
      </c>
      <c r="J30" s="97"/>
      <c r="K30" s="73"/>
      <c r="L30" s="98"/>
    </row>
  </sheetData>
  <pageMargins left="0.7" right="0.7" top="0.75" bottom="0.75" header="0.3" footer="0.3"/>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sheetPr>
    <tabColor rgb="FF7030A0"/>
  </sheetPr>
  <dimension ref="A1:N30"/>
  <sheetViews>
    <sheetView workbookViewId="0"/>
  </sheetViews>
  <sheetFormatPr defaultRowHeight="12.75" x14ac:dyDescent="0.35"/>
  <cols>
    <col min="1" max="1" width="42.73046875" customWidth="1"/>
    <col min="2" max="2" width="12.73046875" customWidth="1"/>
    <col min="3" max="3" width="13.73046875" customWidth="1"/>
    <col min="4" max="4" width="12.265625" customWidth="1"/>
    <col min="5" max="5" width="13.73046875" customWidth="1"/>
    <col min="6" max="6" width="13.3984375" customWidth="1"/>
    <col min="7" max="7" width="12.3984375" bestFit="1" customWidth="1"/>
    <col min="8" max="8" width="11.3984375" bestFit="1" customWidth="1"/>
    <col min="9" max="9" width="10.3984375" bestFit="1" customWidth="1"/>
    <col min="10" max="10" width="9.73046875" customWidth="1"/>
  </cols>
  <sheetData>
    <row r="1" spans="1:14" s="6" customFormat="1" ht="14.1" customHeight="1" x14ac:dyDescent="0.35">
      <c r="A1" s="30" t="s">
        <v>71</v>
      </c>
      <c r="B1" s="118"/>
      <c r="C1" s="118"/>
      <c r="D1" s="9"/>
      <c r="E1" s="5"/>
      <c r="F1" s="5"/>
      <c r="G1" s="5"/>
      <c r="H1" s="5"/>
      <c r="I1" s="5"/>
      <c r="J1" s="5"/>
      <c r="K1" s="5"/>
      <c r="L1" s="5"/>
      <c r="M1" s="5"/>
      <c r="N1" s="5"/>
    </row>
    <row r="2" spans="1:14" s="19" customFormat="1" ht="30" customHeight="1" x14ac:dyDescent="0.4">
      <c r="A2" s="10" t="s">
        <v>8</v>
      </c>
      <c r="B2" s="10" t="s">
        <v>9</v>
      </c>
      <c r="C2" s="10" t="s">
        <v>10</v>
      </c>
      <c r="D2" s="24" t="s">
        <v>67</v>
      </c>
      <c r="E2" s="12" t="s">
        <v>12</v>
      </c>
      <c r="F2" s="18" t="s">
        <v>72</v>
      </c>
      <c r="G2" s="13" t="s">
        <v>14</v>
      </c>
      <c r="H2" s="13" t="s">
        <v>15</v>
      </c>
      <c r="I2" s="13" t="s">
        <v>16</v>
      </c>
      <c r="J2" s="13" t="s">
        <v>17</v>
      </c>
      <c r="K2" s="13" t="s">
        <v>18</v>
      </c>
      <c r="L2" s="29" t="s">
        <v>19</v>
      </c>
      <c r="M2" s="18"/>
      <c r="N2" s="18"/>
    </row>
    <row r="3" spans="1:14" ht="14.1" customHeight="1" x14ac:dyDescent="0.35">
      <c r="A3" s="41" t="s">
        <v>20</v>
      </c>
      <c r="B3" s="125">
        <v>63575447</v>
      </c>
      <c r="C3" s="125">
        <v>22366028</v>
      </c>
      <c r="D3" s="82">
        <v>32417695</v>
      </c>
      <c r="E3" s="92">
        <v>8799181</v>
      </c>
      <c r="F3" s="82">
        <v>2924680</v>
      </c>
      <c r="G3" s="92">
        <v>4980914</v>
      </c>
      <c r="H3" s="92">
        <v>2594710</v>
      </c>
      <c r="I3" s="82">
        <v>6932690</v>
      </c>
      <c r="J3" s="83">
        <v>46.29</v>
      </c>
      <c r="K3" s="99">
        <v>119.91</v>
      </c>
      <c r="L3" s="391">
        <f t="shared" ref="L3:L29" si="0">D3/$D$30</f>
        <v>4.93885997787206E-2</v>
      </c>
      <c r="M3" s="2"/>
      <c r="N3" s="2"/>
    </row>
    <row r="4" spans="1:14" ht="14.1" customHeight="1" x14ac:dyDescent="0.35">
      <c r="A4" s="41" t="s">
        <v>21</v>
      </c>
      <c r="B4" s="125">
        <v>25568166</v>
      </c>
      <c r="C4" s="125">
        <v>7949608</v>
      </c>
      <c r="D4" s="82">
        <v>13690250</v>
      </c>
      <c r="E4" s="92">
        <v>7483146</v>
      </c>
      <c r="F4" s="82">
        <v>3893576</v>
      </c>
      <c r="G4" s="92">
        <v>6658543</v>
      </c>
      <c r="H4" s="92">
        <v>1055729</v>
      </c>
      <c r="I4" s="82">
        <v>994609</v>
      </c>
      <c r="J4" s="83">
        <v>62.76</v>
      </c>
      <c r="K4" s="99">
        <v>124.34</v>
      </c>
      <c r="L4" s="391">
        <f t="shared" si="0"/>
        <v>2.0857197839656078E-2</v>
      </c>
      <c r="M4" s="2"/>
      <c r="N4" s="2"/>
    </row>
    <row r="5" spans="1:14" ht="14.1" customHeight="1" x14ac:dyDescent="0.35">
      <c r="A5" s="41" t="s">
        <v>60</v>
      </c>
      <c r="B5" s="41"/>
      <c r="C5" s="41"/>
      <c r="D5" s="83"/>
      <c r="E5" s="75"/>
      <c r="F5" s="83"/>
      <c r="G5" s="75"/>
      <c r="H5" s="75"/>
      <c r="I5" s="83"/>
      <c r="J5" s="83"/>
      <c r="K5" s="99"/>
      <c r="L5" s="391">
        <f t="shared" si="0"/>
        <v>0</v>
      </c>
      <c r="M5" s="2"/>
      <c r="N5" s="2"/>
    </row>
    <row r="6" spans="1:14" ht="14.1" customHeight="1" x14ac:dyDescent="0.35">
      <c r="A6" s="41" t="s">
        <v>22</v>
      </c>
      <c r="B6" s="125">
        <v>50643744</v>
      </c>
      <c r="C6" s="125">
        <v>29272743</v>
      </c>
      <c r="D6" s="82">
        <v>20444967</v>
      </c>
      <c r="E6" s="92">
        <v>15655915</v>
      </c>
      <c r="F6" s="82">
        <v>5574597</v>
      </c>
      <c r="G6" s="92">
        <v>5360186</v>
      </c>
      <c r="H6" s="92">
        <v>2346524</v>
      </c>
      <c r="I6" s="82">
        <v>1477282</v>
      </c>
      <c r="J6" s="83">
        <v>48.81</v>
      </c>
      <c r="K6" s="99">
        <v>67.48</v>
      </c>
      <c r="L6" s="391">
        <f t="shared" si="0"/>
        <v>3.1148059498127486E-2</v>
      </c>
      <c r="M6" s="2"/>
      <c r="N6" s="2"/>
    </row>
    <row r="7" spans="1:14" ht="14.1" customHeight="1" x14ac:dyDescent="0.35">
      <c r="A7" s="41" t="s">
        <v>23</v>
      </c>
      <c r="B7" s="125">
        <v>149386451</v>
      </c>
      <c r="C7" s="125">
        <v>89653455</v>
      </c>
      <c r="D7" s="82">
        <v>95890620</v>
      </c>
      <c r="E7" s="92">
        <v>53965924</v>
      </c>
      <c r="F7" s="82">
        <v>28356482</v>
      </c>
      <c r="G7" s="92">
        <v>16308230</v>
      </c>
      <c r="H7" s="92">
        <v>9957526</v>
      </c>
      <c r="I7" s="82">
        <v>6964174</v>
      </c>
      <c r="J7" s="83">
        <v>63.64</v>
      </c>
      <c r="K7" s="99">
        <v>58.95</v>
      </c>
      <c r="L7" s="391">
        <f t="shared" si="0"/>
        <v>0.1460900737610549</v>
      </c>
      <c r="M7" s="2"/>
      <c r="N7" s="2"/>
    </row>
    <row r="8" spans="1:14" ht="14.1" customHeight="1" x14ac:dyDescent="0.35">
      <c r="A8" s="41" t="s">
        <v>24</v>
      </c>
      <c r="B8" s="125">
        <v>44461095</v>
      </c>
      <c r="C8" s="125">
        <v>27419519</v>
      </c>
      <c r="D8" s="82">
        <v>20025996</v>
      </c>
      <c r="E8" s="92">
        <v>15853556</v>
      </c>
      <c r="F8" s="82">
        <v>3513232</v>
      </c>
      <c r="G8" s="92">
        <v>5172913</v>
      </c>
      <c r="H8" s="92">
        <v>4782160</v>
      </c>
      <c r="I8" s="82">
        <v>1555118</v>
      </c>
      <c r="J8" s="83">
        <v>25.42</v>
      </c>
      <c r="K8" s="99">
        <v>72.040000000000006</v>
      </c>
      <c r="L8" s="391">
        <f t="shared" si="0"/>
        <v>3.0509754059141452E-2</v>
      </c>
      <c r="M8" s="2"/>
      <c r="N8" s="2"/>
    </row>
    <row r="9" spans="1:14" ht="14.1" customHeight="1" x14ac:dyDescent="0.35">
      <c r="A9" s="41" t="s">
        <v>25</v>
      </c>
      <c r="B9" s="125">
        <v>94264463</v>
      </c>
      <c r="C9" s="125">
        <v>50989664</v>
      </c>
      <c r="D9" s="82">
        <v>19117653</v>
      </c>
      <c r="E9" s="92">
        <v>10532613</v>
      </c>
      <c r="F9" s="82">
        <v>6019344</v>
      </c>
      <c r="G9" s="92">
        <v>3703348</v>
      </c>
      <c r="H9" s="92">
        <v>3056112</v>
      </c>
      <c r="I9" s="82">
        <v>2493314</v>
      </c>
      <c r="J9" s="83">
        <v>57.15</v>
      </c>
      <c r="K9" s="99">
        <v>64.180000000000007</v>
      </c>
      <c r="L9" s="391">
        <f t="shared" si="0"/>
        <v>2.9125886733324415E-2</v>
      </c>
      <c r="M9" s="2"/>
      <c r="N9" s="2"/>
    </row>
    <row r="10" spans="1:14" ht="14.1" customHeight="1" x14ac:dyDescent="0.35">
      <c r="A10" s="41" t="s">
        <v>26</v>
      </c>
      <c r="B10" s="125">
        <v>58964347</v>
      </c>
      <c r="C10" s="125">
        <v>40404794</v>
      </c>
      <c r="D10" s="82">
        <v>47835857</v>
      </c>
      <c r="E10" s="92">
        <v>18764279</v>
      </c>
      <c r="F10" s="82">
        <v>7416245</v>
      </c>
      <c r="G10" s="92">
        <v>7777697</v>
      </c>
      <c r="H10" s="92">
        <v>3467506</v>
      </c>
      <c r="I10" s="83"/>
      <c r="J10" s="83">
        <v>50.38</v>
      </c>
      <c r="K10" s="99">
        <v>76.39</v>
      </c>
      <c r="L10" s="391">
        <f t="shared" si="0"/>
        <v>7.2878284419824121E-2</v>
      </c>
      <c r="M10" s="2"/>
      <c r="N10" s="2"/>
    </row>
    <row r="11" spans="1:14" ht="14.1" customHeight="1" x14ac:dyDescent="0.35">
      <c r="A11" s="41" t="s">
        <v>27</v>
      </c>
      <c r="B11" s="41"/>
      <c r="C11" s="41"/>
      <c r="D11" s="83"/>
      <c r="E11" s="75"/>
      <c r="F11" s="83"/>
      <c r="G11" s="75"/>
      <c r="H11" s="75"/>
      <c r="I11" s="83"/>
      <c r="J11" s="83"/>
      <c r="K11" s="99"/>
      <c r="L11" s="391">
        <f t="shared" si="0"/>
        <v>0</v>
      </c>
      <c r="M11" s="2"/>
      <c r="N11" s="2"/>
    </row>
    <row r="12" spans="1:14" ht="14.1" customHeight="1" x14ac:dyDescent="0.35">
      <c r="A12" s="41" t="s">
        <v>28</v>
      </c>
      <c r="B12" s="125">
        <v>156542206</v>
      </c>
      <c r="C12" s="125">
        <v>67227980</v>
      </c>
      <c r="D12" s="82">
        <v>60010559</v>
      </c>
      <c r="E12" s="92">
        <v>28090502</v>
      </c>
      <c r="F12" s="82">
        <v>13285777</v>
      </c>
      <c r="G12" s="92">
        <v>13164730</v>
      </c>
      <c r="H12" s="92">
        <v>7043631</v>
      </c>
      <c r="I12" s="82">
        <v>5924252</v>
      </c>
      <c r="J12" s="83">
        <v>59.79</v>
      </c>
      <c r="K12" s="99">
        <v>90.95</v>
      </c>
      <c r="L12" s="391">
        <f t="shared" si="0"/>
        <v>9.1426533593714776E-2</v>
      </c>
      <c r="M12" s="2"/>
      <c r="N12" s="2"/>
    </row>
    <row r="13" spans="1:14" ht="14.1" customHeight="1" x14ac:dyDescent="0.35">
      <c r="A13" s="41" t="s">
        <v>46</v>
      </c>
      <c r="B13" s="125">
        <v>16239230</v>
      </c>
      <c r="C13" s="125">
        <v>7367783</v>
      </c>
      <c r="D13" s="82">
        <v>6399107</v>
      </c>
      <c r="E13" s="92">
        <v>5858831</v>
      </c>
      <c r="F13" s="82">
        <v>1212026</v>
      </c>
      <c r="G13" s="92">
        <v>3599914</v>
      </c>
      <c r="H13" s="92">
        <v>959687</v>
      </c>
      <c r="I13" s="82">
        <v>283244</v>
      </c>
      <c r="J13" s="83">
        <v>23.71</v>
      </c>
      <c r="K13" s="99">
        <v>89.21</v>
      </c>
      <c r="L13" s="391">
        <f t="shared" si="0"/>
        <v>9.7490871748965938E-3</v>
      </c>
      <c r="M13" s="2"/>
      <c r="N13" s="2"/>
    </row>
    <row r="14" spans="1:14" ht="14.1" customHeight="1" x14ac:dyDescent="0.35">
      <c r="A14" s="41" t="s">
        <v>69</v>
      </c>
      <c r="B14" s="41"/>
      <c r="C14" s="125">
        <v>9478960</v>
      </c>
      <c r="D14" s="82">
        <v>569358</v>
      </c>
      <c r="E14" s="92">
        <v>520289</v>
      </c>
      <c r="F14" s="83">
        <v>0</v>
      </c>
      <c r="G14" s="92">
        <v>617430</v>
      </c>
      <c r="H14" s="92">
        <v>7261</v>
      </c>
      <c r="I14" s="83"/>
      <c r="J14" s="83">
        <v>0</v>
      </c>
      <c r="K14" s="99">
        <v>749.4</v>
      </c>
      <c r="L14" s="391">
        <f t="shared" si="0"/>
        <v>8.6742115356482942E-4</v>
      </c>
      <c r="M14" s="2"/>
      <c r="N14" s="2"/>
    </row>
    <row r="15" spans="1:14" ht="14.1" customHeight="1" x14ac:dyDescent="0.35">
      <c r="A15" s="41" t="s">
        <v>29</v>
      </c>
      <c r="B15" s="125">
        <v>35778064</v>
      </c>
      <c r="C15" s="125">
        <v>29782484</v>
      </c>
      <c r="D15" s="82">
        <v>9898137</v>
      </c>
      <c r="E15" s="92">
        <v>8361065</v>
      </c>
      <c r="F15" s="82">
        <v>2195185</v>
      </c>
      <c r="G15" s="92">
        <v>3389779</v>
      </c>
      <c r="H15" s="92">
        <v>723604</v>
      </c>
      <c r="I15" s="82">
        <v>414717</v>
      </c>
      <c r="J15" s="83">
        <v>46.77</v>
      </c>
      <c r="K15" s="99">
        <v>87.64</v>
      </c>
      <c r="L15" s="391">
        <f t="shared" si="0"/>
        <v>1.5079885440588733E-2</v>
      </c>
      <c r="M15" s="2"/>
      <c r="N15" s="2"/>
    </row>
    <row r="16" spans="1:14" ht="14.1" customHeight="1" x14ac:dyDescent="0.35">
      <c r="A16" s="41" t="s">
        <v>70</v>
      </c>
      <c r="B16" s="41"/>
      <c r="C16" s="41"/>
      <c r="D16" s="83"/>
      <c r="E16" s="75"/>
      <c r="F16" s="83"/>
      <c r="G16" s="75"/>
      <c r="H16" s="75"/>
      <c r="I16" s="83"/>
      <c r="J16" s="83"/>
      <c r="K16" s="99"/>
      <c r="L16" s="391">
        <f t="shared" si="0"/>
        <v>0</v>
      </c>
      <c r="M16" s="2"/>
      <c r="N16" s="2"/>
    </row>
    <row r="17" spans="1:14" ht="14.1" customHeight="1" x14ac:dyDescent="0.35">
      <c r="A17" s="41" t="s">
        <v>31</v>
      </c>
      <c r="B17" s="125">
        <v>47626235</v>
      </c>
      <c r="C17" s="125">
        <v>35450050</v>
      </c>
      <c r="D17" s="82">
        <v>7600463</v>
      </c>
      <c r="E17" s="92">
        <v>5348847</v>
      </c>
      <c r="F17" s="82">
        <v>1297595</v>
      </c>
      <c r="G17" s="92">
        <v>3981044</v>
      </c>
      <c r="H17" s="92">
        <v>966100</v>
      </c>
      <c r="I17" s="82">
        <v>687477</v>
      </c>
      <c r="J17" s="83">
        <v>28.17</v>
      </c>
      <c r="K17" s="99">
        <v>107.39</v>
      </c>
      <c r="L17" s="391">
        <f t="shared" si="0"/>
        <v>1.1579361988567481E-2</v>
      </c>
      <c r="M17" s="2"/>
      <c r="N17" s="2"/>
    </row>
    <row r="18" spans="1:14" ht="14.1" customHeight="1" x14ac:dyDescent="0.35">
      <c r="A18" s="41" t="s">
        <v>32</v>
      </c>
      <c r="B18" s="125">
        <v>77703529</v>
      </c>
      <c r="C18" s="125">
        <v>55638445</v>
      </c>
      <c r="D18" s="82">
        <v>25551205</v>
      </c>
      <c r="E18" s="92">
        <v>18148317</v>
      </c>
      <c r="F18" s="82">
        <v>6668812</v>
      </c>
      <c r="G18" s="92">
        <v>11079350</v>
      </c>
      <c r="H18" s="92">
        <v>4194253</v>
      </c>
      <c r="I18" s="82">
        <v>3497894</v>
      </c>
      <c r="J18" s="83">
        <v>36.36</v>
      </c>
      <c r="K18" s="99">
        <v>83.27</v>
      </c>
      <c r="L18" s="391">
        <f t="shared" si="0"/>
        <v>3.8927451122266546E-2</v>
      </c>
      <c r="M18" s="2"/>
      <c r="N18" s="2"/>
    </row>
    <row r="19" spans="1:14" ht="14.1" customHeight="1" x14ac:dyDescent="0.35">
      <c r="A19" s="41" t="s">
        <v>33</v>
      </c>
      <c r="B19" s="125">
        <v>36269088</v>
      </c>
      <c r="C19" s="125">
        <v>22047503</v>
      </c>
      <c r="D19" s="82">
        <v>12463587</v>
      </c>
      <c r="E19" s="92">
        <v>9602679</v>
      </c>
      <c r="F19" s="82">
        <v>4274701</v>
      </c>
      <c r="G19" s="92">
        <v>6080004</v>
      </c>
      <c r="H19" s="92">
        <v>2194374</v>
      </c>
      <c r="I19" s="82">
        <v>1073418</v>
      </c>
      <c r="J19" s="83">
        <v>46.56</v>
      </c>
      <c r="K19" s="99">
        <v>90.12</v>
      </c>
      <c r="L19" s="391">
        <f t="shared" si="0"/>
        <v>1.8988367622999259E-2</v>
      </c>
      <c r="M19" s="2"/>
      <c r="N19" s="2"/>
    </row>
    <row r="20" spans="1:14" ht="14.1" customHeight="1" x14ac:dyDescent="0.35">
      <c r="A20" s="41" t="s">
        <v>34</v>
      </c>
      <c r="B20" s="125">
        <v>32151588</v>
      </c>
      <c r="C20" s="125">
        <v>21023144</v>
      </c>
      <c r="D20" s="82">
        <v>7483089</v>
      </c>
      <c r="E20" s="92">
        <v>6794528</v>
      </c>
      <c r="F20" s="82">
        <v>1513792</v>
      </c>
      <c r="G20" s="92">
        <v>3575364</v>
      </c>
      <c r="H20" s="92">
        <v>752648</v>
      </c>
      <c r="I20" s="82">
        <v>219399</v>
      </c>
      <c r="J20" s="83">
        <v>29.06</v>
      </c>
      <c r="K20" s="99">
        <v>83.08</v>
      </c>
      <c r="L20" s="391">
        <f t="shared" si="0"/>
        <v>1.1400541825368723E-2</v>
      </c>
      <c r="M20" s="2"/>
      <c r="N20" s="2"/>
    </row>
    <row r="21" spans="1:14" ht="14.1" customHeight="1" x14ac:dyDescent="0.35">
      <c r="A21" s="41" t="s">
        <v>35</v>
      </c>
      <c r="B21" s="41"/>
      <c r="C21" s="41"/>
      <c r="D21" s="83"/>
      <c r="E21" s="75"/>
      <c r="F21" s="83"/>
      <c r="G21" s="75"/>
      <c r="H21" s="75"/>
      <c r="I21" s="83"/>
      <c r="J21" s="83"/>
      <c r="K21" s="99"/>
      <c r="L21" s="391">
        <f t="shared" si="0"/>
        <v>0</v>
      </c>
      <c r="M21" s="2"/>
      <c r="N21" s="2"/>
    </row>
    <row r="22" spans="1:14" ht="14.1" customHeight="1" x14ac:dyDescent="0.35">
      <c r="A22" s="41" t="s">
        <v>36</v>
      </c>
      <c r="B22" s="125">
        <v>51046698</v>
      </c>
      <c r="C22" s="125">
        <v>27233132</v>
      </c>
      <c r="D22" s="82">
        <v>16986036</v>
      </c>
      <c r="E22" s="92">
        <v>12706355</v>
      </c>
      <c r="F22" s="82">
        <v>4578394</v>
      </c>
      <c r="G22" s="92">
        <v>7201056</v>
      </c>
      <c r="H22" s="92">
        <v>1765215</v>
      </c>
      <c r="I22" s="82">
        <v>1393065</v>
      </c>
      <c r="J22" s="83">
        <v>38.97</v>
      </c>
      <c r="K22" s="99">
        <v>76.33</v>
      </c>
      <c r="L22" s="391">
        <f t="shared" si="0"/>
        <v>2.5878352357591745E-2</v>
      </c>
      <c r="M22" s="2"/>
      <c r="N22" s="2"/>
    </row>
    <row r="23" spans="1:14" ht="14.1" customHeight="1" x14ac:dyDescent="0.35">
      <c r="A23" s="41" t="s">
        <v>62</v>
      </c>
      <c r="B23" s="125">
        <v>30015212</v>
      </c>
      <c r="C23" s="125">
        <v>16224320</v>
      </c>
      <c r="D23" s="82">
        <v>14135239</v>
      </c>
      <c r="E23" s="92">
        <v>13922191</v>
      </c>
      <c r="F23" s="82">
        <v>4029892</v>
      </c>
      <c r="G23" s="92">
        <v>6647150</v>
      </c>
      <c r="H23" s="92">
        <v>2009784</v>
      </c>
      <c r="I23" s="82">
        <v>983005</v>
      </c>
      <c r="J23" s="83">
        <v>32.119999999999997</v>
      </c>
      <c r="K23" s="99">
        <v>68.989999999999995</v>
      </c>
      <c r="L23" s="391">
        <f t="shared" si="0"/>
        <v>2.1535141895423555E-2</v>
      </c>
      <c r="M23" s="2"/>
      <c r="N23" s="2"/>
    </row>
    <row r="24" spans="1:14" ht="14.1" customHeight="1" x14ac:dyDescent="0.35">
      <c r="A24" s="41" t="s">
        <v>38</v>
      </c>
      <c r="B24" s="125">
        <v>24051236</v>
      </c>
      <c r="C24" s="125">
        <v>7569003</v>
      </c>
      <c r="D24" s="82">
        <v>10122576</v>
      </c>
      <c r="E24" s="92">
        <v>6360824</v>
      </c>
      <c r="F24" s="82">
        <v>2587464</v>
      </c>
      <c r="G24" s="92">
        <v>3444258</v>
      </c>
      <c r="H24" s="92">
        <v>2133773</v>
      </c>
      <c r="I24" s="82">
        <v>982023</v>
      </c>
      <c r="J24" s="83">
        <v>36.22</v>
      </c>
      <c r="K24" s="99">
        <v>78.09</v>
      </c>
      <c r="L24" s="391">
        <f t="shared" si="0"/>
        <v>1.5421819928705062E-2</v>
      </c>
      <c r="M24" s="2"/>
      <c r="N24" s="2"/>
    </row>
    <row r="25" spans="1:14" ht="14.1" customHeight="1" x14ac:dyDescent="0.35">
      <c r="A25" s="41" t="s">
        <v>39</v>
      </c>
      <c r="B25" s="125">
        <v>206074266</v>
      </c>
      <c r="C25" s="125">
        <v>113286699</v>
      </c>
      <c r="D25" s="82">
        <v>90624721</v>
      </c>
      <c r="E25" s="92">
        <v>52753715</v>
      </c>
      <c r="F25" s="82">
        <v>15941200</v>
      </c>
      <c r="G25" s="92">
        <v>32690936</v>
      </c>
      <c r="H25" s="92">
        <v>8076671</v>
      </c>
      <c r="I25" s="82">
        <v>11517343</v>
      </c>
      <c r="J25" s="83">
        <v>34.33</v>
      </c>
      <c r="K25" s="99">
        <v>87.8</v>
      </c>
      <c r="L25" s="391">
        <f t="shared" si="0"/>
        <v>0.13806743741426453</v>
      </c>
      <c r="M25" s="2"/>
      <c r="N25" s="2"/>
    </row>
    <row r="26" spans="1:14" ht="14.1" customHeight="1" x14ac:dyDescent="0.35">
      <c r="A26" s="41" t="s">
        <v>40</v>
      </c>
      <c r="B26" s="125">
        <v>211346027</v>
      </c>
      <c r="C26" s="125">
        <v>164925695</v>
      </c>
      <c r="D26" s="82">
        <v>70597238</v>
      </c>
      <c r="E26" s="92">
        <v>50200516</v>
      </c>
      <c r="F26" s="82">
        <v>14323822</v>
      </c>
      <c r="G26" s="92">
        <v>18484122</v>
      </c>
      <c r="H26" s="92">
        <v>12673425</v>
      </c>
      <c r="I26" s="82">
        <v>4542606</v>
      </c>
      <c r="J26" s="83">
        <v>30.7</v>
      </c>
      <c r="K26" s="99">
        <v>66.78</v>
      </c>
      <c r="L26" s="391">
        <f t="shared" si="0"/>
        <v>0.10755541789954792</v>
      </c>
      <c r="M26" s="2"/>
      <c r="N26" s="2"/>
    </row>
    <row r="27" spans="1:14" ht="14.1" customHeight="1" x14ac:dyDescent="0.35">
      <c r="A27" s="41" t="s">
        <v>41</v>
      </c>
      <c r="B27" s="125">
        <v>23927666</v>
      </c>
      <c r="C27" s="125">
        <v>21795913</v>
      </c>
      <c r="D27" s="82">
        <v>5705198</v>
      </c>
      <c r="E27" s="92">
        <v>4744781</v>
      </c>
      <c r="F27" s="82">
        <v>2291184</v>
      </c>
      <c r="G27" s="92">
        <v>3147824</v>
      </c>
      <c r="H27" s="92">
        <v>64503</v>
      </c>
      <c r="I27" s="83"/>
      <c r="J27" s="83">
        <v>55.15</v>
      </c>
      <c r="K27" s="99">
        <v>77.319999999999993</v>
      </c>
      <c r="L27" s="391">
        <f t="shared" si="0"/>
        <v>8.6919116451788809E-3</v>
      </c>
      <c r="M27" s="2"/>
      <c r="N27" s="2"/>
    </row>
    <row r="28" spans="1:14" ht="14.1" customHeight="1" x14ac:dyDescent="0.35">
      <c r="A28" s="41" t="s">
        <v>42</v>
      </c>
      <c r="B28" s="125">
        <v>91059644</v>
      </c>
      <c r="C28" s="125">
        <v>58827033</v>
      </c>
      <c r="D28" s="82">
        <v>61535405</v>
      </c>
      <c r="E28" s="92">
        <v>40491841</v>
      </c>
      <c r="F28" s="82">
        <v>13753205</v>
      </c>
      <c r="G28" s="92">
        <v>14173300</v>
      </c>
      <c r="H28" s="92">
        <v>9189372</v>
      </c>
      <c r="I28" s="82">
        <v>5608563</v>
      </c>
      <c r="J28" s="83">
        <v>37.86</v>
      </c>
      <c r="K28" s="99">
        <v>64.31</v>
      </c>
      <c r="L28" s="391">
        <f t="shared" si="0"/>
        <v>9.3749647831731481E-2</v>
      </c>
      <c r="M28" s="2"/>
      <c r="N28" s="2"/>
    </row>
    <row r="29" spans="1:14" ht="14.1" customHeight="1" x14ac:dyDescent="0.35">
      <c r="A29" s="41" t="s">
        <v>43</v>
      </c>
      <c r="B29" s="125">
        <v>37624754</v>
      </c>
      <c r="C29" s="125">
        <v>20007535</v>
      </c>
      <c r="D29" s="82">
        <v>7275163</v>
      </c>
      <c r="E29" s="92">
        <v>5121745</v>
      </c>
      <c r="F29" s="82">
        <v>3667289</v>
      </c>
      <c r="G29" s="92">
        <v>5190893</v>
      </c>
      <c r="H29" s="92">
        <v>1472808</v>
      </c>
      <c r="I29" s="82">
        <v>665070</v>
      </c>
      <c r="J29" s="83">
        <v>59.57</v>
      </c>
      <c r="K29" s="99">
        <v>108.24</v>
      </c>
      <c r="L29" s="391">
        <f t="shared" si="0"/>
        <v>1.1083765015740826E-2</v>
      </c>
      <c r="M29" s="2"/>
      <c r="N29" s="2"/>
    </row>
    <row r="30" spans="1:14" ht="14.1" customHeight="1" x14ac:dyDescent="0.4">
      <c r="A30" s="48" t="s">
        <v>44</v>
      </c>
      <c r="B30" s="48">
        <f>SUM(B3:B29)</f>
        <v>1564319156</v>
      </c>
      <c r="C30" s="48">
        <f>SUM(C3:C29)</f>
        <v>945941490</v>
      </c>
      <c r="D30" s="95">
        <v>656380119</v>
      </c>
      <c r="E30" s="55">
        <v>400081639</v>
      </c>
      <c r="F30" s="95">
        <v>149318494</v>
      </c>
      <c r="G30" s="55">
        <v>186428985</v>
      </c>
      <c r="H30" s="55">
        <v>81487376</v>
      </c>
      <c r="I30" s="95">
        <v>58209263</v>
      </c>
      <c r="J30" s="76"/>
      <c r="K30" s="76"/>
      <c r="L30" s="76"/>
      <c r="M30" s="2"/>
      <c r="N30" s="2"/>
    </row>
  </sheetData>
  <hyperlinks>
    <hyperlink ref="A1" r:id="rId1" xr:uid="{00000000-0004-0000-1400-000000000000}"/>
  </hyperlinks>
  <pageMargins left="0.7" right="0.7" top="0.75" bottom="0.75" header="0.3" footer="0.3"/>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sheetPr>
    <tabColor rgb="FF7030A0"/>
  </sheetPr>
  <dimension ref="A1:M30"/>
  <sheetViews>
    <sheetView topLeftCell="A11" workbookViewId="0">
      <selection activeCell="H26" sqref="H26"/>
    </sheetView>
  </sheetViews>
  <sheetFormatPr defaultRowHeight="12.75" x14ac:dyDescent="0.35"/>
  <cols>
    <col min="1" max="1" width="44.265625" customWidth="1"/>
    <col min="2" max="3" width="17.265625" customWidth="1"/>
    <col min="4" max="4" width="12.3984375" customWidth="1"/>
    <col min="5" max="5" width="14" bestFit="1" customWidth="1"/>
    <col min="6" max="6" width="11.3984375" customWidth="1"/>
    <col min="7" max="7" width="13" customWidth="1"/>
    <col min="8" max="8" width="14.265625" bestFit="1" customWidth="1"/>
    <col min="9" max="9" width="13" customWidth="1"/>
  </cols>
  <sheetData>
    <row r="1" spans="1:12" ht="13.15" customHeight="1" x14ac:dyDescent="0.4">
      <c r="A1" s="10" t="s">
        <v>73</v>
      </c>
      <c r="B1" s="119"/>
      <c r="C1" s="119"/>
      <c r="D1" s="4"/>
      <c r="E1" s="2"/>
      <c r="F1" s="2"/>
      <c r="G1" s="2"/>
      <c r="H1" s="2"/>
      <c r="I1" s="2"/>
      <c r="J1" s="2"/>
      <c r="K1" s="2"/>
      <c r="L1" s="2"/>
    </row>
    <row r="2" spans="1:12" s="6" customFormat="1" ht="27.75" customHeight="1" x14ac:dyDescent="0.4">
      <c r="A2" s="10" t="s">
        <v>8</v>
      </c>
      <c r="B2" s="10" t="s">
        <v>9</v>
      </c>
      <c r="C2" s="10" t="s">
        <v>10</v>
      </c>
      <c r="D2" s="11" t="s">
        <v>67</v>
      </c>
      <c r="E2" s="12" t="s">
        <v>12</v>
      </c>
      <c r="F2" s="12" t="s">
        <v>68</v>
      </c>
      <c r="G2" s="13" t="s">
        <v>14</v>
      </c>
      <c r="H2" s="13" t="s">
        <v>15</v>
      </c>
      <c r="I2" s="13" t="s">
        <v>16</v>
      </c>
      <c r="J2" s="13" t="s">
        <v>17</v>
      </c>
      <c r="K2" s="13" t="s">
        <v>18</v>
      </c>
      <c r="L2" s="13" t="s">
        <v>19</v>
      </c>
    </row>
    <row r="3" spans="1:12" ht="14.1" customHeight="1" x14ac:dyDescent="0.35">
      <c r="A3" s="41" t="s">
        <v>20</v>
      </c>
      <c r="B3" s="125">
        <v>63172080</v>
      </c>
      <c r="C3" s="125">
        <v>23048709</v>
      </c>
      <c r="D3" s="85">
        <v>44508577</v>
      </c>
      <c r="E3" s="85">
        <v>12088834</v>
      </c>
      <c r="F3" s="85">
        <v>4531457</v>
      </c>
      <c r="G3" s="92">
        <v>8739507</v>
      </c>
      <c r="H3" s="92">
        <v>3589166</v>
      </c>
      <c r="I3" s="85">
        <v>9711521</v>
      </c>
      <c r="J3" s="87">
        <v>45.44</v>
      </c>
      <c r="K3" s="123">
        <v>123.64</v>
      </c>
      <c r="L3" s="391">
        <f t="shared" ref="L3:L30" si="0">D3/$D$30</f>
        <v>4.6687661905835877E-2</v>
      </c>
    </row>
    <row r="4" spans="1:12" ht="14.1" customHeight="1" x14ac:dyDescent="0.35">
      <c r="A4" s="41" t="s">
        <v>21</v>
      </c>
      <c r="B4" s="125">
        <v>30545158</v>
      </c>
      <c r="C4" s="125">
        <v>8182016</v>
      </c>
      <c r="D4" s="85">
        <v>24703564</v>
      </c>
      <c r="E4" s="85">
        <v>11892544</v>
      </c>
      <c r="F4" s="85">
        <v>7296843</v>
      </c>
      <c r="G4" s="92">
        <v>11614538</v>
      </c>
      <c r="H4" s="92">
        <v>1899490</v>
      </c>
      <c r="I4" s="85">
        <v>1817849</v>
      </c>
      <c r="J4" s="87">
        <v>84.62</v>
      </c>
      <c r="K4" s="123">
        <v>156.72999999999999</v>
      </c>
      <c r="L4" s="391">
        <f t="shared" si="0"/>
        <v>2.5913019953461524E-2</v>
      </c>
    </row>
    <row r="5" spans="1:12" ht="14.1" customHeight="1" x14ac:dyDescent="0.35">
      <c r="A5" s="41" t="s">
        <v>60</v>
      </c>
      <c r="B5" s="125">
        <v>27228652</v>
      </c>
      <c r="C5" s="125">
        <v>20825680</v>
      </c>
      <c r="D5" s="85">
        <v>7582916</v>
      </c>
      <c r="E5" s="85">
        <v>6923047</v>
      </c>
      <c r="F5" s="85">
        <v>677504</v>
      </c>
      <c r="G5" s="92">
        <v>4526377</v>
      </c>
      <c r="H5" s="92">
        <v>711574</v>
      </c>
      <c r="I5" s="85">
        <v>443843</v>
      </c>
      <c r="J5" s="87">
        <v>9.32</v>
      </c>
      <c r="K5" s="123">
        <v>72.05</v>
      </c>
      <c r="L5" s="391">
        <f t="shared" si="0"/>
        <v>7.9541661929194776E-3</v>
      </c>
    </row>
    <row r="6" spans="1:12" ht="14.1" customHeight="1" x14ac:dyDescent="0.35">
      <c r="A6" s="41" t="s">
        <v>22</v>
      </c>
      <c r="B6" s="125">
        <v>47790123</v>
      </c>
      <c r="C6" s="125">
        <v>26872769</v>
      </c>
      <c r="D6" s="85">
        <v>27341778</v>
      </c>
      <c r="E6" s="85">
        <v>21526369</v>
      </c>
      <c r="F6" s="85">
        <v>10012531</v>
      </c>
      <c r="G6" s="92">
        <v>7778224</v>
      </c>
      <c r="H6" s="92">
        <v>3237655</v>
      </c>
      <c r="I6" s="85">
        <v>1801176</v>
      </c>
      <c r="J6" s="87">
        <v>54.78</v>
      </c>
      <c r="K6" s="123">
        <v>60.27</v>
      </c>
      <c r="L6" s="391">
        <f t="shared" si="0"/>
        <v>2.8680397649388376E-2</v>
      </c>
    </row>
    <row r="7" spans="1:12" ht="14.1" customHeight="1" x14ac:dyDescent="0.35">
      <c r="A7" s="41" t="s">
        <v>23</v>
      </c>
      <c r="B7" s="125">
        <v>149697333</v>
      </c>
      <c r="C7" s="125">
        <v>94738251</v>
      </c>
      <c r="D7" s="85">
        <v>133145106</v>
      </c>
      <c r="E7" s="85">
        <v>76791860</v>
      </c>
      <c r="F7" s="85">
        <v>42845703</v>
      </c>
      <c r="G7" s="92">
        <v>24216039</v>
      </c>
      <c r="H7" s="92">
        <v>15960360</v>
      </c>
      <c r="I7" s="85">
        <v>11264142</v>
      </c>
      <c r="J7" s="87">
        <v>62.44</v>
      </c>
      <c r="K7" s="123">
        <v>58.55</v>
      </c>
      <c r="L7" s="391">
        <f t="shared" si="0"/>
        <v>0.13966372578805833</v>
      </c>
    </row>
    <row r="8" spans="1:12" ht="14.1" customHeight="1" x14ac:dyDescent="0.35">
      <c r="A8" s="41" t="s">
        <v>24</v>
      </c>
      <c r="B8" s="125">
        <v>45582063</v>
      </c>
      <c r="C8" s="125">
        <v>26941858</v>
      </c>
      <c r="D8" s="85">
        <v>28028152</v>
      </c>
      <c r="E8" s="85">
        <v>22342320</v>
      </c>
      <c r="F8" s="85">
        <v>4919008</v>
      </c>
      <c r="G8" s="92">
        <v>7985517</v>
      </c>
      <c r="H8" s="92">
        <v>5853347</v>
      </c>
      <c r="I8" s="85">
        <v>2009335</v>
      </c>
      <c r="J8" s="87">
        <v>24.54</v>
      </c>
      <c r="K8" s="123">
        <v>69.03</v>
      </c>
      <c r="L8" s="391">
        <f t="shared" si="0"/>
        <v>2.940037567189303E-2</v>
      </c>
    </row>
    <row r="9" spans="1:12" ht="14.1" customHeight="1" x14ac:dyDescent="0.35">
      <c r="A9" s="41" t="s">
        <v>25</v>
      </c>
      <c r="B9" s="125">
        <v>120932826</v>
      </c>
      <c r="C9" s="125">
        <v>79082163</v>
      </c>
      <c r="D9" s="85">
        <v>35696870</v>
      </c>
      <c r="E9" s="85">
        <v>15392583</v>
      </c>
      <c r="F9" s="85">
        <v>7867485</v>
      </c>
      <c r="G9" s="92">
        <v>5353049</v>
      </c>
      <c r="H9" s="92">
        <v>3939625</v>
      </c>
      <c r="I9" s="85">
        <v>3778630</v>
      </c>
      <c r="J9" s="87">
        <v>58.92</v>
      </c>
      <c r="K9" s="123">
        <v>69.59</v>
      </c>
      <c r="L9" s="391">
        <f t="shared" si="0"/>
        <v>3.7444544624659098E-2</v>
      </c>
    </row>
    <row r="10" spans="1:12" ht="14.1" customHeight="1" x14ac:dyDescent="0.35">
      <c r="A10" s="41" t="s">
        <v>26</v>
      </c>
      <c r="B10" s="125">
        <v>71885588</v>
      </c>
      <c r="C10" s="125">
        <v>42216659</v>
      </c>
      <c r="D10" s="85">
        <v>68887382</v>
      </c>
      <c r="E10" s="85">
        <v>24988154</v>
      </c>
      <c r="F10" s="85">
        <v>9285906</v>
      </c>
      <c r="G10" s="92">
        <v>14775247</v>
      </c>
      <c r="H10" s="92">
        <v>5483792</v>
      </c>
      <c r="I10" s="85">
        <v>6957058</v>
      </c>
      <c r="J10" s="87">
        <v>36.409999999999997</v>
      </c>
      <c r="K10" s="123">
        <v>79.44</v>
      </c>
      <c r="L10" s="391">
        <f t="shared" si="0"/>
        <v>7.2260023060143314E-2</v>
      </c>
    </row>
    <row r="11" spans="1:12" ht="14.1" customHeight="1" x14ac:dyDescent="0.35">
      <c r="A11" s="41" t="s">
        <v>27</v>
      </c>
      <c r="B11" s="142">
        <v>13563521</v>
      </c>
      <c r="C11" s="142">
        <v>9360083</v>
      </c>
      <c r="D11" s="91">
        <v>6989144.8399999999</v>
      </c>
      <c r="E11" s="91">
        <v>5701692.5899999999</v>
      </c>
      <c r="F11" s="91">
        <v>1789002.71</v>
      </c>
      <c r="G11" s="392">
        <v>3228230</v>
      </c>
      <c r="H11" s="392">
        <v>873643</v>
      </c>
      <c r="I11" s="91">
        <v>386235.67499999999</v>
      </c>
      <c r="J11" s="87">
        <v>31.38</v>
      </c>
      <c r="K11" s="143">
        <v>57</v>
      </c>
      <c r="L11" s="391">
        <f t="shared" si="0"/>
        <v>7.3313247309802201E-3</v>
      </c>
    </row>
    <row r="12" spans="1:12" ht="14.1" customHeight="1" x14ac:dyDescent="0.35">
      <c r="A12" s="41" t="s">
        <v>28</v>
      </c>
      <c r="B12" s="125">
        <v>152084228</v>
      </c>
      <c r="C12" s="41">
        <v>68908124</v>
      </c>
      <c r="D12" s="85">
        <v>76258701</v>
      </c>
      <c r="E12" s="85">
        <v>37789579</v>
      </c>
      <c r="F12" s="85">
        <v>15729650</v>
      </c>
      <c r="G12" s="92">
        <v>19181043</v>
      </c>
      <c r="H12" s="92">
        <v>9439544</v>
      </c>
      <c r="I12" s="85">
        <v>7633944</v>
      </c>
      <c r="J12" s="87">
        <v>44.23</v>
      </c>
      <c r="K12" s="123">
        <v>80.48</v>
      </c>
      <c r="L12" s="391">
        <f t="shared" si="0"/>
        <v>7.999223272553127E-2</v>
      </c>
    </row>
    <row r="13" spans="1:12" ht="14.1" customHeight="1" x14ac:dyDescent="0.35">
      <c r="A13" s="41" t="s">
        <v>46</v>
      </c>
      <c r="B13" s="41"/>
      <c r="C13" s="41"/>
      <c r="D13" s="91"/>
      <c r="E13" s="91"/>
      <c r="F13" s="91"/>
      <c r="G13" s="75"/>
      <c r="H13" s="75"/>
      <c r="I13" s="87"/>
      <c r="J13" s="87"/>
      <c r="K13" s="100"/>
      <c r="L13" s="391">
        <f t="shared" si="0"/>
        <v>0</v>
      </c>
    </row>
    <row r="14" spans="1:12" ht="14.1" customHeight="1" x14ac:dyDescent="0.35">
      <c r="A14" s="41" t="s">
        <v>69</v>
      </c>
      <c r="B14" s="142">
        <v>14857900</v>
      </c>
      <c r="C14" s="125">
        <v>9300000</v>
      </c>
      <c r="D14" s="85">
        <v>974372</v>
      </c>
      <c r="E14" s="85">
        <v>850537</v>
      </c>
      <c r="F14" s="85">
        <v>21170</v>
      </c>
      <c r="G14" s="92">
        <v>1677076</v>
      </c>
      <c r="H14" s="92">
        <v>21544</v>
      </c>
      <c r="I14" s="87"/>
      <c r="J14" s="87">
        <v>10.09</v>
      </c>
      <c r="K14" s="123">
        <v>809.84</v>
      </c>
      <c r="L14" s="391">
        <f t="shared" si="0"/>
        <v>1.0220760485448257E-3</v>
      </c>
    </row>
    <row r="15" spans="1:12" ht="14.1" customHeight="1" x14ac:dyDescent="0.35">
      <c r="A15" s="41" t="s">
        <v>29</v>
      </c>
      <c r="B15" s="125">
        <v>37417002</v>
      </c>
      <c r="C15" s="125">
        <v>30753677</v>
      </c>
      <c r="D15" s="85">
        <v>12743240</v>
      </c>
      <c r="E15" s="85">
        <v>10354704</v>
      </c>
      <c r="F15" s="85">
        <v>3399542</v>
      </c>
      <c r="G15" s="92">
        <v>5360463</v>
      </c>
      <c r="H15" s="92">
        <v>1207128</v>
      </c>
      <c r="I15" s="85">
        <v>666842</v>
      </c>
      <c r="J15" s="87">
        <v>48.23</v>
      </c>
      <c r="K15" s="123">
        <v>93.17</v>
      </c>
      <c r="L15" s="391">
        <f t="shared" si="0"/>
        <v>1.336713327646768E-2</v>
      </c>
    </row>
    <row r="16" spans="1:12" ht="14.1" customHeight="1" x14ac:dyDescent="0.35">
      <c r="A16" s="41" t="s">
        <v>70</v>
      </c>
      <c r="B16" s="125">
        <v>15966615</v>
      </c>
      <c r="C16" s="125">
        <v>10982769</v>
      </c>
      <c r="D16" s="85">
        <v>224855</v>
      </c>
      <c r="E16" s="85">
        <v>224855</v>
      </c>
      <c r="F16" s="85">
        <v>1148</v>
      </c>
      <c r="G16" s="92">
        <v>1296860</v>
      </c>
      <c r="H16" s="92">
        <v>10050</v>
      </c>
      <c r="I16" s="87">
        <v>0</v>
      </c>
      <c r="J16" s="87">
        <v>2.14</v>
      </c>
      <c r="K16" s="124">
        <v>2441</v>
      </c>
      <c r="L16" s="391">
        <f t="shared" si="0"/>
        <v>2.3586362282120875E-4</v>
      </c>
    </row>
    <row r="17" spans="1:13" ht="14.1" customHeight="1" x14ac:dyDescent="0.35">
      <c r="A17" s="41" t="s">
        <v>31</v>
      </c>
      <c r="B17" s="125">
        <v>43583490</v>
      </c>
      <c r="C17" s="125">
        <v>34104143</v>
      </c>
      <c r="D17" s="85">
        <v>10788883</v>
      </c>
      <c r="E17" s="85">
        <v>7584693</v>
      </c>
      <c r="F17" s="85">
        <v>2080575</v>
      </c>
      <c r="G17" s="92">
        <v>5919922</v>
      </c>
      <c r="H17" s="92">
        <v>1286668</v>
      </c>
      <c r="I17" s="85">
        <v>844257</v>
      </c>
      <c r="J17" s="87">
        <v>29.93</v>
      </c>
      <c r="K17" s="123">
        <v>103.66</v>
      </c>
      <c r="L17" s="391">
        <f t="shared" si="0"/>
        <v>1.1317093373837144E-2</v>
      </c>
    </row>
    <row r="18" spans="1:13" ht="14.1" customHeight="1" x14ac:dyDescent="0.35">
      <c r="A18" s="41" t="s">
        <v>32</v>
      </c>
      <c r="B18" s="125">
        <v>77407185</v>
      </c>
      <c r="C18" s="125">
        <v>57847466</v>
      </c>
      <c r="D18" s="85">
        <v>35442166</v>
      </c>
      <c r="E18" s="85">
        <v>25958759</v>
      </c>
      <c r="F18" s="85">
        <v>11155461</v>
      </c>
      <c r="G18" s="92">
        <v>16324614</v>
      </c>
      <c r="H18" s="92">
        <v>6252903</v>
      </c>
      <c r="I18" s="85">
        <v>4280474</v>
      </c>
      <c r="J18" s="87">
        <v>44.29</v>
      </c>
      <c r="K18" s="123">
        <v>89.65</v>
      </c>
      <c r="L18" s="391">
        <f t="shared" si="0"/>
        <v>3.7177370631698958E-2</v>
      </c>
    </row>
    <row r="19" spans="1:13" ht="14.1" customHeight="1" x14ac:dyDescent="0.35">
      <c r="A19" s="41" t="s">
        <v>33</v>
      </c>
      <c r="B19" s="125">
        <v>39771845</v>
      </c>
      <c r="C19" s="125">
        <v>21888948</v>
      </c>
      <c r="D19" s="85">
        <v>21717172</v>
      </c>
      <c r="E19" s="85">
        <v>18068451</v>
      </c>
      <c r="F19" s="85">
        <v>6926654</v>
      </c>
      <c r="G19" s="92">
        <v>9465590</v>
      </c>
      <c r="H19" s="92">
        <v>3117180</v>
      </c>
      <c r="I19" s="85">
        <v>1530653</v>
      </c>
      <c r="J19" s="87">
        <v>45.86</v>
      </c>
      <c r="K19" s="123">
        <v>83.3</v>
      </c>
      <c r="L19" s="391">
        <f t="shared" si="0"/>
        <v>2.2780417893092507E-2</v>
      </c>
    </row>
    <row r="20" spans="1:13" ht="14.1" customHeight="1" x14ac:dyDescent="0.35">
      <c r="A20" s="41" t="s">
        <v>34</v>
      </c>
      <c r="B20" s="125">
        <v>32689313</v>
      </c>
      <c r="C20" s="125">
        <v>16186340</v>
      </c>
      <c r="D20" s="85">
        <v>10232572</v>
      </c>
      <c r="E20" s="85">
        <v>9383841</v>
      </c>
      <c r="F20" s="85">
        <v>2767580</v>
      </c>
      <c r="G20" s="92">
        <v>5107170</v>
      </c>
      <c r="H20" s="92">
        <v>1051341</v>
      </c>
      <c r="I20" s="85">
        <v>267450</v>
      </c>
      <c r="J20" s="87">
        <v>34.79</v>
      </c>
      <c r="K20" s="123">
        <v>77.41</v>
      </c>
      <c r="L20" s="391">
        <f t="shared" si="0"/>
        <v>1.0733546075021066E-2</v>
      </c>
    </row>
    <row r="21" spans="1:13" ht="14.1" customHeight="1" x14ac:dyDescent="0.35">
      <c r="A21" s="41" t="s">
        <v>35</v>
      </c>
      <c r="B21" s="144">
        <v>64376627</v>
      </c>
      <c r="C21" s="144">
        <v>37333952</v>
      </c>
      <c r="D21" s="85">
        <v>16512685</v>
      </c>
      <c r="E21" s="85">
        <v>12440125</v>
      </c>
      <c r="F21" s="85">
        <v>5859158</v>
      </c>
      <c r="G21" s="92">
        <v>6778520</v>
      </c>
      <c r="H21" s="92">
        <v>1336270</v>
      </c>
      <c r="I21" s="85">
        <v>1369550</v>
      </c>
      <c r="J21" s="87">
        <v>48.93</v>
      </c>
      <c r="K21" s="123">
        <v>67.77</v>
      </c>
      <c r="L21" s="391">
        <f t="shared" si="0"/>
        <v>1.7321125643661166E-2</v>
      </c>
    </row>
    <row r="22" spans="1:13" ht="14.1" customHeight="1" x14ac:dyDescent="0.35">
      <c r="A22" s="41" t="s">
        <v>36</v>
      </c>
      <c r="B22" s="144">
        <v>50832260</v>
      </c>
      <c r="C22" s="144">
        <v>29585835</v>
      </c>
      <c r="D22" s="85">
        <v>24404106</v>
      </c>
      <c r="E22" s="85">
        <v>18713123</v>
      </c>
      <c r="F22" s="85">
        <v>4851172</v>
      </c>
      <c r="G22" s="92">
        <v>11303780</v>
      </c>
      <c r="H22" s="92">
        <v>2663478</v>
      </c>
      <c r="I22" s="85">
        <v>1858471</v>
      </c>
      <c r="J22" s="87">
        <v>28.94</v>
      </c>
      <c r="K22" s="123">
        <v>83.32</v>
      </c>
      <c r="L22" s="391">
        <f t="shared" si="0"/>
        <v>2.5598900859988869E-2</v>
      </c>
    </row>
    <row r="23" spans="1:13" ht="14.1" customHeight="1" x14ac:dyDescent="0.35">
      <c r="A23" s="41" t="s">
        <v>62</v>
      </c>
      <c r="B23" s="144">
        <v>29412990</v>
      </c>
      <c r="C23" s="144">
        <v>15116804</v>
      </c>
      <c r="D23" s="85">
        <v>20205951</v>
      </c>
      <c r="E23" s="85">
        <v>19033296</v>
      </c>
      <c r="F23" s="85">
        <v>8038114</v>
      </c>
      <c r="G23" s="92">
        <v>9685046</v>
      </c>
      <c r="H23" s="92">
        <v>3078027</v>
      </c>
      <c r="I23" s="85">
        <v>1301797</v>
      </c>
      <c r="J23" s="87">
        <v>44.17</v>
      </c>
      <c r="K23" s="123">
        <v>70.14</v>
      </c>
      <c r="L23" s="391">
        <f t="shared" si="0"/>
        <v>2.119520938119155E-2</v>
      </c>
    </row>
    <row r="24" spans="1:13" ht="14.1" customHeight="1" x14ac:dyDescent="0.35">
      <c r="A24" s="41" t="s">
        <v>38</v>
      </c>
      <c r="B24" s="144">
        <v>31410021</v>
      </c>
      <c r="C24" s="144">
        <v>9870000</v>
      </c>
      <c r="D24" s="85">
        <v>21793000</v>
      </c>
      <c r="E24" s="85">
        <v>8958900</v>
      </c>
      <c r="F24" s="85">
        <v>2309243</v>
      </c>
      <c r="G24" s="92">
        <v>5151413</v>
      </c>
      <c r="H24" s="92">
        <v>2019975</v>
      </c>
      <c r="I24" s="85">
        <v>3118904</v>
      </c>
      <c r="J24" s="87">
        <v>31.23</v>
      </c>
      <c r="K24" s="123">
        <v>96.98</v>
      </c>
      <c r="L24" s="391">
        <f t="shared" si="0"/>
        <v>2.2859958338229534E-2</v>
      </c>
    </row>
    <row r="25" spans="1:13" ht="14.1" customHeight="1" x14ac:dyDescent="0.35">
      <c r="A25" s="41" t="s">
        <v>39</v>
      </c>
      <c r="B25" s="144">
        <v>207638546</v>
      </c>
      <c r="C25" s="144">
        <v>122411945</v>
      </c>
      <c r="D25" s="85">
        <v>131322282</v>
      </c>
      <c r="E25" s="85">
        <v>74012146</v>
      </c>
      <c r="F25" s="85">
        <v>25627343</v>
      </c>
      <c r="G25" s="92">
        <v>52688438</v>
      </c>
      <c r="H25" s="92">
        <v>10570429</v>
      </c>
      <c r="I25" s="85">
        <v>16440776</v>
      </c>
      <c r="J25" s="87">
        <v>35.380000000000003</v>
      </c>
      <c r="K25" s="123">
        <v>87.33</v>
      </c>
      <c r="L25" s="391">
        <f t="shared" si="0"/>
        <v>0.13775165857849908</v>
      </c>
    </row>
    <row r="26" spans="1:13" ht="14.1" customHeight="1" x14ac:dyDescent="0.35">
      <c r="A26" s="41" t="s">
        <v>40</v>
      </c>
      <c r="B26" s="144">
        <v>220649678</v>
      </c>
      <c r="C26" s="144">
        <v>171907893</v>
      </c>
      <c r="D26" s="85">
        <v>99595154</v>
      </c>
      <c r="E26" s="85">
        <v>68181848</v>
      </c>
      <c r="F26" s="85">
        <v>21351322</v>
      </c>
      <c r="G26" s="92">
        <v>28087528</v>
      </c>
      <c r="H26" s="92">
        <v>16376891</v>
      </c>
      <c r="I26" s="85">
        <v>6068813</v>
      </c>
      <c r="J26" s="87">
        <v>33.19</v>
      </c>
      <c r="K26" s="123">
        <v>69.12</v>
      </c>
      <c r="L26" s="391">
        <f t="shared" si="0"/>
        <v>0.1044712096145347</v>
      </c>
    </row>
    <row r="27" spans="1:13" ht="14.1" customHeight="1" x14ac:dyDescent="0.35">
      <c r="A27" s="41" t="s">
        <v>41</v>
      </c>
      <c r="B27" s="144">
        <v>25727890</v>
      </c>
      <c r="C27" s="144">
        <v>21945804</v>
      </c>
      <c r="D27" s="85">
        <v>8460869</v>
      </c>
      <c r="E27" s="85">
        <v>7092981</v>
      </c>
      <c r="F27" s="85">
        <v>3127493</v>
      </c>
      <c r="G27" s="92">
        <v>4798689</v>
      </c>
      <c r="H27" s="92">
        <v>131096</v>
      </c>
      <c r="I27" s="87"/>
      <c r="J27" s="87">
        <v>50.24</v>
      </c>
      <c r="K27" s="123">
        <v>79.19</v>
      </c>
      <c r="L27" s="391">
        <f t="shared" si="0"/>
        <v>8.8751026864230618E-3</v>
      </c>
      <c r="M27" s="7"/>
    </row>
    <row r="28" spans="1:13" ht="14.1" customHeight="1" x14ac:dyDescent="0.35">
      <c r="A28" s="41" t="s">
        <v>42</v>
      </c>
      <c r="B28" s="145">
        <v>92490958</v>
      </c>
      <c r="C28" s="145">
        <v>57747390</v>
      </c>
      <c r="D28" s="91">
        <v>85766824</v>
      </c>
      <c r="E28" s="91">
        <v>54315058</v>
      </c>
      <c r="F28" s="91">
        <v>21095359</v>
      </c>
      <c r="G28" s="392">
        <v>21275039</v>
      </c>
      <c r="H28" s="392">
        <v>12452164</v>
      </c>
      <c r="I28" s="91">
        <v>10263828</v>
      </c>
      <c r="J28" s="87">
        <v>40.770000000000003</v>
      </c>
      <c r="K28" s="143">
        <v>65.186000000000007</v>
      </c>
      <c r="L28" s="391">
        <f t="shared" si="0"/>
        <v>8.9965861673118208E-2</v>
      </c>
      <c r="M28" s="8"/>
    </row>
    <row r="29" spans="1:13" ht="14.1" customHeight="1" x14ac:dyDescent="0.35">
      <c r="A29" s="41" t="s">
        <v>43</v>
      </c>
      <c r="B29" s="146"/>
      <c r="C29" s="146"/>
      <c r="D29" s="87"/>
      <c r="E29" s="101"/>
      <c r="F29" s="87"/>
      <c r="G29" s="75"/>
      <c r="H29" s="75"/>
      <c r="I29" s="87"/>
      <c r="J29" s="87"/>
      <c r="K29" s="100"/>
      <c r="L29" s="391">
        <f t="shared" si="0"/>
        <v>0</v>
      </c>
    </row>
    <row r="30" spans="1:13" s="6" customFormat="1" ht="14.1" customHeight="1" x14ac:dyDescent="0.4">
      <c r="A30" s="42" t="s">
        <v>44</v>
      </c>
      <c r="B30" s="128">
        <f>SUM(B3:B29)</f>
        <v>1706713892</v>
      </c>
      <c r="C30" s="128">
        <f>SUM(C3:C29)</f>
        <v>1047159278</v>
      </c>
      <c r="D30" s="102">
        <f t="shared" ref="D30:I30" si="1">SUM(D3:D29)</f>
        <v>953326321.83999991</v>
      </c>
      <c r="E30" s="102">
        <f t="shared" si="1"/>
        <v>570610299.59000003</v>
      </c>
      <c r="F30" s="102">
        <f t="shared" si="1"/>
        <v>223566423.70999998</v>
      </c>
      <c r="G30" s="102">
        <f t="shared" si="1"/>
        <v>292317919</v>
      </c>
      <c r="H30" s="102">
        <f t="shared" si="1"/>
        <v>112563340</v>
      </c>
      <c r="I30" s="102">
        <f t="shared" si="1"/>
        <v>93815548.674999997</v>
      </c>
      <c r="J30" s="103"/>
      <c r="K30" s="103"/>
      <c r="L30" s="391">
        <f t="shared" si="0"/>
        <v>1</v>
      </c>
    </row>
  </sheetData>
  <pageMargins left="0.7" right="0.7" top="0.75" bottom="0.75" header="0.3" footer="0.3"/>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sheetPr>
    <tabColor rgb="FF7030A0"/>
  </sheetPr>
  <dimension ref="A1:L30"/>
  <sheetViews>
    <sheetView workbookViewId="0"/>
  </sheetViews>
  <sheetFormatPr defaultRowHeight="12.75" x14ac:dyDescent="0.35"/>
  <cols>
    <col min="1" max="1" width="40.73046875" customWidth="1"/>
    <col min="2" max="3" width="20.265625" customWidth="1"/>
    <col min="4" max="4" width="14.265625" customWidth="1"/>
    <col min="5" max="5" width="13.3984375" customWidth="1"/>
    <col min="6" max="6" width="12.73046875" customWidth="1"/>
    <col min="7" max="7" width="16.3984375" customWidth="1"/>
    <col min="8" max="8" width="13" customWidth="1"/>
    <col min="9" max="9" width="12.3984375" customWidth="1"/>
    <col min="12" max="12" width="12.73046875" customWidth="1"/>
  </cols>
  <sheetData>
    <row r="1" spans="1:12" ht="13.15" customHeight="1" x14ac:dyDescent="0.4">
      <c r="A1" s="10" t="s">
        <v>74</v>
      </c>
      <c r="B1" s="119"/>
      <c r="C1" s="119"/>
      <c r="D1" s="4"/>
      <c r="E1" s="2"/>
      <c r="F1" s="2"/>
      <c r="G1" s="2"/>
      <c r="H1" s="2"/>
      <c r="I1" s="2"/>
      <c r="J1" s="2"/>
      <c r="K1" s="2"/>
      <c r="L1" s="2"/>
    </row>
    <row r="2" spans="1:12" s="6" customFormat="1" ht="27.75" customHeight="1" x14ac:dyDescent="0.4">
      <c r="A2" s="10" t="s">
        <v>8</v>
      </c>
      <c r="B2" s="10" t="s">
        <v>9</v>
      </c>
      <c r="C2" s="10" t="s">
        <v>10</v>
      </c>
      <c r="D2" s="11" t="s">
        <v>67</v>
      </c>
      <c r="E2" s="12" t="s">
        <v>12</v>
      </c>
      <c r="F2" s="12" t="s">
        <v>72</v>
      </c>
      <c r="G2" s="13" t="s">
        <v>14</v>
      </c>
      <c r="H2" s="13" t="s">
        <v>15</v>
      </c>
      <c r="I2" s="13" t="s">
        <v>16</v>
      </c>
      <c r="J2" s="13" t="s">
        <v>17</v>
      </c>
      <c r="K2" s="13" t="s">
        <v>18</v>
      </c>
      <c r="L2" s="13" t="s">
        <v>19</v>
      </c>
    </row>
    <row r="3" spans="1:12" ht="13.15" customHeight="1" x14ac:dyDescent="0.35">
      <c r="A3" s="41" t="s">
        <v>20</v>
      </c>
      <c r="B3" s="125">
        <v>56677864</v>
      </c>
      <c r="C3" s="125">
        <v>27683690</v>
      </c>
      <c r="D3" s="147">
        <v>54662270</v>
      </c>
      <c r="E3" s="393">
        <v>15201424</v>
      </c>
      <c r="F3" s="147">
        <v>4994212</v>
      </c>
      <c r="G3" s="147">
        <v>11402340</v>
      </c>
      <c r="H3" s="394">
        <v>3658954</v>
      </c>
      <c r="I3" s="147">
        <v>8857141</v>
      </c>
      <c r="J3" s="150">
        <v>36.1</v>
      </c>
      <c r="K3" s="151">
        <v>108.87</v>
      </c>
      <c r="L3" s="382">
        <f t="shared" ref="L3:L29" si="0">D3/$D$30</f>
        <v>4.5931349009060429E-2</v>
      </c>
    </row>
    <row r="4" spans="1:12" ht="13.15" customHeight="1" x14ac:dyDescent="0.35">
      <c r="A4" s="41" t="s">
        <v>21</v>
      </c>
      <c r="B4" s="125">
        <v>30467150</v>
      </c>
      <c r="C4" s="125">
        <v>9489121</v>
      </c>
      <c r="D4" s="147">
        <v>28527388</v>
      </c>
      <c r="E4" s="393">
        <v>15345924</v>
      </c>
      <c r="F4" s="147">
        <v>8747003</v>
      </c>
      <c r="G4" s="147">
        <v>17723556</v>
      </c>
      <c r="H4" s="394">
        <v>2896485</v>
      </c>
      <c r="I4" s="147">
        <v>2189574</v>
      </c>
      <c r="J4" s="150">
        <v>63.02</v>
      </c>
      <c r="K4" s="151">
        <v>148.55000000000001</v>
      </c>
      <c r="L4" s="382">
        <f t="shared" si="0"/>
        <v>2.3970856214805613E-2</v>
      </c>
    </row>
    <row r="5" spans="1:12" ht="13.15" customHeight="1" x14ac:dyDescent="0.35">
      <c r="A5" s="41" t="s">
        <v>60</v>
      </c>
      <c r="B5" s="125">
        <v>30523326</v>
      </c>
      <c r="C5" s="125">
        <v>23587034</v>
      </c>
      <c r="D5" s="147">
        <v>9459606</v>
      </c>
      <c r="E5" s="393">
        <v>8482554</v>
      </c>
      <c r="F5" s="147">
        <v>952371</v>
      </c>
      <c r="G5" s="147">
        <v>6351278</v>
      </c>
      <c r="H5" s="394">
        <v>788618</v>
      </c>
      <c r="I5" s="147">
        <v>579983</v>
      </c>
      <c r="J5" s="150">
        <v>10.81</v>
      </c>
      <c r="K5" s="151">
        <v>81.069999999999993</v>
      </c>
      <c r="L5" s="382">
        <f t="shared" si="0"/>
        <v>7.9486721768818255E-3</v>
      </c>
    </row>
    <row r="6" spans="1:12" ht="13.15" customHeight="1" x14ac:dyDescent="0.35">
      <c r="A6" s="41" t="s">
        <v>22</v>
      </c>
      <c r="B6" s="125">
        <v>48221800</v>
      </c>
      <c r="C6" s="125">
        <v>26470001</v>
      </c>
      <c r="D6" s="147">
        <v>35671068</v>
      </c>
      <c r="E6" s="393">
        <v>26755439</v>
      </c>
      <c r="F6" s="147">
        <v>11806273</v>
      </c>
      <c r="G6" s="147">
        <v>10370863</v>
      </c>
      <c r="H6" s="394">
        <v>4472803</v>
      </c>
      <c r="I6" s="147">
        <v>2756409</v>
      </c>
      <c r="J6" s="150">
        <v>49.86</v>
      </c>
      <c r="K6" s="151">
        <v>62.69</v>
      </c>
      <c r="L6" s="382">
        <f t="shared" si="0"/>
        <v>2.9973513244765122E-2</v>
      </c>
    </row>
    <row r="7" spans="1:12" ht="13.15" customHeight="1" x14ac:dyDescent="0.35">
      <c r="A7" s="41" t="s">
        <v>23</v>
      </c>
      <c r="B7" s="125">
        <v>145900825</v>
      </c>
      <c r="C7" s="125">
        <v>98342943</v>
      </c>
      <c r="D7" s="147">
        <v>161424631</v>
      </c>
      <c r="E7" s="393">
        <v>96166396</v>
      </c>
      <c r="F7" s="147">
        <v>52640882</v>
      </c>
      <c r="G7" s="147">
        <v>34179805</v>
      </c>
      <c r="H7" s="394">
        <v>22036509</v>
      </c>
      <c r="I7" s="147">
        <v>15147824</v>
      </c>
      <c r="J7" s="150">
        <v>55.85</v>
      </c>
      <c r="K7" s="151">
        <v>59.64</v>
      </c>
      <c r="L7" s="382">
        <f t="shared" si="0"/>
        <v>0.135641111595252</v>
      </c>
    </row>
    <row r="8" spans="1:12" ht="13.15" customHeight="1" x14ac:dyDescent="0.35">
      <c r="A8" s="41" t="s">
        <v>24</v>
      </c>
      <c r="B8" s="125">
        <v>46461156</v>
      </c>
      <c r="C8" s="125">
        <v>28815657</v>
      </c>
      <c r="D8" s="147">
        <v>36230501</v>
      </c>
      <c r="E8" s="393">
        <v>29967650</v>
      </c>
      <c r="F8" s="147">
        <v>7673583</v>
      </c>
      <c r="G8" s="147">
        <v>11680830</v>
      </c>
      <c r="H8" s="394">
        <v>6782629</v>
      </c>
      <c r="I8" s="147">
        <v>2160990</v>
      </c>
      <c r="J8" s="150">
        <v>27.6</v>
      </c>
      <c r="K8" s="151">
        <v>66.41</v>
      </c>
      <c r="L8" s="382">
        <f t="shared" si="0"/>
        <v>3.0443590912051639E-2</v>
      </c>
    </row>
    <row r="9" spans="1:12" ht="13.15" customHeight="1" x14ac:dyDescent="0.35">
      <c r="A9" s="41" t="s">
        <v>25</v>
      </c>
      <c r="B9" s="125">
        <v>125563831</v>
      </c>
      <c r="C9" s="125">
        <v>82104954</v>
      </c>
      <c r="D9" s="147">
        <v>39218755</v>
      </c>
      <c r="E9" s="393">
        <v>17791553</v>
      </c>
      <c r="F9" s="147">
        <v>8103512</v>
      </c>
      <c r="G9" s="147">
        <v>7022322</v>
      </c>
      <c r="H9" s="394">
        <v>4807767</v>
      </c>
      <c r="I9" s="147">
        <v>3940452</v>
      </c>
      <c r="J9" s="150">
        <v>50.08</v>
      </c>
      <c r="K9" s="151">
        <v>73.11</v>
      </c>
      <c r="L9" s="382">
        <f t="shared" si="0"/>
        <v>3.2954546593213813E-2</v>
      </c>
    </row>
    <row r="10" spans="1:12" ht="13.15" customHeight="1" x14ac:dyDescent="0.35">
      <c r="A10" s="41" t="s">
        <v>26</v>
      </c>
      <c r="B10" s="125">
        <v>71885588</v>
      </c>
      <c r="C10" s="125">
        <v>42216659</v>
      </c>
      <c r="D10" s="147">
        <v>68887382</v>
      </c>
      <c r="E10" s="393">
        <v>24988154</v>
      </c>
      <c r="F10" s="147">
        <v>9285906</v>
      </c>
      <c r="G10" s="147">
        <v>14775247</v>
      </c>
      <c r="H10" s="394">
        <v>5483792</v>
      </c>
      <c r="I10" s="147">
        <v>6957058</v>
      </c>
      <c r="J10" s="150">
        <v>36.409999999999997</v>
      </c>
      <c r="K10" s="151">
        <v>79.44</v>
      </c>
      <c r="L10" s="382">
        <f t="shared" si="0"/>
        <v>5.7884357619295126E-2</v>
      </c>
    </row>
    <row r="11" spans="1:12" ht="13.15" customHeight="1" x14ac:dyDescent="0.35">
      <c r="A11" s="41" t="s">
        <v>27</v>
      </c>
      <c r="B11" s="142">
        <v>15200567</v>
      </c>
      <c r="C11" s="142">
        <v>10284083</v>
      </c>
      <c r="D11" s="149">
        <v>9694479.5</v>
      </c>
      <c r="E11" s="395">
        <v>7811774.25</v>
      </c>
      <c r="F11" s="149">
        <v>1789002.71</v>
      </c>
      <c r="G11" s="149">
        <v>4330920.9700000007</v>
      </c>
      <c r="H11" s="396">
        <v>1163337.54</v>
      </c>
      <c r="I11" s="149">
        <v>658946.75</v>
      </c>
      <c r="J11" s="150">
        <v>20.537598033073699</v>
      </c>
      <c r="K11" s="151">
        <v>63.073617573320803</v>
      </c>
      <c r="L11" s="382">
        <f t="shared" si="0"/>
        <v>8.1460305504268606E-3</v>
      </c>
    </row>
    <row r="12" spans="1:12" ht="13.15" customHeight="1" x14ac:dyDescent="0.35">
      <c r="A12" s="41" t="s">
        <v>28</v>
      </c>
      <c r="B12" s="125">
        <v>140487862</v>
      </c>
      <c r="C12" s="125">
        <v>68200126</v>
      </c>
      <c r="D12" s="147">
        <v>89561886</v>
      </c>
      <c r="E12" s="393">
        <v>45955450</v>
      </c>
      <c r="F12" s="147">
        <v>19866720</v>
      </c>
      <c r="G12" s="147">
        <v>24097824</v>
      </c>
      <c r="H12" s="394">
        <v>13085294</v>
      </c>
      <c r="I12" s="147">
        <v>8787453</v>
      </c>
      <c r="J12" s="150">
        <v>41.89</v>
      </c>
      <c r="K12" s="151">
        <v>78.400000000000006</v>
      </c>
      <c r="L12" s="382">
        <f t="shared" si="0"/>
        <v>7.5256630282197992E-2</v>
      </c>
    </row>
    <row r="13" spans="1:12" ht="13.15" customHeight="1" x14ac:dyDescent="0.35">
      <c r="A13" s="41" t="s">
        <v>46</v>
      </c>
      <c r="B13" s="125">
        <v>22641782</v>
      </c>
      <c r="C13" s="125">
        <v>14773555</v>
      </c>
      <c r="D13" s="147">
        <v>11966938</v>
      </c>
      <c r="E13" s="393">
        <v>10811310</v>
      </c>
      <c r="F13" s="147">
        <v>2184206</v>
      </c>
      <c r="G13" s="147">
        <v>7327673</v>
      </c>
      <c r="H13" s="394">
        <v>1715055</v>
      </c>
      <c r="I13" s="147">
        <v>573523</v>
      </c>
      <c r="J13" s="150">
        <v>23.19</v>
      </c>
      <c r="K13" s="151">
        <v>96.02</v>
      </c>
      <c r="L13" s="382">
        <f t="shared" si="0"/>
        <v>1.0055521035767222E-2</v>
      </c>
    </row>
    <row r="14" spans="1:12" ht="13.15" customHeight="1" x14ac:dyDescent="0.35">
      <c r="A14" s="41" t="s">
        <v>69</v>
      </c>
      <c r="B14" s="125">
        <v>15968679</v>
      </c>
      <c r="C14" s="125">
        <v>10252914</v>
      </c>
      <c r="D14" s="147">
        <v>1529060</v>
      </c>
      <c r="E14" s="393">
        <v>1420174</v>
      </c>
      <c r="F14" s="147">
        <v>106677</v>
      </c>
      <c r="G14" s="147">
        <v>3070788</v>
      </c>
      <c r="H14" s="394">
        <v>103010</v>
      </c>
      <c r="I14" s="148"/>
      <c r="J14" s="150">
        <v>19.46</v>
      </c>
      <c r="K14" s="151">
        <v>579.03</v>
      </c>
      <c r="L14" s="382">
        <f t="shared" si="0"/>
        <v>1.2848311736009855E-3</v>
      </c>
    </row>
    <row r="15" spans="1:12" ht="13.15" customHeight="1" x14ac:dyDescent="0.35">
      <c r="A15" s="41" t="s">
        <v>29</v>
      </c>
      <c r="B15" s="125">
        <v>38616507</v>
      </c>
      <c r="C15" s="125">
        <v>31890634</v>
      </c>
      <c r="D15" s="147">
        <v>15321562</v>
      </c>
      <c r="E15" s="393">
        <v>12197412</v>
      </c>
      <c r="F15" s="147">
        <v>5363104</v>
      </c>
      <c r="G15" s="147">
        <v>7172106</v>
      </c>
      <c r="H15" s="394">
        <v>1555615</v>
      </c>
      <c r="I15" s="147">
        <v>796508</v>
      </c>
      <c r="J15" s="150">
        <v>46.09</v>
      </c>
      <c r="K15" s="151">
        <v>75.010000000000005</v>
      </c>
      <c r="L15" s="382">
        <f t="shared" si="0"/>
        <v>1.2874328336272129E-2</v>
      </c>
    </row>
    <row r="16" spans="1:12" ht="13.15" customHeight="1" x14ac:dyDescent="0.35">
      <c r="A16" s="41" t="s">
        <v>70</v>
      </c>
      <c r="B16" s="125">
        <v>15995523</v>
      </c>
      <c r="C16" s="125">
        <v>11331653</v>
      </c>
      <c r="D16" s="147">
        <v>592698</v>
      </c>
      <c r="E16" s="393">
        <v>592698</v>
      </c>
      <c r="F16" s="147">
        <v>249998</v>
      </c>
      <c r="G16" s="147">
        <v>2001937</v>
      </c>
      <c r="H16" s="394">
        <v>46416</v>
      </c>
      <c r="I16" s="148"/>
      <c r="J16" s="150">
        <v>195.02</v>
      </c>
      <c r="K16" s="151">
        <v>1597.89</v>
      </c>
      <c r="L16" s="382">
        <f t="shared" si="0"/>
        <v>4.9802942129867822E-4</v>
      </c>
    </row>
    <row r="17" spans="1:12" ht="13.15" customHeight="1" x14ac:dyDescent="0.35">
      <c r="A17" s="41" t="s">
        <v>31</v>
      </c>
      <c r="B17" s="142">
        <v>49157063</v>
      </c>
      <c r="C17" s="142">
        <v>36138467</v>
      </c>
      <c r="D17" s="149">
        <v>13324794</v>
      </c>
      <c r="E17" s="395">
        <v>8795717</v>
      </c>
      <c r="F17" s="149">
        <v>1789222</v>
      </c>
      <c r="G17" s="149">
        <v>8326056</v>
      </c>
      <c r="H17" s="396">
        <v>1789222</v>
      </c>
      <c r="I17" s="149">
        <v>1162022</v>
      </c>
      <c r="J17" s="154">
        <v>39</v>
      </c>
      <c r="K17" s="151">
        <v>116</v>
      </c>
      <c r="L17" s="382">
        <f t="shared" si="0"/>
        <v>1.1196493736682255E-2</v>
      </c>
    </row>
    <row r="18" spans="1:12" ht="13.15" customHeight="1" x14ac:dyDescent="0.35">
      <c r="A18" s="41" t="s">
        <v>32</v>
      </c>
      <c r="B18" s="125">
        <v>77198389</v>
      </c>
      <c r="C18" s="125">
        <v>57594874</v>
      </c>
      <c r="D18" s="147">
        <v>47384649</v>
      </c>
      <c r="E18" s="393">
        <v>34516911</v>
      </c>
      <c r="F18" s="147">
        <v>11287808</v>
      </c>
      <c r="G18" s="147">
        <v>21959252</v>
      </c>
      <c r="H18" s="394">
        <v>8681885</v>
      </c>
      <c r="I18" s="147">
        <v>5443432</v>
      </c>
      <c r="J18" s="150">
        <v>35.270000000000003</v>
      </c>
      <c r="K18" s="151">
        <v>95.74</v>
      </c>
      <c r="L18" s="382">
        <f t="shared" si="0"/>
        <v>3.9816144680614729E-2</v>
      </c>
    </row>
    <row r="19" spans="1:12" ht="13.15" customHeight="1" x14ac:dyDescent="0.35">
      <c r="A19" s="41" t="s">
        <v>33</v>
      </c>
      <c r="B19" s="125">
        <v>41812887</v>
      </c>
      <c r="C19" s="125">
        <v>22973480</v>
      </c>
      <c r="D19" s="147">
        <v>29542876</v>
      </c>
      <c r="E19" s="393">
        <v>24652522</v>
      </c>
      <c r="F19" s="147">
        <v>10029056</v>
      </c>
      <c r="G19" s="147">
        <v>13520814</v>
      </c>
      <c r="H19" s="394">
        <v>5278284</v>
      </c>
      <c r="I19" s="147">
        <v>1811519</v>
      </c>
      <c r="J19" s="150">
        <v>42.77</v>
      </c>
      <c r="K19" s="151">
        <v>80.17</v>
      </c>
      <c r="L19" s="382">
        <f t="shared" si="0"/>
        <v>2.4824145581356118E-2</v>
      </c>
    </row>
    <row r="20" spans="1:12" ht="13.15" customHeight="1" x14ac:dyDescent="0.35">
      <c r="A20" s="41" t="s">
        <v>34</v>
      </c>
      <c r="B20" s="125">
        <v>35987068</v>
      </c>
      <c r="C20" s="125">
        <v>16866022</v>
      </c>
      <c r="D20" s="147">
        <v>12477384</v>
      </c>
      <c r="E20" s="393">
        <v>11163378</v>
      </c>
      <c r="F20" s="147">
        <v>2654063</v>
      </c>
      <c r="G20" s="147">
        <v>6866212</v>
      </c>
      <c r="H20" s="394">
        <v>1307130</v>
      </c>
      <c r="I20" s="147">
        <v>267450</v>
      </c>
      <c r="J20" s="150">
        <v>25.95</v>
      </c>
      <c r="K20" s="151">
        <v>79.930000000000007</v>
      </c>
      <c r="L20" s="382">
        <f t="shared" si="0"/>
        <v>1.0484436142590977E-2</v>
      </c>
    </row>
    <row r="21" spans="1:12" ht="13.15" customHeight="1" x14ac:dyDescent="0.35">
      <c r="A21" s="41" t="s">
        <v>35</v>
      </c>
      <c r="B21" s="125">
        <v>64921996</v>
      </c>
      <c r="C21" s="125">
        <v>40578130</v>
      </c>
      <c r="D21" s="147">
        <v>21419866</v>
      </c>
      <c r="E21" s="393">
        <v>17607822</v>
      </c>
      <c r="F21" s="147">
        <v>8080191</v>
      </c>
      <c r="G21" s="147">
        <v>10200140</v>
      </c>
      <c r="H21" s="394">
        <v>2013392</v>
      </c>
      <c r="I21" s="147">
        <v>1796811</v>
      </c>
      <c r="J21" s="150">
        <v>45.37</v>
      </c>
      <c r="K21" s="151">
        <v>68.58</v>
      </c>
      <c r="L21" s="382">
        <f t="shared" si="0"/>
        <v>1.7998581854967003E-2</v>
      </c>
    </row>
    <row r="22" spans="1:12" ht="13.15" customHeight="1" x14ac:dyDescent="0.35">
      <c r="A22" s="41" t="s">
        <v>36</v>
      </c>
      <c r="B22" s="125">
        <v>57094045</v>
      </c>
      <c r="C22" s="125">
        <v>31223427</v>
      </c>
      <c r="D22" s="147">
        <v>34740173</v>
      </c>
      <c r="E22" s="393">
        <v>27925110</v>
      </c>
      <c r="F22" s="147">
        <v>7415627</v>
      </c>
      <c r="G22" s="147">
        <v>15033958</v>
      </c>
      <c r="H22" s="394">
        <v>4411517</v>
      </c>
      <c r="I22" s="147">
        <v>2230841</v>
      </c>
      <c r="J22" s="150">
        <v>28.48</v>
      </c>
      <c r="K22" s="151">
        <v>74.680000000000007</v>
      </c>
      <c r="L22" s="382">
        <f t="shared" si="0"/>
        <v>2.9191305276896437E-2</v>
      </c>
    </row>
    <row r="23" spans="1:12" ht="13.15" customHeight="1" x14ac:dyDescent="0.35">
      <c r="A23" s="41" t="s">
        <v>62</v>
      </c>
      <c r="B23" s="125">
        <v>31801077</v>
      </c>
      <c r="C23" s="125">
        <v>14416588</v>
      </c>
      <c r="D23" s="147">
        <v>25970254</v>
      </c>
      <c r="E23" s="393">
        <v>23923043</v>
      </c>
      <c r="F23" s="147">
        <v>9317832</v>
      </c>
      <c r="G23" s="147">
        <v>13520829</v>
      </c>
      <c r="H23" s="394">
        <v>4314538</v>
      </c>
      <c r="I23" s="147">
        <v>1749574</v>
      </c>
      <c r="J23" s="150">
        <v>38.31</v>
      </c>
      <c r="K23" s="151">
        <v>73.33</v>
      </c>
      <c r="L23" s="382">
        <f t="shared" si="0"/>
        <v>2.182215997118209E-2</v>
      </c>
    </row>
    <row r="24" spans="1:12" ht="13.15" customHeight="1" x14ac:dyDescent="0.35">
      <c r="A24" s="41" t="s">
        <v>38</v>
      </c>
      <c r="B24" s="125">
        <v>39494738</v>
      </c>
      <c r="C24" s="125">
        <v>9471939</v>
      </c>
      <c r="D24" s="147">
        <v>23550683</v>
      </c>
      <c r="E24" s="393">
        <v>10614764</v>
      </c>
      <c r="F24" s="147">
        <v>2316468</v>
      </c>
      <c r="G24" s="147">
        <v>7374702</v>
      </c>
      <c r="H24" s="394">
        <v>2256730</v>
      </c>
      <c r="I24" s="147">
        <v>2959228</v>
      </c>
      <c r="J24" s="150">
        <v>25.7</v>
      </c>
      <c r="K24" s="151">
        <v>106.85</v>
      </c>
      <c r="L24" s="382">
        <f t="shared" si="0"/>
        <v>1.9789054502762991E-2</v>
      </c>
    </row>
    <row r="25" spans="1:12" ht="13.15" customHeight="1" x14ac:dyDescent="0.35">
      <c r="A25" s="41" t="s">
        <v>39</v>
      </c>
      <c r="B25" s="125">
        <v>202750089</v>
      </c>
      <c r="C25" s="125">
        <v>122266249</v>
      </c>
      <c r="D25" s="147">
        <v>161928878</v>
      </c>
      <c r="E25" s="393">
        <v>98814630</v>
      </c>
      <c r="F25" s="147">
        <v>35641916</v>
      </c>
      <c r="G25" s="147">
        <v>75291899</v>
      </c>
      <c r="H25" s="394">
        <v>12954887</v>
      </c>
      <c r="I25" s="147">
        <v>19284826</v>
      </c>
      <c r="J25" s="150">
        <v>35.35</v>
      </c>
      <c r="K25" s="151">
        <v>87.54</v>
      </c>
      <c r="L25" s="382">
        <f t="shared" si="0"/>
        <v>0.13606481783620708</v>
      </c>
    </row>
    <row r="26" spans="1:12" ht="13.15" customHeight="1" x14ac:dyDescent="0.35">
      <c r="A26" s="41" t="s">
        <v>40</v>
      </c>
      <c r="B26" s="125">
        <v>319178808</v>
      </c>
      <c r="C26" s="125">
        <v>185497811</v>
      </c>
      <c r="D26" s="147">
        <v>129701590</v>
      </c>
      <c r="E26" s="393">
        <v>84106995</v>
      </c>
      <c r="F26" s="147">
        <v>32466743</v>
      </c>
      <c r="G26" s="147">
        <v>39710003</v>
      </c>
      <c r="H26" s="394">
        <v>24748115</v>
      </c>
      <c r="I26" s="147">
        <v>8798920</v>
      </c>
      <c r="J26" s="150">
        <v>40.700000000000003</v>
      </c>
      <c r="K26" s="151">
        <v>80.81</v>
      </c>
      <c r="L26" s="382">
        <f t="shared" si="0"/>
        <v>0.10898502746629553</v>
      </c>
    </row>
    <row r="27" spans="1:12" ht="13.15" customHeight="1" x14ac:dyDescent="0.35">
      <c r="A27" s="41" t="s">
        <v>41</v>
      </c>
      <c r="B27" s="125">
        <v>26416555</v>
      </c>
      <c r="C27" s="125">
        <v>22942943</v>
      </c>
      <c r="D27" s="147">
        <v>11065539</v>
      </c>
      <c r="E27" s="393">
        <v>9553069</v>
      </c>
      <c r="F27" s="147">
        <v>4308692</v>
      </c>
      <c r="G27" s="147">
        <v>6441323</v>
      </c>
      <c r="H27" s="394">
        <v>337768</v>
      </c>
      <c r="I27" s="148"/>
      <c r="J27" s="150">
        <v>49.29</v>
      </c>
      <c r="K27" s="151">
        <v>77.55</v>
      </c>
      <c r="L27" s="382">
        <f t="shared" si="0"/>
        <v>9.2980978247403472E-3</v>
      </c>
    </row>
    <row r="28" spans="1:12" ht="13.15" customHeight="1" x14ac:dyDescent="0.35">
      <c r="A28" s="41" t="s">
        <v>42</v>
      </c>
      <c r="B28" s="125">
        <v>90187170</v>
      </c>
      <c r="C28" s="125">
        <v>63765627</v>
      </c>
      <c r="D28" s="147">
        <v>99445056</v>
      </c>
      <c r="E28" s="393">
        <v>63151090</v>
      </c>
      <c r="F28" s="147">
        <v>25808835</v>
      </c>
      <c r="G28" s="147">
        <v>29516557</v>
      </c>
      <c r="H28" s="394">
        <v>14568766</v>
      </c>
      <c r="I28" s="147">
        <v>11795555</v>
      </c>
      <c r="J28" s="150">
        <v>41.27</v>
      </c>
      <c r="K28" s="151">
        <v>70.489999999999995</v>
      </c>
      <c r="L28" s="382">
        <f t="shared" si="0"/>
        <v>8.3561212777324451E-2</v>
      </c>
    </row>
    <row r="29" spans="1:12" ht="13.15" customHeight="1" x14ac:dyDescent="0.35">
      <c r="A29" s="41" t="s">
        <v>43</v>
      </c>
      <c r="B29" s="125">
        <v>34588782</v>
      </c>
      <c r="C29" s="125">
        <v>16431243</v>
      </c>
      <c r="D29" s="147">
        <v>16786351</v>
      </c>
      <c r="E29" s="393">
        <v>10147646</v>
      </c>
      <c r="F29" s="147">
        <v>5707648</v>
      </c>
      <c r="G29" s="147">
        <v>9078355</v>
      </c>
      <c r="H29" s="394">
        <v>2862839</v>
      </c>
      <c r="I29" s="147">
        <v>1707224</v>
      </c>
      <c r="J29" s="150">
        <v>55.27</v>
      </c>
      <c r="K29" s="151">
        <v>115.62</v>
      </c>
      <c r="L29" s="382">
        <f t="shared" si="0"/>
        <v>1.410515418349056E-2</v>
      </c>
    </row>
    <row r="30" spans="1:12" s="6" customFormat="1" ht="19.5" customHeight="1" x14ac:dyDescent="0.4">
      <c r="A30" s="43" t="s">
        <v>44</v>
      </c>
      <c r="B30" s="155">
        <f>SUM(B3:B29)</f>
        <v>1875201127</v>
      </c>
      <c r="C30" s="155">
        <f>SUM(C3:C29)</f>
        <v>1125609824</v>
      </c>
      <c r="D30" s="104">
        <f t="shared" ref="D30:I30" si="1">SUM(D3:D29)</f>
        <v>1190086317.5</v>
      </c>
      <c r="E30" s="152">
        <f t="shared" si="1"/>
        <v>738460609.25</v>
      </c>
      <c r="F30" s="152">
        <f t="shared" si="1"/>
        <v>290587550.70999998</v>
      </c>
      <c r="G30" s="152">
        <f t="shared" si="1"/>
        <v>418347589.97000003</v>
      </c>
      <c r="H30" s="152">
        <f t="shared" si="1"/>
        <v>154121357.53999999</v>
      </c>
      <c r="I30" s="152">
        <f t="shared" si="1"/>
        <v>112413263.75</v>
      </c>
      <c r="J30" s="153"/>
      <c r="K30" s="153"/>
      <c r="L30" s="105"/>
    </row>
  </sheetData>
  <pageMargins left="0.7" right="0.7" top="0.75" bottom="0.75" header="0.3" footer="0.3"/>
  <pageSetup paperSize="9" orientation="portrait" r:id="rId1"/>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sheetPr>
    <tabColor rgb="FF7030A0"/>
  </sheetPr>
  <dimension ref="A1:L35"/>
  <sheetViews>
    <sheetView workbookViewId="0">
      <pane ySplit="2" topLeftCell="A21" activePane="bottomLeft" state="frozen"/>
      <selection pane="bottomLeft"/>
    </sheetView>
  </sheetViews>
  <sheetFormatPr defaultRowHeight="12.75" x14ac:dyDescent="0.35"/>
  <cols>
    <col min="1" max="1" width="40.73046875" customWidth="1"/>
    <col min="2" max="3" width="20.265625" customWidth="1"/>
    <col min="4" max="4" width="14.265625" customWidth="1"/>
    <col min="5" max="5" width="13.3984375" customWidth="1"/>
    <col min="6" max="6" width="12.73046875" customWidth="1"/>
    <col min="7" max="7" width="16.3984375" customWidth="1"/>
    <col min="8" max="8" width="13" customWidth="1"/>
    <col min="9" max="9" width="12.3984375" customWidth="1"/>
    <col min="12" max="12" width="12.73046875" style="161" customWidth="1"/>
  </cols>
  <sheetData>
    <row r="1" spans="1:12" ht="13.15" customHeight="1" x14ac:dyDescent="0.4">
      <c r="A1" s="10" t="s">
        <v>75</v>
      </c>
      <c r="B1" s="119"/>
      <c r="C1" s="119"/>
      <c r="D1" s="4"/>
      <c r="E1" s="2"/>
      <c r="F1" s="2"/>
      <c r="G1" s="2"/>
      <c r="H1" s="2"/>
      <c r="I1" s="2"/>
      <c r="J1" s="2"/>
      <c r="K1" s="2"/>
      <c r="L1" s="158"/>
    </row>
    <row r="2" spans="1:12" s="6" customFormat="1" ht="27.75" customHeight="1" x14ac:dyDescent="0.4">
      <c r="A2" s="10" t="s">
        <v>8</v>
      </c>
      <c r="B2" s="10" t="s">
        <v>9</v>
      </c>
      <c r="C2" s="10" t="s">
        <v>10</v>
      </c>
      <c r="D2" s="11" t="s">
        <v>67</v>
      </c>
      <c r="E2" s="12" t="s">
        <v>12</v>
      </c>
      <c r="F2" s="12" t="s">
        <v>72</v>
      </c>
      <c r="G2" s="13" t="s">
        <v>14</v>
      </c>
      <c r="H2" s="13" t="s">
        <v>15</v>
      </c>
      <c r="I2" s="13" t="s">
        <v>16</v>
      </c>
      <c r="J2" s="13" t="s">
        <v>17</v>
      </c>
      <c r="K2" s="13" t="s">
        <v>18</v>
      </c>
      <c r="L2" s="159" t="s">
        <v>19</v>
      </c>
    </row>
    <row r="3" spans="1:12" ht="13.15" customHeight="1" x14ac:dyDescent="0.4">
      <c r="A3" s="175" t="s">
        <v>20</v>
      </c>
      <c r="B3" s="49">
        <v>82749549</v>
      </c>
      <c r="C3" s="49">
        <v>34873359</v>
      </c>
      <c r="D3" s="82">
        <v>27419903</v>
      </c>
      <c r="E3" s="397">
        <v>7769016</v>
      </c>
      <c r="F3" s="82">
        <v>980642</v>
      </c>
      <c r="G3" s="82">
        <v>2451924</v>
      </c>
      <c r="H3" s="397">
        <v>3059295</v>
      </c>
      <c r="I3" s="82">
        <v>6207071</v>
      </c>
      <c r="J3" s="83">
        <v>21.94</v>
      </c>
      <c r="K3" s="83">
        <v>123.31</v>
      </c>
      <c r="L3" s="382">
        <f t="shared" ref="L3:L31" si="0">D3/$D$32</f>
        <v>7.365070181241884E-2</v>
      </c>
    </row>
    <row r="4" spans="1:12" ht="13.15" customHeight="1" x14ac:dyDescent="0.4">
      <c r="A4" s="175" t="s">
        <v>21</v>
      </c>
      <c r="B4" s="49">
        <v>36810104</v>
      </c>
      <c r="C4" s="49">
        <v>21170709</v>
      </c>
      <c r="D4" s="82">
        <v>10665796</v>
      </c>
      <c r="E4" s="397">
        <v>7408302</v>
      </c>
      <c r="F4" s="82">
        <v>2258265</v>
      </c>
      <c r="G4" s="82">
        <v>3488653</v>
      </c>
      <c r="H4" s="397">
        <v>816273</v>
      </c>
      <c r="I4" s="82">
        <v>443285</v>
      </c>
      <c r="J4" s="83">
        <v>55.24</v>
      </c>
      <c r="K4" s="83">
        <v>105.31</v>
      </c>
      <c r="L4" s="382">
        <f t="shared" si="0"/>
        <v>2.8648655715087307E-2</v>
      </c>
    </row>
    <row r="5" spans="1:12" ht="13.15" customHeight="1" x14ac:dyDescent="0.4">
      <c r="A5" s="175" t="s">
        <v>60</v>
      </c>
      <c r="B5" s="49">
        <v>31422229</v>
      </c>
      <c r="C5" s="49">
        <v>22141037</v>
      </c>
      <c r="D5" s="82">
        <v>3812646</v>
      </c>
      <c r="E5" s="397">
        <v>2561441</v>
      </c>
      <c r="F5" s="82">
        <v>529223</v>
      </c>
      <c r="G5" s="82">
        <v>2113288</v>
      </c>
      <c r="H5" s="397">
        <v>728982</v>
      </c>
      <c r="I5" s="82">
        <v>366087</v>
      </c>
      <c r="J5" s="162">
        <v>12.27</v>
      </c>
      <c r="K5" s="163">
        <v>65.88</v>
      </c>
      <c r="L5" s="382">
        <f t="shared" si="0"/>
        <v>1.0240884282570636E-2</v>
      </c>
    </row>
    <row r="6" spans="1:12" ht="13.15" customHeight="1" x14ac:dyDescent="0.4">
      <c r="A6" s="175" t="s">
        <v>22</v>
      </c>
      <c r="B6" s="49">
        <v>50059747</v>
      </c>
      <c r="C6" s="49">
        <v>29296665</v>
      </c>
      <c r="D6" s="82">
        <v>10221438</v>
      </c>
      <c r="E6" s="397">
        <v>8335570</v>
      </c>
      <c r="F6" s="82">
        <v>2922119</v>
      </c>
      <c r="G6" s="82">
        <v>2746539</v>
      </c>
      <c r="H6" s="397">
        <v>1177177</v>
      </c>
      <c r="I6" s="82">
        <v>615329</v>
      </c>
      <c r="J6" s="83">
        <v>51.25</v>
      </c>
      <c r="K6" s="83">
        <v>68.819999999999993</v>
      </c>
      <c r="L6" s="382">
        <f t="shared" si="0"/>
        <v>2.7455096476166483E-2</v>
      </c>
    </row>
    <row r="7" spans="1:12" ht="13.15" customHeight="1" x14ac:dyDescent="0.4">
      <c r="A7" s="175" t="s">
        <v>23</v>
      </c>
      <c r="B7" s="49">
        <v>173004168</v>
      </c>
      <c r="C7" s="49">
        <v>117171604</v>
      </c>
      <c r="D7" s="82">
        <v>56163252</v>
      </c>
      <c r="E7" s="397">
        <v>36152810</v>
      </c>
      <c r="F7" s="82">
        <v>16709097</v>
      </c>
      <c r="G7" s="82">
        <v>10327329</v>
      </c>
      <c r="H7" s="397">
        <v>5892949</v>
      </c>
      <c r="I7" s="82">
        <v>3598613</v>
      </c>
      <c r="J7" s="83">
        <v>68.319999999999993</v>
      </c>
      <c r="K7" s="83">
        <v>66.319999999999993</v>
      </c>
      <c r="L7" s="382">
        <f t="shared" si="0"/>
        <v>0.15085622023782272</v>
      </c>
    </row>
    <row r="8" spans="1:12" ht="13.15" customHeight="1" x14ac:dyDescent="0.4">
      <c r="A8" s="175" t="s">
        <v>24</v>
      </c>
      <c r="B8" s="49">
        <v>50513854</v>
      </c>
      <c r="C8" s="49">
        <v>28829552</v>
      </c>
      <c r="D8" s="82">
        <v>11377858</v>
      </c>
      <c r="E8" s="397">
        <v>8947936</v>
      </c>
      <c r="F8" s="82">
        <v>2011021</v>
      </c>
      <c r="G8" s="82">
        <v>3166528</v>
      </c>
      <c r="H8" s="397">
        <v>1960992</v>
      </c>
      <c r="I8" s="82">
        <v>780101</v>
      </c>
      <c r="J8" s="83">
        <v>24.47</v>
      </c>
      <c r="K8" s="83">
        <v>62.38</v>
      </c>
      <c r="L8" s="382">
        <f t="shared" si="0"/>
        <v>3.0561276122021443E-2</v>
      </c>
    </row>
    <row r="9" spans="1:12" ht="13.15" customHeight="1" x14ac:dyDescent="0.4">
      <c r="A9" s="175" t="s">
        <v>25</v>
      </c>
      <c r="B9" s="49">
        <v>132083023</v>
      </c>
      <c r="C9" s="49">
        <v>82240819</v>
      </c>
      <c r="D9" s="82">
        <v>13599893</v>
      </c>
      <c r="E9" s="397">
        <v>7765924</v>
      </c>
      <c r="F9" s="82">
        <v>3649526</v>
      </c>
      <c r="G9" s="82">
        <v>2893355</v>
      </c>
      <c r="H9" s="397">
        <v>1068185</v>
      </c>
      <c r="I9" s="82">
        <v>513213</v>
      </c>
      <c r="J9" s="83">
        <v>47.58</v>
      </c>
      <c r="K9" s="83">
        <v>51.65</v>
      </c>
      <c r="L9" s="382">
        <f t="shared" si="0"/>
        <v>3.6529730394152096E-2</v>
      </c>
    </row>
    <row r="10" spans="1:12" ht="13.15" customHeight="1" x14ac:dyDescent="0.4">
      <c r="A10" s="175" t="s">
        <v>26</v>
      </c>
      <c r="B10" s="49">
        <v>78648290</v>
      </c>
      <c r="C10" s="49">
        <v>54838595</v>
      </c>
      <c r="D10" s="82">
        <v>25585921</v>
      </c>
      <c r="E10" s="397">
        <v>12357824</v>
      </c>
      <c r="F10" s="82">
        <v>2773916</v>
      </c>
      <c r="G10" s="82">
        <v>5274806</v>
      </c>
      <c r="H10" s="397">
        <v>3105313</v>
      </c>
      <c r="I10" s="82">
        <v>3876760</v>
      </c>
      <c r="J10" s="83">
        <v>28.26</v>
      </c>
      <c r="K10" s="83">
        <v>85.38</v>
      </c>
      <c r="L10" s="382">
        <f t="shared" si="0"/>
        <v>6.8724569819488615E-2</v>
      </c>
    </row>
    <row r="11" spans="1:12" ht="13.15" customHeight="1" x14ac:dyDescent="0.4">
      <c r="A11" s="175" t="s">
        <v>76</v>
      </c>
      <c r="B11" s="164"/>
      <c r="C11" s="164"/>
      <c r="D11" s="88"/>
      <c r="E11" s="398"/>
      <c r="F11" s="88"/>
      <c r="G11" s="88"/>
      <c r="H11" s="398"/>
      <c r="I11" s="88"/>
      <c r="J11" s="99"/>
      <c r="K11" s="99"/>
      <c r="L11" s="382">
        <f t="shared" si="0"/>
        <v>0</v>
      </c>
    </row>
    <row r="12" spans="1:12" ht="13.15" customHeight="1" x14ac:dyDescent="0.4">
      <c r="A12" s="175" t="s">
        <v>27</v>
      </c>
      <c r="B12" s="49">
        <v>17733241</v>
      </c>
      <c r="C12" s="49">
        <v>11844340</v>
      </c>
      <c r="D12" s="82">
        <v>2488833</v>
      </c>
      <c r="E12" s="397">
        <v>2120275</v>
      </c>
      <c r="F12" s="82">
        <v>582072</v>
      </c>
      <c r="G12" s="82">
        <v>1351213</v>
      </c>
      <c r="H12" s="397">
        <v>348437</v>
      </c>
      <c r="I12" s="82">
        <v>128995</v>
      </c>
      <c r="J12" s="83">
        <v>12.95</v>
      </c>
      <c r="K12" s="83">
        <v>37.81</v>
      </c>
      <c r="L12" s="382">
        <f t="shared" si="0"/>
        <v>6.685081896311151E-3</v>
      </c>
    </row>
    <row r="13" spans="1:12" ht="13.15" customHeight="1" x14ac:dyDescent="0.4">
      <c r="A13" s="175" t="s">
        <v>28</v>
      </c>
      <c r="B13" s="49">
        <v>156484716</v>
      </c>
      <c r="C13" s="49">
        <v>74132425</v>
      </c>
      <c r="D13" s="82">
        <v>32135410</v>
      </c>
      <c r="E13" s="397">
        <v>15387809</v>
      </c>
      <c r="F13" s="82">
        <v>4398910</v>
      </c>
      <c r="G13" s="82">
        <v>6520690</v>
      </c>
      <c r="H13" s="397">
        <v>3981127</v>
      </c>
      <c r="I13" s="82">
        <v>3400817</v>
      </c>
      <c r="J13" s="83">
        <v>41.4</v>
      </c>
      <c r="K13" s="83">
        <v>98.83</v>
      </c>
      <c r="L13" s="382">
        <f t="shared" si="0"/>
        <v>8.6316698477373263E-2</v>
      </c>
    </row>
    <row r="14" spans="1:12" ht="13.15" customHeight="1" x14ac:dyDescent="0.4">
      <c r="A14" s="175" t="s">
        <v>46</v>
      </c>
      <c r="B14" s="49">
        <v>23640822</v>
      </c>
      <c r="C14" s="49">
        <v>14933554</v>
      </c>
      <c r="D14" s="82">
        <v>3197185</v>
      </c>
      <c r="E14" s="397">
        <v>2737543</v>
      </c>
      <c r="F14" s="82">
        <v>593050</v>
      </c>
      <c r="G14" s="82">
        <v>1760978</v>
      </c>
      <c r="H14" s="397">
        <v>527001</v>
      </c>
      <c r="I14" s="82">
        <v>148805</v>
      </c>
      <c r="J14" s="83">
        <v>25.25</v>
      </c>
      <c r="K14" s="83">
        <v>97.39</v>
      </c>
      <c r="L14" s="382">
        <f t="shared" si="0"/>
        <v>8.5877371292720581E-3</v>
      </c>
    </row>
    <row r="15" spans="1:12" ht="13.15" customHeight="1" x14ac:dyDescent="0.4">
      <c r="A15" s="175" t="s">
        <v>69</v>
      </c>
      <c r="B15" s="49">
        <v>18866752</v>
      </c>
      <c r="C15" s="49">
        <v>13151615</v>
      </c>
      <c r="D15" s="82">
        <v>1687364</v>
      </c>
      <c r="E15" s="397">
        <v>1494853</v>
      </c>
      <c r="F15" s="82">
        <v>61970</v>
      </c>
      <c r="G15" s="82">
        <v>924002</v>
      </c>
      <c r="H15" s="397">
        <v>206016</v>
      </c>
      <c r="I15" s="83"/>
      <c r="J15" s="83">
        <v>10.92</v>
      </c>
      <c r="K15" s="83">
        <v>199.04</v>
      </c>
      <c r="L15" s="382">
        <f t="shared" si="0"/>
        <v>4.5323115407450675E-3</v>
      </c>
    </row>
    <row r="16" spans="1:12" ht="13.15" customHeight="1" x14ac:dyDescent="0.4">
      <c r="A16" s="175" t="s">
        <v>29</v>
      </c>
      <c r="B16" s="165">
        <v>44032953</v>
      </c>
      <c r="C16" s="165">
        <v>34232942</v>
      </c>
      <c r="D16" s="166">
        <v>7074421</v>
      </c>
      <c r="E16" s="399">
        <v>6168357</v>
      </c>
      <c r="F16" s="166">
        <v>1401294</v>
      </c>
      <c r="G16" s="166">
        <v>1921852</v>
      </c>
      <c r="H16" s="399">
        <v>546779</v>
      </c>
      <c r="I16" s="166">
        <v>233491</v>
      </c>
      <c r="J16" s="167">
        <v>39.14</v>
      </c>
      <c r="K16" s="83">
        <v>68.95</v>
      </c>
      <c r="L16" s="382">
        <f t="shared" si="0"/>
        <v>1.9002112136082827E-2</v>
      </c>
    </row>
    <row r="17" spans="1:12" ht="13.15" customHeight="1" x14ac:dyDescent="0.4">
      <c r="A17" s="175" t="s">
        <v>70</v>
      </c>
      <c r="B17" s="49">
        <v>16371923</v>
      </c>
      <c r="C17" s="49">
        <v>11862903</v>
      </c>
      <c r="D17" s="82">
        <v>550610</v>
      </c>
      <c r="E17" s="397">
        <v>550610</v>
      </c>
      <c r="F17" s="82">
        <v>1190</v>
      </c>
      <c r="G17" s="82">
        <v>601493</v>
      </c>
      <c r="H17" s="397">
        <v>55628</v>
      </c>
      <c r="I17" s="83">
        <v>0</v>
      </c>
      <c r="J17" s="83">
        <v>0.34</v>
      </c>
      <c r="K17" s="83">
        <v>188.84</v>
      </c>
      <c r="L17" s="382">
        <f t="shared" si="0"/>
        <v>1.4789553750403834E-3</v>
      </c>
    </row>
    <row r="18" spans="1:12" ht="13.15" customHeight="1" x14ac:dyDescent="0.4">
      <c r="A18" s="175" t="s">
        <v>31</v>
      </c>
      <c r="B18" s="49">
        <v>49763515</v>
      </c>
      <c r="C18" s="49">
        <v>34225296</v>
      </c>
      <c r="D18" s="82">
        <v>13324794</v>
      </c>
      <c r="E18" s="397">
        <v>8795717</v>
      </c>
      <c r="F18" s="82">
        <v>3369534</v>
      </c>
      <c r="G18" s="82">
        <v>8497683</v>
      </c>
      <c r="H18" s="397">
        <v>1789223</v>
      </c>
      <c r="I18" s="82">
        <v>1162021</v>
      </c>
      <c r="J18" s="83">
        <v>38.58</v>
      </c>
      <c r="K18" s="83">
        <v>117.77</v>
      </c>
      <c r="L18" s="382">
        <f t="shared" si="0"/>
        <v>3.5790806028960336E-2</v>
      </c>
    </row>
    <row r="19" spans="1:12" ht="13.15" customHeight="1" x14ac:dyDescent="0.4">
      <c r="A19" s="175" t="s">
        <v>32</v>
      </c>
      <c r="B19" s="49">
        <v>80772845</v>
      </c>
      <c r="C19" s="49">
        <v>58352310</v>
      </c>
      <c r="D19" s="82">
        <v>15178986</v>
      </c>
      <c r="E19" s="397">
        <v>11436292</v>
      </c>
      <c r="F19" s="82">
        <v>4145445</v>
      </c>
      <c r="G19" s="82">
        <v>5698352</v>
      </c>
      <c r="H19" s="397">
        <v>2133283</v>
      </c>
      <c r="I19" s="82">
        <v>1326194</v>
      </c>
      <c r="J19" s="83">
        <v>30.02</v>
      </c>
      <c r="K19" s="83">
        <v>56.71</v>
      </c>
      <c r="L19" s="382">
        <f t="shared" si="0"/>
        <v>4.0771222702752817E-2</v>
      </c>
    </row>
    <row r="20" spans="1:12" ht="13.15" customHeight="1" x14ac:dyDescent="0.4">
      <c r="A20" s="175" t="s">
        <v>33</v>
      </c>
      <c r="B20" s="49">
        <v>45966447</v>
      </c>
      <c r="C20" s="49">
        <v>22160878</v>
      </c>
      <c r="D20" s="82">
        <v>12920321</v>
      </c>
      <c r="E20" s="397">
        <v>10764763</v>
      </c>
      <c r="F20" s="82">
        <v>1983147</v>
      </c>
      <c r="G20" s="82">
        <v>3356458</v>
      </c>
      <c r="H20" s="397">
        <v>1424187</v>
      </c>
      <c r="I20" s="82">
        <v>904014</v>
      </c>
      <c r="J20" s="83">
        <v>38.35</v>
      </c>
      <c r="K20" s="83">
        <v>92.45</v>
      </c>
      <c r="L20" s="382">
        <f t="shared" si="0"/>
        <v>3.4704379125328533E-2</v>
      </c>
    </row>
    <row r="21" spans="1:12" ht="13.15" customHeight="1" x14ac:dyDescent="0.4">
      <c r="A21" s="175" t="s">
        <v>34</v>
      </c>
      <c r="B21" s="49">
        <v>38961096</v>
      </c>
      <c r="C21" s="49">
        <v>17658980</v>
      </c>
      <c r="D21" s="82">
        <v>4312812</v>
      </c>
      <c r="E21" s="397">
        <v>4177321</v>
      </c>
      <c r="F21" s="82">
        <v>968711</v>
      </c>
      <c r="G21" s="82">
        <v>2244421</v>
      </c>
      <c r="H21" s="397">
        <v>440533</v>
      </c>
      <c r="I21" s="82">
        <v>78280</v>
      </c>
      <c r="J21" s="83">
        <v>28.29</v>
      </c>
      <c r="K21" s="83">
        <v>78.42</v>
      </c>
      <c r="L21" s="382">
        <f t="shared" si="0"/>
        <v>1.1584345523943747E-2</v>
      </c>
    </row>
    <row r="22" spans="1:12" ht="13.15" customHeight="1" x14ac:dyDescent="0.4">
      <c r="A22" s="175" t="s">
        <v>35</v>
      </c>
      <c r="B22" s="49">
        <v>69802269</v>
      </c>
      <c r="C22" s="49">
        <v>41317466</v>
      </c>
      <c r="D22" s="82">
        <v>8663021</v>
      </c>
      <c r="E22" s="397">
        <v>6769567</v>
      </c>
      <c r="F22" s="82">
        <v>-103138</v>
      </c>
      <c r="G22" s="82">
        <v>2676683</v>
      </c>
      <c r="H22" s="397">
        <v>735445</v>
      </c>
      <c r="I22" s="82">
        <v>593831</v>
      </c>
      <c r="J22" s="83">
        <v>-2.79</v>
      </c>
      <c r="K22" s="83">
        <v>92.37</v>
      </c>
      <c r="L22" s="382">
        <f t="shared" si="0"/>
        <v>2.326914053874379E-2</v>
      </c>
    </row>
    <row r="23" spans="1:12" ht="13.15" customHeight="1" x14ac:dyDescent="0.4">
      <c r="A23" s="175" t="s">
        <v>36</v>
      </c>
      <c r="B23" s="49">
        <v>59185211</v>
      </c>
      <c r="C23" s="49">
        <v>31533198</v>
      </c>
      <c r="D23" s="82">
        <v>10220321</v>
      </c>
      <c r="E23" s="397">
        <v>7236830</v>
      </c>
      <c r="F23" s="82">
        <v>2927568</v>
      </c>
      <c r="G23" s="82">
        <v>4551146</v>
      </c>
      <c r="H23" s="397">
        <v>1149908</v>
      </c>
      <c r="I23" s="82">
        <v>934368</v>
      </c>
      <c r="J23" s="83">
        <v>45.09</v>
      </c>
      <c r="K23" s="83">
        <v>87.81</v>
      </c>
      <c r="L23" s="382">
        <f t="shared" si="0"/>
        <v>2.7452096179851632E-2</v>
      </c>
    </row>
    <row r="24" spans="1:12" ht="13.15" customHeight="1" x14ac:dyDescent="0.4">
      <c r="A24" s="175" t="s">
        <v>62</v>
      </c>
      <c r="B24" s="49">
        <v>33298572</v>
      </c>
      <c r="C24" s="49">
        <v>15053716</v>
      </c>
      <c r="D24" s="82">
        <v>7735798</v>
      </c>
      <c r="E24" s="397">
        <v>7680995</v>
      </c>
      <c r="F24" s="82">
        <v>2519412</v>
      </c>
      <c r="G24" s="82">
        <v>3260573</v>
      </c>
      <c r="H24" s="397">
        <v>1255352</v>
      </c>
      <c r="I24" s="82">
        <v>479668</v>
      </c>
      <c r="J24" s="83">
        <v>37.659999999999997</v>
      </c>
      <c r="K24" s="83">
        <v>67.510000000000005</v>
      </c>
      <c r="L24" s="382">
        <f t="shared" si="0"/>
        <v>2.077859107594604E-2</v>
      </c>
    </row>
    <row r="25" spans="1:12" ht="13.15" customHeight="1" x14ac:dyDescent="0.4">
      <c r="A25" s="175" t="s">
        <v>38</v>
      </c>
      <c r="B25" s="49"/>
      <c r="C25" s="49"/>
      <c r="D25" s="82"/>
      <c r="E25" s="397"/>
      <c r="F25" s="82"/>
      <c r="G25" s="82"/>
      <c r="H25" s="397"/>
      <c r="I25" s="83"/>
      <c r="J25" s="168"/>
      <c r="K25" s="99"/>
      <c r="L25" s="382">
        <f t="shared" si="0"/>
        <v>0</v>
      </c>
    </row>
    <row r="26" spans="1:12" ht="13.15" customHeight="1" x14ac:dyDescent="0.4">
      <c r="A26" s="175" t="s">
        <v>77</v>
      </c>
      <c r="B26" s="49"/>
      <c r="C26" s="49"/>
      <c r="D26" s="82"/>
      <c r="E26" s="397"/>
      <c r="F26" s="82"/>
      <c r="G26" s="82"/>
      <c r="H26" s="397"/>
      <c r="I26" s="82"/>
      <c r="J26" s="168"/>
      <c r="K26" s="99"/>
      <c r="L26" s="382">
        <f t="shared" si="0"/>
        <v>0</v>
      </c>
    </row>
    <row r="27" spans="1:12" ht="13.15" customHeight="1" x14ac:dyDescent="0.4">
      <c r="A27" s="175" t="s">
        <v>39</v>
      </c>
      <c r="B27" s="49">
        <v>209772973</v>
      </c>
      <c r="C27" s="49">
        <v>126841913</v>
      </c>
      <c r="D27" s="82">
        <v>45427145</v>
      </c>
      <c r="E27" s="397">
        <v>31890576</v>
      </c>
      <c r="F27" s="82">
        <v>12818967</v>
      </c>
      <c r="G27" s="82">
        <v>22962746</v>
      </c>
      <c r="H27" s="397">
        <v>5344450</v>
      </c>
      <c r="I27" s="82">
        <v>3166423</v>
      </c>
      <c r="J27" s="162">
        <v>30</v>
      </c>
      <c r="K27" s="162">
        <v>66.239999999999995</v>
      </c>
      <c r="L27" s="382">
        <f t="shared" si="0"/>
        <v>0.12201870701674303</v>
      </c>
    </row>
    <row r="28" spans="1:12" s="156" customFormat="1" ht="15" customHeight="1" x14ac:dyDescent="0.35">
      <c r="A28" s="176" t="s">
        <v>40</v>
      </c>
      <c r="B28" s="169">
        <v>338339633</v>
      </c>
      <c r="C28" s="169">
        <v>285415613</v>
      </c>
      <c r="D28" s="169">
        <v>38441674</v>
      </c>
      <c r="E28" s="169">
        <v>33375342</v>
      </c>
      <c r="F28" s="169">
        <v>11185671</v>
      </c>
      <c r="G28" s="169">
        <v>10768996</v>
      </c>
      <c r="H28" s="169">
        <v>6707750</v>
      </c>
      <c r="I28" s="169">
        <v>1737546</v>
      </c>
      <c r="J28" s="170">
        <v>29.94</v>
      </c>
      <c r="K28" s="170">
        <v>46.77</v>
      </c>
      <c r="L28" s="400">
        <f t="shared" si="0"/>
        <v>0.10325551731325286</v>
      </c>
    </row>
    <row r="29" spans="1:12" x14ac:dyDescent="0.35">
      <c r="A29" s="177" t="s">
        <v>41</v>
      </c>
      <c r="B29" s="171">
        <v>27834465</v>
      </c>
      <c r="C29" s="171">
        <v>23008377</v>
      </c>
      <c r="D29" s="171">
        <v>3492988</v>
      </c>
      <c r="E29" s="171">
        <v>3136054</v>
      </c>
      <c r="F29" s="171">
        <v>1134644</v>
      </c>
      <c r="G29" s="171">
        <v>1904085</v>
      </c>
      <c r="H29" s="171">
        <v>121889</v>
      </c>
      <c r="I29" s="172"/>
      <c r="J29" s="172">
        <v>40.94</v>
      </c>
      <c r="K29" s="172">
        <v>73.099999999999994</v>
      </c>
      <c r="L29" s="382">
        <f t="shared" si="0"/>
        <v>9.3822730745020226E-3</v>
      </c>
    </row>
    <row r="30" spans="1:12" x14ac:dyDescent="0.35">
      <c r="A30" s="177" t="s">
        <v>42</v>
      </c>
      <c r="B30" s="172"/>
      <c r="C30" s="172"/>
      <c r="D30" s="172"/>
      <c r="E30" s="172"/>
      <c r="F30" s="172"/>
      <c r="G30" s="172"/>
      <c r="H30" s="172"/>
      <c r="I30" s="172"/>
      <c r="J30" s="172"/>
      <c r="K30" s="172"/>
      <c r="L30" s="382">
        <f t="shared" si="0"/>
        <v>0</v>
      </c>
    </row>
    <row r="31" spans="1:12" x14ac:dyDescent="0.35">
      <c r="A31" s="177" t="s">
        <v>43</v>
      </c>
      <c r="B31" s="171">
        <v>37263989</v>
      </c>
      <c r="C31" s="171">
        <v>19655339</v>
      </c>
      <c r="D31" s="171">
        <v>6598171</v>
      </c>
      <c r="E31" s="171">
        <v>4110318</v>
      </c>
      <c r="F31" s="171">
        <v>877325</v>
      </c>
      <c r="G31" s="171">
        <v>2353635</v>
      </c>
      <c r="H31" s="171">
        <v>970026</v>
      </c>
      <c r="I31" s="172"/>
      <c r="J31" s="172">
        <v>20.56</v>
      </c>
      <c r="K31" s="172">
        <v>77.87</v>
      </c>
      <c r="L31" s="382">
        <f t="shared" si="0"/>
        <v>1.7722890005422317E-2</v>
      </c>
    </row>
    <row r="32" spans="1:12" s="6" customFormat="1" x14ac:dyDescent="0.35">
      <c r="A32" s="177" t="s">
        <v>44</v>
      </c>
      <c r="B32" s="173">
        <f t="shared" ref="B32:I32" si="1">SUM(B3:B31)</f>
        <v>1903382386</v>
      </c>
      <c r="C32" s="173">
        <f t="shared" si="1"/>
        <v>1225943205</v>
      </c>
      <c r="D32" s="173">
        <f t="shared" si="1"/>
        <v>372296561</v>
      </c>
      <c r="E32" s="173">
        <f t="shared" si="1"/>
        <v>249132045</v>
      </c>
      <c r="F32" s="173">
        <f t="shared" si="1"/>
        <v>80699581</v>
      </c>
      <c r="G32" s="173">
        <f t="shared" si="1"/>
        <v>113817428</v>
      </c>
      <c r="H32" s="173">
        <f t="shared" si="1"/>
        <v>45546200</v>
      </c>
      <c r="I32" s="173">
        <f t="shared" si="1"/>
        <v>30694912</v>
      </c>
      <c r="J32" s="174"/>
      <c r="K32" s="174"/>
      <c r="L32" s="160">
        <f>SUM(L3:L31)</f>
        <v>0.99999999999999989</v>
      </c>
    </row>
    <row r="35" spans="8:8" x14ac:dyDescent="0.35">
      <c r="H35" s="157"/>
    </row>
  </sheetData>
  <pageMargins left="0.7" right="0.7" top="0.75" bottom="0.75" header="0.3" footer="0.3"/>
  <pageSetup paperSize="9" orientation="portrait" r:id="rId1"/>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sheetPr>
    <tabColor rgb="FF7030A0"/>
  </sheetPr>
  <dimension ref="A1:L32"/>
  <sheetViews>
    <sheetView workbookViewId="0">
      <selection sqref="A1:XFD1048576"/>
    </sheetView>
  </sheetViews>
  <sheetFormatPr defaultRowHeight="12.75" x14ac:dyDescent="0.35"/>
  <cols>
    <col min="1" max="1" width="45.3984375" customWidth="1"/>
    <col min="2" max="3" width="14.265625" bestFit="1" customWidth="1"/>
    <col min="4" max="6" width="12.3984375" bestFit="1" customWidth="1"/>
    <col min="7" max="7" width="13.265625" bestFit="1" customWidth="1"/>
    <col min="8" max="8" width="13.73046875" customWidth="1"/>
    <col min="9" max="9" width="11.73046875" customWidth="1"/>
  </cols>
  <sheetData>
    <row r="1" spans="1:12" ht="13.15" customHeight="1" x14ac:dyDescent="0.4">
      <c r="A1" s="10" t="s">
        <v>78</v>
      </c>
      <c r="B1" s="119"/>
      <c r="C1" s="119"/>
      <c r="D1" s="4"/>
      <c r="E1" s="2"/>
      <c r="F1" s="2"/>
      <c r="G1" s="2"/>
      <c r="H1" s="2"/>
      <c r="I1" s="2"/>
      <c r="J1" s="2"/>
      <c r="K1" s="2"/>
      <c r="L1" s="158"/>
    </row>
    <row r="2" spans="1:12" s="6" customFormat="1" ht="27.75" customHeight="1" x14ac:dyDescent="0.4">
      <c r="A2" s="10" t="s">
        <v>8</v>
      </c>
      <c r="B2" s="10" t="s">
        <v>9</v>
      </c>
      <c r="C2" s="10" t="s">
        <v>10</v>
      </c>
      <c r="D2" s="11" t="s">
        <v>67</v>
      </c>
      <c r="E2" s="12" t="s">
        <v>12</v>
      </c>
      <c r="F2" s="12" t="s">
        <v>72</v>
      </c>
      <c r="G2" s="13" t="s">
        <v>14</v>
      </c>
      <c r="H2" s="13" t="s">
        <v>15</v>
      </c>
      <c r="I2" s="13" t="s">
        <v>16</v>
      </c>
      <c r="J2" s="189" t="s">
        <v>79</v>
      </c>
      <c r="K2" s="13" t="s">
        <v>80</v>
      </c>
      <c r="L2" s="159" t="s">
        <v>19</v>
      </c>
    </row>
    <row r="3" spans="1:12" x14ac:dyDescent="0.35">
      <c r="A3" s="179" t="s">
        <v>20</v>
      </c>
      <c r="B3" s="180">
        <v>69214937</v>
      </c>
      <c r="C3" s="180">
        <v>28918290</v>
      </c>
      <c r="D3" s="180">
        <v>39740617</v>
      </c>
      <c r="E3" s="180">
        <v>9129411</v>
      </c>
      <c r="F3" s="180">
        <v>1853537</v>
      </c>
      <c r="G3" s="180">
        <v>6146442</v>
      </c>
      <c r="H3" s="180">
        <v>3831559</v>
      </c>
      <c r="I3" s="180">
        <v>8604005</v>
      </c>
      <c r="J3" s="187">
        <v>25</v>
      </c>
      <c r="K3" s="187">
        <v>134.6</v>
      </c>
      <c r="L3" s="181">
        <f t="shared" ref="L3:L31" si="0">D3/$D$32</f>
        <v>5.6319589884562919E-2</v>
      </c>
    </row>
    <row r="4" spans="1:12" x14ac:dyDescent="0.35">
      <c r="A4" s="179" t="s">
        <v>21</v>
      </c>
      <c r="B4" s="180">
        <v>38228734</v>
      </c>
      <c r="C4" s="180">
        <v>21476927</v>
      </c>
      <c r="D4" s="180">
        <v>17071119</v>
      </c>
      <c r="E4" s="180">
        <v>12603700</v>
      </c>
      <c r="F4" s="180">
        <v>4539392</v>
      </c>
      <c r="G4" s="180">
        <v>7376773</v>
      </c>
      <c r="H4" s="180">
        <v>1840791</v>
      </c>
      <c r="I4" s="180">
        <v>813473</v>
      </c>
      <c r="J4" s="187">
        <v>48.65</v>
      </c>
      <c r="K4" s="187">
        <v>98.78</v>
      </c>
      <c r="L4" s="181">
        <f t="shared" si="0"/>
        <v>2.4192840814488858E-2</v>
      </c>
    </row>
    <row r="5" spans="1:12" x14ac:dyDescent="0.35">
      <c r="A5" s="179" t="s">
        <v>60</v>
      </c>
      <c r="B5" s="180">
        <v>32379263</v>
      </c>
      <c r="C5" s="180">
        <v>22735693</v>
      </c>
      <c r="D5" s="180">
        <v>7799330</v>
      </c>
      <c r="E5" s="180">
        <v>6416918</v>
      </c>
      <c r="F5" s="180">
        <v>140708</v>
      </c>
      <c r="G5" s="180">
        <v>4328163</v>
      </c>
      <c r="H5" s="180">
        <v>1340985</v>
      </c>
      <c r="I5" s="180">
        <v>527507</v>
      </c>
      <c r="J5" s="187">
        <v>2.1</v>
      </c>
      <c r="K5" s="187">
        <v>84.69</v>
      </c>
      <c r="L5" s="181">
        <f t="shared" si="0"/>
        <v>1.1053051012629423E-2</v>
      </c>
    </row>
    <row r="6" spans="1:12" x14ac:dyDescent="0.35">
      <c r="A6" s="179" t="s">
        <v>22</v>
      </c>
      <c r="B6" s="180">
        <v>52109649</v>
      </c>
      <c r="C6" s="180">
        <v>32665514</v>
      </c>
      <c r="D6" s="180">
        <v>18339391</v>
      </c>
      <c r="E6" s="180">
        <v>14702106</v>
      </c>
      <c r="F6" s="180">
        <v>5719560</v>
      </c>
      <c r="G6" s="180">
        <v>5547547</v>
      </c>
      <c r="H6" s="180">
        <v>2013662</v>
      </c>
      <c r="I6" s="180">
        <v>1182261</v>
      </c>
      <c r="J6" s="187">
        <v>44.03</v>
      </c>
      <c r="K6" s="187">
        <v>58.2</v>
      </c>
      <c r="L6" s="181">
        <f t="shared" si="0"/>
        <v>2.5990209962080967E-2</v>
      </c>
    </row>
    <row r="7" spans="1:12" x14ac:dyDescent="0.35">
      <c r="A7" s="179" t="s">
        <v>23</v>
      </c>
      <c r="B7" s="180">
        <v>183806576</v>
      </c>
      <c r="C7" s="180">
        <v>127975272</v>
      </c>
      <c r="D7" s="180">
        <v>103144381</v>
      </c>
      <c r="E7" s="180">
        <v>64178349</v>
      </c>
      <c r="F7" s="180">
        <v>31397581</v>
      </c>
      <c r="G7" s="180">
        <v>20204722</v>
      </c>
      <c r="H7" s="180">
        <v>12481483</v>
      </c>
      <c r="I7" s="180">
        <v>7580334</v>
      </c>
      <c r="J7" s="187">
        <v>61.02</v>
      </c>
      <c r="K7" s="187">
        <v>63.53</v>
      </c>
      <c r="L7" s="181">
        <f t="shared" si="0"/>
        <v>0.14617410788607291</v>
      </c>
    </row>
    <row r="8" spans="1:12" x14ac:dyDescent="0.35">
      <c r="A8" s="179" t="s">
        <v>24</v>
      </c>
      <c r="B8" s="180">
        <v>53679237</v>
      </c>
      <c r="C8" s="180">
        <v>26521654</v>
      </c>
      <c r="D8" s="180">
        <v>20671792</v>
      </c>
      <c r="E8" s="180">
        <v>16177569</v>
      </c>
      <c r="F8" s="180">
        <v>4679523</v>
      </c>
      <c r="G8" s="180">
        <v>6161593</v>
      </c>
      <c r="H8" s="180">
        <v>3933211</v>
      </c>
      <c r="I8" s="180">
        <v>1504168</v>
      </c>
      <c r="J8" s="187">
        <v>29.98</v>
      </c>
      <c r="K8" s="187">
        <v>64.67</v>
      </c>
      <c r="L8" s="181">
        <f t="shared" si="0"/>
        <v>2.9295640971527658E-2</v>
      </c>
    </row>
    <row r="9" spans="1:12" x14ac:dyDescent="0.35">
      <c r="A9" s="179" t="s">
        <v>25</v>
      </c>
      <c r="B9" s="180">
        <v>129039657</v>
      </c>
      <c r="C9" s="180">
        <v>80551935</v>
      </c>
      <c r="D9" s="180">
        <v>20856756</v>
      </c>
      <c r="E9" s="180">
        <v>11988584</v>
      </c>
      <c r="F9" s="180">
        <v>5870732</v>
      </c>
      <c r="G9" s="180">
        <v>4275476</v>
      </c>
      <c r="H9" s="180">
        <v>3607992</v>
      </c>
      <c r="I9" s="180">
        <v>2868053</v>
      </c>
      <c r="J9" s="187">
        <v>52.78</v>
      </c>
      <c r="K9" s="187">
        <v>70.87</v>
      </c>
      <c r="L9" s="181">
        <f t="shared" si="0"/>
        <v>2.9557768170594759E-2</v>
      </c>
    </row>
    <row r="10" spans="1:12" x14ac:dyDescent="0.35">
      <c r="A10" s="179" t="s">
        <v>26</v>
      </c>
      <c r="B10" s="180">
        <v>86442783</v>
      </c>
      <c r="C10" s="180">
        <v>57664597</v>
      </c>
      <c r="D10" s="180">
        <v>48870897</v>
      </c>
      <c r="E10" s="180">
        <v>22665296</v>
      </c>
      <c r="F10" s="180">
        <v>4140922</v>
      </c>
      <c r="G10" s="180">
        <v>10733712</v>
      </c>
      <c r="H10" s="180">
        <v>8623017</v>
      </c>
      <c r="I10" s="180">
        <v>7953901</v>
      </c>
      <c r="J10" s="187">
        <v>23.08</v>
      </c>
      <c r="K10" s="187">
        <v>107.89</v>
      </c>
      <c r="L10" s="181">
        <f t="shared" si="0"/>
        <v>6.925883602488396E-2</v>
      </c>
    </row>
    <row r="11" spans="1:12" x14ac:dyDescent="0.35">
      <c r="A11" s="179" t="s">
        <v>76</v>
      </c>
      <c r="B11" s="182"/>
      <c r="C11" s="182"/>
      <c r="D11" s="182"/>
      <c r="E11" s="182"/>
      <c r="F11" s="182"/>
      <c r="G11" s="182"/>
      <c r="H11" s="182"/>
      <c r="I11" s="182"/>
      <c r="J11" s="187"/>
      <c r="K11" s="187"/>
      <c r="L11" s="181">
        <f t="shared" si="0"/>
        <v>0</v>
      </c>
    </row>
    <row r="12" spans="1:12" x14ac:dyDescent="0.35">
      <c r="A12" s="179" t="s">
        <v>27</v>
      </c>
      <c r="B12" s="180">
        <v>17653606</v>
      </c>
      <c r="C12" s="180">
        <v>11187269</v>
      </c>
      <c r="D12" s="180">
        <v>4379455</v>
      </c>
      <c r="E12" s="180">
        <v>3293972</v>
      </c>
      <c r="F12" s="180">
        <v>1196493</v>
      </c>
      <c r="G12" s="180">
        <v>1985500</v>
      </c>
      <c r="H12" s="180">
        <v>656918</v>
      </c>
      <c r="I12" s="180">
        <v>271371</v>
      </c>
      <c r="J12" s="187">
        <v>24.31</v>
      </c>
      <c r="K12" s="187">
        <v>53.69</v>
      </c>
      <c r="L12" s="181">
        <f t="shared" si="0"/>
        <v>6.206474084634833E-3</v>
      </c>
    </row>
    <row r="13" spans="1:12" x14ac:dyDescent="0.35">
      <c r="A13" s="179" t="s">
        <v>28</v>
      </c>
      <c r="B13" s="180">
        <v>162188181</v>
      </c>
      <c r="C13" s="180">
        <v>76493791</v>
      </c>
      <c r="D13" s="180">
        <v>62994940</v>
      </c>
      <c r="E13" s="180">
        <v>26825004</v>
      </c>
      <c r="F13" s="180">
        <v>10888930</v>
      </c>
      <c r="G13" s="180">
        <v>13756513</v>
      </c>
      <c r="H13" s="180">
        <v>7475258</v>
      </c>
      <c r="I13" s="180">
        <v>7368423</v>
      </c>
      <c r="J13" s="187">
        <v>49.86</v>
      </c>
      <c r="K13" s="187">
        <v>97.21</v>
      </c>
      <c r="L13" s="181">
        <f t="shared" si="0"/>
        <v>8.927514098743479E-2</v>
      </c>
    </row>
    <row r="14" spans="1:12" x14ac:dyDescent="0.35">
      <c r="A14" s="179" t="s">
        <v>46</v>
      </c>
      <c r="B14" s="180">
        <v>23879711</v>
      </c>
      <c r="C14" s="180">
        <v>15465323</v>
      </c>
      <c r="D14" s="180">
        <v>5909692</v>
      </c>
      <c r="E14" s="180">
        <v>5417346</v>
      </c>
      <c r="F14" s="180">
        <v>1865814</v>
      </c>
      <c r="G14" s="180">
        <v>4113539</v>
      </c>
      <c r="H14" s="180">
        <v>923963</v>
      </c>
      <c r="I14" s="180">
        <v>286752</v>
      </c>
      <c r="J14" s="187">
        <v>39.619999999999997</v>
      </c>
      <c r="K14" s="187">
        <v>106.96</v>
      </c>
      <c r="L14" s="181">
        <f t="shared" si="0"/>
        <v>8.3750946741486774E-3</v>
      </c>
    </row>
    <row r="15" spans="1:12" x14ac:dyDescent="0.35">
      <c r="A15" s="179" t="s">
        <v>69</v>
      </c>
      <c r="B15" s="180">
        <v>18162082</v>
      </c>
      <c r="C15" s="180">
        <v>11064502</v>
      </c>
      <c r="D15" s="180">
        <v>2308399</v>
      </c>
      <c r="E15" s="180">
        <v>2029209</v>
      </c>
      <c r="F15" s="180">
        <v>724187</v>
      </c>
      <c r="G15" s="180">
        <v>1477203</v>
      </c>
      <c r="H15" s="180">
        <v>301001</v>
      </c>
      <c r="I15" s="182"/>
      <c r="J15" s="187">
        <v>41.5</v>
      </c>
      <c r="K15" s="187">
        <v>101.91</v>
      </c>
      <c r="L15" s="181">
        <f t="shared" si="0"/>
        <v>3.2714158657862597E-3</v>
      </c>
    </row>
    <row r="16" spans="1:12" x14ac:dyDescent="0.35">
      <c r="A16" s="179" t="s">
        <v>29</v>
      </c>
      <c r="B16" s="180">
        <v>44234233</v>
      </c>
      <c r="C16" s="180">
        <v>35763361</v>
      </c>
      <c r="D16" s="180">
        <v>10334705</v>
      </c>
      <c r="E16" s="180">
        <v>8967485</v>
      </c>
      <c r="F16" s="180">
        <v>856569</v>
      </c>
      <c r="G16" s="180">
        <v>4182538</v>
      </c>
      <c r="H16" s="180">
        <v>1005149</v>
      </c>
      <c r="I16" s="180">
        <v>417694</v>
      </c>
      <c r="J16" s="187">
        <v>17.3</v>
      </c>
      <c r="K16" s="187">
        <v>104.77</v>
      </c>
      <c r="L16" s="181">
        <f t="shared" si="0"/>
        <v>1.4646132624914751E-2</v>
      </c>
    </row>
    <row r="17" spans="1:12" x14ac:dyDescent="0.35">
      <c r="A17" s="179" t="s">
        <v>70</v>
      </c>
      <c r="B17" s="180">
        <v>16475011</v>
      </c>
      <c r="C17" s="180">
        <v>12237852</v>
      </c>
      <c r="D17" s="180">
        <v>994114</v>
      </c>
      <c r="E17" s="180">
        <v>941248</v>
      </c>
      <c r="F17" s="180">
        <v>229832</v>
      </c>
      <c r="G17" s="180">
        <v>1198658</v>
      </c>
      <c r="H17" s="180">
        <v>100555</v>
      </c>
      <c r="I17" s="180">
        <v>7103</v>
      </c>
      <c r="J17" s="187">
        <v>35.29</v>
      </c>
      <c r="K17" s="187">
        <v>199.51</v>
      </c>
      <c r="L17" s="181">
        <f t="shared" si="0"/>
        <v>1.4088380353657413E-3</v>
      </c>
    </row>
    <row r="18" spans="1:12" x14ac:dyDescent="0.35">
      <c r="A18" s="179" t="s">
        <v>31</v>
      </c>
      <c r="B18" s="180">
        <v>46636836</v>
      </c>
      <c r="C18" s="180">
        <v>33571771</v>
      </c>
      <c r="D18" s="180">
        <v>6736564</v>
      </c>
      <c r="E18" s="180">
        <v>5264701</v>
      </c>
      <c r="F18" s="180">
        <v>2175369</v>
      </c>
      <c r="G18" s="180">
        <v>4121271</v>
      </c>
      <c r="H18" s="180">
        <v>756378</v>
      </c>
      <c r="I18" s="180">
        <v>468081</v>
      </c>
      <c r="J18" s="187">
        <v>41.54</v>
      </c>
      <c r="K18" s="187">
        <v>93.15</v>
      </c>
      <c r="L18" s="181">
        <f t="shared" si="0"/>
        <v>9.5469207665072418E-3</v>
      </c>
    </row>
    <row r="19" spans="1:12" x14ac:dyDescent="0.35">
      <c r="A19" s="179" t="s">
        <v>32</v>
      </c>
      <c r="B19" s="180">
        <v>80606333</v>
      </c>
      <c r="C19" s="180">
        <v>62581000</v>
      </c>
      <c r="D19" s="180">
        <v>27502707</v>
      </c>
      <c r="E19" s="180">
        <v>20500209</v>
      </c>
      <c r="F19" s="180">
        <v>8216940</v>
      </c>
      <c r="G19" s="180">
        <v>10794124</v>
      </c>
      <c r="H19" s="180">
        <v>4110780</v>
      </c>
      <c r="I19" s="180">
        <v>3160323</v>
      </c>
      <c r="J19" s="187">
        <v>39.42</v>
      </c>
      <c r="K19" s="187">
        <v>71.510000000000005</v>
      </c>
      <c r="L19" s="181">
        <f t="shared" si="0"/>
        <v>3.8976274046155293E-2</v>
      </c>
    </row>
    <row r="20" spans="1:12" x14ac:dyDescent="0.35">
      <c r="A20" s="179" t="s">
        <v>33</v>
      </c>
      <c r="B20" s="180">
        <v>37367688</v>
      </c>
      <c r="C20" s="180">
        <v>23193178</v>
      </c>
      <c r="D20" s="180">
        <v>14370823</v>
      </c>
      <c r="E20" s="180">
        <v>12876043</v>
      </c>
      <c r="F20" s="180">
        <v>4009863</v>
      </c>
      <c r="G20" s="180">
        <v>7865336</v>
      </c>
      <c r="H20" s="180">
        <v>1915352</v>
      </c>
      <c r="I20" s="180">
        <v>1099512</v>
      </c>
      <c r="J20" s="187">
        <v>29.78</v>
      </c>
      <c r="K20" s="187">
        <v>72.650000000000006</v>
      </c>
      <c r="L20" s="181">
        <f t="shared" si="0"/>
        <v>2.0366036532941702E-2</v>
      </c>
    </row>
    <row r="21" spans="1:12" x14ac:dyDescent="0.35">
      <c r="A21" s="179" t="s">
        <v>34</v>
      </c>
      <c r="B21" s="180">
        <v>40407254</v>
      </c>
      <c r="C21" s="180">
        <v>18418539</v>
      </c>
      <c r="D21" s="180">
        <v>7888801</v>
      </c>
      <c r="E21" s="180">
        <v>7423483</v>
      </c>
      <c r="F21" s="180">
        <v>1788417</v>
      </c>
      <c r="G21" s="180">
        <v>4374305</v>
      </c>
      <c r="H21" s="180">
        <v>822531</v>
      </c>
      <c r="I21" s="180">
        <v>149243</v>
      </c>
      <c r="J21" s="187">
        <v>26.17</v>
      </c>
      <c r="K21" s="187">
        <v>76.05</v>
      </c>
      <c r="L21" s="181">
        <f t="shared" si="0"/>
        <v>1.1179847484525211E-2</v>
      </c>
    </row>
    <row r="22" spans="1:12" x14ac:dyDescent="0.35">
      <c r="A22" s="179" t="s">
        <v>35</v>
      </c>
      <c r="B22" s="180">
        <v>70683746</v>
      </c>
      <c r="C22" s="180">
        <v>42731963</v>
      </c>
      <c r="D22" s="180">
        <v>13498203</v>
      </c>
      <c r="E22" s="180">
        <v>10718222</v>
      </c>
      <c r="F22" s="180">
        <v>72942</v>
      </c>
      <c r="G22" s="180">
        <v>5859103</v>
      </c>
      <c r="H22" s="180">
        <v>1323791</v>
      </c>
      <c r="I22" s="180">
        <v>871102</v>
      </c>
      <c r="J22" s="187">
        <v>0.89</v>
      </c>
      <c r="K22" s="187">
        <v>88.13</v>
      </c>
      <c r="L22" s="181">
        <f t="shared" si="0"/>
        <v>1.9129377310336596E-2</v>
      </c>
    </row>
    <row r="23" spans="1:12" x14ac:dyDescent="0.35">
      <c r="A23" s="179" t="s">
        <v>36</v>
      </c>
      <c r="B23" s="180">
        <v>55987146</v>
      </c>
      <c r="C23" s="180">
        <v>32407487</v>
      </c>
      <c r="D23" s="180">
        <v>19033654</v>
      </c>
      <c r="E23" s="180">
        <v>14694895</v>
      </c>
      <c r="F23" s="180">
        <v>4708758</v>
      </c>
      <c r="G23" s="180">
        <v>9407347</v>
      </c>
      <c r="H23" s="180">
        <v>2194895</v>
      </c>
      <c r="I23" s="180">
        <v>1375835</v>
      </c>
      <c r="J23" s="187">
        <v>32.39</v>
      </c>
      <c r="K23" s="187">
        <v>79.81</v>
      </c>
      <c r="L23" s="181">
        <f t="shared" si="0"/>
        <v>2.697410529093372E-2</v>
      </c>
    </row>
    <row r="24" spans="1:12" x14ac:dyDescent="0.35">
      <c r="A24" s="179" t="s">
        <v>62</v>
      </c>
      <c r="B24" s="180">
        <v>31104975</v>
      </c>
      <c r="C24" s="180">
        <v>17950241</v>
      </c>
      <c r="D24" s="180">
        <v>14316255</v>
      </c>
      <c r="E24" s="180">
        <v>13890002</v>
      </c>
      <c r="F24" s="180">
        <v>3475954</v>
      </c>
      <c r="G24" s="180">
        <v>6719004</v>
      </c>
      <c r="H24" s="180">
        <v>2231064</v>
      </c>
      <c r="I24" s="180">
        <v>1025116</v>
      </c>
      <c r="J24" s="187">
        <v>30.75</v>
      </c>
      <c r="K24" s="187">
        <v>79.180000000000007</v>
      </c>
      <c r="L24" s="181">
        <f t="shared" si="0"/>
        <v>2.0288703879026922E-2</v>
      </c>
    </row>
    <row r="25" spans="1:12" x14ac:dyDescent="0.35">
      <c r="A25" s="179" t="s">
        <v>38</v>
      </c>
      <c r="B25" s="180">
        <v>29373080</v>
      </c>
      <c r="C25" s="180">
        <v>10168394</v>
      </c>
      <c r="D25" s="180">
        <v>10281363</v>
      </c>
      <c r="E25" s="180">
        <v>6157684</v>
      </c>
      <c r="F25" s="180">
        <v>973884</v>
      </c>
      <c r="G25" s="180">
        <v>3512045</v>
      </c>
      <c r="H25" s="180">
        <v>2720862</v>
      </c>
      <c r="I25" s="180">
        <v>1155655</v>
      </c>
      <c r="J25" s="187">
        <v>17.48</v>
      </c>
      <c r="K25" s="187">
        <v>111.88</v>
      </c>
      <c r="L25" s="181">
        <f t="shared" si="0"/>
        <v>1.4570537433133447E-2</v>
      </c>
    </row>
    <row r="26" spans="1:12" x14ac:dyDescent="0.35">
      <c r="A26" s="179" t="s">
        <v>77</v>
      </c>
      <c r="B26" s="182"/>
      <c r="C26" s="182"/>
      <c r="D26" s="182"/>
      <c r="E26" s="182"/>
      <c r="F26" s="182"/>
      <c r="G26" s="182"/>
      <c r="H26" s="182"/>
      <c r="I26" s="182"/>
      <c r="J26" s="187"/>
      <c r="K26" s="187"/>
      <c r="L26" s="181">
        <f t="shared" si="0"/>
        <v>0</v>
      </c>
    </row>
    <row r="27" spans="1:12" x14ac:dyDescent="0.35">
      <c r="A27" s="179" t="s">
        <v>39</v>
      </c>
      <c r="B27" s="180">
        <v>239863579</v>
      </c>
      <c r="C27" s="180">
        <v>128296889</v>
      </c>
      <c r="D27" s="180">
        <v>80291393</v>
      </c>
      <c r="E27" s="180">
        <v>56436901</v>
      </c>
      <c r="F27" s="180">
        <v>17077067</v>
      </c>
      <c r="G27" s="180">
        <v>47017513</v>
      </c>
      <c r="H27" s="180">
        <v>9111751</v>
      </c>
      <c r="I27" s="180">
        <v>5677234</v>
      </c>
      <c r="J27" s="187">
        <v>27.97</v>
      </c>
      <c r="K27" s="187">
        <v>91.94</v>
      </c>
      <c r="L27" s="181">
        <f t="shared" si="0"/>
        <v>0.11378732053959469</v>
      </c>
    </row>
    <row r="28" spans="1:12" x14ac:dyDescent="0.35">
      <c r="A28" s="179" t="s">
        <v>40</v>
      </c>
      <c r="B28" s="180">
        <v>330356110</v>
      </c>
      <c r="C28" s="180">
        <v>283766952</v>
      </c>
      <c r="D28" s="180">
        <v>68083336</v>
      </c>
      <c r="E28" s="180">
        <v>56937819</v>
      </c>
      <c r="F28" s="180">
        <v>16958387</v>
      </c>
      <c r="G28" s="180">
        <v>20978633</v>
      </c>
      <c r="H28" s="180">
        <v>12611496</v>
      </c>
      <c r="I28" s="180">
        <v>3784933</v>
      </c>
      <c r="J28" s="187">
        <v>33.19</v>
      </c>
      <c r="K28" s="187">
        <v>65.75</v>
      </c>
      <c r="L28" s="181">
        <f t="shared" si="0"/>
        <v>9.6486311762419244E-2</v>
      </c>
    </row>
    <row r="29" spans="1:12" x14ac:dyDescent="0.35">
      <c r="A29" s="179" t="s">
        <v>41</v>
      </c>
      <c r="B29" s="180">
        <v>28294492</v>
      </c>
      <c r="C29" s="180">
        <v>23929268</v>
      </c>
      <c r="D29" s="180">
        <v>6112011</v>
      </c>
      <c r="E29" s="180">
        <v>5537200</v>
      </c>
      <c r="F29" s="180">
        <v>1803100</v>
      </c>
      <c r="G29" s="180">
        <v>3609342</v>
      </c>
      <c r="H29" s="180">
        <v>195475</v>
      </c>
      <c r="I29" s="182"/>
      <c r="J29" s="187">
        <v>36.840000000000003</v>
      </c>
      <c r="K29" s="187">
        <v>77.739999999999995</v>
      </c>
      <c r="L29" s="181">
        <f t="shared" si="0"/>
        <v>8.6618170243792959E-3</v>
      </c>
    </row>
    <row r="30" spans="1:12" x14ac:dyDescent="0.35">
      <c r="A30" s="179" t="s">
        <v>42</v>
      </c>
      <c r="B30" s="183">
        <v>98380472</v>
      </c>
      <c r="C30" s="183">
        <v>42552127</v>
      </c>
      <c r="D30" s="183">
        <v>64728037</v>
      </c>
      <c r="E30" s="183">
        <v>43608098</v>
      </c>
      <c r="F30" s="183">
        <v>13181881</v>
      </c>
      <c r="G30" s="183">
        <v>16304925</v>
      </c>
      <c r="H30" s="183">
        <v>9873653</v>
      </c>
      <c r="I30" s="183">
        <v>6451633</v>
      </c>
      <c r="J30" s="188">
        <v>33.520000000000003</v>
      </c>
      <c r="K30" s="188">
        <v>66.569999999999993</v>
      </c>
      <c r="L30" s="181">
        <f t="shared" si="0"/>
        <v>9.1731250621318094E-2</v>
      </c>
    </row>
    <row r="31" spans="1:12" x14ac:dyDescent="0.35">
      <c r="A31" s="179" t="s">
        <v>43</v>
      </c>
      <c r="B31" s="180">
        <v>41155448</v>
      </c>
      <c r="C31" s="180">
        <v>23858959</v>
      </c>
      <c r="D31" s="180">
        <v>9368154</v>
      </c>
      <c r="E31" s="180">
        <v>6114173</v>
      </c>
      <c r="F31" s="180">
        <v>1931689</v>
      </c>
      <c r="G31" s="180">
        <v>4543388</v>
      </c>
      <c r="H31" s="180">
        <v>1839198</v>
      </c>
      <c r="I31" s="182"/>
      <c r="J31" s="187">
        <v>25.02</v>
      </c>
      <c r="K31" s="187">
        <v>82.67</v>
      </c>
      <c r="L31" s="181">
        <f t="shared" si="0"/>
        <v>1.3276356309602028E-2</v>
      </c>
    </row>
    <row r="32" spans="1:12" x14ac:dyDescent="0.35">
      <c r="A32" s="179" t="s">
        <v>44</v>
      </c>
      <c r="B32" s="184">
        <f t="shared" ref="B32:I32" si="1">SUM(B3:B31)</f>
        <v>2057710819</v>
      </c>
      <c r="C32" s="184">
        <f t="shared" si="1"/>
        <v>1304148748</v>
      </c>
      <c r="D32" s="184">
        <f t="shared" si="1"/>
        <v>705626889</v>
      </c>
      <c r="E32" s="184">
        <f t="shared" si="1"/>
        <v>465495627</v>
      </c>
      <c r="F32" s="184">
        <f t="shared" si="1"/>
        <v>150478031</v>
      </c>
      <c r="G32" s="184">
        <f t="shared" si="1"/>
        <v>236594715</v>
      </c>
      <c r="H32" s="184">
        <f t="shared" si="1"/>
        <v>97842770</v>
      </c>
      <c r="I32" s="184">
        <f t="shared" si="1"/>
        <v>64603712</v>
      </c>
      <c r="J32" s="185"/>
      <c r="K32" s="185"/>
      <c r="L32" s="186">
        <f>SUM(L3:L31)</f>
        <v>0.99999999999999989</v>
      </c>
    </row>
  </sheetData>
  <pageMargins left="0.7" right="0.7" top="0.75" bottom="0.75" header="0.3" footer="0.3"/>
  <pageSetup paperSize="9" orientation="portrait" r:id="rId1"/>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sheetPr>
    <tabColor rgb="FF7030A0"/>
  </sheetPr>
  <dimension ref="A1:L34"/>
  <sheetViews>
    <sheetView workbookViewId="0">
      <selection sqref="A1:XFD1048576"/>
    </sheetView>
  </sheetViews>
  <sheetFormatPr defaultRowHeight="12.75" x14ac:dyDescent="0.35"/>
  <cols>
    <col min="1" max="1" width="45.3984375" customWidth="1"/>
    <col min="2" max="3" width="14.265625" bestFit="1" customWidth="1"/>
    <col min="4" max="6" width="12.3984375" bestFit="1" customWidth="1"/>
    <col min="7" max="7" width="13.265625" bestFit="1" customWidth="1"/>
    <col min="8" max="8" width="13.73046875" customWidth="1"/>
    <col min="9" max="9" width="11.73046875" customWidth="1"/>
  </cols>
  <sheetData>
    <row r="1" spans="1:12" ht="13.15" customHeight="1" x14ac:dyDescent="0.4">
      <c r="A1" s="10" t="s">
        <v>81</v>
      </c>
      <c r="B1" s="119"/>
      <c r="C1" s="119"/>
      <c r="D1" s="4"/>
      <c r="E1" s="2"/>
      <c r="F1" s="2"/>
      <c r="G1" s="2"/>
      <c r="H1" s="2"/>
      <c r="I1" s="2"/>
      <c r="J1" s="2"/>
      <c r="K1" s="2"/>
      <c r="L1" s="158"/>
    </row>
    <row r="2" spans="1:12" s="6" customFormat="1" ht="27.75" customHeight="1" x14ac:dyDescent="0.4">
      <c r="A2" s="10" t="s">
        <v>8</v>
      </c>
      <c r="B2" s="10" t="s">
        <v>9</v>
      </c>
      <c r="C2" s="10" t="s">
        <v>10</v>
      </c>
      <c r="D2" s="11" t="s">
        <v>67</v>
      </c>
      <c r="E2" s="12" t="s">
        <v>12</v>
      </c>
      <c r="F2" s="12" t="s">
        <v>72</v>
      </c>
      <c r="G2" s="13" t="s">
        <v>14</v>
      </c>
      <c r="H2" s="13" t="s">
        <v>15</v>
      </c>
      <c r="I2" s="13" t="s">
        <v>16</v>
      </c>
      <c r="J2" s="189" t="s">
        <v>79</v>
      </c>
      <c r="K2" s="13" t="s">
        <v>80</v>
      </c>
      <c r="L2" s="159" t="s">
        <v>19</v>
      </c>
    </row>
    <row r="3" spans="1:12" x14ac:dyDescent="0.35">
      <c r="A3" s="179" t="s">
        <v>20</v>
      </c>
      <c r="B3" s="180">
        <v>68387498</v>
      </c>
      <c r="C3" s="180">
        <v>29341937</v>
      </c>
      <c r="D3" s="180">
        <v>51299561</v>
      </c>
      <c r="E3" s="180">
        <v>12791140</v>
      </c>
      <c r="F3" s="180">
        <v>343237</v>
      </c>
      <c r="G3" s="180">
        <v>9596236</v>
      </c>
      <c r="H3" s="180">
        <v>5354563</v>
      </c>
      <c r="I3" s="180">
        <v>9836652</v>
      </c>
      <c r="J3" s="182">
        <v>2.87</v>
      </c>
      <c r="K3" s="182">
        <v>125.17</v>
      </c>
      <c r="L3" s="181">
        <f>D3/$D$34</f>
        <v>5.1606847626550031E-2</v>
      </c>
    </row>
    <row r="4" spans="1:12" x14ac:dyDescent="0.35">
      <c r="A4" s="179" t="s">
        <v>21</v>
      </c>
      <c r="B4" s="180">
        <v>39313001</v>
      </c>
      <c r="C4" s="180">
        <v>21942899</v>
      </c>
      <c r="D4" s="180">
        <v>24584308</v>
      </c>
      <c r="E4" s="180">
        <v>17833896</v>
      </c>
      <c r="F4" s="180">
        <v>8362326</v>
      </c>
      <c r="G4" s="180">
        <v>11050000</v>
      </c>
      <c r="H4" s="180">
        <v>3226605</v>
      </c>
      <c r="I4" s="180">
        <v>1089691</v>
      </c>
      <c r="J4" s="182">
        <v>52.31</v>
      </c>
      <c r="K4" s="182">
        <v>89.31</v>
      </c>
      <c r="L4" s="181">
        <f t="shared" ref="L4:L34" si="0">D4/$D$34</f>
        <v>2.4731569086140427E-2</v>
      </c>
    </row>
    <row r="5" spans="1:12" x14ac:dyDescent="0.35">
      <c r="A5" s="179" t="s">
        <v>60</v>
      </c>
      <c r="B5" s="180">
        <v>33352519</v>
      </c>
      <c r="C5" s="180">
        <v>23679833</v>
      </c>
      <c r="D5" s="180">
        <v>11032347</v>
      </c>
      <c r="E5" s="180">
        <v>8851109</v>
      </c>
      <c r="F5" s="180">
        <v>1254211</v>
      </c>
      <c r="G5" s="180">
        <v>6517067</v>
      </c>
      <c r="H5" s="180">
        <v>1664252</v>
      </c>
      <c r="I5" s="180">
        <v>874221</v>
      </c>
      <c r="J5" s="182">
        <v>9.48</v>
      </c>
      <c r="K5" s="182">
        <v>61.86</v>
      </c>
      <c r="L5" s="181">
        <f t="shared" si="0"/>
        <v>1.109843124373377E-2</v>
      </c>
    </row>
    <row r="6" spans="1:12" x14ac:dyDescent="0.35">
      <c r="A6" s="179" t="s">
        <v>22</v>
      </c>
      <c r="B6" s="180">
        <v>53760732</v>
      </c>
      <c r="C6" s="180">
        <v>33379748</v>
      </c>
      <c r="D6" s="180">
        <v>27903547</v>
      </c>
      <c r="E6" s="180">
        <v>20575634</v>
      </c>
      <c r="F6" s="180">
        <v>7282758</v>
      </c>
      <c r="G6" s="180">
        <v>8169368</v>
      </c>
      <c r="H6" s="180">
        <v>3350662</v>
      </c>
      <c r="I6" s="180">
        <v>2320436</v>
      </c>
      <c r="J6" s="182">
        <v>40.29</v>
      </c>
      <c r="K6" s="182">
        <v>63.73</v>
      </c>
      <c r="L6" s="181">
        <f t="shared" si="0"/>
        <v>2.8070690473730904E-2</v>
      </c>
    </row>
    <row r="7" spans="1:12" x14ac:dyDescent="0.35">
      <c r="A7" s="179" t="s">
        <v>23</v>
      </c>
      <c r="B7" s="180">
        <v>188145096</v>
      </c>
      <c r="C7" s="180">
        <v>130824693</v>
      </c>
      <c r="D7" s="180">
        <v>146242738</v>
      </c>
      <c r="E7" s="180">
        <v>88374813</v>
      </c>
      <c r="F7" s="180">
        <v>43200860</v>
      </c>
      <c r="G7" s="180">
        <v>29186968</v>
      </c>
      <c r="H7" s="180">
        <v>19441390</v>
      </c>
      <c r="I7" s="180">
        <v>12145843</v>
      </c>
      <c r="J7" s="182">
        <v>55.08</v>
      </c>
      <c r="K7" s="182">
        <v>62</v>
      </c>
      <c r="L7" s="181">
        <f t="shared" si="0"/>
        <v>0.14711873843239084</v>
      </c>
    </row>
    <row r="8" spans="1:12" x14ac:dyDescent="0.35">
      <c r="A8" s="179" t="s">
        <v>24</v>
      </c>
      <c r="B8" s="180">
        <v>53399607</v>
      </c>
      <c r="C8" s="180">
        <v>28629505</v>
      </c>
      <c r="D8" s="180">
        <v>31083541</v>
      </c>
      <c r="E8" s="180">
        <v>24697006</v>
      </c>
      <c r="F8" s="180">
        <v>6908328</v>
      </c>
      <c r="G8" s="180">
        <v>8920847</v>
      </c>
      <c r="H8" s="180">
        <v>5044778</v>
      </c>
      <c r="I8" s="180">
        <v>2022868</v>
      </c>
      <c r="J8" s="182">
        <v>31.13</v>
      </c>
      <c r="K8" s="182">
        <v>62.92</v>
      </c>
      <c r="L8" s="181">
        <f t="shared" si="0"/>
        <v>3.1269732777647372E-2</v>
      </c>
    </row>
    <row r="9" spans="1:12" x14ac:dyDescent="0.35">
      <c r="A9" s="179" t="s">
        <v>25</v>
      </c>
      <c r="B9" s="180">
        <v>131538896</v>
      </c>
      <c r="C9" s="180">
        <v>86100294</v>
      </c>
      <c r="D9" s="180">
        <v>36836769</v>
      </c>
      <c r="E9" s="180">
        <v>17609594</v>
      </c>
      <c r="F9" s="180">
        <v>8422337</v>
      </c>
      <c r="G9" s="180">
        <v>6667693</v>
      </c>
      <c r="H9" s="180">
        <v>4917535</v>
      </c>
      <c r="I9" s="180">
        <v>3715065</v>
      </c>
      <c r="J9" s="182">
        <v>51.69</v>
      </c>
      <c r="K9" s="182">
        <v>71.099999999999994</v>
      </c>
      <c r="L9" s="181">
        <f t="shared" si="0"/>
        <v>3.7057422866394935E-2</v>
      </c>
    </row>
    <row r="10" spans="1:12" x14ac:dyDescent="0.35">
      <c r="A10" s="179" t="s">
        <v>26</v>
      </c>
      <c r="B10" s="180">
        <v>85191159</v>
      </c>
      <c r="C10" s="180">
        <v>50555020</v>
      </c>
      <c r="D10" s="180">
        <v>63132451</v>
      </c>
      <c r="E10" s="180">
        <v>30305855</v>
      </c>
      <c r="F10" s="180">
        <v>7448873</v>
      </c>
      <c r="G10" s="180">
        <v>17250768</v>
      </c>
      <c r="H10" s="180">
        <v>9851823</v>
      </c>
      <c r="I10" s="180">
        <v>10006340</v>
      </c>
      <c r="J10" s="182">
        <v>28.97</v>
      </c>
      <c r="K10" s="182">
        <v>105.4</v>
      </c>
      <c r="L10" s="181">
        <f t="shared" si="0"/>
        <v>6.3510617158061763E-2</v>
      </c>
    </row>
    <row r="11" spans="1:12" x14ac:dyDescent="0.35">
      <c r="A11" s="179" t="s">
        <v>76</v>
      </c>
      <c r="B11" s="182"/>
      <c r="C11" s="182"/>
      <c r="D11" s="182"/>
      <c r="E11" s="182"/>
      <c r="F11" s="182"/>
      <c r="G11" s="182"/>
      <c r="H11" s="182"/>
      <c r="I11" s="182"/>
      <c r="J11" s="187"/>
      <c r="K11" s="187"/>
      <c r="L11" s="181">
        <f t="shared" si="0"/>
        <v>0</v>
      </c>
    </row>
    <row r="12" spans="1:12" x14ac:dyDescent="0.35">
      <c r="A12" s="179" t="s">
        <v>27</v>
      </c>
      <c r="B12" s="180">
        <v>19649319</v>
      </c>
      <c r="C12" s="180">
        <v>11687269</v>
      </c>
      <c r="D12" s="180">
        <v>10446869</v>
      </c>
      <c r="E12" s="180">
        <v>8670711</v>
      </c>
      <c r="F12" s="180">
        <v>1548740</v>
      </c>
      <c r="G12" s="180">
        <v>4596378</v>
      </c>
      <c r="H12" s="180">
        <v>1567030</v>
      </c>
      <c r="I12" s="180"/>
      <c r="J12" s="182">
        <v>16.8</v>
      </c>
      <c r="K12" s="182">
        <v>66.849999999999994</v>
      </c>
      <c r="L12" s="181">
        <f t="shared" si="0"/>
        <v>1.0509446204764386E-2</v>
      </c>
    </row>
    <row r="13" spans="1:12" x14ac:dyDescent="0.35">
      <c r="A13" s="179" t="s">
        <v>28</v>
      </c>
      <c r="B13" s="180">
        <v>171191703</v>
      </c>
      <c r="C13" s="180">
        <v>81547744</v>
      </c>
      <c r="D13" s="180">
        <v>80956641</v>
      </c>
      <c r="E13" s="180">
        <v>37383273</v>
      </c>
      <c r="F13" s="180">
        <v>15404088</v>
      </c>
      <c r="G13" s="180">
        <v>21121704</v>
      </c>
      <c r="H13" s="180">
        <v>10541147</v>
      </c>
      <c r="I13" s="180">
        <v>9024574</v>
      </c>
      <c r="J13" s="182">
        <v>46.41</v>
      </c>
      <c r="K13" s="182">
        <v>95.4</v>
      </c>
      <c r="L13" s="181">
        <f t="shared" si="0"/>
        <v>8.1441574840071501E-2</v>
      </c>
    </row>
    <row r="14" spans="1:12" x14ac:dyDescent="0.35">
      <c r="A14" s="179" t="s">
        <v>46</v>
      </c>
      <c r="B14" s="180">
        <v>24222644</v>
      </c>
      <c r="C14" s="180">
        <v>14599800</v>
      </c>
      <c r="D14" s="180">
        <v>8481781</v>
      </c>
      <c r="E14" s="180">
        <v>7481379</v>
      </c>
      <c r="F14" s="180">
        <v>2136865</v>
      </c>
      <c r="G14" s="180">
        <v>6296293</v>
      </c>
      <c r="H14" s="180">
        <v>1198511</v>
      </c>
      <c r="I14" s="180">
        <v>478833</v>
      </c>
      <c r="J14" s="182">
        <v>32.119999999999997</v>
      </c>
      <c r="K14" s="182">
        <v>112.67</v>
      </c>
      <c r="L14" s="181">
        <f t="shared" si="0"/>
        <v>8.5325872412196115E-3</v>
      </c>
    </row>
    <row r="15" spans="1:12" x14ac:dyDescent="0.35">
      <c r="A15" s="179" t="s">
        <v>82</v>
      </c>
      <c r="B15" s="180"/>
      <c r="C15" s="180"/>
      <c r="D15" s="180"/>
      <c r="E15" s="180"/>
      <c r="F15" s="180"/>
      <c r="G15" s="180"/>
      <c r="H15" s="180"/>
      <c r="I15" s="182"/>
      <c r="J15" s="187"/>
      <c r="K15" s="187"/>
      <c r="L15" s="181">
        <f t="shared" si="0"/>
        <v>0</v>
      </c>
    </row>
    <row r="16" spans="1:12" x14ac:dyDescent="0.35">
      <c r="A16" s="179" t="s">
        <v>69</v>
      </c>
      <c r="B16" s="180">
        <v>20437004</v>
      </c>
      <c r="C16" s="180">
        <v>11789008</v>
      </c>
      <c r="D16" s="180">
        <v>3509231</v>
      </c>
      <c r="E16" s="180">
        <v>3036991</v>
      </c>
      <c r="F16" s="180">
        <v>1102291</v>
      </c>
      <c r="G16" s="180">
        <v>2389174</v>
      </c>
      <c r="H16" s="180">
        <v>351456</v>
      </c>
      <c r="I16" s="180">
        <v>108157</v>
      </c>
      <c r="J16" s="182">
        <v>49.41</v>
      </c>
      <c r="K16" s="182">
        <v>122.85</v>
      </c>
      <c r="L16" s="181">
        <f t="shared" si="0"/>
        <v>3.5302514480263446E-3</v>
      </c>
    </row>
    <row r="17" spans="1:12" x14ac:dyDescent="0.35">
      <c r="A17" s="179" t="s">
        <v>29</v>
      </c>
      <c r="B17" s="180">
        <v>42244747</v>
      </c>
      <c r="C17" s="180">
        <v>34239570</v>
      </c>
      <c r="D17" s="180">
        <v>13039150</v>
      </c>
      <c r="E17" s="180">
        <v>10893187</v>
      </c>
      <c r="F17" s="180">
        <v>3171641</v>
      </c>
      <c r="G17" s="180">
        <v>6161366</v>
      </c>
      <c r="H17" s="180">
        <v>1374802</v>
      </c>
      <c r="I17" s="180">
        <v>559501</v>
      </c>
      <c r="J17" s="182">
        <v>38.9</v>
      </c>
      <c r="K17" s="182">
        <v>92.42</v>
      </c>
      <c r="L17" s="181">
        <f t="shared" si="0"/>
        <v>1.3117255081963175E-2</v>
      </c>
    </row>
    <row r="18" spans="1:12" x14ac:dyDescent="0.35">
      <c r="A18" s="179" t="s">
        <v>70</v>
      </c>
      <c r="B18" s="180">
        <v>17216586</v>
      </c>
      <c r="C18" s="180">
        <v>12683742</v>
      </c>
      <c r="D18" s="180">
        <v>1492565</v>
      </c>
      <c r="E18" s="180">
        <v>1626361</v>
      </c>
      <c r="F18" s="180">
        <v>300123</v>
      </c>
      <c r="G18" s="180">
        <v>1706037</v>
      </c>
      <c r="H18" s="180">
        <v>145855</v>
      </c>
      <c r="I18" s="180">
        <v>17669</v>
      </c>
      <c r="J18" s="182">
        <v>22.61</v>
      </c>
      <c r="K18" s="182">
        <v>139.51</v>
      </c>
      <c r="L18" s="181">
        <f t="shared" si="0"/>
        <v>1.5015055299931641E-3</v>
      </c>
    </row>
    <row r="19" spans="1:12" x14ac:dyDescent="0.35">
      <c r="A19" s="179" t="s">
        <v>30</v>
      </c>
      <c r="B19" s="180"/>
      <c r="C19" s="180"/>
      <c r="D19" s="180"/>
      <c r="E19" s="180"/>
      <c r="F19" s="180"/>
      <c r="G19" s="180"/>
      <c r="H19" s="180"/>
      <c r="I19" s="180"/>
      <c r="J19" s="187"/>
      <c r="K19" s="187"/>
      <c r="L19" s="181">
        <f t="shared" si="0"/>
        <v>0</v>
      </c>
    </row>
    <row r="20" spans="1:12" x14ac:dyDescent="0.35">
      <c r="A20" s="179" t="s">
        <v>31</v>
      </c>
      <c r="B20" s="180">
        <v>44750594</v>
      </c>
      <c r="C20" s="180">
        <v>33931059</v>
      </c>
      <c r="D20" s="180">
        <v>9071666</v>
      </c>
      <c r="E20" s="180">
        <v>7222560</v>
      </c>
      <c r="F20" s="180">
        <v>2760276</v>
      </c>
      <c r="G20" s="180">
        <v>6038602</v>
      </c>
      <c r="H20" s="180">
        <v>1032734</v>
      </c>
      <c r="I20" s="180">
        <v>565880</v>
      </c>
      <c r="J20" s="182">
        <v>37.9</v>
      </c>
      <c r="K20" s="182">
        <v>97.09</v>
      </c>
      <c r="L20" s="181">
        <f t="shared" si="0"/>
        <v>9.1260056783128152E-3</v>
      </c>
    </row>
    <row r="21" spans="1:12" x14ac:dyDescent="0.35">
      <c r="A21" s="179" t="s">
        <v>32</v>
      </c>
      <c r="B21" s="180">
        <v>87938110</v>
      </c>
      <c r="C21" s="180">
        <v>67365982</v>
      </c>
      <c r="D21" s="180">
        <v>38160144</v>
      </c>
      <c r="E21" s="180">
        <v>28331557</v>
      </c>
      <c r="F21" s="180">
        <v>10574089</v>
      </c>
      <c r="G21" s="180">
        <v>15914087</v>
      </c>
      <c r="H21" s="180">
        <v>5613913</v>
      </c>
      <c r="I21" s="180">
        <v>4173367</v>
      </c>
      <c r="J21" s="182">
        <v>38.700000000000003</v>
      </c>
      <c r="K21" s="182">
        <v>78.790000000000006</v>
      </c>
      <c r="L21" s="181">
        <f t="shared" si="0"/>
        <v>3.8388724940847108E-2</v>
      </c>
    </row>
    <row r="22" spans="1:12" x14ac:dyDescent="0.35">
      <c r="A22" s="179" t="s">
        <v>33</v>
      </c>
      <c r="B22" s="180">
        <v>55483305</v>
      </c>
      <c r="C22" s="180">
        <v>44517773</v>
      </c>
      <c r="D22" s="180">
        <v>20155790</v>
      </c>
      <c r="E22" s="180">
        <v>17292893</v>
      </c>
      <c r="F22" s="180">
        <v>6165637</v>
      </c>
      <c r="G22" s="180">
        <v>11514831</v>
      </c>
      <c r="H22" s="180">
        <v>2735899</v>
      </c>
      <c r="I22" s="180">
        <v>1599357</v>
      </c>
      <c r="J22" s="182">
        <v>35.299999999999997</v>
      </c>
      <c r="K22" s="182">
        <v>81.59</v>
      </c>
      <c r="L22" s="181">
        <f t="shared" si="0"/>
        <v>2.0276524068553743E-2</v>
      </c>
    </row>
    <row r="23" spans="1:12" x14ac:dyDescent="0.35">
      <c r="A23" s="179" t="s">
        <v>34</v>
      </c>
      <c r="B23" s="180">
        <v>38702031</v>
      </c>
      <c r="C23" s="180">
        <v>18971418</v>
      </c>
      <c r="D23" s="180">
        <v>11313093</v>
      </c>
      <c r="E23" s="180">
        <v>10720394</v>
      </c>
      <c r="F23" s="180">
        <v>2255947</v>
      </c>
      <c r="G23" s="180">
        <v>6196897</v>
      </c>
      <c r="H23" s="180">
        <v>1219294</v>
      </c>
      <c r="I23" s="180">
        <v>173153</v>
      </c>
      <c r="J23" s="182">
        <v>22.02</v>
      </c>
      <c r="K23" s="182">
        <v>72.39</v>
      </c>
      <c r="L23" s="181">
        <f t="shared" si="0"/>
        <v>1.1380858924621009E-2</v>
      </c>
    </row>
    <row r="24" spans="1:12" x14ac:dyDescent="0.35">
      <c r="A24" s="179" t="s">
        <v>35</v>
      </c>
      <c r="B24" s="180">
        <v>68276336</v>
      </c>
      <c r="C24" s="180">
        <v>41913728</v>
      </c>
      <c r="D24" s="180">
        <v>18001054</v>
      </c>
      <c r="E24" s="180">
        <v>14804952</v>
      </c>
      <c r="F24" s="180">
        <v>-113010</v>
      </c>
      <c r="G24" s="180">
        <v>8692785</v>
      </c>
      <c r="H24" s="180">
        <v>1877347</v>
      </c>
      <c r="I24" s="180">
        <v>942240</v>
      </c>
      <c r="J24" s="182">
        <v>-0.91</v>
      </c>
      <c r="K24" s="182">
        <v>85.38</v>
      </c>
      <c r="L24" s="181">
        <f t="shared" si="0"/>
        <v>1.8108881105148231E-2</v>
      </c>
    </row>
    <row r="25" spans="1:12" x14ac:dyDescent="0.35">
      <c r="A25" s="179" t="s">
        <v>36</v>
      </c>
      <c r="B25" s="180">
        <v>56998425</v>
      </c>
      <c r="C25" s="180">
        <v>32772146</v>
      </c>
      <c r="D25" s="180">
        <v>25305887</v>
      </c>
      <c r="E25" s="180">
        <v>19671422</v>
      </c>
      <c r="F25" s="180">
        <v>7193427</v>
      </c>
      <c r="G25" s="180">
        <v>13068628</v>
      </c>
      <c r="H25" s="180">
        <v>3081983</v>
      </c>
      <c r="I25" s="180">
        <v>1822831</v>
      </c>
      <c r="J25" s="182">
        <v>38.26</v>
      </c>
      <c r="K25" s="182">
        <v>85.9</v>
      </c>
      <c r="L25" s="181">
        <f t="shared" si="0"/>
        <v>2.5457470376085544E-2</v>
      </c>
    </row>
    <row r="26" spans="1:12" x14ac:dyDescent="0.35">
      <c r="A26" s="179" t="s">
        <v>62</v>
      </c>
      <c r="B26" s="180">
        <v>30754828</v>
      </c>
      <c r="C26" s="180">
        <v>17075520</v>
      </c>
      <c r="D26" s="180">
        <v>20236541</v>
      </c>
      <c r="E26" s="180">
        <v>18815893</v>
      </c>
      <c r="F26" s="180">
        <v>5969321</v>
      </c>
      <c r="G26" s="180">
        <v>10002980</v>
      </c>
      <c r="H26" s="180">
        <v>3491182</v>
      </c>
      <c r="I26" s="180">
        <v>1646722</v>
      </c>
      <c r="J26" s="182">
        <v>34.770000000000003</v>
      </c>
      <c r="K26" s="182">
        <v>78.61</v>
      </c>
      <c r="L26" s="181">
        <f t="shared" si="0"/>
        <v>2.0357758770595182E-2</v>
      </c>
    </row>
    <row r="27" spans="1:12" x14ac:dyDescent="0.35">
      <c r="A27" s="179" t="s">
        <v>38</v>
      </c>
      <c r="B27" s="180">
        <v>57720794</v>
      </c>
      <c r="C27" s="180">
        <v>31784552</v>
      </c>
      <c r="D27" s="180">
        <v>22373865</v>
      </c>
      <c r="E27" s="180">
        <v>8939138</v>
      </c>
      <c r="F27" s="180">
        <v>3474572</v>
      </c>
      <c r="G27" s="180">
        <v>6387292</v>
      </c>
      <c r="H27" s="180">
        <v>4000022</v>
      </c>
      <c r="I27" s="180">
        <v>3214560</v>
      </c>
      <c r="J27" s="182">
        <v>41.17</v>
      </c>
      <c r="K27" s="182">
        <v>123.07</v>
      </c>
      <c r="L27" s="181">
        <f t="shared" si="0"/>
        <v>2.2507885435354914E-2</v>
      </c>
    </row>
    <row r="28" spans="1:12" x14ac:dyDescent="0.35">
      <c r="A28" s="179" t="s">
        <v>77</v>
      </c>
      <c r="B28" s="180">
        <v>19207926</v>
      </c>
      <c r="C28" s="180">
        <v>13714493</v>
      </c>
      <c r="D28" s="180">
        <v>144962</v>
      </c>
      <c r="E28" s="180">
        <v>59317</v>
      </c>
      <c r="F28" s="180">
        <v>1300</v>
      </c>
      <c r="G28" s="180">
        <v>2428147</v>
      </c>
      <c r="H28" s="182">
        <v>0</v>
      </c>
      <c r="I28" s="180">
        <v>29787</v>
      </c>
      <c r="J28" s="182">
        <v>-1.87</v>
      </c>
      <c r="K28" s="190">
        <v>-3494.55</v>
      </c>
      <c r="L28" s="181">
        <f t="shared" si="0"/>
        <v>1.4583032875544385E-4</v>
      </c>
    </row>
    <row r="29" spans="1:12" x14ac:dyDescent="0.35">
      <c r="A29" s="179" t="s">
        <v>39</v>
      </c>
      <c r="B29" s="180">
        <v>247845869</v>
      </c>
      <c r="C29" s="180">
        <v>127612887</v>
      </c>
      <c r="D29" s="180">
        <v>122052926</v>
      </c>
      <c r="E29" s="180">
        <v>81951682</v>
      </c>
      <c r="F29" s="180">
        <v>30966292</v>
      </c>
      <c r="G29" s="180">
        <v>69713259</v>
      </c>
      <c r="H29" s="180">
        <v>12901477</v>
      </c>
      <c r="I29" s="180">
        <v>10267567</v>
      </c>
      <c r="J29" s="182">
        <v>33.71</v>
      </c>
      <c r="K29" s="182">
        <v>89.95</v>
      </c>
      <c r="L29" s="181">
        <f t="shared" si="0"/>
        <v>0.12278402839464039</v>
      </c>
    </row>
    <row r="30" spans="1:12" x14ac:dyDescent="0.35">
      <c r="A30" s="179" t="s">
        <v>40</v>
      </c>
      <c r="B30" s="183">
        <v>333892219</v>
      </c>
      <c r="C30" s="183">
        <v>291132363</v>
      </c>
      <c r="D30" s="183">
        <v>89431133</v>
      </c>
      <c r="E30" s="183">
        <v>70110453</v>
      </c>
      <c r="F30" s="183">
        <v>25089641</v>
      </c>
      <c r="G30" s="183">
        <v>30704086</v>
      </c>
      <c r="H30" s="183">
        <v>18560324</v>
      </c>
      <c r="I30" s="183">
        <v>6013323</v>
      </c>
      <c r="J30" s="191">
        <v>35.26</v>
      </c>
      <c r="K30" s="191">
        <v>69.23</v>
      </c>
      <c r="L30" s="181">
        <f t="shared" si="0"/>
        <v>8.9966829419860547E-2</v>
      </c>
    </row>
    <row r="31" spans="1:12" x14ac:dyDescent="0.35">
      <c r="A31" s="179" t="s">
        <v>41</v>
      </c>
      <c r="B31" s="180">
        <v>28365251</v>
      </c>
      <c r="C31" s="180">
        <v>24351381</v>
      </c>
      <c r="D31" s="180">
        <v>8474311</v>
      </c>
      <c r="E31" s="180">
        <v>7729944</v>
      </c>
      <c r="F31" s="180">
        <v>2716459</v>
      </c>
      <c r="G31" s="180">
        <v>5309722</v>
      </c>
      <c r="H31" s="180">
        <v>271875</v>
      </c>
      <c r="I31" s="182"/>
      <c r="J31" s="182">
        <v>39.75</v>
      </c>
      <c r="K31" s="182">
        <v>81.67</v>
      </c>
      <c r="L31" s="181">
        <f t="shared" si="0"/>
        <v>8.5250724955910802E-3</v>
      </c>
    </row>
    <row r="32" spans="1:12" s="195" customFormat="1" x14ac:dyDescent="0.35">
      <c r="A32" s="179" t="s">
        <v>42</v>
      </c>
      <c r="B32" s="192">
        <v>94949705</v>
      </c>
      <c r="C32" s="192">
        <v>38374892</v>
      </c>
      <c r="D32" s="192">
        <v>79733089</v>
      </c>
      <c r="E32" s="192">
        <v>53074201</v>
      </c>
      <c r="F32" s="192">
        <v>20796757</v>
      </c>
      <c r="G32" s="192">
        <v>23180773</v>
      </c>
      <c r="H32" s="192">
        <v>11913185</v>
      </c>
      <c r="I32" s="192">
        <v>8469276</v>
      </c>
      <c r="J32" s="193">
        <v>40.299999999999997</v>
      </c>
      <c r="K32" s="193">
        <v>68</v>
      </c>
      <c r="L32" s="194">
        <f t="shared" si="0"/>
        <v>8.0210693709779554E-2</v>
      </c>
    </row>
    <row r="33" spans="1:12" x14ac:dyDescent="0.35">
      <c r="A33" s="179" t="s">
        <v>43</v>
      </c>
      <c r="B33" s="196">
        <v>53489825</v>
      </c>
      <c r="C33" s="196">
        <v>25884465</v>
      </c>
      <c r="D33" s="196">
        <v>19549663</v>
      </c>
      <c r="E33" s="196">
        <v>11389881</v>
      </c>
      <c r="F33" s="196">
        <v>5269565</v>
      </c>
      <c r="G33" s="196">
        <v>6540655</v>
      </c>
      <c r="H33" s="196">
        <v>2948872</v>
      </c>
      <c r="I33" s="196">
        <v>2300182</v>
      </c>
      <c r="J33" s="2">
        <v>51.98</v>
      </c>
      <c r="K33" s="2">
        <v>93.6</v>
      </c>
      <c r="L33" s="181">
        <f t="shared" si="0"/>
        <v>1.9666766341166216E-2</v>
      </c>
    </row>
    <row r="34" spans="1:12" x14ac:dyDescent="0.35">
      <c r="A34" s="179" t="s">
        <v>44</v>
      </c>
      <c r="B34" s="197">
        <f>SUM(B3:B33)</f>
        <v>2166425729</v>
      </c>
      <c r="C34" s="197">
        <f t="shared" ref="C34:I34" si="1">SUM(C3:C33)</f>
        <v>1380403721</v>
      </c>
      <c r="D34" s="197">
        <f t="shared" si="1"/>
        <v>994045623</v>
      </c>
      <c r="E34" s="197">
        <f t="shared" si="1"/>
        <v>640245236</v>
      </c>
      <c r="F34" s="197">
        <f t="shared" si="1"/>
        <v>230006951</v>
      </c>
      <c r="G34" s="197">
        <f t="shared" si="1"/>
        <v>355322643</v>
      </c>
      <c r="H34" s="197">
        <f t="shared" si="1"/>
        <v>137678516</v>
      </c>
      <c r="I34" s="197">
        <f t="shared" si="1"/>
        <v>93418095</v>
      </c>
      <c r="J34" s="2"/>
      <c r="K34" s="2"/>
      <c r="L34" s="198">
        <f t="shared" si="0"/>
        <v>1</v>
      </c>
    </row>
  </sheetData>
  <pageMargins left="0.7" right="0.7" top="0.75" bottom="0.75" header="0.3" footer="0.3"/>
  <pageSetup paperSize="9" orientation="portrait" r:id="rId1"/>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sheetPr>
    <tabColor rgb="FF7030A0"/>
  </sheetPr>
  <dimension ref="A1:M32"/>
  <sheetViews>
    <sheetView topLeftCell="A16" workbookViewId="0">
      <selection activeCell="H32" sqref="H32"/>
    </sheetView>
  </sheetViews>
  <sheetFormatPr defaultRowHeight="12.75" x14ac:dyDescent="0.35"/>
  <cols>
    <col min="2" max="2" width="45.3984375" customWidth="1"/>
    <col min="3" max="4" width="14.265625" bestFit="1" customWidth="1"/>
    <col min="5" max="6" width="13.73046875" bestFit="1" customWidth="1"/>
    <col min="7" max="7" width="12.73046875" bestFit="1" customWidth="1"/>
    <col min="8" max="8" width="13.265625" bestFit="1" customWidth="1"/>
    <col min="9" max="10" width="12.73046875" bestFit="1" customWidth="1"/>
  </cols>
  <sheetData>
    <row r="1" spans="1:13" ht="13.15" customHeight="1" x14ac:dyDescent="0.4">
      <c r="B1" s="10" t="s">
        <v>83</v>
      </c>
      <c r="C1" s="119"/>
      <c r="D1" s="119"/>
      <c r="E1" s="4"/>
      <c r="F1" s="2"/>
      <c r="G1" s="2"/>
      <c r="H1" s="2"/>
      <c r="I1" s="2"/>
      <c r="J1" s="2"/>
      <c r="K1" s="2"/>
      <c r="L1" s="2"/>
      <c r="M1" s="158"/>
    </row>
    <row r="2" spans="1:13" s="6" customFormat="1" ht="27.75" customHeight="1" x14ac:dyDescent="0.4">
      <c r="B2" s="10" t="s">
        <v>8</v>
      </c>
      <c r="C2" s="10" t="s">
        <v>9</v>
      </c>
      <c r="D2" s="10" t="s">
        <v>10</v>
      </c>
      <c r="E2" s="11" t="s">
        <v>67</v>
      </c>
      <c r="F2" s="12" t="s">
        <v>12</v>
      </c>
      <c r="G2" s="12" t="s">
        <v>72</v>
      </c>
      <c r="H2" s="13" t="s">
        <v>14</v>
      </c>
      <c r="I2" s="13" t="s">
        <v>15</v>
      </c>
      <c r="J2" s="13" t="s">
        <v>16</v>
      </c>
      <c r="K2" s="189" t="s">
        <v>79</v>
      </c>
      <c r="L2" s="13" t="s">
        <v>80</v>
      </c>
      <c r="M2" s="159" t="s">
        <v>19</v>
      </c>
    </row>
    <row r="3" spans="1:13" x14ac:dyDescent="0.35">
      <c r="A3">
        <v>1</v>
      </c>
      <c r="B3" s="179" t="s">
        <v>20</v>
      </c>
      <c r="C3" s="157">
        <v>82957729</v>
      </c>
      <c r="D3" s="180">
        <v>33921281.780000001</v>
      </c>
      <c r="E3" s="180">
        <v>66241212</v>
      </c>
      <c r="F3" s="180">
        <v>14732403</v>
      </c>
      <c r="G3" s="180">
        <v>3519388</v>
      </c>
      <c r="H3" s="180">
        <v>13192712</v>
      </c>
      <c r="I3" s="180">
        <v>5142380</v>
      </c>
      <c r="J3" s="180">
        <v>10761441</v>
      </c>
      <c r="K3" s="199">
        <v>24.25</v>
      </c>
      <c r="L3" s="199">
        <v>126</v>
      </c>
      <c r="M3" s="181">
        <f>E3/$E$32</f>
        <v>5.0982686998546752E-2</v>
      </c>
    </row>
    <row r="4" spans="1:13" x14ac:dyDescent="0.35">
      <c r="A4">
        <v>2</v>
      </c>
      <c r="B4" s="179" t="s">
        <v>21</v>
      </c>
      <c r="C4" s="202">
        <v>35604770</v>
      </c>
      <c r="D4" s="202">
        <v>20469607</v>
      </c>
      <c r="E4" s="202">
        <v>37925831</v>
      </c>
      <c r="F4" s="202">
        <v>25753161</v>
      </c>
      <c r="G4" s="202">
        <v>14181631</v>
      </c>
      <c r="H4" s="202">
        <v>15781816</v>
      </c>
      <c r="I4" s="202">
        <v>4471577</v>
      </c>
      <c r="J4" s="202">
        <v>1662267</v>
      </c>
      <c r="K4" s="199">
        <v>66.88</v>
      </c>
      <c r="L4" s="199">
        <v>95.51</v>
      </c>
      <c r="M4" s="181">
        <f t="shared" ref="M4:M31" si="0">E4/$E$32</f>
        <v>2.9189694944482317E-2</v>
      </c>
    </row>
    <row r="5" spans="1:13" x14ac:dyDescent="0.35">
      <c r="A5">
        <v>3</v>
      </c>
      <c r="B5" s="179" t="s">
        <v>60</v>
      </c>
      <c r="C5" s="202">
        <v>33222352</v>
      </c>
      <c r="D5" s="202">
        <v>23980536</v>
      </c>
      <c r="E5" s="202">
        <v>12957194</v>
      </c>
      <c r="F5" s="202">
        <v>10544051</v>
      </c>
      <c r="G5" s="202">
        <v>1765475</v>
      </c>
      <c r="H5" s="202">
        <v>8500692</v>
      </c>
      <c r="I5" s="202">
        <v>1893112</v>
      </c>
      <c r="J5" s="202">
        <v>1265369</v>
      </c>
      <c r="K5" s="199">
        <v>13.34</v>
      </c>
      <c r="L5" s="199">
        <v>78.53</v>
      </c>
      <c r="M5" s="181">
        <f t="shared" si="0"/>
        <v>9.9725313915066654E-3</v>
      </c>
    </row>
    <row r="6" spans="1:13" x14ac:dyDescent="0.35">
      <c r="A6">
        <v>4</v>
      </c>
      <c r="B6" s="179" t="s">
        <v>22</v>
      </c>
      <c r="C6" s="202">
        <v>51988710</v>
      </c>
      <c r="D6" s="202">
        <v>34998170</v>
      </c>
      <c r="E6" s="202">
        <v>38787874</v>
      </c>
      <c r="F6" s="202">
        <v>26839541.98</v>
      </c>
      <c r="G6" s="202">
        <v>9714409.6099999994</v>
      </c>
      <c r="H6" s="202">
        <v>13384762.810000001</v>
      </c>
      <c r="I6" s="202">
        <v>5008757</v>
      </c>
      <c r="J6" s="202">
        <v>3775390</v>
      </c>
      <c r="K6" s="199">
        <v>39.92</v>
      </c>
      <c r="L6" s="199">
        <v>75.58</v>
      </c>
      <c r="M6" s="181">
        <f t="shared" si="0"/>
        <v>2.9853168137700583E-2</v>
      </c>
    </row>
    <row r="7" spans="1:13" x14ac:dyDescent="0.35">
      <c r="A7">
        <v>5</v>
      </c>
      <c r="B7" s="179" t="s">
        <v>23</v>
      </c>
      <c r="C7" s="202">
        <v>193356471</v>
      </c>
      <c r="D7" s="202">
        <v>132369398</v>
      </c>
      <c r="E7" s="202">
        <v>184281404</v>
      </c>
      <c r="F7" s="202">
        <v>107710291</v>
      </c>
      <c r="G7" s="202">
        <v>53535951</v>
      </c>
      <c r="H7" s="202">
        <v>40054862</v>
      </c>
      <c r="I7" s="202">
        <v>26445952</v>
      </c>
      <c r="J7" s="202">
        <v>16955755</v>
      </c>
      <c r="K7" s="199">
        <v>50.66</v>
      </c>
      <c r="L7" s="199">
        <v>62.93</v>
      </c>
      <c r="M7" s="181">
        <f t="shared" si="0"/>
        <v>0.14183256700956409</v>
      </c>
    </row>
    <row r="8" spans="1:13" x14ac:dyDescent="0.35">
      <c r="A8">
        <v>6</v>
      </c>
      <c r="B8" s="179" t="s">
        <v>25</v>
      </c>
      <c r="C8" s="202">
        <v>111344997</v>
      </c>
      <c r="D8" s="202">
        <v>66791870</v>
      </c>
      <c r="E8" s="202">
        <v>43164998</v>
      </c>
      <c r="F8" s="202">
        <v>22955567</v>
      </c>
      <c r="G8" s="202">
        <v>10488016</v>
      </c>
      <c r="H8" s="202">
        <v>8953913</v>
      </c>
      <c r="I8" s="202">
        <v>6026105</v>
      </c>
      <c r="J8" s="202">
        <v>3915487</v>
      </c>
      <c r="K8" s="199">
        <v>48.12</v>
      </c>
      <c r="L8" s="199">
        <v>68.72</v>
      </c>
      <c r="M8" s="181">
        <f t="shared" si="0"/>
        <v>3.3222030755217714E-2</v>
      </c>
    </row>
    <row r="9" spans="1:13" x14ac:dyDescent="0.35">
      <c r="A9">
        <v>7</v>
      </c>
      <c r="B9" s="179" t="s">
        <v>26</v>
      </c>
      <c r="C9" s="202">
        <v>85174479</v>
      </c>
      <c r="D9" s="202">
        <v>51090394</v>
      </c>
      <c r="E9" s="202">
        <v>74913380.379999995</v>
      </c>
      <c r="F9" s="202">
        <v>40281329.380000003</v>
      </c>
      <c r="G9" s="202">
        <v>12520215</v>
      </c>
      <c r="H9" s="202">
        <v>24940814</v>
      </c>
      <c r="I9" s="202">
        <v>11460491</v>
      </c>
      <c r="J9" s="202">
        <v>10835910.789999999</v>
      </c>
      <c r="K9" s="199">
        <v>32.44</v>
      </c>
      <c r="L9" s="199">
        <v>94.31</v>
      </c>
      <c r="M9" s="181">
        <f t="shared" si="0"/>
        <v>5.765723948282548E-2</v>
      </c>
    </row>
    <row r="10" spans="1:13" x14ac:dyDescent="0.35">
      <c r="A10">
        <v>8</v>
      </c>
      <c r="B10" s="179" t="s">
        <v>76</v>
      </c>
      <c r="C10" s="202">
        <v>24401273</v>
      </c>
      <c r="D10" s="202">
        <v>6100822</v>
      </c>
      <c r="E10" s="202">
        <v>2924932.99</v>
      </c>
      <c r="F10" s="202">
        <v>1615130.03</v>
      </c>
      <c r="G10" s="202">
        <v>269901.13</v>
      </c>
      <c r="H10" s="202">
        <v>1669609.11</v>
      </c>
      <c r="I10" s="202">
        <v>73711.94</v>
      </c>
      <c r="J10" s="202">
        <v>292209</v>
      </c>
      <c r="K10" s="199">
        <v>70.56</v>
      </c>
      <c r="L10" s="199">
        <v>455.76</v>
      </c>
      <c r="M10" s="181">
        <f t="shared" si="0"/>
        <v>2.2511807773217297E-3</v>
      </c>
    </row>
    <row r="11" spans="1:13" x14ac:dyDescent="0.35">
      <c r="A11">
        <v>9</v>
      </c>
      <c r="B11" s="179" t="s">
        <v>27</v>
      </c>
      <c r="C11" s="202">
        <v>23122490</v>
      </c>
      <c r="D11" s="202">
        <v>11787269</v>
      </c>
      <c r="E11" s="202">
        <v>14508251.68</v>
      </c>
      <c r="F11" s="202">
        <v>12437908.68</v>
      </c>
      <c r="G11" s="202">
        <v>2244652.1</v>
      </c>
      <c r="H11" s="202">
        <v>5012095.87</v>
      </c>
      <c r="I11" s="202">
        <v>2393861.5299999998</v>
      </c>
      <c r="J11" s="202"/>
      <c r="K11" s="199">
        <v>18.75</v>
      </c>
      <c r="L11" s="199">
        <v>61.87</v>
      </c>
      <c r="M11" s="181">
        <f t="shared" si="0"/>
        <v>1.1166306170508776E-2</v>
      </c>
    </row>
    <row r="12" spans="1:13" x14ac:dyDescent="0.35">
      <c r="A12">
        <v>10</v>
      </c>
      <c r="B12" s="179" t="s">
        <v>28</v>
      </c>
      <c r="C12" s="202">
        <v>158025813</v>
      </c>
      <c r="D12" s="202">
        <v>79876156</v>
      </c>
      <c r="E12" s="202">
        <v>96819681</v>
      </c>
      <c r="F12" s="202">
        <v>46260960</v>
      </c>
      <c r="G12" s="202">
        <v>27682082</v>
      </c>
      <c r="H12" s="202">
        <v>28387293</v>
      </c>
      <c r="I12" s="202">
        <v>14551433</v>
      </c>
      <c r="J12" s="202">
        <v>10986487</v>
      </c>
      <c r="K12" s="199">
        <v>62.76</v>
      </c>
      <c r="L12" s="199">
        <v>97.35</v>
      </c>
      <c r="M12" s="181">
        <f t="shared" si="0"/>
        <v>7.4517469452735005E-2</v>
      </c>
    </row>
    <row r="13" spans="1:13" x14ac:dyDescent="0.35">
      <c r="A13">
        <v>11</v>
      </c>
      <c r="B13" s="179" t="s">
        <v>46</v>
      </c>
      <c r="C13" s="202">
        <v>24730643</v>
      </c>
      <c r="D13" s="202">
        <v>15495156</v>
      </c>
      <c r="E13" s="202">
        <v>11395119</v>
      </c>
      <c r="F13" s="202">
        <v>9959557.1999999993</v>
      </c>
      <c r="G13" s="202">
        <v>2519791</v>
      </c>
      <c r="H13" s="202">
        <v>8522779</v>
      </c>
      <c r="I13" s="202">
        <v>1601020</v>
      </c>
      <c r="J13" s="202">
        <v>647420</v>
      </c>
      <c r="K13" s="199">
        <v>27.68</v>
      </c>
      <c r="L13" s="199">
        <v>111.2</v>
      </c>
      <c r="M13" s="181">
        <f t="shared" si="0"/>
        <v>8.7702771091838268E-3</v>
      </c>
    </row>
    <row r="14" spans="1:13" x14ac:dyDescent="0.35">
      <c r="A14">
        <v>12</v>
      </c>
      <c r="B14" s="179" t="s">
        <v>69</v>
      </c>
      <c r="C14" s="202">
        <v>19830166</v>
      </c>
      <c r="D14" s="202">
        <v>13667177</v>
      </c>
      <c r="E14" s="202">
        <v>4692506</v>
      </c>
      <c r="F14" s="202">
        <v>3659195</v>
      </c>
      <c r="G14" s="202">
        <v>2436152</v>
      </c>
      <c r="H14" s="202">
        <v>2911891</v>
      </c>
      <c r="I14" s="202">
        <v>601200</v>
      </c>
      <c r="J14" s="202">
        <v>268838</v>
      </c>
      <c r="K14" s="199">
        <v>85.46</v>
      </c>
      <c r="L14" s="199">
        <v>123.24</v>
      </c>
      <c r="M14" s="181">
        <f t="shared" si="0"/>
        <v>3.6115970317210171E-3</v>
      </c>
    </row>
    <row r="15" spans="1:13" x14ac:dyDescent="0.35">
      <c r="A15">
        <v>13</v>
      </c>
      <c r="B15" s="179" t="s">
        <v>29</v>
      </c>
      <c r="C15" s="202">
        <v>41415109</v>
      </c>
      <c r="D15" s="202">
        <v>33561077</v>
      </c>
      <c r="E15" s="202">
        <v>15715433</v>
      </c>
      <c r="F15" s="202">
        <v>12380262</v>
      </c>
      <c r="G15" s="202">
        <v>3143246</v>
      </c>
      <c r="H15" s="202">
        <v>8128826</v>
      </c>
      <c r="I15" s="202">
        <v>1652086</v>
      </c>
      <c r="J15" s="202">
        <v>688549</v>
      </c>
      <c r="K15" s="199">
        <v>25.25</v>
      </c>
      <c r="L15" s="199">
        <v>78.56</v>
      </c>
      <c r="M15" s="181">
        <f t="shared" si="0"/>
        <v>1.2095415791692226E-2</v>
      </c>
    </row>
    <row r="16" spans="1:13" x14ac:dyDescent="0.35">
      <c r="A16">
        <v>14</v>
      </c>
      <c r="B16" s="179" t="s">
        <v>70</v>
      </c>
      <c r="C16" s="202">
        <v>17154393</v>
      </c>
      <c r="D16" s="202">
        <v>11316010</v>
      </c>
      <c r="E16" s="202">
        <v>2109663</v>
      </c>
      <c r="F16" s="202">
        <v>1929278</v>
      </c>
      <c r="G16" s="202">
        <v>441682</v>
      </c>
      <c r="H16" s="202">
        <v>2231934</v>
      </c>
      <c r="I16" s="202">
        <v>211226</v>
      </c>
      <c r="J16" s="202">
        <v>21428</v>
      </c>
      <c r="K16" s="199">
        <v>31.52</v>
      </c>
      <c r="L16" s="199">
        <v>174.33</v>
      </c>
      <c r="M16" s="181">
        <f t="shared" si="0"/>
        <v>1.6237065288209874E-3</v>
      </c>
    </row>
    <row r="17" spans="1:13" x14ac:dyDescent="0.35">
      <c r="A17">
        <v>15</v>
      </c>
      <c r="B17" s="179" t="s">
        <v>31</v>
      </c>
      <c r="C17" s="202">
        <v>45989430</v>
      </c>
      <c r="D17" s="202">
        <v>30195001</v>
      </c>
      <c r="E17" s="202">
        <v>11779523</v>
      </c>
      <c r="F17" s="202">
        <v>8435279.8599999994</v>
      </c>
      <c r="G17" s="202">
        <v>3387473.74</v>
      </c>
      <c r="H17" s="202">
        <v>8461358</v>
      </c>
      <c r="I17" s="202">
        <v>1588162</v>
      </c>
      <c r="J17" s="202">
        <v>984359</v>
      </c>
      <c r="K17" s="199">
        <v>36.03</v>
      </c>
      <c r="L17" s="199">
        <v>106.89</v>
      </c>
      <c r="M17" s="181">
        <f t="shared" si="0"/>
        <v>9.0661344496713384E-3</v>
      </c>
    </row>
    <row r="18" spans="1:13" x14ac:dyDescent="0.35">
      <c r="A18">
        <v>16</v>
      </c>
      <c r="B18" s="179" t="s">
        <v>32</v>
      </c>
      <c r="C18" s="202">
        <v>90061572</v>
      </c>
      <c r="D18" s="202">
        <v>70894684</v>
      </c>
      <c r="E18" s="202">
        <v>49107975</v>
      </c>
      <c r="F18" s="202">
        <v>35456409</v>
      </c>
      <c r="G18" s="202">
        <v>15296528</v>
      </c>
      <c r="H18" s="202">
        <v>22426799</v>
      </c>
      <c r="I18" s="202">
        <v>8473140</v>
      </c>
      <c r="J18" s="202">
        <v>5626089</v>
      </c>
      <c r="K18" s="199">
        <v>45.02</v>
      </c>
      <c r="L18" s="199">
        <v>90.95</v>
      </c>
      <c r="M18" s="181">
        <f t="shared" si="0"/>
        <v>3.7796055400638788E-2</v>
      </c>
    </row>
    <row r="19" spans="1:13" x14ac:dyDescent="0.35">
      <c r="A19">
        <v>17</v>
      </c>
      <c r="B19" s="179" t="s">
        <v>33</v>
      </c>
      <c r="C19" s="202">
        <v>44984871</v>
      </c>
      <c r="D19" s="202">
        <v>36054447</v>
      </c>
      <c r="E19" s="202">
        <v>25806596</v>
      </c>
      <c r="F19" s="202">
        <v>23162177</v>
      </c>
      <c r="G19" s="202">
        <v>7963068</v>
      </c>
      <c r="H19" s="202">
        <v>24082763</v>
      </c>
      <c r="I19" s="202">
        <v>4259721</v>
      </c>
      <c r="J19" s="202">
        <v>1541990</v>
      </c>
      <c r="K19" s="199">
        <v>34.79</v>
      </c>
      <c r="L19" s="199">
        <v>123.84</v>
      </c>
      <c r="M19" s="181">
        <f t="shared" si="0"/>
        <v>1.9862100445353394E-2</v>
      </c>
    </row>
    <row r="20" spans="1:13" x14ac:dyDescent="0.35">
      <c r="A20">
        <v>18</v>
      </c>
      <c r="B20" s="179" t="s">
        <v>34</v>
      </c>
      <c r="C20" s="202">
        <v>39792928</v>
      </c>
      <c r="D20" s="202">
        <v>19380460</v>
      </c>
      <c r="E20" s="202">
        <v>14404216</v>
      </c>
      <c r="F20" s="202">
        <v>13137015</v>
      </c>
      <c r="G20" s="202">
        <v>2371971</v>
      </c>
      <c r="H20" s="202">
        <v>8261059</v>
      </c>
      <c r="I20" s="202">
        <v>1600808</v>
      </c>
      <c r="J20" s="202">
        <v>375503</v>
      </c>
      <c r="K20" s="199">
        <v>19.559999999999999</v>
      </c>
      <c r="L20" s="199">
        <v>81.319999999999993</v>
      </c>
      <c r="M20" s="181">
        <f t="shared" si="0"/>
        <v>1.1086234892372728E-2</v>
      </c>
    </row>
    <row r="21" spans="1:13" x14ac:dyDescent="0.35">
      <c r="A21">
        <v>19</v>
      </c>
      <c r="B21" s="179" t="s">
        <v>35</v>
      </c>
      <c r="C21" s="202">
        <v>68559805</v>
      </c>
      <c r="D21" s="202">
        <v>41449721</v>
      </c>
      <c r="E21" s="202">
        <v>22186390</v>
      </c>
      <c r="F21" s="202">
        <v>18652439</v>
      </c>
      <c r="G21" s="202">
        <v>5149844</v>
      </c>
      <c r="H21" s="202">
        <v>12356115</v>
      </c>
      <c r="I21" s="202">
        <v>2655483</v>
      </c>
      <c r="J21" s="202">
        <v>1159891</v>
      </c>
      <c r="K21" s="199">
        <v>28.53</v>
      </c>
      <c r="L21" s="199">
        <v>83.16</v>
      </c>
      <c r="M21" s="181">
        <f t="shared" si="0"/>
        <v>1.7075801345508106E-2</v>
      </c>
    </row>
    <row r="22" spans="1:13" x14ac:dyDescent="0.35">
      <c r="A22">
        <v>20</v>
      </c>
      <c r="B22" s="179" t="s">
        <v>36</v>
      </c>
      <c r="C22" s="202">
        <v>61595954</v>
      </c>
      <c r="D22" s="202">
        <v>33991809</v>
      </c>
      <c r="E22" s="202">
        <v>37091506</v>
      </c>
      <c r="F22" s="202">
        <v>29575793.890000001</v>
      </c>
      <c r="G22" s="202">
        <v>9528829</v>
      </c>
      <c r="H22" s="202">
        <v>17462616</v>
      </c>
      <c r="I22" s="202">
        <v>4846097</v>
      </c>
      <c r="J22" s="202">
        <v>2362012</v>
      </c>
      <c r="K22" s="199">
        <v>33.57</v>
      </c>
      <c r="L22" s="199">
        <v>78.599999999999994</v>
      </c>
      <c r="M22" s="181">
        <f t="shared" si="0"/>
        <v>2.8547554967785292E-2</v>
      </c>
    </row>
    <row r="23" spans="1:13" x14ac:dyDescent="0.35">
      <c r="A23">
        <v>21</v>
      </c>
      <c r="B23" s="179" t="s">
        <v>62</v>
      </c>
      <c r="C23" s="202">
        <v>33077570</v>
      </c>
      <c r="D23" s="202">
        <v>17614321</v>
      </c>
      <c r="E23" s="202">
        <v>26566246.34</v>
      </c>
      <c r="F23" s="202">
        <v>23852094</v>
      </c>
      <c r="G23" s="202">
        <v>8024040</v>
      </c>
      <c r="H23" s="202">
        <v>14688302</v>
      </c>
      <c r="I23" s="202">
        <v>4874923</v>
      </c>
      <c r="J23" s="202">
        <v>2161793</v>
      </c>
      <c r="K23" s="199">
        <v>33.090000000000003</v>
      </c>
      <c r="L23" s="199">
        <v>80.66</v>
      </c>
      <c r="M23" s="181">
        <f t="shared" si="0"/>
        <v>2.0446766914206042E-2</v>
      </c>
    </row>
    <row r="24" spans="1:13" x14ac:dyDescent="0.35">
      <c r="A24">
        <v>22</v>
      </c>
      <c r="B24" s="179" t="s">
        <v>38</v>
      </c>
      <c r="C24" s="202">
        <v>53997585</v>
      </c>
      <c r="D24" s="202">
        <v>6968804</v>
      </c>
      <c r="E24" s="202">
        <v>25654329</v>
      </c>
      <c r="F24" s="202">
        <v>9556553.7699999996</v>
      </c>
      <c r="G24" s="202">
        <v>9723766</v>
      </c>
      <c r="H24" s="202">
        <v>9906740</v>
      </c>
      <c r="I24" s="202">
        <v>4773465.4000000004</v>
      </c>
      <c r="J24" s="202">
        <v>3625067.7</v>
      </c>
      <c r="K24" s="199">
        <v>101.09</v>
      </c>
      <c r="L24" s="199">
        <v>152.62</v>
      </c>
      <c r="M24" s="181">
        <f t="shared" si="0"/>
        <v>1.9744907831166208E-2</v>
      </c>
    </row>
    <row r="25" spans="1:13" x14ac:dyDescent="0.35">
      <c r="A25">
        <v>23</v>
      </c>
      <c r="B25" s="179" t="s">
        <v>77</v>
      </c>
      <c r="C25" s="202">
        <v>18427701</v>
      </c>
      <c r="D25" s="202">
        <v>12727277</v>
      </c>
      <c r="E25" s="202">
        <v>923190.05</v>
      </c>
      <c r="F25" s="202">
        <v>796473.36</v>
      </c>
      <c r="G25" s="202">
        <v>27700</v>
      </c>
      <c r="H25" s="202">
        <v>4766825.41</v>
      </c>
      <c r="I25" s="202">
        <v>48804.99</v>
      </c>
      <c r="J25" s="202">
        <v>20631.02</v>
      </c>
      <c r="K25" s="199">
        <v>62.99</v>
      </c>
      <c r="L25" s="199">
        <v>10950.48</v>
      </c>
      <c r="M25" s="181">
        <f t="shared" si="0"/>
        <v>7.1053514780681744E-4</v>
      </c>
    </row>
    <row r="26" spans="1:13" x14ac:dyDescent="0.35">
      <c r="A26">
        <v>24</v>
      </c>
      <c r="B26" s="179" t="s">
        <v>39</v>
      </c>
      <c r="C26" s="202">
        <v>402244958</v>
      </c>
      <c r="D26" s="202">
        <v>208206636</v>
      </c>
      <c r="E26" s="202">
        <v>177995301</v>
      </c>
      <c r="F26" s="202">
        <v>111234941</v>
      </c>
      <c r="G26" s="202">
        <v>32459884</v>
      </c>
      <c r="H26" s="202">
        <v>96628159</v>
      </c>
      <c r="I26" s="202">
        <v>18264319</v>
      </c>
      <c r="J26" s="202">
        <v>16303607</v>
      </c>
      <c r="K26" s="199"/>
      <c r="L26" s="199"/>
      <c r="M26" s="181">
        <f t="shared" si="0"/>
        <v>0.13699445472246363</v>
      </c>
    </row>
    <row r="27" spans="1:13" x14ac:dyDescent="0.35">
      <c r="A27">
        <v>25</v>
      </c>
      <c r="B27" s="179" t="s">
        <v>40</v>
      </c>
      <c r="C27" s="203">
        <v>341649757</v>
      </c>
      <c r="D27" s="203">
        <v>291385066</v>
      </c>
      <c r="E27" s="203">
        <v>122811363</v>
      </c>
      <c r="F27" s="203">
        <v>86442311</v>
      </c>
      <c r="G27" s="203">
        <v>29489467</v>
      </c>
      <c r="H27" s="203">
        <v>43788368</v>
      </c>
      <c r="I27" s="203">
        <v>25143631.969999999</v>
      </c>
      <c r="J27" s="203">
        <v>9182950</v>
      </c>
      <c r="K27" s="200">
        <v>35.119999999999997</v>
      </c>
      <c r="L27" s="200">
        <v>82.1</v>
      </c>
      <c r="M27" s="181">
        <f t="shared" si="0"/>
        <v>9.4522021724087801E-2</v>
      </c>
    </row>
    <row r="28" spans="1:13" x14ac:dyDescent="0.35">
      <c r="A28">
        <v>26</v>
      </c>
      <c r="B28" s="179" t="s">
        <v>84</v>
      </c>
      <c r="C28" s="202">
        <v>58487148</v>
      </c>
      <c r="D28" s="202">
        <v>25078917</v>
      </c>
      <c r="E28" s="202">
        <v>40490891.899999999</v>
      </c>
      <c r="F28" s="202">
        <v>32730830.890000001</v>
      </c>
      <c r="G28" s="202">
        <v>9100560.4399999995</v>
      </c>
      <c r="H28" s="202">
        <v>14570730</v>
      </c>
      <c r="I28" s="202">
        <v>6761111.5599999996</v>
      </c>
      <c r="J28" s="202">
        <v>2512568.69</v>
      </c>
      <c r="K28" s="199">
        <v>28.84</v>
      </c>
      <c r="L28" s="199">
        <v>67.59</v>
      </c>
      <c r="M28" s="181">
        <f t="shared" si="0"/>
        <v>3.1163899417022925E-2</v>
      </c>
    </row>
    <row r="29" spans="1:13" x14ac:dyDescent="0.35">
      <c r="A29">
        <v>27</v>
      </c>
      <c r="B29" s="179" t="s">
        <v>41</v>
      </c>
      <c r="C29" s="202">
        <v>29267306</v>
      </c>
      <c r="D29" s="202">
        <v>25505646</v>
      </c>
      <c r="E29" s="202">
        <v>11679155</v>
      </c>
      <c r="F29" s="202">
        <v>10208632</v>
      </c>
      <c r="G29" s="202">
        <v>3137793</v>
      </c>
      <c r="H29" s="202">
        <v>7328386</v>
      </c>
      <c r="I29" s="202">
        <v>348110</v>
      </c>
      <c r="J29" s="202"/>
      <c r="K29" s="199">
        <v>34.94</v>
      </c>
      <c r="L29" s="199">
        <v>85.47</v>
      </c>
      <c r="M29" s="181">
        <f t="shared" si="0"/>
        <v>8.988886009098267E-3</v>
      </c>
    </row>
    <row r="30" spans="1:13" s="195" customFormat="1" x14ac:dyDescent="0.35">
      <c r="A30">
        <v>28</v>
      </c>
      <c r="B30" s="179" t="s">
        <v>42</v>
      </c>
      <c r="C30" s="204">
        <v>93667565</v>
      </c>
      <c r="D30" s="204">
        <v>36721031</v>
      </c>
      <c r="E30" s="204">
        <v>104303128</v>
      </c>
      <c r="F30" s="204">
        <v>68398971</v>
      </c>
      <c r="G30" s="204">
        <v>28101941</v>
      </c>
      <c r="H30" s="204">
        <v>34051940</v>
      </c>
      <c r="I30" s="204">
        <v>15177947</v>
      </c>
      <c r="J30" s="204">
        <v>10874297</v>
      </c>
      <c r="K30" s="201">
        <v>41.26</v>
      </c>
      <c r="L30" s="201">
        <v>72.28</v>
      </c>
      <c r="M30" s="181">
        <f t="shared" si="0"/>
        <v>8.0277120047159728E-2</v>
      </c>
    </row>
    <row r="31" spans="1:13" x14ac:dyDescent="0.35">
      <c r="A31">
        <v>29</v>
      </c>
      <c r="B31" s="179" t="s">
        <v>43</v>
      </c>
      <c r="C31" s="202">
        <v>50096451</v>
      </c>
      <c r="D31" s="202">
        <v>25434250</v>
      </c>
      <c r="E31" s="202">
        <v>22051074</v>
      </c>
      <c r="F31" s="202">
        <v>12975201</v>
      </c>
      <c r="G31" s="202">
        <v>5237194.0199999996</v>
      </c>
      <c r="H31" s="202">
        <v>8820861</v>
      </c>
      <c r="I31" s="202">
        <v>3781932</v>
      </c>
      <c r="J31" s="202">
        <v>2526605</v>
      </c>
      <c r="K31" s="199">
        <v>43.62</v>
      </c>
      <c r="L31" s="199" t="s">
        <v>85</v>
      </c>
      <c r="M31" s="181">
        <f t="shared" si="0"/>
        <v>1.6971655103831619E-2</v>
      </c>
    </row>
    <row r="32" spans="1:13" x14ac:dyDescent="0.35">
      <c r="B32" s="179" t="s">
        <v>44</v>
      </c>
      <c r="C32" s="184">
        <f>SUM(C3:C31)</f>
        <v>2334229996</v>
      </c>
      <c r="D32" s="184">
        <f t="shared" ref="D32:J32" si="1">SUM(D3:D31)</f>
        <v>1417032993.78</v>
      </c>
      <c r="E32" s="184">
        <f t="shared" si="1"/>
        <v>1299288364.3400002</v>
      </c>
      <c r="F32" s="184">
        <f t="shared" si="1"/>
        <v>821673757.04000008</v>
      </c>
      <c r="G32" s="184">
        <f t="shared" si="1"/>
        <v>313462651.03999996</v>
      </c>
      <c r="H32" s="184">
        <f t="shared" si="1"/>
        <v>509275021.20000005</v>
      </c>
      <c r="I32" s="184">
        <f t="shared" si="1"/>
        <v>184130568.38999999</v>
      </c>
      <c r="J32" s="184">
        <f t="shared" si="1"/>
        <v>121333914.19999999</v>
      </c>
      <c r="K32" s="182"/>
      <c r="L32" s="182"/>
      <c r="M32" s="198">
        <f>E32/$E$32</f>
        <v>1</v>
      </c>
    </row>
  </sheetData>
  <pageMargins left="0.7" right="0.7" top="0.75" bottom="0.75" header="0.3" footer="0.3"/>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sheetPr>
    <tabColor rgb="FF7030A0"/>
  </sheetPr>
  <dimension ref="A1:M33"/>
  <sheetViews>
    <sheetView workbookViewId="0">
      <pane xSplit="2" ySplit="2" topLeftCell="C3" activePane="bottomRight" state="frozen"/>
      <selection pane="topRight" activeCell="C1" sqref="C1"/>
      <selection pane="bottomLeft" activeCell="A3" sqref="A3"/>
      <selection pane="bottomRight"/>
    </sheetView>
  </sheetViews>
  <sheetFormatPr defaultRowHeight="12.75" x14ac:dyDescent="0.35"/>
  <cols>
    <col min="1" max="1" width="3" bestFit="1" customWidth="1"/>
    <col min="2" max="2" width="40.73046875" bestFit="1" customWidth="1"/>
    <col min="3" max="4" width="16" bestFit="1" customWidth="1"/>
    <col min="5" max="6" width="14.265625" bestFit="1" customWidth="1"/>
    <col min="7" max="7" width="13.265625" bestFit="1" customWidth="1"/>
    <col min="8" max="8" width="14.265625" bestFit="1" customWidth="1"/>
    <col min="9" max="9" width="14.265625" customWidth="1"/>
    <col min="10" max="10" width="13.73046875" customWidth="1"/>
  </cols>
  <sheetData>
    <row r="1" spans="1:13" ht="13.15" x14ac:dyDescent="0.4">
      <c r="A1" s="2"/>
      <c r="B1" s="10" t="s">
        <v>86</v>
      </c>
      <c r="C1" s="119"/>
      <c r="D1" s="119"/>
      <c r="E1" s="4"/>
      <c r="F1" s="2"/>
      <c r="G1" s="2"/>
      <c r="H1" s="2"/>
      <c r="I1" s="2"/>
      <c r="J1" s="2"/>
      <c r="K1" s="2"/>
      <c r="L1" s="2"/>
      <c r="M1" s="158"/>
    </row>
    <row r="2" spans="1:13" ht="26.25" x14ac:dyDescent="0.4">
      <c r="A2" s="2"/>
      <c r="B2" s="10" t="s">
        <v>8</v>
      </c>
      <c r="C2" s="10" t="s">
        <v>9</v>
      </c>
      <c r="D2" s="10" t="s">
        <v>10</v>
      </c>
      <c r="E2" s="11" t="s">
        <v>67</v>
      </c>
      <c r="F2" s="12" t="s">
        <v>12</v>
      </c>
      <c r="G2" s="12" t="s">
        <v>72</v>
      </c>
      <c r="H2" s="13" t="s">
        <v>14</v>
      </c>
      <c r="I2" s="13" t="s">
        <v>15</v>
      </c>
      <c r="J2" s="13" t="s">
        <v>16</v>
      </c>
      <c r="K2" s="189" t="s">
        <v>79</v>
      </c>
      <c r="L2" s="13" t="s">
        <v>80</v>
      </c>
      <c r="M2" s="159" t="s">
        <v>19</v>
      </c>
    </row>
    <row r="3" spans="1:13" ht="13.9" x14ac:dyDescent="0.4">
      <c r="A3" s="2">
        <v>1</v>
      </c>
      <c r="B3" s="205" t="s">
        <v>20</v>
      </c>
      <c r="C3" s="208">
        <v>78590819</v>
      </c>
      <c r="D3" s="209">
        <v>37772740</v>
      </c>
      <c r="E3" s="210">
        <v>22142072</v>
      </c>
      <c r="F3" s="210">
        <v>6891955</v>
      </c>
      <c r="G3" s="210">
        <v>1866889.8399999999</v>
      </c>
      <c r="H3" s="209">
        <v>4118574</v>
      </c>
      <c r="I3" s="209">
        <v>2240129</v>
      </c>
      <c r="J3" s="209">
        <v>4579492</v>
      </c>
      <c r="K3" s="51">
        <v>45</v>
      </c>
      <c r="L3" s="51">
        <v>153</v>
      </c>
      <c r="M3" s="211">
        <f t="shared" ref="M3:M31" si="0">E3/$E$32</f>
        <v>4.964713584024795E-2</v>
      </c>
    </row>
    <row r="4" spans="1:13" x14ac:dyDescent="0.35">
      <c r="A4" s="2">
        <v>2</v>
      </c>
      <c r="B4" s="205" t="s">
        <v>21</v>
      </c>
      <c r="C4" s="209">
        <v>38765725</v>
      </c>
      <c r="D4" s="209">
        <v>17348709</v>
      </c>
      <c r="E4" s="209">
        <v>9891462</v>
      </c>
      <c r="F4" s="209">
        <v>7794504</v>
      </c>
      <c r="G4" s="209">
        <v>3598811</v>
      </c>
      <c r="H4" s="209">
        <v>4703302</v>
      </c>
      <c r="I4" s="209">
        <v>1268965</v>
      </c>
      <c r="J4" s="209">
        <v>539286</v>
      </c>
      <c r="K4" s="51">
        <v>45.63</v>
      </c>
      <c r="L4" s="51">
        <v>75.72</v>
      </c>
      <c r="M4" s="211">
        <f t="shared" si="0"/>
        <v>2.2178717401544475E-2</v>
      </c>
    </row>
    <row r="5" spans="1:13" x14ac:dyDescent="0.35">
      <c r="A5" s="2">
        <v>9</v>
      </c>
      <c r="B5" s="205" t="s">
        <v>87</v>
      </c>
      <c r="C5" s="209">
        <v>24230172</v>
      </c>
      <c r="D5" s="209">
        <v>20940888.064794499</v>
      </c>
      <c r="E5" s="209">
        <v>568080.63</v>
      </c>
      <c r="F5" s="209">
        <v>445224.37</v>
      </c>
      <c r="G5" s="209">
        <v>67314.76999999999</v>
      </c>
      <c r="H5" s="209">
        <v>797440.46999999986</v>
      </c>
      <c r="I5" s="209">
        <v>27911</v>
      </c>
      <c r="J5" s="209">
        <v>29211</v>
      </c>
      <c r="K5" s="51">
        <v>12.37</v>
      </c>
      <c r="L5" s="51">
        <v>146.54</v>
      </c>
      <c r="M5" s="211">
        <f t="shared" si="0"/>
        <v>1.2737550580552549E-3</v>
      </c>
    </row>
    <row r="6" spans="1:13" x14ac:dyDescent="0.35">
      <c r="A6" s="2">
        <v>3</v>
      </c>
      <c r="B6" s="205" t="s">
        <v>60</v>
      </c>
      <c r="C6" s="209">
        <v>26256793</v>
      </c>
      <c r="D6" s="209">
        <v>16870809</v>
      </c>
      <c r="E6" s="209">
        <v>5367408</v>
      </c>
      <c r="F6" s="209">
        <v>3406510</v>
      </c>
      <c r="G6" s="209">
        <v>511418</v>
      </c>
      <c r="H6" s="209">
        <v>2485793</v>
      </c>
      <c r="I6" s="209">
        <v>497204</v>
      </c>
      <c r="J6" s="209">
        <v>686683</v>
      </c>
      <c r="K6" s="51">
        <v>11.16</v>
      </c>
      <c r="L6" s="51">
        <v>65.11</v>
      </c>
      <c r="M6" s="211">
        <f t="shared" si="0"/>
        <v>1.2034846336243219E-2</v>
      </c>
    </row>
    <row r="7" spans="1:13" x14ac:dyDescent="0.35">
      <c r="A7" s="2">
        <v>4</v>
      </c>
      <c r="B7" s="205" t="s">
        <v>22</v>
      </c>
      <c r="C7" s="209">
        <v>93365725</v>
      </c>
      <c r="D7" s="209">
        <v>40875650</v>
      </c>
      <c r="E7" s="209">
        <v>35447796</v>
      </c>
      <c r="F7" s="209">
        <v>9023997</v>
      </c>
      <c r="G7" s="209">
        <v>2641637</v>
      </c>
      <c r="H7" s="209">
        <v>3494541</v>
      </c>
      <c r="I7" s="209">
        <v>4890234</v>
      </c>
      <c r="J7" s="209">
        <v>7964374</v>
      </c>
      <c r="K7" s="51">
        <v>26.62</v>
      </c>
      <c r="L7" s="51">
        <v>84.5</v>
      </c>
      <c r="M7" s="211">
        <f t="shared" si="0"/>
        <v>7.9481339562503361E-2</v>
      </c>
    </row>
    <row r="8" spans="1:13" x14ac:dyDescent="0.35">
      <c r="A8" s="2">
        <v>5</v>
      </c>
      <c r="B8" s="205" t="s">
        <v>23</v>
      </c>
      <c r="C8" s="209">
        <v>236213242</v>
      </c>
      <c r="D8" s="209">
        <v>142864714</v>
      </c>
      <c r="E8" s="209">
        <v>56638981</v>
      </c>
      <c r="F8" s="209">
        <v>36122638</v>
      </c>
      <c r="G8" s="209">
        <v>14913204</v>
      </c>
      <c r="H8" s="209">
        <v>11091442</v>
      </c>
      <c r="I8" s="209">
        <v>6809956</v>
      </c>
      <c r="J8" s="209">
        <v>4622848</v>
      </c>
      <c r="K8" s="51">
        <v>56.8</v>
      </c>
      <c r="L8" s="51">
        <v>68.180000000000007</v>
      </c>
      <c r="M8" s="211">
        <f t="shared" si="0"/>
        <v>0.12699638875531713</v>
      </c>
    </row>
    <row r="9" spans="1:13" x14ac:dyDescent="0.35">
      <c r="A9" s="2">
        <v>6</v>
      </c>
      <c r="B9" s="205" t="s">
        <v>24</v>
      </c>
      <c r="C9" s="209">
        <v>61201712</v>
      </c>
      <c r="D9" s="209">
        <v>28629913</v>
      </c>
      <c r="E9" s="209">
        <v>12119001</v>
      </c>
      <c r="F9" s="209">
        <v>9535195</v>
      </c>
      <c r="G9" s="209">
        <v>1101783</v>
      </c>
      <c r="H9" s="209">
        <v>3998329</v>
      </c>
      <c r="I9" s="209">
        <v>2133403</v>
      </c>
      <c r="J9" s="209">
        <v>788446</v>
      </c>
      <c r="K9" s="51">
        <v>12.43</v>
      </c>
      <c r="L9" s="51">
        <v>69.16</v>
      </c>
      <c r="M9" s="211">
        <f t="shared" si="0"/>
        <v>2.7173323657113061E-2</v>
      </c>
    </row>
    <row r="10" spans="1:13" x14ac:dyDescent="0.35">
      <c r="A10" s="2">
        <v>7</v>
      </c>
      <c r="B10" s="205" t="s">
        <v>25</v>
      </c>
      <c r="C10" s="209">
        <v>114774237</v>
      </c>
      <c r="D10" s="209">
        <v>64380112</v>
      </c>
      <c r="E10" s="209">
        <v>16092159</v>
      </c>
      <c r="F10" s="209">
        <v>10754813</v>
      </c>
      <c r="G10" s="209">
        <v>4369004</v>
      </c>
      <c r="H10" s="209">
        <v>3255411</v>
      </c>
      <c r="I10" s="209">
        <v>4074864</v>
      </c>
      <c r="J10" s="209">
        <v>1900584</v>
      </c>
      <c r="K10" s="51">
        <v>42.35</v>
      </c>
      <c r="L10" s="51">
        <v>71.05</v>
      </c>
      <c r="M10" s="211">
        <f t="shared" si="0"/>
        <v>3.6081971182998079E-2</v>
      </c>
    </row>
    <row r="11" spans="1:13" x14ac:dyDescent="0.35">
      <c r="A11" s="2">
        <v>8</v>
      </c>
      <c r="B11" s="205" t="s">
        <v>26</v>
      </c>
      <c r="C11" s="209">
        <v>104769488</v>
      </c>
      <c r="D11" s="209">
        <v>54826345</v>
      </c>
      <c r="E11" s="209">
        <v>38013917</v>
      </c>
      <c r="F11" s="209">
        <v>17789116</v>
      </c>
      <c r="G11" s="209">
        <v>3972231</v>
      </c>
      <c r="H11" s="209">
        <v>7234877</v>
      </c>
      <c r="I11" s="209">
        <v>3789881</v>
      </c>
      <c r="J11" s="209">
        <v>4345547</v>
      </c>
      <c r="K11" s="51">
        <v>35.020000000000003</v>
      </c>
      <c r="L11" s="51">
        <v>97.2</v>
      </c>
      <c r="M11" s="211">
        <f t="shared" si="0"/>
        <v>8.5235117161524487E-2</v>
      </c>
    </row>
    <row r="12" spans="1:13" x14ac:dyDescent="0.35">
      <c r="A12" s="2">
        <v>10</v>
      </c>
      <c r="B12" s="205" t="s">
        <v>27</v>
      </c>
      <c r="C12" s="209">
        <v>47549891</v>
      </c>
      <c r="D12" s="209">
        <v>10540619</v>
      </c>
      <c r="E12" s="209">
        <v>2732372.41</v>
      </c>
      <c r="F12" s="209">
        <v>2635127.64</v>
      </c>
      <c r="G12" s="209">
        <v>409855.86</v>
      </c>
      <c r="H12" s="209">
        <v>1022454.56</v>
      </c>
      <c r="I12" s="209">
        <v>450841.45</v>
      </c>
      <c r="J12" s="209">
        <v>29173.5</v>
      </c>
      <c r="K12" s="51">
        <v>8.69</v>
      </c>
      <c r="L12" s="51">
        <v>31.25</v>
      </c>
      <c r="M12" s="211">
        <f t="shared" si="0"/>
        <v>6.1265478770647875E-3</v>
      </c>
    </row>
    <row r="13" spans="1:13" ht="13.9" x14ac:dyDescent="0.4">
      <c r="A13" s="2">
        <v>11</v>
      </c>
      <c r="B13" s="205" t="s">
        <v>28</v>
      </c>
      <c r="C13" s="208">
        <v>179609127</v>
      </c>
      <c r="D13" s="209">
        <v>90991168.129999995</v>
      </c>
      <c r="E13" s="210">
        <v>29229700</v>
      </c>
      <c r="F13" s="210">
        <v>19356124</v>
      </c>
      <c r="G13" s="209">
        <v>5494043</v>
      </c>
      <c r="H13" s="209">
        <v>7767003</v>
      </c>
      <c r="I13" s="210">
        <v>4693535</v>
      </c>
      <c r="J13" s="212">
        <v>2808251</v>
      </c>
      <c r="K13" s="51">
        <v>36</v>
      </c>
      <c r="L13" s="51">
        <v>82</v>
      </c>
      <c r="M13" s="211">
        <f t="shared" si="0"/>
        <v>6.5539073600234671E-2</v>
      </c>
    </row>
    <row r="14" spans="1:13" x14ac:dyDescent="0.35">
      <c r="A14" s="2">
        <v>12</v>
      </c>
      <c r="B14" s="205" t="s">
        <v>46</v>
      </c>
      <c r="C14" s="209">
        <v>25162312</v>
      </c>
      <c r="D14" s="209">
        <v>16407158</v>
      </c>
      <c r="E14" s="209">
        <v>2843509</v>
      </c>
      <c r="F14" s="209">
        <v>2995703</v>
      </c>
      <c r="G14" s="209">
        <v>1158857</v>
      </c>
      <c r="H14" s="209">
        <v>1865962</v>
      </c>
      <c r="I14" s="209">
        <v>511550</v>
      </c>
      <c r="J14" s="209">
        <v>66320</v>
      </c>
      <c r="K14" s="51">
        <v>34.6</v>
      </c>
      <c r="L14" s="51">
        <v>70.98</v>
      </c>
      <c r="M14" s="211">
        <f t="shared" si="0"/>
        <v>6.3757392526755221E-3</v>
      </c>
    </row>
    <row r="15" spans="1:13" x14ac:dyDescent="0.35">
      <c r="A15" s="2">
        <v>13</v>
      </c>
      <c r="B15" s="205" t="s">
        <v>69</v>
      </c>
      <c r="C15" s="209">
        <v>20154986</v>
      </c>
      <c r="D15" s="209">
        <v>0</v>
      </c>
      <c r="E15" s="209">
        <v>2576626</v>
      </c>
      <c r="F15" s="209">
        <v>2256837</v>
      </c>
      <c r="G15" s="209">
        <v>257255</v>
      </c>
      <c r="H15" s="209">
        <v>1045765</v>
      </c>
      <c r="I15" s="209">
        <v>466773</v>
      </c>
      <c r="J15" s="209">
        <v>157692</v>
      </c>
      <c r="K15" s="51">
        <v>21.14</v>
      </c>
      <c r="L15" s="51">
        <v>124.31</v>
      </c>
      <c r="M15" s="211">
        <f t="shared" si="0"/>
        <v>5.7773319963693873E-3</v>
      </c>
    </row>
    <row r="16" spans="1:13" x14ac:dyDescent="0.35">
      <c r="A16" s="2">
        <v>14</v>
      </c>
      <c r="B16" s="205" t="s">
        <v>29</v>
      </c>
      <c r="C16" s="209">
        <v>44940494</v>
      </c>
      <c r="D16" s="209">
        <v>33403306</v>
      </c>
      <c r="E16" s="209">
        <v>7356577</v>
      </c>
      <c r="F16" s="209">
        <v>6289428</v>
      </c>
      <c r="G16" s="209">
        <v>1048329</v>
      </c>
      <c r="H16" s="209">
        <v>2178211</v>
      </c>
      <c r="I16" s="209">
        <v>659470</v>
      </c>
      <c r="J16" s="209">
        <v>389180</v>
      </c>
      <c r="K16" s="51">
        <v>22.8</v>
      </c>
      <c r="L16" s="51">
        <v>61.7</v>
      </c>
      <c r="M16" s="211">
        <f t="shared" si="0"/>
        <v>1.6494977418474825E-2</v>
      </c>
    </row>
    <row r="17" spans="1:13" x14ac:dyDescent="0.35">
      <c r="A17" s="2">
        <v>15</v>
      </c>
      <c r="B17" s="205" t="s">
        <v>70</v>
      </c>
      <c r="C17" s="209">
        <v>18303365</v>
      </c>
      <c r="D17" s="209">
        <v>12369733</v>
      </c>
      <c r="E17" s="209">
        <v>692882</v>
      </c>
      <c r="F17" s="209">
        <v>642027</v>
      </c>
      <c r="G17" s="209">
        <v>194420</v>
      </c>
      <c r="H17" s="209">
        <v>587653</v>
      </c>
      <c r="I17" s="209">
        <v>60876</v>
      </c>
      <c r="J17" s="209">
        <v>8313</v>
      </c>
      <c r="K17" s="51">
        <v>54.59</v>
      </c>
      <c r="L17" s="51">
        <v>182.1</v>
      </c>
      <c r="M17" s="211">
        <f t="shared" si="0"/>
        <v>1.5535857157027888E-3</v>
      </c>
    </row>
    <row r="18" spans="1:13" x14ac:dyDescent="0.35">
      <c r="A18" s="2">
        <v>16</v>
      </c>
      <c r="B18" s="205" t="s">
        <v>31</v>
      </c>
      <c r="C18" s="209">
        <v>47237826</v>
      </c>
      <c r="D18" s="209">
        <v>33894658</v>
      </c>
      <c r="E18" s="209">
        <v>4413772</v>
      </c>
      <c r="F18" s="209">
        <v>3804984</v>
      </c>
      <c r="G18" s="209">
        <v>571292</v>
      </c>
      <c r="H18" s="209">
        <v>2593309</v>
      </c>
      <c r="I18" s="209">
        <v>534572</v>
      </c>
      <c r="J18" s="209">
        <v>198500</v>
      </c>
      <c r="K18" s="51">
        <v>21.1</v>
      </c>
      <c r="L18" s="51">
        <v>115.5</v>
      </c>
      <c r="M18" s="211">
        <f t="shared" si="0"/>
        <v>9.8965958584130188E-3</v>
      </c>
    </row>
    <row r="19" spans="1:13" x14ac:dyDescent="0.35">
      <c r="A19" s="2">
        <v>17</v>
      </c>
      <c r="B19" s="205" t="s">
        <v>32</v>
      </c>
      <c r="C19" s="209">
        <v>96617814</v>
      </c>
      <c r="D19" s="209">
        <v>75060594</v>
      </c>
      <c r="E19" s="209">
        <v>17614471</v>
      </c>
      <c r="F19" s="209">
        <v>12903642</v>
      </c>
      <c r="G19" s="209">
        <v>2870549</v>
      </c>
      <c r="H19" s="209">
        <v>6579414</v>
      </c>
      <c r="I19" s="209">
        <v>2261099</v>
      </c>
      <c r="J19" s="209">
        <v>1618078</v>
      </c>
      <c r="K19" s="51">
        <v>18.73</v>
      </c>
      <c r="L19" s="51">
        <v>57.68</v>
      </c>
      <c r="M19" s="211">
        <f t="shared" si="0"/>
        <v>3.9495311662391314E-2</v>
      </c>
    </row>
    <row r="20" spans="1:13" x14ac:dyDescent="0.35">
      <c r="A20" s="2">
        <v>18</v>
      </c>
      <c r="B20" s="205" t="s">
        <v>33</v>
      </c>
      <c r="C20" s="209">
        <v>44511189</v>
      </c>
      <c r="D20" s="209">
        <v>35746408</v>
      </c>
      <c r="E20" s="209">
        <v>11624053</v>
      </c>
      <c r="F20" s="209">
        <v>9515061</v>
      </c>
      <c r="G20" s="209">
        <v>1839098</v>
      </c>
      <c r="H20" s="209">
        <v>4355167</v>
      </c>
      <c r="I20" s="209">
        <v>1047282</v>
      </c>
      <c r="J20" s="209">
        <v>844122</v>
      </c>
      <c r="K20" s="51">
        <v>24.04</v>
      </c>
      <c r="L20" s="51">
        <v>70.61</v>
      </c>
      <c r="M20" s="211">
        <f t="shared" si="0"/>
        <v>2.606354718317426E-2</v>
      </c>
    </row>
    <row r="21" spans="1:13" x14ac:dyDescent="0.35">
      <c r="A21" s="2">
        <v>19</v>
      </c>
      <c r="B21" s="205" t="s">
        <v>34</v>
      </c>
      <c r="C21" s="209">
        <v>40901254</v>
      </c>
      <c r="D21" s="209">
        <v>20367576</v>
      </c>
      <c r="E21" s="209">
        <v>5402177</v>
      </c>
      <c r="F21" s="209">
        <v>4798549</v>
      </c>
      <c r="G21" s="209">
        <v>1025020</v>
      </c>
      <c r="H21" s="209">
        <v>2333662</v>
      </c>
      <c r="I21" s="209">
        <v>342411</v>
      </c>
      <c r="J21" s="209">
        <v>142458</v>
      </c>
      <c r="K21" s="51">
        <v>20.100000000000001</v>
      </c>
      <c r="L21" s="51">
        <v>52.48</v>
      </c>
      <c r="M21" s="211">
        <f t="shared" si="0"/>
        <v>1.2112805673835002E-2</v>
      </c>
    </row>
    <row r="22" spans="1:13" x14ac:dyDescent="0.35">
      <c r="A22" s="2">
        <v>20</v>
      </c>
      <c r="B22" s="205" t="s">
        <v>35</v>
      </c>
      <c r="C22" s="209">
        <v>70343568</v>
      </c>
      <c r="D22" s="209">
        <v>41375728</v>
      </c>
      <c r="E22" s="209">
        <v>10271506</v>
      </c>
      <c r="F22" s="209">
        <v>8666708</v>
      </c>
      <c r="G22" s="209">
        <v>6804634</v>
      </c>
      <c r="H22" s="209">
        <v>3011330</v>
      </c>
      <c r="I22" s="209">
        <v>1556925</v>
      </c>
      <c r="J22" s="209">
        <v>473774</v>
      </c>
      <c r="K22" s="51">
        <v>61.89</v>
      </c>
      <c r="L22" s="51">
        <v>41.55</v>
      </c>
      <c r="M22" s="211">
        <f t="shared" si="0"/>
        <v>2.3030855182203446E-2</v>
      </c>
    </row>
    <row r="23" spans="1:13" x14ac:dyDescent="0.35">
      <c r="A23" s="2">
        <v>21</v>
      </c>
      <c r="B23" s="205" t="s">
        <v>36</v>
      </c>
      <c r="C23" s="209">
        <v>63234484</v>
      </c>
      <c r="D23" s="209">
        <v>35447928</v>
      </c>
      <c r="E23" s="209">
        <v>10011370</v>
      </c>
      <c r="F23" s="209">
        <v>7145860</v>
      </c>
      <c r="G23" s="209">
        <v>3420945</v>
      </c>
      <c r="H23" s="209">
        <v>4030961</v>
      </c>
      <c r="I23" s="209">
        <v>1141145</v>
      </c>
      <c r="J23" s="209">
        <v>896270</v>
      </c>
      <c r="K23" s="51">
        <v>49.31</v>
      </c>
      <c r="L23" s="51">
        <v>74.55</v>
      </c>
      <c r="M23" s="211">
        <f t="shared" si="0"/>
        <v>2.2447576104755829E-2</v>
      </c>
    </row>
    <row r="24" spans="1:13" ht="13.9" x14ac:dyDescent="0.4">
      <c r="A24" s="2">
        <v>22</v>
      </c>
      <c r="B24" s="205" t="s">
        <v>62</v>
      </c>
      <c r="C24" s="208">
        <v>34319883</v>
      </c>
      <c r="D24" s="210">
        <v>18147484</v>
      </c>
      <c r="E24" s="209">
        <v>9080877</v>
      </c>
      <c r="F24" s="210">
        <v>8904487</v>
      </c>
      <c r="G24" s="209">
        <v>2006247</v>
      </c>
      <c r="H24" s="209">
        <v>3518982</v>
      </c>
      <c r="I24" s="209">
        <v>1267523</v>
      </c>
      <c r="J24" s="209">
        <v>592565</v>
      </c>
      <c r="K24" s="51">
        <v>30</v>
      </c>
      <c r="L24" s="51">
        <v>72</v>
      </c>
      <c r="M24" s="211">
        <f t="shared" si="0"/>
        <v>2.0361217051754834E-2</v>
      </c>
    </row>
    <row r="25" spans="1:13" x14ac:dyDescent="0.35">
      <c r="A25" s="2">
        <v>23</v>
      </c>
      <c r="B25" s="205" t="s">
        <v>38</v>
      </c>
      <c r="C25" s="209">
        <v>51422864</v>
      </c>
      <c r="D25" s="209">
        <v>25139436</v>
      </c>
      <c r="E25" s="209">
        <v>5751587</v>
      </c>
      <c r="F25" s="209">
        <v>4053893</v>
      </c>
      <c r="G25" s="209">
        <v>1863616</v>
      </c>
      <c r="H25" s="209">
        <v>1833104</v>
      </c>
      <c r="I25" s="209">
        <v>324546</v>
      </c>
      <c r="J25" s="209">
        <v>1833152</v>
      </c>
      <c r="K25" s="51">
        <v>72.22</v>
      </c>
      <c r="L25" s="51">
        <v>83.61</v>
      </c>
      <c r="M25" s="211">
        <f t="shared" si="0"/>
        <v>1.2896255647890775E-2</v>
      </c>
    </row>
    <row r="26" spans="1:13" x14ac:dyDescent="0.35">
      <c r="A26" s="2">
        <v>24</v>
      </c>
      <c r="B26" s="205" t="s">
        <v>77</v>
      </c>
      <c r="C26" s="209">
        <v>20238086</v>
      </c>
      <c r="D26" s="209">
        <v>12153259</v>
      </c>
      <c r="E26" s="209">
        <v>1471402</v>
      </c>
      <c r="F26" s="209">
        <v>1298362</v>
      </c>
      <c r="G26" s="209">
        <v>32361</v>
      </c>
      <c r="H26" s="209">
        <v>1525181</v>
      </c>
      <c r="I26" s="209">
        <v>132083</v>
      </c>
      <c r="J26" s="209">
        <v>43680</v>
      </c>
      <c r="K26" s="51">
        <v>9.77</v>
      </c>
      <c r="L26" s="51">
        <v>500.49</v>
      </c>
      <c r="M26" s="211">
        <f t="shared" si="0"/>
        <v>3.2991896589267939E-3</v>
      </c>
    </row>
    <row r="27" spans="1:13" x14ac:dyDescent="0.35">
      <c r="A27" s="2">
        <v>25</v>
      </c>
      <c r="B27" s="205" t="s">
        <v>39</v>
      </c>
      <c r="C27" s="157">
        <v>515792950</v>
      </c>
      <c r="D27" s="209">
        <v>316181096</v>
      </c>
      <c r="E27" s="209">
        <v>45227417</v>
      </c>
      <c r="F27" s="209">
        <v>22656428</v>
      </c>
      <c r="G27" s="209">
        <v>2909634</v>
      </c>
      <c r="H27" s="209">
        <v>29283421</v>
      </c>
      <c r="I27" s="209">
        <v>4440518</v>
      </c>
      <c r="J27" s="209">
        <v>5844812</v>
      </c>
      <c r="K27" s="51">
        <v>12.08</v>
      </c>
      <c r="L27" s="51">
        <v>139.99</v>
      </c>
      <c r="M27" s="211">
        <f t="shared" si="0"/>
        <v>0.10140928615454503</v>
      </c>
    </row>
    <row r="28" spans="1:13" x14ac:dyDescent="0.35">
      <c r="A28" s="2">
        <v>26</v>
      </c>
      <c r="B28" s="205" t="s">
        <v>40</v>
      </c>
      <c r="C28" s="209">
        <v>373197405</v>
      </c>
      <c r="D28" s="209">
        <v>297667334</v>
      </c>
      <c r="E28" s="209">
        <v>36728963</v>
      </c>
      <c r="F28" s="209">
        <v>32069072</v>
      </c>
      <c r="G28" s="209">
        <v>10424069</v>
      </c>
      <c r="H28" s="209">
        <v>10221182</v>
      </c>
      <c r="I28" s="209">
        <v>6858828</v>
      </c>
      <c r="J28" s="209">
        <v>1760191</v>
      </c>
      <c r="K28" s="51">
        <v>33.94</v>
      </c>
      <c r="L28" s="51">
        <v>55.61</v>
      </c>
      <c r="M28" s="211">
        <f t="shared" si="0"/>
        <v>8.2353982740749856E-2</v>
      </c>
    </row>
    <row r="29" spans="1:13" x14ac:dyDescent="0.35">
      <c r="A29" s="2">
        <v>27</v>
      </c>
      <c r="B29" s="205" t="s">
        <v>41</v>
      </c>
      <c r="C29" s="209">
        <v>30292336</v>
      </c>
      <c r="D29" s="209">
        <v>26473156</v>
      </c>
      <c r="E29" s="209">
        <v>3811195</v>
      </c>
      <c r="F29" s="209">
        <v>3551489</v>
      </c>
      <c r="G29" s="209">
        <v>1170513</v>
      </c>
      <c r="H29" s="209">
        <v>2149607</v>
      </c>
      <c r="I29" s="209">
        <v>170447</v>
      </c>
      <c r="J29" s="209"/>
      <c r="K29" s="51">
        <v>36.99</v>
      </c>
      <c r="L29" s="51">
        <v>73.33</v>
      </c>
      <c r="M29" s="211">
        <f t="shared" si="0"/>
        <v>8.5454927559929245E-3</v>
      </c>
    </row>
    <row r="30" spans="1:13" x14ac:dyDescent="0.35">
      <c r="A30" s="2">
        <v>28</v>
      </c>
      <c r="B30" s="205" t="s">
        <v>42</v>
      </c>
      <c r="C30" s="209">
        <v>110446192</v>
      </c>
      <c r="D30" s="209">
        <v>61626651</v>
      </c>
      <c r="E30" s="209">
        <v>37319241</v>
      </c>
      <c r="F30" s="209">
        <v>27060736</v>
      </c>
      <c r="G30" s="209">
        <v>7483399</v>
      </c>
      <c r="H30" s="209">
        <v>7207728</v>
      </c>
      <c r="I30" s="209">
        <v>6424839</v>
      </c>
      <c r="J30" s="209">
        <v>3177412</v>
      </c>
      <c r="K30" s="51">
        <v>34.119999999999997</v>
      </c>
      <c r="L30" s="51">
        <v>62.16</v>
      </c>
      <c r="M30" s="211">
        <f t="shared" si="0"/>
        <v>8.3677508924275501E-2</v>
      </c>
    </row>
    <row r="31" spans="1:13" ht="13.9" x14ac:dyDescent="0.4">
      <c r="A31" s="2">
        <v>29</v>
      </c>
      <c r="B31" s="205" t="s">
        <v>43</v>
      </c>
      <c r="C31" s="209">
        <v>41873475</v>
      </c>
      <c r="D31" s="209">
        <v>21694169</v>
      </c>
      <c r="E31" s="209">
        <v>5548336</v>
      </c>
      <c r="F31" s="210">
        <v>4238586</v>
      </c>
      <c r="G31" s="209">
        <v>2481194</v>
      </c>
      <c r="H31" s="209">
        <v>2230839</v>
      </c>
      <c r="I31" s="209">
        <v>1265550</v>
      </c>
      <c r="J31" s="209">
        <v>459602</v>
      </c>
      <c r="K31" s="51">
        <v>62</v>
      </c>
      <c r="L31" s="51">
        <v>87</v>
      </c>
      <c r="M31" s="211">
        <f t="shared" si="0"/>
        <v>1.2440524585022483E-2</v>
      </c>
    </row>
    <row r="32" spans="1:13" s="6" customFormat="1" x14ac:dyDescent="0.35">
      <c r="A32" s="5"/>
      <c r="B32" s="205" t="s">
        <v>88</v>
      </c>
      <c r="C32" s="213">
        <f>SUM(C3:C31)</f>
        <v>2654317414</v>
      </c>
      <c r="D32" s="213">
        <f t="shared" ref="D32:J32" si="1">SUM(D3:D31)</f>
        <v>1609197341.1947944</v>
      </c>
      <c r="E32" s="213">
        <f t="shared" si="1"/>
        <v>445988910.03999996</v>
      </c>
      <c r="F32" s="213">
        <f t="shared" si="1"/>
        <v>286607056.00999999</v>
      </c>
      <c r="G32" s="213">
        <f t="shared" si="1"/>
        <v>86507623.469999999</v>
      </c>
      <c r="H32" s="213">
        <f t="shared" si="1"/>
        <v>136520645.03</v>
      </c>
      <c r="I32" s="213">
        <f t="shared" si="1"/>
        <v>60343360.450000003</v>
      </c>
      <c r="J32" s="213">
        <f t="shared" si="1"/>
        <v>46800016.5</v>
      </c>
      <c r="K32" s="214"/>
      <c r="L32" s="214"/>
      <c r="M32" s="215">
        <f>SUM(M3:M31)</f>
        <v>1.0000000000000002</v>
      </c>
    </row>
    <row r="33" spans="1:13" x14ac:dyDescent="0.35">
      <c r="A33" s="2"/>
      <c r="B33" s="2"/>
      <c r="C33" s="2"/>
      <c r="D33" s="2"/>
      <c r="E33" s="2"/>
      <c r="F33" s="2"/>
      <c r="G33" s="2"/>
      <c r="H33" s="2"/>
      <c r="I33" s="2"/>
      <c r="J33" s="2"/>
      <c r="K33" s="2"/>
      <c r="L33" s="2"/>
      <c r="M33" s="2"/>
    </row>
  </sheetData>
  <pageMargins left="0.7" right="0.7" top="0.75" bottom="0.75" header="0.3" footer="0.3"/>
  <pageSetup paperSize="9" orientation="portrait" r:id="rId1"/>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sheetPr>
    <tabColor rgb="FF7030A0"/>
  </sheetPr>
  <dimension ref="A1:L34"/>
  <sheetViews>
    <sheetView workbookViewId="0">
      <pane xSplit="1" ySplit="2" topLeftCell="B3" activePane="bottomRight" state="frozen"/>
      <selection pane="topRight" activeCell="B1" sqref="B1"/>
      <selection pane="bottomLeft" activeCell="A3" sqref="A3"/>
      <selection pane="bottomRight" sqref="A1:XFD1048576"/>
    </sheetView>
  </sheetViews>
  <sheetFormatPr defaultRowHeight="12.75" x14ac:dyDescent="0.35"/>
  <cols>
    <col min="1" max="1" width="40.265625" customWidth="1"/>
    <col min="2" max="3" width="16" bestFit="1" customWidth="1"/>
    <col min="4" max="8" width="14.265625" bestFit="1" customWidth="1"/>
    <col min="9" max="9" width="13.265625" bestFit="1" customWidth="1"/>
  </cols>
  <sheetData>
    <row r="1" spans="1:12" ht="13.15" x14ac:dyDescent="0.4">
      <c r="A1" s="10" t="s">
        <v>89</v>
      </c>
    </row>
    <row r="2" spans="1:12" ht="26.25" x14ac:dyDescent="0.4">
      <c r="A2" s="10" t="s">
        <v>8</v>
      </c>
      <c r="B2" s="10" t="s">
        <v>9</v>
      </c>
      <c r="C2" s="10" t="s">
        <v>10</v>
      </c>
      <c r="D2" s="11" t="s">
        <v>67</v>
      </c>
      <c r="E2" s="12" t="s">
        <v>12</v>
      </c>
      <c r="F2" s="12" t="s">
        <v>72</v>
      </c>
      <c r="G2" s="13" t="s">
        <v>14</v>
      </c>
      <c r="H2" s="13" t="s">
        <v>15</v>
      </c>
      <c r="I2" s="13" t="s">
        <v>16</v>
      </c>
      <c r="J2" s="189" t="s">
        <v>79</v>
      </c>
      <c r="K2" s="13" t="s">
        <v>80</v>
      </c>
      <c r="L2" s="159" t="s">
        <v>19</v>
      </c>
    </row>
    <row r="3" spans="1:12" x14ac:dyDescent="0.35">
      <c r="A3" s="207" t="s">
        <v>20</v>
      </c>
      <c r="B3" s="216">
        <v>79378318</v>
      </c>
      <c r="C3" s="216">
        <v>36031638</v>
      </c>
      <c r="D3" s="216">
        <v>43858885</v>
      </c>
      <c r="E3" s="216">
        <v>9542214</v>
      </c>
      <c r="F3" s="216">
        <v>3617713</v>
      </c>
      <c r="G3" s="216">
        <v>7748861</v>
      </c>
      <c r="H3" s="216">
        <v>4596479</v>
      </c>
      <c r="I3" s="216">
        <v>9641981</v>
      </c>
      <c r="J3" s="216">
        <v>44</v>
      </c>
      <c r="K3" s="216">
        <v>150</v>
      </c>
      <c r="L3" s="211">
        <f t="shared" ref="L3:L31" si="0">D3/$D$32</f>
        <v>5.4047654612027769E-2</v>
      </c>
    </row>
    <row r="4" spans="1:12" x14ac:dyDescent="0.35">
      <c r="A4" s="207" t="s">
        <v>21</v>
      </c>
      <c r="B4" s="216">
        <v>38860335</v>
      </c>
      <c r="C4" s="216">
        <v>22286483</v>
      </c>
      <c r="D4" s="216">
        <v>16992603</v>
      </c>
      <c r="E4" s="216">
        <v>12443075</v>
      </c>
      <c r="F4" s="216">
        <v>9623174</v>
      </c>
      <c r="G4" s="216">
        <v>9028774</v>
      </c>
      <c r="H4" s="216">
        <v>2644831</v>
      </c>
      <c r="I4" s="216">
        <v>873330</v>
      </c>
      <c r="J4" s="51">
        <v>67.599999999999994</v>
      </c>
      <c r="K4" s="51">
        <v>82.01</v>
      </c>
      <c r="L4" s="211">
        <f t="shared" si="0"/>
        <v>2.0940120522975149E-2</v>
      </c>
    </row>
    <row r="5" spans="1:12" x14ac:dyDescent="0.35">
      <c r="A5" s="207" t="s">
        <v>87</v>
      </c>
      <c r="B5" s="216">
        <v>24243832</v>
      </c>
      <c r="C5" s="216">
        <v>21567377</v>
      </c>
      <c r="D5" s="216">
        <v>1050914</v>
      </c>
      <c r="E5" s="216">
        <v>866430</v>
      </c>
      <c r="F5" s="216">
        <v>122856</v>
      </c>
      <c r="G5" s="216">
        <v>1773978</v>
      </c>
      <c r="H5" s="216">
        <v>121912</v>
      </c>
      <c r="I5" s="216">
        <v>49068</v>
      </c>
      <c r="J5" s="51">
        <v>11.09</v>
      </c>
      <c r="K5" s="51">
        <v>171.11</v>
      </c>
      <c r="L5" s="211">
        <f t="shared" si="0"/>
        <v>1.2950497236522212E-3</v>
      </c>
    </row>
    <row r="6" spans="1:12" x14ac:dyDescent="0.35">
      <c r="A6" s="207" t="s">
        <v>60</v>
      </c>
      <c r="B6" s="216">
        <v>25204601</v>
      </c>
      <c r="C6" s="216">
        <v>17450924</v>
      </c>
      <c r="D6" s="216">
        <v>8459575</v>
      </c>
      <c r="E6" s="216">
        <v>7024848</v>
      </c>
      <c r="F6" s="216">
        <v>937641</v>
      </c>
      <c r="G6" s="216">
        <v>4753409</v>
      </c>
      <c r="H6" s="216">
        <v>755541</v>
      </c>
      <c r="I6" s="216">
        <v>868387</v>
      </c>
      <c r="J6" s="51">
        <v>15.59</v>
      </c>
      <c r="K6" s="51">
        <v>91.6</v>
      </c>
      <c r="L6" s="211">
        <f t="shared" si="0"/>
        <v>1.0424801901930356E-2</v>
      </c>
    </row>
    <row r="7" spans="1:12" x14ac:dyDescent="0.35">
      <c r="A7" s="207" t="s">
        <v>22</v>
      </c>
      <c r="B7" s="216">
        <v>77821616</v>
      </c>
      <c r="C7" s="216">
        <v>36735996</v>
      </c>
      <c r="D7" s="216">
        <v>42781127</v>
      </c>
      <c r="E7" s="216">
        <v>15261984</v>
      </c>
      <c r="F7" s="216">
        <v>4745069</v>
      </c>
      <c r="G7" s="216">
        <v>7769141</v>
      </c>
      <c r="H7" s="216">
        <v>7280489</v>
      </c>
      <c r="I7" s="216">
        <v>8322711</v>
      </c>
      <c r="J7" s="51">
        <v>34.43</v>
      </c>
      <c r="K7" s="51">
        <v>109.21</v>
      </c>
      <c r="L7" s="211">
        <f t="shared" si="0"/>
        <v>5.2719524812573228E-2</v>
      </c>
    </row>
    <row r="8" spans="1:12" x14ac:dyDescent="0.35">
      <c r="A8" s="207" t="s">
        <v>23</v>
      </c>
      <c r="B8" s="216">
        <v>237903887</v>
      </c>
      <c r="C8" s="216">
        <v>152983078</v>
      </c>
      <c r="D8" s="216">
        <v>109499137</v>
      </c>
      <c r="E8" s="216">
        <v>65512906</v>
      </c>
      <c r="F8" s="216">
        <v>28729778</v>
      </c>
      <c r="G8" s="216">
        <v>21684038</v>
      </c>
      <c r="H8" s="216">
        <v>14178548</v>
      </c>
      <c r="I8" s="216">
        <v>9870759</v>
      </c>
      <c r="J8" s="51">
        <v>54.08</v>
      </c>
      <c r="K8" s="51">
        <v>67.5</v>
      </c>
      <c r="L8" s="211">
        <f t="shared" si="0"/>
        <v>0.13493666190764106</v>
      </c>
    </row>
    <row r="9" spans="1:12" x14ac:dyDescent="0.35">
      <c r="A9" s="207" t="s">
        <v>25</v>
      </c>
      <c r="B9" s="216">
        <v>115609119</v>
      </c>
      <c r="C9" s="216">
        <v>64173742</v>
      </c>
      <c r="D9" s="216">
        <v>29910934</v>
      </c>
      <c r="E9" s="216">
        <v>17490007</v>
      </c>
      <c r="F9" s="216">
        <v>7165968</v>
      </c>
      <c r="G9" s="216">
        <v>5520019</v>
      </c>
      <c r="H9" s="216">
        <v>8737147</v>
      </c>
      <c r="I9" s="216">
        <v>6609240</v>
      </c>
      <c r="J9" s="216">
        <v>47</v>
      </c>
      <c r="K9" s="216">
        <v>93</v>
      </c>
      <c r="L9" s="211">
        <f t="shared" si="0"/>
        <v>3.6859483088891982E-2</v>
      </c>
    </row>
    <row r="10" spans="1:12" x14ac:dyDescent="0.35">
      <c r="A10" s="207" t="s">
        <v>26</v>
      </c>
      <c r="B10" s="216">
        <v>111920307</v>
      </c>
      <c r="C10" s="216">
        <v>59061614</v>
      </c>
      <c r="D10" s="216">
        <v>77663748</v>
      </c>
      <c r="E10" s="216">
        <v>36796633</v>
      </c>
      <c r="F10" s="216">
        <v>11097408</v>
      </c>
      <c r="G10" s="216">
        <v>16617701</v>
      </c>
      <c r="H10" s="216">
        <v>8023474</v>
      </c>
      <c r="I10" s="216">
        <v>8606210</v>
      </c>
      <c r="J10" s="216">
        <v>40</v>
      </c>
      <c r="K10" s="216">
        <v>89</v>
      </c>
      <c r="L10" s="211">
        <f t="shared" si="0"/>
        <v>9.5705657537339631E-2</v>
      </c>
    </row>
    <row r="11" spans="1:12" x14ac:dyDescent="0.35">
      <c r="A11" s="207" t="s">
        <v>27</v>
      </c>
      <c r="B11" s="216"/>
      <c r="C11" s="216"/>
      <c r="D11" s="216"/>
      <c r="E11" s="216"/>
      <c r="F11" s="216"/>
      <c r="G11" s="216"/>
      <c r="H11" s="216"/>
      <c r="I11" s="216"/>
      <c r="J11" s="51"/>
      <c r="K11" s="51"/>
      <c r="L11" s="211">
        <f t="shared" si="0"/>
        <v>0</v>
      </c>
    </row>
    <row r="12" spans="1:12" x14ac:dyDescent="0.35">
      <c r="A12" s="207" t="s">
        <v>28</v>
      </c>
      <c r="B12" s="216">
        <v>170306576</v>
      </c>
      <c r="C12" s="216">
        <v>93102270</v>
      </c>
      <c r="D12" s="216">
        <v>70481707</v>
      </c>
      <c r="E12" s="216">
        <v>33385832</v>
      </c>
      <c r="F12" s="216">
        <v>5410695</v>
      </c>
      <c r="G12" s="216">
        <v>17249725</v>
      </c>
      <c r="H12" s="216">
        <v>8836194</v>
      </c>
      <c r="I12" s="216">
        <v>7615472</v>
      </c>
      <c r="J12" s="216">
        <v>21</v>
      </c>
      <c r="K12" s="216">
        <v>100</v>
      </c>
      <c r="L12" s="211">
        <f t="shared" si="0"/>
        <v>8.6855170996757894E-2</v>
      </c>
    </row>
    <row r="13" spans="1:12" x14ac:dyDescent="0.35">
      <c r="A13" s="207" t="s">
        <v>46</v>
      </c>
      <c r="B13" s="216">
        <v>25983873</v>
      </c>
      <c r="C13" s="216">
        <v>15806145</v>
      </c>
      <c r="D13" s="216">
        <v>6615217</v>
      </c>
      <c r="E13" s="216">
        <v>6245755</v>
      </c>
      <c r="F13" s="216">
        <v>1724552</v>
      </c>
      <c r="G13" s="216">
        <v>4011017</v>
      </c>
      <c r="H13" s="216">
        <v>1081388</v>
      </c>
      <c r="I13" s="216">
        <v>215621</v>
      </c>
      <c r="J13" s="51">
        <v>30.09</v>
      </c>
      <c r="K13" s="51">
        <v>88.87</v>
      </c>
      <c r="L13" s="211">
        <f t="shared" si="0"/>
        <v>8.1519847939502902E-3</v>
      </c>
    </row>
    <row r="14" spans="1:12" x14ac:dyDescent="0.35">
      <c r="A14" s="207" t="s">
        <v>69</v>
      </c>
      <c r="B14" s="216">
        <v>29889354</v>
      </c>
      <c r="C14" s="216">
        <v>4236554</v>
      </c>
      <c r="D14" s="216">
        <v>4235979</v>
      </c>
      <c r="E14" s="216">
        <v>3453990</v>
      </c>
      <c r="F14" s="216">
        <v>487058</v>
      </c>
      <c r="G14" s="216">
        <v>2220515</v>
      </c>
      <c r="H14" s="216">
        <v>758227</v>
      </c>
      <c r="I14" s="216">
        <v>213484</v>
      </c>
      <c r="J14" s="51">
        <v>17.38</v>
      </c>
      <c r="K14" s="51">
        <v>106.28</v>
      </c>
      <c r="L14" s="211">
        <f t="shared" si="0"/>
        <v>5.2200307859126549E-3</v>
      </c>
    </row>
    <row r="15" spans="1:12" x14ac:dyDescent="0.35">
      <c r="A15" s="207" t="s">
        <v>29</v>
      </c>
      <c r="B15" s="216">
        <v>46250259</v>
      </c>
      <c r="C15" s="216">
        <v>34674706</v>
      </c>
      <c r="D15" s="216">
        <v>12045357</v>
      </c>
      <c r="E15" s="216">
        <v>9939858</v>
      </c>
      <c r="F15" s="216">
        <v>1387933</v>
      </c>
      <c r="G15" s="216">
        <v>4949881</v>
      </c>
      <c r="H15" s="216">
        <v>1239852</v>
      </c>
      <c r="I15" s="216">
        <v>786363</v>
      </c>
      <c r="J15" s="216">
        <v>19</v>
      </c>
      <c r="K15" s="216">
        <v>85</v>
      </c>
      <c r="L15" s="211">
        <f t="shared" si="0"/>
        <v>1.4843589726792438E-2</v>
      </c>
    </row>
    <row r="16" spans="1:12" x14ac:dyDescent="0.35">
      <c r="A16" s="207" t="s">
        <v>70</v>
      </c>
      <c r="B16" s="216">
        <v>18153637</v>
      </c>
      <c r="C16" s="216">
        <v>12688785</v>
      </c>
      <c r="D16" s="216">
        <v>1254188</v>
      </c>
      <c r="E16" s="216">
        <v>1133783</v>
      </c>
      <c r="F16" s="216">
        <v>181521</v>
      </c>
      <c r="G16" s="216">
        <v>1379760</v>
      </c>
      <c r="H16" s="216">
        <v>107057</v>
      </c>
      <c r="I16" s="216">
        <v>19601</v>
      </c>
      <c r="J16" s="51">
        <v>17.66</v>
      </c>
      <c r="K16" s="51">
        <v>144.63999999999999</v>
      </c>
      <c r="L16" s="211">
        <f t="shared" si="0"/>
        <v>1.5455458989107882E-3</v>
      </c>
    </row>
    <row r="17" spans="1:12" x14ac:dyDescent="0.35">
      <c r="A17" s="207" t="s">
        <v>31</v>
      </c>
      <c r="B17" s="216">
        <v>46568979</v>
      </c>
      <c r="C17" s="216">
        <v>35016869</v>
      </c>
      <c r="D17" s="216">
        <v>7435251</v>
      </c>
      <c r="E17" s="216">
        <v>6597649</v>
      </c>
      <c r="F17" s="216">
        <v>834060</v>
      </c>
      <c r="G17" s="216">
        <v>4830403</v>
      </c>
      <c r="H17" s="216">
        <v>1085872</v>
      </c>
      <c r="I17" s="216">
        <v>411494</v>
      </c>
      <c r="J17" s="51">
        <v>15.9</v>
      </c>
      <c r="K17" s="51">
        <v>112.77</v>
      </c>
      <c r="L17" s="211">
        <f t="shared" si="0"/>
        <v>9.1625192478498735E-3</v>
      </c>
    </row>
    <row r="18" spans="1:12" x14ac:dyDescent="0.35">
      <c r="A18" s="207" t="s">
        <v>32</v>
      </c>
      <c r="B18" s="216">
        <v>90459733</v>
      </c>
      <c r="C18" s="216">
        <v>71067284</v>
      </c>
      <c r="D18" s="216">
        <v>29239458</v>
      </c>
      <c r="E18" s="216">
        <v>19971404</v>
      </c>
      <c r="F18" s="216">
        <v>7887591</v>
      </c>
      <c r="G18" s="216">
        <v>11844181</v>
      </c>
      <c r="H18" s="216">
        <v>4542394</v>
      </c>
      <c r="I18" s="216">
        <v>3240294</v>
      </c>
      <c r="J18" s="51">
        <v>34.85</v>
      </c>
      <c r="K18" s="51">
        <v>72.41</v>
      </c>
      <c r="L18" s="211">
        <f t="shared" si="0"/>
        <v>3.6032017846028053E-2</v>
      </c>
    </row>
    <row r="19" spans="1:12" x14ac:dyDescent="0.35">
      <c r="A19" s="207" t="s">
        <v>33</v>
      </c>
      <c r="B19" s="216">
        <v>47060480</v>
      </c>
      <c r="C19" s="216">
        <v>36705943</v>
      </c>
      <c r="D19" s="216">
        <v>17822593</v>
      </c>
      <c r="E19" s="216">
        <v>15222451</v>
      </c>
      <c r="F19" s="216">
        <v>4216827</v>
      </c>
      <c r="G19" s="216">
        <v>5954767</v>
      </c>
      <c r="H19" s="216">
        <v>1803811</v>
      </c>
      <c r="I19" s="216">
        <v>1257782</v>
      </c>
      <c r="J19" s="51">
        <v>36.42</v>
      </c>
      <c r="K19" s="51">
        <v>67.02</v>
      </c>
      <c r="L19" s="211">
        <f t="shared" si="0"/>
        <v>2.1962923835267215E-2</v>
      </c>
    </row>
    <row r="20" spans="1:12" x14ac:dyDescent="0.35">
      <c r="A20" s="207" t="s">
        <v>34</v>
      </c>
      <c r="B20" s="216">
        <v>42179807</v>
      </c>
      <c r="C20" s="216">
        <v>20521487</v>
      </c>
      <c r="D20" s="216">
        <v>9737919</v>
      </c>
      <c r="E20" s="216">
        <v>8683066</v>
      </c>
      <c r="F20" s="216">
        <v>1929505</v>
      </c>
      <c r="G20" s="216">
        <v>4743770</v>
      </c>
      <c r="H20" s="216">
        <v>763059</v>
      </c>
      <c r="I20" s="216">
        <v>274700</v>
      </c>
      <c r="J20" s="51">
        <v>24.43</v>
      </c>
      <c r="K20" s="51">
        <v>69.73</v>
      </c>
      <c r="L20" s="211">
        <f t="shared" si="0"/>
        <v>1.2000115432754454E-2</v>
      </c>
    </row>
    <row r="21" spans="1:12" x14ac:dyDescent="0.35">
      <c r="A21" s="207" t="s">
        <v>35</v>
      </c>
      <c r="B21" s="216">
        <v>68730274</v>
      </c>
      <c r="C21" s="216">
        <v>44182295</v>
      </c>
      <c r="D21" s="216">
        <v>15500739</v>
      </c>
      <c r="E21" s="216">
        <v>13652210</v>
      </c>
      <c r="F21" s="216">
        <v>7122656</v>
      </c>
      <c r="G21" s="216">
        <v>6231169</v>
      </c>
      <c r="H21" s="216">
        <v>2057274</v>
      </c>
      <c r="I21" s="216">
        <v>644627</v>
      </c>
      <c r="J21" s="51">
        <v>61.93</v>
      </c>
      <c r="K21" s="51">
        <v>72.069999999999993</v>
      </c>
      <c r="L21" s="211">
        <f t="shared" si="0"/>
        <v>1.9101684589181614E-2</v>
      </c>
    </row>
    <row r="22" spans="1:12" x14ac:dyDescent="0.35">
      <c r="A22" s="207" t="s">
        <v>36</v>
      </c>
      <c r="B22" s="216">
        <v>73464494</v>
      </c>
      <c r="C22" s="216">
        <v>37535416</v>
      </c>
      <c r="D22" s="216">
        <v>26741244</v>
      </c>
      <c r="E22" s="216">
        <v>15199973</v>
      </c>
      <c r="F22" s="216">
        <v>5473932</v>
      </c>
      <c r="G22" s="216">
        <v>8827846</v>
      </c>
      <c r="H22" s="216">
        <v>3464896</v>
      </c>
      <c r="I22" s="216">
        <v>3228615</v>
      </c>
      <c r="J22" s="51">
        <v>37.47</v>
      </c>
      <c r="K22" s="51">
        <v>84.14</v>
      </c>
      <c r="L22" s="211">
        <f t="shared" si="0"/>
        <v>3.2953448762045819E-2</v>
      </c>
    </row>
    <row r="23" spans="1:12" x14ac:dyDescent="0.35">
      <c r="A23" s="207" t="s">
        <v>62</v>
      </c>
      <c r="B23" s="216"/>
      <c r="C23" s="216"/>
      <c r="D23" s="216"/>
      <c r="E23" s="216"/>
      <c r="F23" s="216"/>
      <c r="G23" s="216"/>
      <c r="H23" s="216"/>
      <c r="I23" s="216"/>
      <c r="J23" s="51"/>
      <c r="K23" s="51"/>
      <c r="L23" s="211">
        <f t="shared" si="0"/>
        <v>0</v>
      </c>
    </row>
    <row r="24" spans="1:12" x14ac:dyDescent="0.35">
      <c r="A24" s="207" t="s">
        <v>38</v>
      </c>
      <c r="B24" s="216">
        <v>54740000</v>
      </c>
      <c r="C24" s="216">
        <v>6974350</v>
      </c>
      <c r="D24" s="216">
        <v>16953251</v>
      </c>
      <c r="E24" s="216">
        <v>6217424</v>
      </c>
      <c r="F24" s="216">
        <v>271707</v>
      </c>
      <c r="G24" s="216">
        <v>5007545</v>
      </c>
      <c r="H24" s="216">
        <v>-1684044</v>
      </c>
      <c r="I24" s="216">
        <v>1105837</v>
      </c>
      <c r="J24" s="51">
        <v>4.7699999999999996</v>
      </c>
      <c r="K24" s="51">
        <v>58.32</v>
      </c>
      <c r="L24" s="211">
        <f t="shared" si="0"/>
        <v>2.089162673877857E-2</v>
      </c>
    </row>
    <row r="25" spans="1:12" x14ac:dyDescent="0.35">
      <c r="A25" s="207" t="s">
        <v>77</v>
      </c>
      <c r="B25" s="216">
        <v>19305562</v>
      </c>
      <c r="C25" s="216">
        <v>12212046</v>
      </c>
      <c r="D25" s="216">
        <v>2575582</v>
      </c>
      <c r="E25" s="216">
        <v>2166745</v>
      </c>
      <c r="F25" s="216">
        <v>100530</v>
      </c>
      <c r="G25" s="216">
        <v>3684974</v>
      </c>
      <c r="H25" s="216">
        <v>317552</v>
      </c>
      <c r="I25" s="216">
        <v>103247</v>
      </c>
      <c r="J25" s="51">
        <v>8.4</v>
      </c>
      <c r="K25" s="51">
        <v>334.59</v>
      </c>
      <c r="L25" s="211">
        <f t="shared" si="0"/>
        <v>3.1739102888948432E-3</v>
      </c>
    </row>
    <row r="26" spans="1:12" x14ac:dyDescent="0.35">
      <c r="A26" s="207" t="s">
        <v>39</v>
      </c>
      <c r="B26" s="216">
        <v>508376316</v>
      </c>
      <c r="C26" s="216">
        <v>317612148</v>
      </c>
      <c r="D26" s="216">
        <v>91769089</v>
      </c>
      <c r="E26" s="216">
        <v>62059683</v>
      </c>
      <c r="F26" s="216">
        <v>5860102</v>
      </c>
      <c r="G26" s="216">
        <v>55917139</v>
      </c>
      <c r="H26" s="216">
        <v>9345066</v>
      </c>
      <c r="I26" s="216">
        <v>7354937</v>
      </c>
      <c r="J26" s="216">
        <v>10</v>
      </c>
      <c r="K26" s="216">
        <v>115</v>
      </c>
      <c r="L26" s="211">
        <f t="shared" si="0"/>
        <v>0.11308778201571783</v>
      </c>
    </row>
    <row r="27" spans="1:12" x14ac:dyDescent="0.35">
      <c r="A27" s="207" t="s">
        <v>40</v>
      </c>
      <c r="B27" s="216">
        <v>345923367</v>
      </c>
      <c r="C27" s="216">
        <v>299038410</v>
      </c>
      <c r="D27" s="216">
        <v>66683317</v>
      </c>
      <c r="E27" s="216">
        <v>52856964</v>
      </c>
      <c r="F27" s="216">
        <v>22708979</v>
      </c>
      <c r="G27" s="216">
        <v>20708613</v>
      </c>
      <c r="H27" s="216">
        <v>12425300</v>
      </c>
      <c r="I27" s="216">
        <v>5196642</v>
      </c>
      <c r="J27" s="51">
        <v>43.38</v>
      </c>
      <c r="K27" s="51">
        <v>63.29</v>
      </c>
      <c r="L27" s="211">
        <f t="shared" si="0"/>
        <v>8.2174384633817293E-2</v>
      </c>
    </row>
    <row r="28" spans="1:12" x14ac:dyDescent="0.35">
      <c r="A28" s="207" t="s">
        <v>90</v>
      </c>
      <c r="B28" s="216">
        <v>61521761</v>
      </c>
      <c r="C28" s="216">
        <v>26544505</v>
      </c>
      <c r="D28" s="216">
        <v>23888574</v>
      </c>
      <c r="E28" s="216">
        <v>17738946</v>
      </c>
      <c r="F28" s="216">
        <v>2712502</v>
      </c>
      <c r="G28" s="216">
        <v>7507579</v>
      </c>
      <c r="H28" s="216">
        <v>4463908</v>
      </c>
      <c r="I28" s="216">
        <v>1942402</v>
      </c>
      <c r="J28" s="51">
        <v>16.13</v>
      </c>
      <c r="K28" s="51">
        <v>71.209999999999994</v>
      </c>
      <c r="L28" s="211">
        <f t="shared" si="0"/>
        <v>2.9438080715591987E-2</v>
      </c>
    </row>
    <row r="29" spans="1:12" x14ac:dyDescent="0.35">
      <c r="A29" s="207" t="s">
        <v>41</v>
      </c>
      <c r="B29" s="216">
        <v>31755967</v>
      </c>
      <c r="C29" s="216">
        <v>27468717</v>
      </c>
      <c r="D29" s="216">
        <v>6883457</v>
      </c>
      <c r="E29" s="216">
        <v>6134377</v>
      </c>
      <c r="F29" s="216">
        <v>2207249</v>
      </c>
      <c r="G29" s="216">
        <v>4155522</v>
      </c>
      <c r="H29" s="216">
        <v>67679</v>
      </c>
      <c r="I29" s="216"/>
      <c r="J29" s="51">
        <v>39.81</v>
      </c>
      <c r="K29" s="51">
        <v>76.180000000000007</v>
      </c>
      <c r="L29" s="211">
        <f t="shared" si="0"/>
        <v>8.4825390903746148E-3</v>
      </c>
    </row>
    <row r="30" spans="1:12" x14ac:dyDescent="0.35">
      <c r="A30" s="207" t="s">
        <v>42</v>
      </c>
      <c r="B30" s="216">
        <v>102715256</v>
      </c>
      <c r="C30" s="216">
        <v>53065401</v>
      </c>
      <c r="D30" s="216">
        <v>62682113</v>
      </c>
      <c r="E30" s="216">
        <v>43244371</v>
      </c>
      <c r="F30" s="216">
        <v>14988151</v>
      </c>
      <c r="G30" s="216">
        <v>15343229</v>
      </c>
      <c r="H30" s="216">
        <v>10990514</v>
      </c>
      <c r="I30" s="216">
        <v>5970695</v>
      </c>
      <c r="J30" s="51">
        <v>38.159999999999997</v>
      </c>
      <c r="K30" s="51">
        <v>67.05</v>
      </c>
      <c r="L30" s="211">
        <f t="shared" si="0"/>
        <v>7.724366895729555E-2</v>
      </c>
    </row>
    <row r="31" spans="1:12" x14ac:dyDescent="0.35">
      <c r="A31" s="207" t="s">
        <v>43</v>
      </c>
      <c r="B31" s="216">
        <v>42040112</v>
      </c>
      <c r="C31" s="216">
        <v>22048204</v>
      </c>
      <c r="D31" s="216">
        <v>8723486</v>
      </c>
      <c r="E31" s="216">
        <v>6583687</v>
      </c>
      <c r="F31" s="216">
        <v>3927977</v>
      </c>
      <c r="G31" s="216">
        <v>4812791</v>
      </c>
      <c r="H31" s="216">
        <v>2339675</v>
      </c>
      <c r="I31" s="216">
        <v>817535</v>
      </c>
      <c r="J31" s="51">
        <v>49.48</v>
      </c>
      <c r="K31" s="51">
        <v>90.1</v>
      </c>
      <c r="L31" s="211">
        <f t="shared" si="0"/>
        <v>1.0750021537046819E-2</v>
      </c>
    </row>
    <row r="32" spans="1:12" x14ac:dyDescent="0.35">
      <c r="A32" s="207" t="s">
        <v>88</v>
      </c>
      <c r="B32" s="217">
        <f t="shared" ref="B32:I32" si="1">SUM(B3:B31)</f>
        <v>2536367822</v>
      </c>
      <c r="C32" s="217">
        <f t="shared" si="1"/>
        <v>1580792387</v>
      </c>
      <c r="D32" s="217">
        <f t="shared" si="1"/>
        <v>811485444</v>
      </c>
      <c r="E32" s="217">
        <f t="shared" si="1"/>
        <v>495426265</v>
      </c>
      <c r="F32" s="217">
        <f t="shared" si="1"/>
        <v>155473134</v>
      </c>
      <c r="G32" s="217">
        <f t="shared" si="1"/>
        <v>264276347</v>
      </c>
      <c r="H32" s="217">
        <f t="shared" si="1"/>
        <v>110344095</v>
      </c>
      <c r="I32" s="217">
        <f t="shared" si="1"/>
        <v>85241034</v>
      </c>
      <c r="J32" s="214"/>
      <c r="K32" s="214"/>
      <c r="L32" s="215">
        <f>SUM(L3:L31)</f>
        <v>0.99999999999999989</v>
      </c>
    </row>
    <row r="34" spans="2:9" x14ac:dyDescent="0.35">
      <c r="B34" s="206"/>
      <c r="C34" s="206"/>
      <c r="D34" s="206"/>
      <c r="E34" s="206"/>
      <c r="F34" s="206"/>
      <c r="G34" s="206"/>
      <c r="H34" s="206"/>
      <c r="I34" s="206"/>
    </row>
  </sheetData>
  <sortState xmlns:xlrd2="http://schemas.microsoft.com/office/spreadsheetml/2017/richdata2" ref="A3:L31">
    <sortCondition ref="A3:A31"/>
  </sortState>
  <pageMargins left="0.7" right="0.7" top="0.75" bottom="0.75" header="0.3" footer="0.3"/>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sheetPr>
    <tabColor rgb="FF7030A0"/>
  </sheetPr>
  <dimension ref="A1:L34"/>
  <sheetViews>
    <sheetView workbookViewId="0"/>
  </sheetViews>
  <sheetFormatPr defaultRowHeight="12.75" x14ac:dyDescent="0.35"/>
  <cols>
    <col min="1" max="1" width="47" bestFit="1" customWidth="1"/>
    <col min="2" max="2" width="16" bestFit="1" customWidth="1"/>
    <col min="3" max="3" width="16" style="218" bestFit="1" customWidth="1"/>
    <col min="4" max="4" width="16" bestFit="1" customWidth="1"/>
    <col min="5" max="5" width="14.265625" style="218" bestFit="1" customWidth="1"/>
    <col min="6" max="7" width="14.3984375" style="218" bestFit="1" customWidth="1"/>
    <col min="8" max="9" width="14.265625" bestFit="1" customWidth="1"/>
    <col min="12" max="12" width="9.265625" style="7"/>
  </cols>
  <sheetData>
    <row r="1" spans="1:12" ht="13.15" x14ac:dyDescent="0.4">
      <c r="A1" s="10" t="s">
        <v>91</v>
      </c>
    </row>
    <row r="2" spans="1:12" ht="25.9" x14ac:dyDescent="0.4">
      <c r="A2" s="10" t="s">
        <v>8</v>
      </c>
      <c r="B2" s="10" t="s">
        <v>9</v>
      </c>
      <c r="C2" s="219" t="s">
        <v>10</v>
      </c>
      <c r="D2" s="11" t="s">
        <v>67</v>
      </c>
      <c r="E2" s="221" t="s">
        <v>12</v>
      </c>
      <c r="F2" s="221" t="s">
        <v>72</v>
      </c>
      <c r="G2" s="222" t="s">
        <v>14</v>
      </c>
      <c r="H2" s="13" t="s">
        <v>15</v>
      </c>
      <c r="I2" s="13" t="s">
        <v>16</v>
      </c>
      <c r="J2" s="189" t="s">
        <v>79</v>
      </c>
      <c r="K2" s="13" t="s">
        <v>80</v>
      </c>
      <c r="L2" s="227" t="s">
        <v>19</v>
      </c>
    </row>
    <row r="3" spans="1:12" x14ac:dyDescent="0.35">
      <c r="A3" s="207" t="s">
        <v>20</v>
      </c>
      <c r="B3" s="209">
        <v>87395443</v>
      </c>
      <c r="C3" s="209">
        <v>39769523</v>
      </c>
      <c r="D3" s="209">
        <v>61230188</v>
      </c>
      <c r="E3" s="209">
        <v>14067030</v>
      </c>
      <c r="F3" s="209">
        <v>5348802</v>
      </c>
      <c r="G3" s="209">
        <v>11235219</v>
      </c>
      <c r="H3" s="209">
        <v>6127716.7699999996</v>
      </c>
      <c r="I3" s="209">
        <v>13619870.59</v>
      </c>
      <c r="J3" s="209">
        <v>43</v>
      </c>
      <c r="K3" s="209">
        <v>141</v>
      </c>
      <c r="L3" s="211">
        <f t="shared" ref="L3:L31" si="0">D3/$D$32</f>
        <v>5.0334464750473595E-2</v>
      </c>
    </row>
    <row r="4" spans="1:12" x14ac:dyDescent="0.35">
      <c r="A4" s="207" t="s">
        <v>21</v>
      </c>
      <c r="B4" s="209">
        <v>37693285</v>
      </c>
      <c r="C4" s="209">
        <v>20485386</v>
      </c>
      <c r="D4" s="209">
        <v>28774613</v>
      </c>
      <c r="E4" s="209">
        <v>19394608</v>
      </c>
      <c r="F4" s="209">
        <v>13348178</v>
      </c>
      <c r="G4" s="209">
        <v>15336677</v>
      </c>
      <c r="H4" s="209">
        <v>4244494</v>
      </c>
      <c r="I4" s="209">
        <v>1235370</v>
      </c>
      <c r="J4" s="209">
        <v>61.69</v>
      </c>
      <c r="K4" s="209">
        <v>90.49</v>
      </c>
      <c r="L4" s="211">
        <f t="shared" si="0"/>
        <v>2.3654259297015701E-2</v>
      </c>
    </row>
    <row r="5" spans="1:12" x14ac:dyDescent="0.35">
      <c r="A5" s="207" t="s">
        <v>87</v>
      </c>
      <c r="B5" s="209">
        <v>24418548</v>
      </c>
      <c r="C5" s="209">
        <v>7115705</v>
      </c>
      <c r="D5" s="209">
        <v>1733124</v>
      </c>
      <c r="E5" s="209">
        <v>1430967</v>
      </c>
      <c r="F5" s="209">
        <v>230980</v>
      </c>
      <c r="G5" s="209">
        <v>2575060</v>
      </c>
      <c r="H5" s="209">
        <v>182047</v>
      </c>
      <c r="I5" s="209">
        <v>85636</v>
      </c>
      <c r="J5" s="209">
        <v>13.1</v>
      </c>
      <c r="K5" s="209">
        <v>156.32</v>
      </c>
      <c r="L5" s="211">
        <f t="shared" si="0"/>
        <v>1.424719925507983E-3</v>
      </c>
    </row>
    <row r="6" spans="1:12" x14ac:dyDescent="0.35">
      <c r="A6" s="207" t="s">
        <v>60</v>
      </c>
      <c r="B6" s="209">
        <v>24766539</v>
      </c>
      <c r="C6" s="209">
        <v>17456400</v>
      </c>
      <c r="D6" s="209">
        <v>11163626</v>
      </c>
      <c r="E6" s="209">
        <v>8496878</v>
      </c>
      <c r="F6" s="209">
        <v>1325427</v>
      </c>
      <c r="G6" s="209">
        <v>6890464</v>
      </c>
      <c r="H6" s="209">
        <v>1202885</v>
      </c>
      <c r="I6" s="209">
        <v>1264645</v>
      </c>
      <c r="J6" s="209">
        <v>13.06</v>
      </c>
      <c r="K6" s="209">
        <v>79.760000000000005</v>
      </c>
      <c r="L6" s="211">
        <f t="shared" si="0"/>
        <v>9.1770931584347001E-3</v>
      </c>
    </row>
    <row r="7" spans="1:12" x14ac:dyDescent="0.35">
      <c r="A7" s="207" t="s">
        <v>22</v>
      </c>
      <c r="B7" s="209">
        <v>70443422</v>
      </c>
      <c r="C7" s="209">
        <v>35055932</v>
      </c>
      <c r="D7" s="209">
        <v>50882512</v>
      </c>
      <c r="E7" s="209">
        <v>21822281</v>
      </c>
      <c r="F7" s="209">
        <v>8519855</v>
      </c>
      <c r="G7" s="209">
        <v>11134389</v>
      </c>
      <c r="H7" s="209">
        <v>8296028</v>
      </c>
      <c r="I7" s="209">
        <v>8028705</v>
      </c>
      <c r="J7" s="209">
        <v>37.44</v>
      </c>
      <c r="K7" s="209">
        <v>85.39</v>
      </c>
      <c r="L7" s="211">
        <f t="shared" si="0"/>
        <v>4.1828125804211962E-2</v>
      </c>
    </row>
    <row r="8" spans="1:12" x14ac:dyDescent="0.35">
      <c r="A8" s="207" t="s">
        <v>23</v>
      </c>
      <c r="B8" s="209">
        <v>252371567</v>
      </c>
      <c r="C8" s="209">
        <v>153974933</v>
      </c>
      <c r="D8" s="209">
        <v>155363178</v>
      </c>
      <c r="E8" s="209">
        <v>93220995</v>
      </c>
      <c r="F8" s="209">
        <v>45742673</v>
      </c>
      <c r="G8" s="209">
        <v>32807850</v>
      </c>
      <c r="H8" s="209">
        <v>21636767</v>
      </c>
      <c r="I8" s="209">
        <v>14872649</v>
      </c>
      <c r="J8" s="209">
        <v>55.99</v>
      </c>
      <c r="K8" s="209">
        <v>66.64</v>
      </c>
      <c r="L8" s="211">
        <f t="shared" si="0"/>
        <v>0.12771677928806219</v>
      </c>
    </row>
    <row r="9" spans="1:12" x14ac:dyDescent="0.35">
      <c r="A9" s="207" t="s">
        <v>25</v>
      </c>
      <c r="B9" s="209">
        <v>132877244</v>
      </c>
      <c r="C9" s="209">
        <v>59769473</v>
      </c>
      <c r="D9" s="209">
        <v>77881002</v>
      </c>
      <c r="E9" s="209">
        <v>25054202</v>
      </c>
      <c r="F9" s="209">
        <v>11562171</v>
      </c>
      <c r="G9" s="209">
        <v>20044914</v>
      </c>
      <c r="H9" s="209">
        <v>11146326</v>
      </c>
      <c r="I9" s="209">
        <v>9675396</v>
      </c>
      <c r="J9" s="209">
        <v>52</v>
      </c>
      <c r="K9" s="209">
        <v>91</v>
      </c>
      <c r="L9" s="211">
        <f t="shared" si="0"/>
        <v>6.4022317715251228E-2</v>
      </c>
    </row>
    <row r="10" spans="1:12" x14ac:dyDescent="0.35">
      <c r="A10" s="207" t="s">
        <v>26</v>
      </c>
      <c r="B10" s="209">
        <v>107671049</v>
      </c>
      <c r="C10" s="223">
        <v>59566971.038004003</v>
      </c>
      <c r="D10" s="209">
        <v>99815427</v>
      </c>
      <c r="E10" s="209">
        <v>49386948.719999999</v>
      </c>
      <c r="F10" s="209">
        <v>14952947</v>
      </c>
      <c r="G10" s="209">
        <v>24905262.739999998</v>
      </c>
      <c r="H10" s="209">
        <v>12982949</v>
      </c>
      <c r="I10" s="209">
        <v>16144042</v>
      </c>
      <c r="J10" s="209">
        <v>38</v>
      </c>
      <c r="K10" s="209">
        <v>97</v>
      </c>
      <c r="L10" s="211">
        <f t="shared" si="0"/>
        <v>8.2053579386118652E-2</v>
      </c>
    </row>
    <row r="11" spans="1:12" ht="13.9" x14ac:dyDescent="0.4">
      <c r="A11" s="207" t="s">
        <v>27</v>
      </c>
      <c r="B11" s="209">
        <v>44473204</v>
      </c>
      <c r="C11" s="209">
        <v>10924060.4375</v>
      </c>
      <c r="D11" s="209">
        <v>8218940</v>
      </c>
      <c r="E11" s="209">
        <v>6626416.5</v>
      </c>
      <c r="F11" s="224">
        <v>1164108.75</v>
      </c>
      <c r="G11" s="225">
        <v>4897406.0999999996</v>
      </c>
      <c r="H11" s="209">
        <v>1356125.1</v>
      </c>
      <c r="I11" s="209"/>
      <c r="J11" s="209">
        <v>18</v>
      </c>
      <c r="K11" s="209">
        <v>74</v>
      </c>
      <c r="L11" s="211">
        <f t="shared" si="0"/>
        <v>6.7564049569185944E-3</v>
      </c>
    </row>
    <row r="12" spans="1:12" x14ac:dyDescent="0.35">
      <c r="A12" s="207" t="s">
        <v>28</v>
      </c>
      <c r="B12" s="209">
        <v>167642852</v>
      </c>
      <c r="C12" s="209">
        <v>87244707.129999995</v>
      </c>
      <c r="D12" s="209">
        <v>100454231</v>
      </c>
      <c r="E12" s="209">
        <v>45881755</v>
      </c>
      <c r="F12" s="209">
        <v>12387874</v>
      </c>
      <c r="G12" s="209">
        <v>37178835</v>
      </c>
      <c r="H12" s="209">
        <v>12434974</v>
      </c>
      <c r="I12" s="209">
        <v>10543694</v>
      </c>
      <c r="J12" s="209">
        <v>31</v>
      </c>
      <c r="K12" s="209">
        <v>93</v>
      </c>
      <c r="L12" s="211">
        <f t="shared" si="0"/>
        <v>8.2578710183046175E-2</v>
      </c>
    </row>
    <row r="13" spans="1:12" x14ac:dyDescent="0.35">
      <c r="A13" s="207" t="s">
        <v>46</v>
      </c>
      <c r="B13" s="209">
        <v>22803459</v>
      </c>
      <c r="C13" s="209">
        <v>14796145</v>
      </c>
      <c r="D13" s="209">
        <v>8519937</v>
      </c>
      <c r="E13" s="209">
        <v>7332561</v>
      </c>
      <c r="F13" s="209">
        <v>2101544</v>
      </c>
      <c r="G13" s="209">
        <v>6204821</v>
      </c>
      <c r="H13" s="209">
        <v>1301535</v>
      </c>
      <c r="I13" s="209">
        <v>445360</v>
      </c>
      <c r="J13" s="209">
        <v>30.6</v>
      </c>
      <c r="K13" s="209">
        <v>109.31</v>
      </c>
      <c r="L13" s="211">
        <f t="shared" si="0"/>
        <v>7.0038404684100546E-3</v>
      </c>
    </row>
    <row r="14" spans="1:12" x14ac:dyDescent="0.35">
      <c r="A14" s="207" t="s">
        <v>69</v>
      </c>
      <c r="B14" s="209">
        <v>27644071</v>
      </c>
      <c r="C14" s="209">
        <v>9135492</v>
      </c>
      <c r="D14" s="209">
        <v>6721869</v>
      </c>
      <c r="E14" s="209">
        <v>5097276</v>
      </c>
      <c r="F14" s="209">
        <v>690843</v>
      </c>
      <c r="G14" s="209">
        <v>3531208</v>
      </c>
      <c r="H14" s="209">
        <v>1079730</v>
      </c>
      <c r="I14" s="209">
        <v>316697</v>
      </c>
      <c r="J14" s="209">
        <v>16.89</v>
      </c>
      <c r="K14" s="209">
        <v>112.76</v>
      </c>
      <c r="L14" s="211">
        <f t="shared" si="0"/>
        <v>5.5257331275514162E-3</v>
      </c>
    </row>
    <row r="15" spans="1:12" x14ac:dyDescent="0.35">
      <c r="A15" s="207" t="s">
        <v>29</v>
      </c>
      <c r="B15" s="209">
        <v>46129023</v>
      </c>
      <c r="C15" s="209">
        <v>34103813</v>
      </c>
      <c r="D15" s="209">
        <v>14847711</v>
      </c>
      <c r="E15" s="209">
        <v>12117271</v>
      </c>
      <c r="F15" s="209">
        <v>3030008</v>
      </c>
      <c r="G15" s="209">
        <v>7062698</v>
      </c>
      <c r="H15" s="209">
        <v>1726428</v>
      </c>
      <c r="I15" s="209">
        <v>887021</v>
      </c>
      <c r="J15" s="209">
        <v>29.09</v>
      </c>
      <c r="K15" s="209">
        <v>84.39</v>
      </c>
      <c r="L15" s="211">
        <f t="shared" si="0"/>
        <v>1.2205606586651653E-2</v>
      </c>
    </row>
    <row r="16" spans="1:12" x14ac:dyDescent="0.35">
      <c r="A16" s="207" t="s">
        <v>70</v>
      </c>
      <c r="B16" s="209">
        <v>18288664</v>
      </c>
      <c r="C16" s="209">
        <v>13007838</v>
      </c>
      <c r="D16" s="209">
        <v>1772663</v>
      </c>
      <c r="E16" s="209">
        <v>1593524</v>
      </c>
      <c r="F16" s="209">
        <v>826464</v>
      </c>
      <c r="G16" s="209">
        <v>2058044</v>
      </c>
      <c r="H16" s="209">
        <v>156989</v>
      </c>
      <c r="I16" s="209">
        <v>25880</v>
      </c>
      <c r="J16" s="209">
        <v>53.47</v>
      </c>
      <c r="K16" s="209">
        <v>143.30000000000001</v>
      </c>
      <c r="L16" s="211">
        <f t="shared" si="0"/>
        <v>1.4572230823130703E-3</v>
      </c>
    </row>
    <row r="17" spans="1:12" x14ac:dyDescent="0.35">
      <c r="A17" s="207" t="s">
        <v>31</v>
      </c>
      <c r="B17" s="209">
        <v>47453079</v>
      </c>
      <c r="C17" s="209">
        <v>36323119</v>
      </c>
      <c r="D17" s="209">
        <v>10449378</v>
      </c>
      <c r="E17" s="209">
        <v>9018761</v>
      </c>
      <c r="F17" s="209">
        <v>1275505</v>
      </c>
      <c r="G17" s="209">
        <v>7318710</v>
      </c>
      <c r="H17" s="209">
        <v>1479671</v>
      </c>
      <c r="I17" s="209">
        <v>619155</v>
      </c>
      <c r="J17" s="209">
        <v>15.94</v>
      </c>
      <c r="K17" s="209">
        <v>109.93</v>
      </c>
      <c r="L17" s="211">
        <f t="shared" si="0"/>
        <v>8.5899433887966226E-3</v>
      </c>
    </row>
    <row r="18" spans="1:12" x14ac:dyDescent="0.35">
      <c r="A18" s="207" t="s">
        <v>32</v>
      </c>
      <c r="B18" s="209">
        <v>93582169</v>
      </c>
      <c r="C18" s="209">
        <v>70394070</v>
      </c>
      <c r="D18" s="209">
        <v>40290339</v>
      </c>
      <c r="E18" s="209">
        <v>28662854</v>
      </c>
      <c r="F18" s="209">
        <v>10296049</v>
      </c>
      <c r="G18" s="209">
        <v>17445045</v>
      </c>
      <c r="H18" s="209">
        <v>6117641</v>
      </c>
      <c r="I18" s="209">
        <v>5038956</v>
      </c>
      <c r="J18" s="209">
        <v>33.97</v>
      </c>
      <c r="K18" s="209">
        <v>77.739999999999995</v>
      </c>
      <c r="L18" s="211">
        <f t="shared" si="0"/>
        <v>3.3120797345585998E-2</v>
      </c>
    </row>
    <row r="19" spans="1:12" x14ac:dyDescent="0.35">
      <c r="A19" s="207" t="s">
        <v>33</v>
      </c>
      <c r="B19" s="209">
        <v>50612360</v>
      </c>
      <c r="C19" s="209">
        <v>40992968</v>
      </c>
      <c r="D19" s="209">
        <v>28975283</v>
      </c>
      <c r="E19" s="209">
        <v>24455843</v>
      </c>
      <c r="F19" s="209">
        <v>7277673</v>
      </c>
      <c r="G19" s="209">
        <v>10218385</v>
      </c>
      <c r="H19" s="209">
        <v>3926742</v>
      </c>
      <c r="I19" s="209">
        <v>1598671</v>
      </c>
      <c r="J19" s="209">
        <v>39.14</v>
      </c>
      <c r="K19" s="209">
        <v>76.069999999999993</v>
      </c>
      <c r="L19" s="211">
        <f t="shared" si="0"/>
        <v>2.3819220688959777E-2</v>
      </c>
    </row>
    <row r="20" spans="1:12" x14ac:dyDescent="0.35">
      <c r="A20" s="207" t="s">
        <v>34</v>
      </c>
      <c r="B20" s="209">
        <v>40158334</v>
      </c>
      <c r="C20" s="209">
        <v>19953865</v>
      </c>
      <c r="D20" s="209">
        <v>13916061</v>
      </c>
      <c r="E20" s="209">
        <v>12672493</v>
      </c>
      <c r="F20" s="209">
        <v>2609824</v>
      </c>
      <c r="G20" s="209">
        <v>7359162</v>
      </c>
      <c r="H20" s="209">
        <v>1156357</v>
      </c>
      <c r="I20" s="209">
        <v>341030</v>
      </c>
      <c r="J20" s="209">
        <v>23.79</v>
      </c>
      <c r="K20" s="209">
        <v>77.63</v>
      </c>
      <c r="L20" s="211">
        <f t="shared" si="0"/>
        <v>1.1439740832903212E-2</v>
      </c>
    </row>
    <row r="21" spans="1:12" x14ac:dyDescent="0.35">
      <c r="A21" s="207" t="s">
        <v>35</v>
      </c>
      <c r="B21" s="209">
        <v>69120020</v>
      </c>
      <c r="C21" s="209">
        <v>46108236</v>
      </c>
      <c r="D21" s="209">
        <v>22665311</v>
      </c>
      <c r="E21" s="209">
        <v>18430806</v>
      </c>
      <c r="F21" s="209">
        <v>4987030</v>
      </c>
      <c r="G21" s="209">
        <v>9091766</v>
      </c>
      <c r="H21" s="209">
        <v>2863372</v>
      </c>
      <c r="I21" s="209">
        <v>1045927</v>
      </c>
      <c r="J21" s="209">
        <v>32.39</v>
      </c>
      <c r="K21" s="209">
        <v>77.64</v>
      </c>
      <c r="L21" s="211">
        <f t="shared" si="0"/>
        <v>1.8632088759682093E-2</v>
      </c>
    </row>
    <row r="22" spans="1:12" x14ac:dyDescent="0.35">
      <c r="A22" s="207" t="s">
        <v>36</v>
      </c>
      <c r="B22" s="209">
        <v>68444322</v>
      </c>
      <c r="C22" s="209">
        <v>37435925</v>
      </c>
      <c r="D22" s="209">
        <v>34255295</v>
      </c>
      <c r="E22" s="209">
        <v>22164374</v>
      </c>
      <c r="F22" s="209">
        <v>8083188</v>
      </c>
      <c r="G22" s="209">
        <v>12487376</v>
      </c>
      <c r="H22" s="209">
        <v>3955689</v>
      </c>
      <c r="I22" s="209">
        <v>3598341</v>
      </c>
      <c r="J22" s="209">
        <v>38.08</v>
      </c>
      <c r="K22" s="209">
        <v>77.47</v>
      </c>
      <c r="L22" s="211">
        <f t="shared" si="0"/>
        <v>2.8159670826007822E-2</v>
      </c>
    </row>
    <row r="23" spans="1:12" x14ac:dyDescent="0.35">
      <c r="A23" s="207" t="s">
        <v>62</v>
      </c>
      <c r="B23" s="209">
        <v>34405370</v>
      </c>
      <c r="C23" s="209">
        <v>21986759</v>
      </c>
      <c r="D23" s="209">
        <v>23593142</v>
      </c>
      <c r="E23" s="209">
        <v>21210503</v>
      </c>
      <c r="F23" s="209">
        <v>6977415</v>
      </c>
      <c r="G23" s="209">
        <v>14222745</v>
      </c>
      <c r="H23" s="209">
        <v>3546719</v>
      </c>
      <c r="I23" s="209">
        <v>1630483</v>
      </c>
      <c r="J23" s="209">
        <v>37</v>
      </c>
      <c r="K23" s="209">
        <v>75</v>
      </c>
      <c r="L23" s="211">
        <f t="shared" si="0"/>
        <v>1.9394815092710772E-2</v>
      </c>
    </row>
    <row r="24" spans="1:12" ht="13.9" x14ac:dyDescent="0.4">
      <c r="A24" s="207" t="s">
        <v>38</v>
      </c>
      <c r="B24" s="209">
        <v>67815420</v>
      </c>
      <c r="C24" s="209">
        <v>22769021.100000001</v>
      </c>
      <c r="D24" s="209">
        <v>31462059</v>
      </c>
      <c r="E24" s="226">
        <v>8534717.4899999984</v>
      </c>
      <c r="F24" s="224">
        <v>1416448</v>
      </c>
      <c r="G24" s="226">
        <v>7285961</v>
      </c>
      <c r="H24" s="209">
        <v>2752661.93</v>
      </c>
      <c r="I24" s="209">
        <v>3026479.3550161179</v>
      </c>
      <c r="J24" s="209">
        <v>16</v>
      </c>
      <c r="K24" s="209">
        <v>113</v>
      </c>
      <c r="L24" s="211">
        <f t="shared" si="0"/>
        <v>2.586348256374487E-2</v>
      </c>
    </row>
    <row r="25" spans="1:12" x14ac:dyDescent="0.35">
      <c r="A25" s="207" t="s">
        <v>77</v>
      </c>
      <c r="B25" s="209">
        <v>18984463</v>
      </c>
      <c r="C25" s="209">
        <v>8500000</v>
      </c>
      <c r="D25" s="209">
        <v>3940056</v>
      </c>
      <c r="E25" s="209">
        <v>3348238</v>
      </c>
      <c r="F25" s="209">
        <v>190368</v>
      </c>
      <c r="G25" s="209">
        <v>5723030</v>
      </c>
      <c r="H25" s="209">
        <v>475305</v>
      </c>
      <c r="I25" s="209">
        <v>196955</v>
      </c>
      <c r="J25" s="209">
        <v>10.08</v>
      </c>
      <c r="K25" s="209">
        <v>328.15</v>
      </c>
      <c r="L25" s="211">
        <f t="shared" si="0"/>
        <v>3.2389351776429625E-3</v>
      </c>
    </row>
    <row r="26" spans="1:12" x14ac:dyDescent="0.35">
      <c r="A26" s="207" t="s">
        <v>39</v>
      </c>
      <c r="B26" s="209">
        <v>496047512</v>
      </c>
      <c r="C26" s="209">
        <v>318746810</v>
      </c>
      <c r="D26" s="209">
        <v>138986327</v>
      </c>
      <c r="E26" s="209">
        <v>86646602</v>
      </c>
      <c r="F26" s="209">
        <v>18862269</v>
      </c>
      <c r="G26" s="209">
        <v>93047248</v>
      </c>
      <c r="H26" s="209">
        <v>15545995</v>
      </c>
      <c r="I26" s="209">
        <v>15883358</v>
      </c>
      <c r="J26" s="209">
        <v>22</v>
      </c>
      <c r="K26" s="209">
        <v>109</v>
      </c>
      <c r="L26" s="211">
        <f t="shared" si="0"/>
        <v>0.11425413845176004</v>
      </c>
    </row>
    <row r="27" spans="1:12" x14ac:dyDescent="0.35">
      <c r="A27" s="207" t="s">
        <v>40</v>
      </c>
      <c r="B27" s="209">
        <v>349943357</v>
      </c>
      <c r="C27" s="209">
        <v>306394598</v>
      </c>
      <c r="D27" s="209">
        <v>90681940</v>
      </c>
      <c r="E27" s="209">
        <v>70887223</v>
      </c>
      <c r="F27" s="209">
        <v>31386502</v>
      </c>
      <c r="G27" s="209">
        <v>31865745</v>
      </c>
      <c r="H27" s="209">
        <v>18637358</v>
      </c>
      <c r="I27" s="209">
        <v>6965717</v>
      </c>
      <c r="J27" s="209">
        <v>46.26</v>
      </c>
      <c r="K27" s="209">
        <v>74.44</v>
      </c>
      <c r="L27" s="211">
        <f t="shared" si="0"/>
        <v>7.4545368249311295E-2</v>
      </c>
    </row>
    <row r="28" spans="1:12" x14ac:dyDescent="0.35">
      <c r="A28" s="207" t="s">
        <v>90</v>
      </c>
      <c r="B28" s="209">
        <v>62283100</v>
      </c>
      <c r="C28" s="209">
        <v>25108295</v>
      </c>
      <c r="D28" s="209">
        <v>36097607</v>
      </c>
      <c r="E28" s="209">
        <v>27200334</v>
      </c>
      <c r="F28" s="209">
        <v>4043113</v>
      </c>
      <c r="G28" s="209">
        <v>12046530</v>
      </c>
      <c r="H28" s="209">
        <v>6545720</v>
      </c>
      <c r="I28" s="209">
        <v>2869101</v>
      </c>
      <c r="J28" s="209">
        <v>17.03</v>
      </c>
      <c r="K28" s="209">
        <v>78.31</v>
      </c>
      <c r="L28" s="211">
        <f t="shared" si="0"/>
        <v>2.967414908342187E-2</v>
      </c>
    </row>
    <row r="29" spans="1:12" x14ac:dyDescent="0.35">
      <c r="A29" s="207" t="s">
        <v>41</v>
      </c>
      <c r="B29" s="209">
        <v>33371333</v>
      </c>
      <c r="C29" s="209">
        <v>28516373</v>
      </c>
      <c r="D29" s="209">
        <v>9928143</v>
      </c>
      <c r="E29" s="209">
        <v>8789131</v>
      </c>
      <c r="F29" s="209">
        <v>2502555</v>
      </c>
      <c r="G29" s="209">
        <v>6259517</v>
      </c>
      <c r="H29" s="209">
        <v>134995</v>
      </c>
      <c r="I29" s="209"/>
      <c r="J29" s="209">
        <v>32.35</v>
      </c>
      <c r="K29" s="209">
        <v>82.65</v>
      </c>
      <c r="L29" s="211">
        <f t="shared" si="0"/>
        <v>8.1614605506545417E-3</v>
      </c>
    </row>
    <row r="30" spans="1:12" x14ac:dyDescent="0.35">
      <c r="A30" s="207" t="s">
        <v>42</v>
      </c>
      <c r="B30" s="209">
        <v>106061636</v>
      </c>
      <c r="C30" s="209">
        <v>52897401</v>
      </c>
      <c r="D30" s="209">
        <v>83429336</v>
      </c>
      <c r="E30" s="209">
        <v>58731164</v>
      </c>
      <c r="F30" s="209">
        <v>21066188</v>
      </c>
      <c r="G30" s="209">
        <v>22545582</v>
      </c>
      <c r="H30" s="209">
        <v>13665855</v>
      </c>
      <c r="I30" s="209">
        <v>7186550</v>
      </c>
      <c r="J30" s="209">
        <v>37.24</v>
      </c>
      <c r="K30" s="209">
        <v>64.010000000000005</v>
      </c>
      <c r="L30" s="211">
        <f t="shared" si="0"/>
        <v>6.8583342779339779E-2</v>
      </c>
    </row>
    <row r="31" spans="1:12" x14ac:dyDescent="0.35">
      <c r="A31" s="207" t="s">
        <v>43</v>
      </c>
      <c r="B31" s="209">
        <v>48945331</v>
      </c>
      <c r="C31" s="209">
        <v>24462676</v>
      </c>
      <c r="D31" s="209">
        <v>20417159</v>
      </c>
      <c r="E31" s="209">
        <v>12618877</v>
      </c>
      <c r="F31" s="209">
        <v>5610437</v>
      </c>
      <c r="G31" s="209">
        <v>6970282</v>
      </c>
      <c r="H31" s="209">
        <v>3428030</v>
      </c>
      <c r="I31" s="209">
        <v>2240150</v>
      </c>
      <c r="J31" s="209">
        <v>53.52</v>
      </c>
      <c r="K31" s="209">
        <v>99.19</v>
      </c>
      <c r="L31" s="211">
        <f t="shared" si="0"/>
        <v>1.6783988479511357E-2</v>
      </c>
    </row>
    <row r="32" spans="1:12" x14ac:dyDescent="0.35">
      <c r="A32" s="207" t="s">
        <v>88</v>
      </c>
      <c r="B32" s="213">
        <f t="shared" ref="B32:I32" si="1">SUM(B3:B31)</f>
        <v>2651846176</v>
      </c>
      <c r="C32" s="213">
        <f t="shared" si="1"/>
        <v>1622996494.7055039</v>
      </c>
      <c r="D32" s="213">
        <f t="shared" si="1"/>
        <v>1216466457</v>
      </c>
      <c r="E32" s="213">
        <f>SUM(E3:E31)</f>
        <v>724894633.71000004</v>
      </c>
      <c r="F32" s="213">
        <f t="shared" si="1"/>
        <v>247816438.75</v>
      </c>
      <c r="G32" s="213">
        <f t="shared" si="1"/>
        <v>449749931.83999997</v>
      </c>
      <c r="H32" s="213">
        <f t="shared" si="1"/>
        <v>168107104.80000001</v>
      </c>
      <c r="I32" s="213">
        <f t="shared" si="1"/>
        <v>129385838.94501612</v>
      </c>
      <c r="J32" s="213"/>
      <c r="K32" s="213"/>
      <c r="L32" s="228">
        <f>SUM(L3:L31)</f>
        <v>1.0000000000000002</v>
      </c>
    </row>
    <row r="34" spans="2:9" x14ac:dyDescent="0.35">
      <c r="B34" s="206"/>
      <c r="C34" s="220"/>
      <c r="D34" s="206"/>
      <c r="E34" s="220"/>
      <c r="F34" s="220"/>
      <c r="G34" s="220"/>
      <c r="H34" s="206"/>
      <c r="I34" s="206"/>
    </row>
  </sheetData>
  <pageMargins left="0.7" right="0.7" top="0.75" bottom="0.75" header="0.3" footer="0.3"/>
</worksheet>
</file>

<file path=xl/worksheets/sheet3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sheetPr>
    <tabColor rgb="FF7030A0"/>
  </sheetPr>
  <dimension ref="A1:M37"/>
  <sheetViews>
    <sheetView workbookViewId="0">
      <selection activeCell="B6" sqref="B5:B6"/>
    </sheetView>
  </sheetViews>
  <sheetFormatPr defaultRowHeight="12.75" x14ac:dyDescent="0.35"/>
  <cols>
    <col min="1" max="1" width="46.265625" customWidth="1"/>
    <col min="2" max="4" width="14.265625" bestFit="1" customWidth="1"/>
    <col min="5" max="7" width="14.73046875" customWidth="1"/>
    <col min="8" max="9" width="13.3984375" customWidth="1"/>
    <col min="10" max="10" width="12.265625" customWidth="1"/>
  </cols>
  <sheetData>
    <row r="1" spans="1:13" ht="22.9" x14ac:dyDescent="1.2">
      <c r="A1" s="415" t="s">
        <v>92</v>
      </c>
      <c r="B1" s="415"/>
      <c r="C1" s="415"/>
      <c r="D1" s="415"/>
      <c r="E1" s="415"/>
      <c r="F1" s="415"/>
      <c r="G1" s="415"/>
      <c r="H1" s="415"/>
      <c r="I1" s="415"/>
      <c r="J1" s="415"/>
      <c r="K1" s="415"/>
      <c r="L1" s="415"/>
      <c r="M1" s="415"/>
    </row>
    <row r="2" spans="1:13" ht="25.5" x14ac:dyDescent="0.35">
      <c r="A2" s="245" t="s">
        <v>8</v>
      </c>
      <c r="B2" s="246" t="s">
        <v>9</v>
      </c>
      <c r="C2" s="246" t="s">
        <v>10</v>
      </c>
      <c r="D2" s="246" t="s">
        <v>67</v>
      </c>
      <c r="E2" s="246" t="s">
        <v>12</v>
      </c>
      <c r="F2" s="246" t="s">
        <v>93</v>
      </c>
      <c r="G2" s="246" t="s">
        <v>72</v>
      </c>
      <c r="H2" s="246" t="s">
        <v>14</v>
      </c>
      <c r="I2" s="246" t="s">
        <v>15</v>
      </c>
      <c r="J2" s="246" t="s">
        <v>16</v>
      </c>
      <c r="K2" s="246" t="s">
        <v>79</v>
      </c>
      <c r="L2" s="246" t="s">
        <v>80</v>
      </c>
      <c r="M2" s="246" t="s">
        <v>19</v>
      </c>
    </row>
    <row r="3" spans="1:13" x14ac:dyDescent="0.35">
      <c r="A3" s="247" t="s">
        <v>20</v>
      </c>
      <c r="B3" s="237">
        <f>INDEX(B8:B36,MATCH($A$3,$A$8:$A$36,0))</f>
        <v>91213723</v>
      </c>
      <c r="C3" s="237">
        <f>INDEX(C8:C36,MATCH($A$3,$A$8:$A$36,0))</f>
        <v>45040277</v>
      </c>
      <c r="D3" s="237">
        <f>INDEX(D8:D36,MATCH($A$3,$A$8:$A$36,0))</f>
        <v>73733590</v>
      </c>
      <c r="E3" s="237">
        <f>INDEX(E8:E36,MATCH($A$3,$A$8:$A$36,0))</f>
        <v>18152286</v>
      </c>
      <c r="F3" s="237">
        <f t="shared" ref="F3:M3" si="0">INDEX(F8:F36,MATCH($A$3,$A$8:$A$36,0))</f>
        <v>20747284</v>
      </c>
      <c r="G3" s="237">
        <f t="shared" si="0"/>
        <v>5264458</v>
      </c>
      <c r="H3" s="237">
        <f t="shared" si="0"/>
        <v>15255000</v>
      </c>
      <c r="I3" s="237">
        <f t="shared" si="0"/>
        <v>5958007</v>
      </c>
      <c r="J3" s="237">
        <f t="shared" si="0"/>
        <v>11550656</v>
      </c>
      <c r="K3" s="7">
        <f t="shared" si="0"/>
        <v>0.29853930914237359</v>
      </c>
      <c r="L3" s="7">
        <f t="shared" si="0"/>
        <v>1.2029569719451336</v>
      </c>
      <c r="M3" s="7">
        <f t="shared" si="0"/>
        <v>4.7298719272192258E-2</v>
      </c>
    </row>
    <row r="6" spans="1:13" ht="13.15" x14ac:dyDescent="0.4">
      <c r="A6" s="231" t="s">
        <v>94</v>
      </c>
    </row>
    <row r="7" spans="1:13" ht="26.25" x14ac:dyDescent="0.4">
      <c r="A7" s="229" t="s">
        <v>8</v>
      </c>
      <c r="B7" s="229" t="s">
        <v>9</v>
      </c>
      <c r="C7" s="230" t="s">
        <v>10</v>
      </c>
      <c r="D7" s="231" t="s">
        <v>67</v>
      </c>
      <c r="E7" s="232" t="s">
        <v>12</v>
      </c>
      <c r="F7" s="232" t="s">
        <v>93</v>
      </c>
      <c r="G7" s="232" t="s">
        <v>72</v>
      </c>
      <c r="H7" s="233" t="s">
        <v>14</v>
      </c>
      <c r="I7" s="234" t="s">
        <v>15</v>
      </c>
      <c r="J7" s="234" t="s">
        <v>16</v>
      </c>
      <c r="K7" s="235" t="s">
        <v>79</v>
      </c>
      <c r="L7" s="234" t="s">
        <v>80</v>
      </c>
      <c r="M7" s="236" t="s">
        <v>19</v>
      </c>
    </row>
    <row r="8" spans="1:13" ht="14.25" x14ac:dyDescent="0.45">
      <c r="A8" s="238" t="s">
        <v>20</v>
      </c>
      <c r="B8" s="240">
        <v>91213723</v>
      </c>
      <c r="C8" s="240">
        <v>45040277</v>
      </c>
      <c r="D8" s="240">
        <v>73733590</v>
      </c>
      <c r="E8" s="240">
        <v>18152286</v>
      </c>
      <c r="F8" s="240">
        <v>20747284</v>
      </c>
      <c r="G8" s="240">
        <v>5264458</v>
      </c>
      <c r="H8" s="240">
        <v>15255000</v>
      </c>
      <c r="I8" s="240">
        <v>5958007</v>
      </c>
      <c r="J8" s="240">
        <v>11550656</v>
      </c>
      <c r="K8" s="241">
        <v>0.29853930914237359</v>
      </c>
      <c r="L8" s="241">
        <v>1.2029569719451336</v>
      </c>
      <c r="M8" s="242">
        <v>4.7298719272192258E-2</v>
      </c>
    </row>
    <row r="9" spans="1:13" ht="14.25" x14ac:dyDescent="0.45">
      <c r="A9" s="238" t="s">
        <v>21</v>
      </c>
      <c r="B9" s="240">
        <v>37693285</v>
      </c>
      <c r="C9" s="240">
        <v>20485386</v>
      </c>
      <c r="D9" s="240">
        <v>28774613</v>
      </c>
      <c r="E9" s="240">
        <v>19394608</v>
      </c>
      <c r="F9" s="252">
        <v>15955414</v>
      </c>
      <c r="G9" s="240">
        <v>13348178</v>
      </c>
      <c r="H9" s="240">
        <v>15336677</v>
      </c>
      <c r="I9" s="240">
        <v>4244494</v>
      </c>
      <c r="J9" s="240">
        <v>1235370</v>
      </c>
      <c r="K9" s="241">
        <v>0.6168514469798112</v>
      </c>
      <c r="L9" s="241">
        <v>0.9048930621774085</v>
      </c>
      <c r="M9" s="242">
        <v>1.8458376195340197E-2</v>
      </c>
    </row>
    <row r="10" spans="1:13" ht="14.25" x14ac:dyDescent="0.45">
      <c r="A10" s="239" t="s">
        <v>87</v>
      </c>
      <c r="B10" s="240">
        <v>25675161</v>
      </c>
      <c r="C10" s="240">
        <v>7187998</v>
      </c>
      <c r="D10" s="240">
        <v>2313344.39</v>
      </c>
      <c r="E10" s="240">
        <v>1462528</v>
      </c>
      <c r="F10" s="252">
        <v>135500</v>
      </c>
      <c r="G10" s="240">
        <v>135500</v>
      </c>
      <c r="H10" s="240">
        <v>3327069</v>
      </c>
      <c r="I10" s="240">
        <v>277729</v>
      </c>
      <c r="J10" s="240">
        <v>154865</v>
      </c>
      <c r="K10" s="241">
        <v>6.726755708061781E-2</v>
      </c>
      <c r="L10" s="241">
        <v>1.7895642452331877</v>
      </c>
      <c r="M10" s="242">
        <v>1.4839671699494201E-3</v>
      </c>
    </row>
    <row r="11" spans="1:13" ht="14.25" x14ac:dyDescent="0.45">
      <c r="A11" s="238" t="s">
        <v>60</v>
      </c>
      <c r="B11" s="240">
        <v>25387234</v>
      </c>
      <c r="C11" s="240">
        <v>18387389</v>
      </c>
      <c r="D11" s="240">
        <v>13153258</v>
      </c>
      <c r="E11" s="240">
        <v>10081989</v>
      </c>
      <c r="F11" s="240">
        <v>3178720</v>
      </c>
      <c r="G11" s="240">
        <v>1174593</v>
      </c>
      <c r="H11" s="240">
        <v>9475436</v>
      </c>
      <c r="I11" s="240">
        <v>1458172</v>
      </c>
      <c r="J11" s="240">
        <v>1465946</v>
      </c>
      <c r="K11" s="241">
        <v>9.3654409501681579E-2</v>
      </c>
      <c r="L11" s="241">
        <v>0.87177481984215954</v>
      </c>
      <c r="M11" s="242">
        <v>8.4375690598642635E-3</v>
      </c>
    </row>
    <row r="12" spans="1:13" ht="14.25" x14ac:dyDescent="0.45">
      <c r="A12" s="238" t="s">
        <v>22</v>
      </c>
      <c r="B12" s="240">
        <v>66348628</v>
      </c>
      <c r="C12" s="240">
        <v>36622271</v>
      </c>
      <c r="D12" s="240">
        <v>58438827.32</v>
      </c>
      <c r="E12" s="240">
        <v>27915323</v>
      </c>
      <c r="F12" s="252">
        <v>12538120</v>
      </c>
      <c r="G12" s="240">
        <v>12002890</v>
      </c>
      <c r="H12" s="240">
        <v>15747901</v>
      </c>
      <c r="I12" s="240">
        <v>9832243</v>
      </c>
      <c r="J12" s="240">
        <v>10368402</v>
      </c>
      <c r="K12" s="241">
        <v>0.40330787393346551</v>
      </c>
      <c r="L12" s="241">
        <v>0.85951579090968044</v>
      </c>
      <c r="M12" s="242">
        <v>3.7487415003186468E-2</v>
      </c>
    </row>
    <row r="13" spans="1:13" ht="14.25" x14ac:dyDescent="0.45">
      <c r="A13" s="238" t="s">
        <v>23</v>
      </c>
      <c r="B13" s="240">
        <v>248923994</v>
      </c>
      <c r="C13" s="240">
        <v>150442816</v>
      </c>
      <c r="D13" s="240">
        <v>207058830</v>
      </c>
      <c r="E13" s="240">
        <v>116592143</v>
      </c>
      <c r="F13" s="252">
        <v>99867023</v>
      </c>
      <c r="G13" s="240">
        <v>62278045</v>
      </c>
      <c r="H13" s="240">
        <v>44415033</v>
      </c>
      <c r="I13" s="240">
        <v>30058779</v>
      </c>
      <c r="J13" s="240">
        <v>21200302</v>
      </c>
      <c r="K13" s="241">
        <v>0.55681141073645313</v>
      </c>
      <c r="L13" s="241">
        <v>0.66585051477838442</v>
      </c>
      <c r="M13" s="242">
        <v>0.13282436774065362</v>
      </c>
    </row>
    <row r="14" spans="1:13" ht="14.25" x14ac:dyDescent="0.45">
      <c r="A14" s="238" t="s">
        <v>25</v>
      </c>
      <c r="B14" s="240">
        <v>160214058</v>
      </c>
      <c r="C14" s="240">
        <v>80592456</v>
      </c>
      <c r="D14" s="240">
        <v>92417516</v>
      </c>
      <c r="E14" s="240">
        <v>31261238</v>
      </c>
      <c r="F14" s="240">
        <v>15841423</v>
      </c>
      <c r="G14" s="240">
        <v>15841423</v>
      </c>
      <c r="H14" s="240">
        <v>11991369</v>
      </c>
      <c r="I14" s="240">
        <v>13173707</v>
      </c>
      <c r="J14" s="240">
        <v>11580854</v>
      </c>
      <c r="K14" s="241">
        <v>0.53228602106391909</v>
      </c>
      <c r="L14" s="241">
        <v>0.85951578137911488</v>
      </c>
      <c r="M14" s="242">
        <v>5.9284108438465245E-2</v>
      </c>
    </row>
    <row r="15" spans="1:13" ht="14.25" x14ac:dyDescent="0.45">
      <c r="A15" s="238" t="s">
        <v>26</v>
      </c>
      <c r="B15" s="240">
        <v>99687141</v>
      </c>
      <c r="C15" s="240">
        <v>59620596</v>
      </c>
      <c r="D15" s="240">
        <v>113805282</v>
      </c>
      <c r="E15" s="240">
        <v>59338243</v>
      </c>
      <c r="F15" s="252">
        <v>20484064</v>
      </c>
      <c r="G15" s="240">
        <v>20484064</v>
      </c>
      <c r="H15" s="240">
        <v>34298067</v>
      </c>
      <c r="I15" s="240">
        <v>14262409</v>
      </c>
      <c r="J15" s="240">
        <v>16623001</v>
      </c>
      <c r="K15" s="241">
        <v>0.38338142898598981</v>
      </c>
      <c r="L15" s="241">
        <v>0.9088618684807791</v>
      </c>
      <c r="M15" s="242">
        <v>7.3003960406792551E-2</v>
      </c>
    </row>
    <row r="16" spans="1:13" ht="14.25" x14ac:dyDescent="0.45">
      <c r="A16" s="238" t="s">
        <v>27</v>
      </c>
      <c r="B16" s="240">
        <v>63807394</v>
      </c>
      <c r="C16" s="240">
        <v>11425061</v>
      </c>
      <c r="D16" s="240">
        <v>24139656</v>
      </c>
      <c r="E16" s="240">
        <v>12157880</v>
      </c>
      <c r="F16" s="252">
        <v>2730892</v>
      </c>
      <c r="G16" s="240">
        <v>2730892</v>
      </c>
      <c r="H16" s="240">
        <v>5171653</v>
      </c>
      <c r="I16" s="240">
        <v>1680667</v>
      </c>
      <c r="J16" s="240">
        <v>4137447</v>
      </c>
      <c r="K16" s="241">
        <v>0.23323361084761096</v>
      </c>
      <c r="L16" s="241">
        <v>0.58522694032459444</v>
      </c>
      <c r="M16" s="242">
        <v>1.5485137946915259E-2</v>
      </c>
    </row>
    <row r="17" spans="1:13" ht="14.25" x14ac:dyDescent="0.45">
      <c r="A17" s="238" t="s">
        <v>28</v>
      </c>
      <c r="B17" s="240">
        <v>159809804</v>
      </c>
      <c r="C17" s="240">
        <v>86252065.129999995</v>
      </c>
      <c r="D17" s="240">
        <v>123559788</v>
      </c>
      <c r="E17" s="240">
        <v>58420015</v>
      </c>
      <c r="F17" s="240">
        <v>31416710</v>
      </c>
      <c r="G17" s="240">
        <v>19529312</v>
      </c>
      <c r="H17" s="240">
        <v>35560753</v>
      </c>
      <c r="I17" s="240">
        <v>17928682</v>
      </c>
      <c r="J17" s="240">
        <v>12654704</v>
      </c>
      <c r="K17" s="241">
        <v>0.35790790930488336</v>
      </c>
      <c r="L17" s="241">
        <v>0.98028501212687125</v>
      </c>
      <c r="M17" s="242">
        <v>7.9261293610464245E-2</v>
      </c>
    </row>
    <row r="18" spans="1:13" ht="14.25" x14ac:dyDescent="0.45">
      <c r="A18" s="238" t="s">
        <v>46</v>
      </c>
      <c r="B18" s="240">
        <v>24274099</v>
      </c>
      <c r="C18" s="240">
        <v>14351161</v>
      </c>
      <c r="D18" s="240">
        <v>10685790</v>
      </c>
      <c r="E18" s="240">
        <v>9103550</v>
      </c>
      <c r="F18" s="240">
        <v>5967614</v>
      </c>
      <c r="G18" s="240">
        <v>2209763</v>
      </c>
      <c r="H18" s="240">
        <v>8277189</v>
      </c>
      <c r="I18" s="240">
        <v>1582486</v>
      </c>
      <c r="J18" s="240">
        <v>549161</v>
      </c>
      <c r="K18" s="241">
        <v>0.24902091042117783</v>
      </c>
      <c r="L18" s="241">
        <v>1.1110989028945306</v>
      </c>
      <c r="M18" s="242">
        <v>6.8547344759911913E-3</v>
      </c>
    </row>
    <row r="19" spans="1:13" ht="14.25" x14ac:dyDescent="0.45">
      <c r="A19" s="238" t="s">
        <v>69</v>
      </c>
      <c r="B19" s="240">
        <v>28445911</v>
      </c>
      <c r="C19" s="240">
        <v>10139949</v>
      </c>
      <c r="D19" s="240">
        <v>8234290</v>
      </c>
      <c r="E19" s="240">
        <v>6227002</v>
      </c>
      <c r="F19" s="240">
        <v>1965941.25</v>
      </c>
      <c r="G19" s="240">
        <v>1028689.25</v>
      </c>
      <c r="H19" s="240">
        <v>4869146</v>
      </c>
      <c r="I19" s="240">
        <v>1102560</v>
      </c>
      <c r="J19" s="240">
        <v>343200</v>
      </c>
      <c r="K19" s="241">
        <v>0.10433297750686508</v>
      </c>
      <c r="L19" s="241">
        <v>1.1882648886653211</v>
      </c>
      <c r="M19" s="242">
        <v>5.2821430655393287E-3</v>
      </c>
    </row>
    <row r="20" spans="1:13" ht="14.25" x14ac:dyDescent="0.45">
      <c r="A20" s="238" t="s">
        <v>29</v>
      </c>
      <c r="B20" s="240">
        <v>67161466</v>
      </c>
      <c r="C20" s="240">
        <v>33331327</v>
      </c>
      <c r="D20" s="240">
        <v>17677059</v>
      </c>
      <c r="E20" s="240">
        <v>14385569</v>
      </c>
      <c r="F20" s="240">
        <v>8282902</v>
      </c>
      <c r="G20" s="240">
        <v>5963963</v>
      </c>
      <c r="H20" s="240">
        <v>12304928</v>
      </c>
      <c r="I20" s="240">
        <v>1357222</v>
      </c>
      <c r="J20" s="240">
        <v>1091126</v>
      </c>
      <c r="K20" s="241">
        <v>0.40969315001718054</v>
      </c>
      <c r="L20" s="241">
        <v>0.93851844310691124</v>
      </c>
      <c r="M20" s="242">
        <v>1.1339502812747619E-2</v>
      </c>
    </row>
    <row r="21" spans="1:13" ht="14.25" x14ac:dyDescent="0.45">
      <c r="A21" s="238" t="s">
        <v>70</v>
      </c>
      <c r="B21" s="240">
        <v>19284060</v>
      </c>
      <c r="C21" s="240">
        <v>14883828</v>
      </c>
      <c r="D21" s="240">
        <v>2073180</v>
      </c>
      <c r="E21" s="240">
        <v>1890413</v>
      </c>
      <c r="F21" s="240">
        <v>1081707</v>
      </c>
      <c r="G21" s="240">
        <v>777398</v>
      </c>
      <c r="H21" s="240">
        <v>2784800</v>
      </c>
      <c r="I21" s="240">
        <v>204244.8</v>
      </c>
      <c r="J21" s="240">
        <v>27240</v>
      </c>
      <c r="K21" s="241">
        <v>0.36935530846283848</v>
      </c>
      <c r="L21" s="241">
        <v>1.4201471628602635</v>
      </c>
      <c r="M21" s="242">
        <v>1.3299062044954484E-3</v>
      </c>
    </row>
    <row r="22" spans="1:13" ht="14.25" x14ac:dyDescent="0.45">
      <c r="A22" s="238" t="s">
        <v>31</v>
      </c>
      <c r="B22" s="240">
        <v>48364202</v>
      </c>
      <c r="C22" s="240">
        <v>35658276.799999997</v>
      </c>
      <c r="D22" s="240">
        <v>13815973</v>
      </c>
      <c r="E22" s="240">
        <v>10770502.560000001</v>
      </c>
      <c r="F22" s="240">
        <v>3443067.19</v>
      </c>
      <c r="G22" s="240">
        <v>1860347.19</v>
      </c>
      <c r="H22" s="240">
        <v>10141435</v>
      </c>
      <c r="I22" s="240">
        <v>1968572.16</v>
      </c>
      <c r="J22" s="240">
        <v>1003807</v>
      </c>
      <c r="K22" s="241">
        <v>0.18201690442616486</v>
      </c>
      <c r="L22" s="241">
        <v>1.184846585460154</v>
      </c>
      <c r="M22" s="242">
        <v>8.8626883405404228E-3</v>
      </c>
    </row>
    <row r="23" spans="1:13" ht="14.25" x14ac:dyDescent="0.45">
      <c r="A23" s="238" t="s">
        <v>32</v>
      </c>
      <c r="B23" s="240">
        <v>85954672</v>
      </c>
      <c r="C23" s="240">
        <v>63017293</v>
      </c>
      <c r="D23" s="240">
        <v>52694248</v>
      </c>
      <c r="E23" s="240">
        <v>37310333</v>
      </c>
      <c r="F23" s="252">
        <v>34549577</v>
      </c>
      <c r="G23" s="240">
        <v>19666410</v>
      </c>
      <c r="H23" s="240">
        <v>28766146</v>
      </c>
      <c r="I23" s="240">
        <v>8398748</v>
      </c>
      <c r="J23" s="240">
        <v>6495368</v>
      </c>
      <c r="K23" s="241">
        <v>0.53405372871494294</v>
      </c>
      <c r="L23" s="241">
        <v>1.0092360638263727</v>
      </c>
      <c r="M23" s="242">
        <v>3.3802374784833868E-2</v>
      </c>
    </row>
    <row r="24" spans="1:13" ht="14.25" x14ac:dyDescent="0.45">
      <c r="A24" s="238" t="s">
        <v>33</v>
      </c>
      <c r="B24" s="240">
        <v>53918450</v>
      </c>
      <c r="C24" s="240">
        <v>45493350</v>
      </c>
      <c r="D24" s="240">
        <v>34112580</v>
      </c>
      <c r="E24" s="240">
        <v>28113979</v>
      </c>
      <c r="F24" s="252">
        <v>9756047</v>
      </c>
      <c r="G24" s="243">
        <v>9120057</v>
      </c>
      <c r="H24" s="240">
        <v>18593051</v>
      </c>
      <c r="I24" s="240">
        <v>6156651</v>
      </c>
      <c r="J24" s="240">
        <v>1836589</v>
      </c>
      <c r="K24" s="241">
        <v>0.31722833354458568</v>
      </c>
      <c r="L24" s="241">
        <v>0.86088351434482258</v>
      </c>
      <c r="M24" s="242">
        <v>2.1882582213482351E-2</v>
      </c>
    </row>
    <row r="25" spans="1:13" ht="14.25" x14ac:dyDescent="0.45">
      <c r="A25" s="238" t="s">
        <v>34</v>
      </c>
      <c r="B25" s="240">
        <v>41700181</v>
      </c>
      <c r="C25" s="240">
        <v>20337829</v>
      </c>
      <c r="D25" s="240">
        <v>17391558</v>
      </c>
      <c r="E25" s="240">
        <v>15986888</v>
      </c>
      <c r="F25" s="240">
        <v>4087424</v>
      </c>
      <c r="G25" s="244">
        <v>3804634</v>
      </c>
      <c r="H25" s="240">
        <v>9932405</v>
      </c>
      <c r="I25" s="240">
        <v>1598164</v>
      </c>
      <c r="J25" s="240">
        <v>393979</v>
      </c>
      <c r="K25" s="241">
        <v>0.24248297389077109</v>
      </c>
      <c r="L25" s="241">
        <v>0.734884528123529</v>
      </c>
      <c r="M25" s="242">
        <v>1.1156359259708492E-2</v>
      </c>
    </row>
    <row r="26" spans="1:13" ht="14.25" x14ac:dyDescent="0.45">
      <c r="A26" s="238" t="s">
        <v>35</v>
      </c>
      <c r="B26" s="240">
        <v>68794235</v>
      </c>
      <c r="C26" s="240">
        <v>44510229</v>
      </c>
      <c r="D26" s="240">
        <v>27611951</v>
      </c>
      <c r="E26" s="240">
        <v>22152196</v>
      </c>
      <c r="F26" s="252">
        <v>13002175</v>
      </c>
      <c r="G26" s="240">
        <v>10409398</v>
      </c>
      <c r="H26" s="240">
        <v>13253410</v>
      </c>
      <c r="I26" s="240">
        <v>3937694</v>
      </c>
      <c r="J26" s="240">
        <v>1436141</v>
      </c>
      <c r="K26" s="241">
        <v>0.48490877551170619</v>
      </c>
      <c r="L26" s="241">
        <v>0.80082606029036396</v>
      </c>
      <c r="M26" s="242">
        <v>1.7712550262458784E-2</v>
      </c>
    </row>
    <row r="27" spans="1:13" ht="14.25" x14ac:dyDescent="0.45">
      <c r="A27" s="238" t="s">
        <v>36</v>
      </c>
      <c r="B27" s="240">
        <v>76347208</v>
      </c>
      <c r="C27" s="240">
        <v>35467601</v>
      </c>
      <c r="D27" s="240">
        <v>44630021</v>
      </c>
      <c r="E27" s="240">
        <v>29686821</v>
      </c>
      <c r="F27" s="252">
        <v>14298528</v>
      </c>
      <c r="G27" s="240">
        <v>9219329</v>
      </c>
      <c r="H27" s="240">
        <v>17219379</v>
      </c>
      <c r="I27" s="240">
        <v>6336837</v>
      </c>
      <c r="J27" s="240">
        <v>4185363</v>
      </c>
      <c r="K27" s="241">
        <v>0.31752869065023137</v>
      </c>
      <c r="L27" s="241">
        <v>0.81131440511061392</v>
      </c>
      <c r="M27" s="242">
        <v>2.8629323953859365E-2</v>
      </c>
    </row>
    <row r="28" spans="1:13" ht="14.25" x14ac:dyDescent="0.45">
      <c r="A28" s="238" t="s">
        <v>62</v>
      </c>
      <c r="B28" s="240">
        <v>34049804</v>
      </c>
      <c r="C28" s="240">
        <v>20207594</v>
      </c>
      <c r="D28" s="240">
        <v>30161193</v>
      </c>
      <c r="E28" s="240">
        <v>26519130</v>
      </c>
      <c r="F28" s="240">
        <v>15639413</v>
      </c>
      <c r="G28" s="240">
        <v>9181131</v>
      </c>
      <c r="H28" s="240">
        <v>15019666</v>
      </c>
      <c r="I28" s="240">
        <v>6083820</v>
      </c>
      <c r="J28" s="240">
        <v>2238512</v>
      </c>
      <c r="K28" s="241">
        <v>0.32983563814417666</v>
      </c>
      <c r="L28" s="241">
        <v>0.75815079556938014</v>
      </c>
      <c r="M28" s="242">
        <v>1.9347841338274867E-2</v>
      </c>
    </row>
    <row r="29" spans="1:13" ht="14.25" x14ac:dyDescent="0.45">
      <c r="A29" s="238" t="s">
        <v>38</v>
      </c>
      <c r="B29" s="240">
        <v>51804508</v>
      </c>
      <c r="C29" s="240">
        <v>15732221</v>
      </c>
      <c r="D29" s="240">
        <v>34092327.539999999</v>
      </c>
      <c r="E29" s="240">
        <v>8191975</v>
      </c>
      <c r="F29" s="252">
        <v>2054233</v>
      </c>
      <c r="G29" s="240">
        <v>1155663</v>
      </c>
      <c r="H29" s="240">
        <v>10396425</v>
      </c>
      <c r="I29" s="240">
        <v>4503777</v>
      </c>
      <c r="J29" s="240">
        <v>4910584</v>
      </c>
      <c r="K29" s="241">
        <v>0.12535401684789366</v>
      </c>
      <c r="L29" s="241">
        <v>1.6162152569953512</v>
      </c>
      <c r="M29" s="242">
        <v>2.1869590639084426E-2</v>
      </c>
    </row>
    <row r="30" spans="1:13" ht="14.25" x14ac:dyDescent="0.45">
      <c r="A30" s="238" t="s">
        <v>77</v>
      </c>
      <c r="B30" s="240">
        <v>18057718</v>
      </c>
      <c r="C30" s="240">
        <v>8640144</v>
      </c>
      <c r="D30" s="240">
        <v>6046587.8200000003</v>
      </c>
      <c r="E30" s="240">
        <v>4958515</v>
      </c>
      <c r="F30" s="252">
        <v>1085489</v>
      </c>
      <c r="G30" s="240">
        <v>1083209</v>
      </c>
      <c r="H30" s="240">
        <v>9345361</v>
      </c>
      <c r="I30" s="240">
        <v>710788</v>
      </c>
      <c r="J30" s="240">
        <v>306673</v>
      </c>
      <c r="K30" s="241">
        <v>0.37266693754061819</v>
      </c>
      <c r="L30" s="241">
        <v>3.4597148392250712</v>
      </c>
      <c r="M30" s="242">
        <v>3.8787730239750566E-3</v>
      </c>
    </row>
    <row r="31" spans="1:13" ht="14.25" x14ac:dyDescent="0.45">
      <c r="A31" s="238" t="s">
        <v>39</v>
      </c>
      <c r="B31" s="240">
        <v>530514981</v>
      </c>
      <c r="C31" s="240">
        <v>318527362</v>
      </c>
      <c r="D31" s="240">
        <v>211514138</v>
      </c>
      <c r="E31" s="240">
        <v>106730566.79000001</v>
      </c>
      <c r="F31" s="240">
        <v>21291540</v>
      </c>
      <c r="G31" s="240">
        <v>18451776</v>
      </c>
      <c r="H31" s="240">
        <v>103491910</v>
      </c>
      <c r="I31" s="240">
        <v>21107167</v>
      </c>
      <c r="J31" s="240">
        <v>23410951</v>
      </c>
      <c r="K31" s="241">
        <v>0.17010856456419424</v>
      </c>
      <c r="L31" s="241">
        <v>1.1486899762111522</v>
      </c>
      <c r="M31" s="242">
        <v>0.13568236451475824</v>
      </c>
    </row>
    <row r="32" spans="1:13" ht="14.25" x14ac:dyDescent="0.45">
      <c r="A32" s="238" t="s">
        <v>40</v>
      </c>
      <c r="B32" s="240">
        <v>343744419</v>
      </c>
      <c r="C32" s="240">
        <v>308128856</v>
      </c>
      <c r="D32" s="240">
        <v>121652887</v>
      </c>
      <c r="E32" s="240">
        <v>87354073</v>
      </c>
      <c r="F32" s="252">
        <v>68852725</v>
      </c>
      <c r="G32" s="240">
        <v>36354685</v>
      </c>
      <c r="H32" s="240">
        <v>43279814</v>
      </c>
      <c r="I32" s="240">
        <v>24589785</v>
      </c>
      <c r="J32" s="240">
        <v>9787343</v>
      </c>
      <c r="K32" s="241">
        <v>0.42936548278595621</v>
      </c>
      <c r="L32" s="241">
        <v>0.80157105311527932</v>
      </c>
      <c r="M32" s="242">
        <v>7.803805227528901E-2</v>
      </c>
    </row>
    <row r="33" spans="1:13" ht="14.25" x14ac:dyDescent="0.45">
      <c r="A33" s="238" t="s">
        <v>90</v>
      </c>
      <c r="B33" s="240">
        <v>61882906</v>
      </c>
      <c r="C33" s="240">
        <v>26532612</v>
      </c>
      <c r="D33" s="240">
        <v>47527827.450000003</v>
      </c>
      <c r="E33" s="240">
        <v>35851312</v>
      </c>
      <c r="F33" s="252">
        <v>7408215</v>
      </c>
      <c r="G33" s="240">
        <v>6996020</v>
      </c>
      <c r="H33" s="240">
        <v>19221741</v>
      </c>
      <c r="I33" s="240">
        <v>6644992</v>
      </c>
      <c r="J33" s="240">
        <v>4096370</v>
      </c>
      <c r="K33" s="241">
        <v>0.2101530992191645</v>
      </c>
      <c r="L33" s="241">
        <v>0.7770095149277213</v>
      </c>
      <c r="M33" s="242">
        <v>3.0488212606693144E-2</v>
      </c>
    </row>
    <row r="34" spans="1:13" ht="14.25" x14ac:dyDescent="0.45">
      <c r="A34" s="238" t="s">
        <v>41</v>
      </c>
      <c r="B34" s="240">
        <v>33583433</v>
      </c>
      <c r="C34" s="240">
        <v>28774368</v>
      </c>
      <c r="D34" s="240">
        <v>13555346</v>
      </c>
      <c r="E34" s="240">
        <v>11897990</v>
      </c>
      <c r="F34" s="252">
        <v>3457888</v>
      </c>
      <c r="G34" s="240">
        <v>3100466</v>
      </c>
      <c r="H34" s="240">
        <v>8601206</v>
      </c>
      <c r="I34" s="240">
        <v>199127</v>
      </c>
      <c r="J34" s="240"/>
      <c r="K34" s="241">
        <v>0.29636567863322927</v>
      </c>
      <c r="L34" s="241">
        <v>0.84120150382020076</v>
      </c>
      <c r="M34" s="242">
        <v>8.6955009933930277E-3</v>
      </c>
    </row>
    <row r="35" spans="1:13" ht="14.25" x14ac:dyDescent="0.45">
      <c r="A35" s="238" t="s">
        <v>42</v>
      </c>
      <c r="B35" s="240">
        <v>109643264</v>
      </c>
      <c r="C35" s="240">
        <v>61135760</v>
      </c>
      <c r="D35" s="240">
        <v>104730320</v>
      </c>
      <c r="E35" s="240">
        <v>74532715</v>
      </c>
      <c r="F35" s="252">
        <v>47867744</v>
      </c>
      <c r="G35" s="240">
        <v>29837078</v>
      </c>
      <c r="H35" s="240">
        <v>33209971</v>
      </c>
      <c r="I35" s="240">
        <v>14878566</v>
      </c>
      <c r="J35" s="240">
        <v>10544008</v>
      </c>
      <c r="K35" s="241">
        <v>0.40195024233547338</v>
      </c>
      <c r="L35" s="241">
        <v>0.64782480042812429</v>
      </c>
      <c r="M35" s="242">
        <v>6.7182541972618762E-2</v>
      </c>
    </row>
    <row r="36" spans="1:13" ht="14.25" x14ac:dyDescent="0.45">
      <c r="A36" s="238" t="s">
        <v>43</v>
      </c>
      <c r="B36" s="240">
        <v>42191039</v>
      </c>
      <c r="C36" s="240">
        <v>25768714</v>
      </c>
      <c r="D36" s="240">
        <v>23289911</v>
      </c>
      <c r="E36" s="240">
        <v>14898849</v>
      </c>
      <c r="F36" s="252">
        <v>9640102</v>
      </c>
      <c r="G36" s="240">
        <v>7426398</v>
      </c>
      <c r="H36" s="240">
        <v>8975119</v>
      </c>
      <c r="I36" s="240">
        <v>4638520</v>
      </c>
      <c r="J36" s="240">
        <v>2492056</v>
      </c>
      <c r="K36" s="241">
        <v>0.54638268944046597</v>
      </c>
      <c r="L36" s="241">
        <v>1.0015968292961965</v>
      </c>
      <c r="M36" s="242">
        <v>1.4940042418432936E-2</v>
      </c>
    </row>
    <row r="37" spans="1:13" ht="13.9" x14ac:dyDescent="0.4">
      <c r="A37" s="248" t="s">
        <v>88</v>
      </c>
      <c r="B37" s="249">
        <f t="shared" ref="B37:J37" si="1">SUM(B8:B36)</f>
        <v>2718476978</v>
      </c>
      <c r="C37" s="249">
        <f t="shared" si="1"/>
        <v>1646694789.9299998</v>
      </c>
      <c r="D37" s="249">
        <f t="shared" si="1"/>
        <v>1558891892.5200002</v>
      </c>
      <c r="E37" s="249">
        <f t="shared" si="1"/>
        <v>901338632.3499999</v>
      </c>
      <c r="F37" s="249">
        <f t="shared" si="1"/>
        <v>496627481.44</v>
      </c>
      <c r="G37" s="249">
        <f t="shared" si="1"/>
        <v>330435769.44</v>
      </c>
      <c r="H37" s="249">
        <f t="shared" si="1"/>
        <v>568262060</v>
      </c>
      <c r="I37" s="249">
        <f t="shared" si="1"/>
        <v>214874609.95999998</v>
      </c>
      <c r="J37" s="249">
        <f t="shared" si="1"/>
        <v>166120018</v>
      </c>
      <c r="K37" s="250"/>
      <c r="L37" s="250"/>
      <c r="M37" s="251"/>
    </row>
  </sheetData>
  <mergeCells count="1">
    <mergeCell ref="A1:M1"/>
  </mergeCells>
  <dataValidations count="1">
    <dataValidation type="list" allowBlank="1" showInputMessage="1" showErrorMessage="1" sqref="A3" xr:uid="{00000000-0002-0000-1E00-000000000000}">
      <formula1>$A$8:$A$36</formula1>
    </dataValidation>
  </dataValidations>
  <pageMargins left="0.7" right="0.7" top="0.75" bottom="0.75" header="0.3" footer="0.3"/>
  <pageSetup paperSize="9" orientation="portrait" r:id="rId1"/>
  <legacyDrawing r:id="rId2"/>
</worksheet>
</file>

<file path=xl/worksheets/sheet3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F00-000000000000}">
  <sheetPr>
    <tabColor rgb="FF7030A0"/>
  </sheetPr>
  <dimension ref="A1:O35"/>
  <sheetViews>
    <sheetView workbookViewId="0"/>
  </sheetViews>
  <sheetFormatPr defaultRowHeight="12.75" x14ac:dyDescent="0.35"/>
  <cols>
    <col min="1" max="1" width="3" bestFit="1" customWidth="1"/>
    <col min="2" max="2" width="47" bestFit="1" customWidth="1"/>
    <col min="3" max="4" width="16" bestFit="1" customWidth="1"/>
    <col min="5" max="5" width="14.73046875" customWidth="1"/>
    <col min="6" max="9" width="14.265625" bestFit="1" customWidth="1"/>
    <col min="10" max="11" width="13.265625" bestFit="1" customWidth="1"/>
    <col min="14" max="14" width="10.265625" customWidth="1"/>
    <col min="15" max="15" width="12" bestFit="1" customWidth="1"/>
  </cols>
  <sheetData>
    <row r="1" spans="1:15" ht="22.9" x14ac:dyDescent="1.2">
      <c r="B1" s="415" t="s">
        <v>92</v>
      </c>
      <c r="C1" s="415"/>
      <c r="D1" s="415"/>
      <c r="E1" s="415"/>
      <c r="F1" s="415"/>
      <c r="G1" s="415"/>
      <c r="H1" s="415"/>
      <c r="I1" s="415"/>
      <c r="J1" s="415"/>
      <c r="K1" s="415"/>
      <c r="L1" s="415"/>
      <c r="M1" s="415"/>
      <c r="N1" s="415"/>
      <c r="O1" s="415"/>
    </row>
    <row r="2" spans="1:15" ht="25.5" x14ac:dyDescent="0.35">
      <c r="B2" s="253" t="s">
        <v>8</v>
      </c>
      <c r="C2" s="246" t="s">
        <v>9</v>
      </c>
      <c r="D2" s="246" t="s">
        <v>10</v>
      </c>
      <c r="E2" s="246" t="s">
        <v>67</v>
      </c>
      <c r="F2" s="246" t="s">
        <v>12</v>
      </c>
      <c r="G2" s="246" t="s">
        <v>93</v>
      </c>
      <c r="H2" s="246" t="s">
        <v>72</v>
      </c>
      <c r="I2" s="246" t="s">
        <v>14</v>
      </c>
      <c r="J2" s="246" t="s">
        <v>15</v>
      </c>
      <c r="K2" s="246" t="s">
        <v>16</v>
      </c>
      <c r="L2" s="246" t="s">
        <v>79</v>
      </c>
      <c r="M2" s="246" t="s">
        <v>80</v>
      </c>
      <c r="N2" s="254" t="s">
        <v>95</v>
      </c>
      <c r="O2" s="246" t="s">
        <v>19</v>
      </c>
    </row>
    <row r="3" spans="1:15" x14ac:dyDescent="0.35">
      <c r="B3" s="260" t="s">
        <v>26</v>
      </c>
      <c r="C3" s="261">
        <f>INDEX(C6:C25,MATCH($B$3,$B$6:$B$25,0))</f>
        <v>134558937</v>
      </c>
      <c r="D3" s="261">
        <f t="shared" ref="D3:O3" si="0">INDEX(D6:D25,MATCH($B$3,$B$6:$B$25,0))</f>
        <v>61370499.379433289</v>
      </c>
      <c r="E3" s="261">
        <f t="shared" si="0"/>
        <v>56203137</v>
      </c>
      <c r="F3" s="261">
        <f t="shared" si="0"/>
        <v>21615099</v>
      </c>
      <c r="G3" s="261">
        <f t="shared" si="0"/>
        <v>7615298</v>
      </c>
      <c r="H3" s="261">
        <f t="shared" si="0"/>
        <v>7615298</v>
      </c>
      <c r="I3" s="261">
        <f t="shared" si="0"/>
        <v>15560503</v>
      </c>
      <c r="J3" s="261">
        <f t="shared" si="0"/>
        <v>7556143</v>
      </c>
      <c r="K3" s="261">
        <f t="shared" si="0"/>
        <v>8375335</v>
      </c>
      <c r="L3" s="262">
        <f t="shared" si="0"/>
        <v>28.281647596458555</v>
      </c>
      <c r="M3" s="262">
        <f t="shared" si="0"/>
        <v>57.788501811700101</v>
      </c>
      <c r="N3" s="262">
        <f t="shared" si="0"/>
        <v>86.070149408158656</v>
      </c>
      <c r="O3" s="262">
        <f t="shared" si="0"/>
        <v>10.897548236395508</v>
      </c>
    </row>
    <row r="5" spans="1:15" ht="25.9" x14ac:dyDescent="0.4">
      <c r="B5" s="229" t="s">
        <v>8</v>
      </c>
      <c r="C5" s="229" t="s">
        <v>9</v>
      </c>
      <c r="D5" s="230" t="s">
        <v>10</v>
      </c>
      <c r="E5" s="231" t="s">
        <v>67</v>
      </c>
      <c r="F5" s="232" t="s">
        <v>12</v>
      </c>
      <c r="G5" s="232" t="s">
        <v>93</v>
      </c>
      <c r="H5" s="232" t="s">
        <v>72</v>
      </c>
      <c r="I5" s="233" t="s">
        <v>14</v>
      </c>
      <c r="J5" s="234" t="s">
        <v>15</v>
      </c>
      <c r="K5" s="234" t="s">
        <v>16</v>
      </c>
      <c r="L5" s="235" t="s">
        <v>79</v>
      </c>
      <c r="M5" s="234" t="s">
        <v>80</v>
      </c>
      <c r="N5" s="234" t="s">
        <v>95</v>
      </c>
      <c r="O5" s="236" t="s">
        <v>96</v>
      </c>
    </row>
    <row r="6" spans="1:15" x14ac:dyDescent="0.35">
      <c r="A6">
        <v>1</v>
      </c>
      <c r="B6" s="239" t="s">
        <v>20</v>
      </c>
      <c r="C6" s="223">
        <v>99962573</v>
      </c>
      <c r="D6" s="223">
        <v>43021695</v>
      </c>
      <c r="E6" s="223">
        <v>23676791</v>
      </c>
      <c r="F6" s="223">
        <v>8719338</v>
      </c>
      <c r="G6" s="223">
        <v>7127354</v>
      </c>
      <c r="H6" s="223">
        <v>3471722</v>
      </c>
      <c r="I6" s="223">
        <v>7246395</v>
      </c>
      <c r="J6" s="223">
        <v>2701582</v>
      </c>
      <c r="K6" s="223">
        <v>4507648</v>
      </c>
      <c r="L6" s="263">
        <v>36.277383284212483</v>
      </c>
      <c r="M6" s="263">
        <v>75.720420253638082</v>
      </c>
      <c r="N6" s="263">
        <v>111.997803537851</v>
      </c>
      <c r="O6" s="264">
        <f>E6/$E$35*100</f>
        <v>4.5908286579369237</v>
      </c>
    </row>
    <row r="7" spans="1:15" x14ac:dyDescent="0.35">
      <c r="A7">
        <v>2</v>
      </c>
      <c r="B7" s="239" t="s">
        <v>21</v>
      </c>
      <c r="C7" s="223">
        <v>56324843</v>
      </c>
      <c r="D7" s="223">
        <v>28208481</v>
      </c>
      <c r="E7" s="223">
        <v>21723057</v>
      </c>
      <c r="F7" s="223">
        <v>10057900.130000001</v>
      </c>
      <c r="G7" s="223">
        <v>2427504</v>
      </c>
      <c r="H7" s="223">
        <v>3616363</v>
      </c>
      <c r="I7" s="223">
        <v>6587634</v>
      </c>
      <c r="J7" s="223">
        <v>1806952</v>
      </c>
      <c r="K7" s="223">
        <v>620720</v>
      </c>
      <c r="L7" s="263">
        <v>36.575998302170177</v>
      </c>
      <c r="M7" s="263">
        <v>66.627517757293319</v>
      </c>
      <c r="N7" s="263">
        <v>103.2035160594635</v>
      </c>
      <c r="O7" s="264">
        <f t="shared" ref="O7:O34" si="1">E7/$E$35*100</f>
        <v>4.2120079791892948</v>
      </c>
    </row>
    <row r="8" spans="1:15" x14ac:dyDescent="0.35">
      <c r="A8">
        <v>3</v>
      </c>
      <c r="B8" s="239" t="s">
        <v>87</v>
      </c>
      <c r="C8" s="223">
        <v>26949283</v>
      </c>
      <c r="D8" s="223">
        <v>1743403</v>
      </c>
      <c r="E8" s="223">
        <v>952879</v>
      </c>
      <c r="F8" s="223">
        <v>761613</v>
      </c>
      <c r="G8" s="223">
        <v>36405</v>
      </c>
      <c r="H8" s="223">
        <v>36405</v>
      </c>
      <c r="I8" s="223">
        <v>819302</v>
      </c>
      <c r="J8" s="223">
        <v>86210</v>
      </c>
      <c r="K8" s="223">
        <v>61431</v>
      </c>
      <c r="L8" s="263">
        <v>6.5808026030368767</v>
      </c>
      <c r="M8" s="263">
        <v>148.10231381055675</v>
      </c>
      <c r="N8" s="263">
        <v>154.68311641359364</v>
      </c>
      <c r="O8" s="264">
        <f t="shared" si="1"/>
        <v>0.18475916861986397</v>
      </c>
    </row>
    <row r="9" spans="1:15" x14ac:dyDescent="0.35">
      <c r="A9">
        <v>4</v>
      </c>
      <c r="B9" s="239" t="s">
        <v>60</v>
      </c>
      <c r="C9" s="223">
        <v>28605968</v>
      </c>
      <c r="D9" s="223">
        <v>18169163</v>
      </c>
      <c r="E9" s="223">
        <v>6921105</v>
      </c>
      <c r="F9" s="223">
        <v>5089142</v>
      </c>
      <c r="G9" s="223">
        <v>614361</v>
      </c>
      <c r="H9" s="223">
        <v>236443</v>
      </c>
      <c r="I9" s="223">
        <v>3336828</v>
      </c>
      <c r="J9" s="223">
        <v>534357</v>
      </c>
      <c r="K9" s="223">
        <v>600271</v>
      </c>
      <c r="L9" s="263">
        <v>3.7397458415942593</v>
      </c>
      <c r="M9" s="263">
        <v>52.777576993674117</v>
      </c>
      <c r="N9" s="263">
        <v>56.517322835268367</v>
      </c>
      <c r="O9" s="264">
        <f t="shared" si="1"/>
        <v>1.3419727013931293</v>
      </c>
    </row>
    <row r="10" spans="1:15" x14ac:dyDescent="0.35">
      <c r="A10">
        <v>5</v>
      </c>
      <c r="B10" s="239" t="s">
        <v>22</v>
      </c>
      <c r="C10" s="223">
        <v>72074853</v>
      </c>
      <c r="D10" s="223">
        <v>39792628</v>
      </c>
      <c r="E10" s="223">
        <v>15159942</v>
      </c>
      <c r="F10" s="223">
        <v>10087390</v>
      </c>
      <c r="G10" s="223">
        <v>1197140</v>
      </c>
      <c r="H10" s="223">
        <v>1136140</v>
      </c>
      <c r="I10" s="223">
        <v>5128920</v>
      </c>
      <c r="J10" s="223">
        <v>1167602</v>
      </c>
      <c r="K10" s="223">
        <v>1439062</v>
      </c>
      <c r="L10" s="263">
        <v>10.494112013797317</v>
      </c>
      <c r="M10" s="263">
        <v>47.37396886810194</v>
      </c>
      <c r="N10" s="263">
        <v>57.868080881899267</v>
      </c>
      <c r="O10" s="264">
        <f t="shared" si="1"/>
        <v>2.939448009920838</v>
      </c>
    </row>
    <row r="11" spans="1:15" x14ac:dyDescent="0.35">
      <c r="A11">
        <v>6</v>
      </c>
      <c r="B11" s="239" t="s">
        <v>23</v>
      </c>
      <c r="C11" s="223">
        <v>303720808</v>
      </c>
      <c r="D11" s="223">
        <v>166685489</v>
      </c>
      <c r="E11" s="223">
        <v>81608536</v>
      </c>
      <c r="F11" s="223">
        <v>47765891</v>
      </c>
      <c r="G11" s="223">
        <v>19540317</v>
      </c>
      <c r="H11" s="223">
        <v>16868756</v>
      </c>
      <c r="I11" s="223">
        <v>21304579</v>
      </c>
      <c r="J11" s="223">
        <v>8307852</v>
      </c>
      <c r="K11" s="223">
        <v>5802524</v>
      </c>
      <c r="L11" s="263">
        <v>46.30200195031717</v>
      </c>
      <c r="M11" s="263">
        <v>58.477617342303503</v>
      </c>
      <c r="N11" s="263">
        <v>104.77961929262068</v>
      </c>
      <c r="O11" s="264">
        <f t="shared" si="1"/>
        <v>15.823546603130346</v>
      </c>
    </row>
    <row r="12" spans="1:15" x14ac:dyDescent="0.35">
      <c r="A12">
        <v>7</v>
      </c>
      <c r="B12" s="239" t="s">
        <v>25</v>
      </c>
      <c r="C12" s="223">
        <v>145777792</v>
      </c>
      <c r="D12" s="223">
        <v>82413207</v>
      </c>
      <c r="E12" s="223">
        <v>18901594</v>
      </c>
      <c r="F12" s="223">
        <v>11045109</v>
      </c>
      <c r="G12" s="223">
        <v>4698895</v>
      </c>
      <c r="H12" s="223">
        <v>4698895</v>
      </c>
      <c r="I12" s="223">
        <v>9037966</v>
      </c>
      <c r="J12" s="223">
        <v>4659315</v>
      </c>
      <c r="K12" s="223">
        <v>3012222</v>
      </c>
      <c r="L12" s="263">
        <v>32.749201097481681</v>
      </c>
      <c r="M12" s="263">
        <v>62.990589499489168</v>
      </c>
      <c r="N12" s="263">
        <v>95.739790596970849</v>
      </c>
      <c r="O12" s="264">
        <f t="shared" si="1"/>
        <v>3.6649383531699296</v>
      </c>
    </row>
    <row r="13" spans="1:15" x14ac:dyDescent="0.35">
      <c r="A13">
        <v>8</v>
      </c>
      <c r="B13" s="239" t="s">
        <v>26</v>
      </c>
      <c r="C13" s="223">
        <v>134558937</v>
      </c>
      <c r="D13" s="223">
        <v>61370499.379433289</v>
      </c>
      <c r="E13" s="223">
        <v>56203137</v>
      </c>
      <c r="F13" s="223">
        <v>21615099</v>
      </c>
      <c r="G13" s="223">
        <v>7615298</v>
      </c>
      <c r="H13" s="223">
        <v>7615298</v>
      </c>
      <c r="I13" s="223">
        <v>15560503</v>
      </c>
      <c r="J13" s="223">
        <v>7556143</v>
      </c>
      <c r="K13" s="223">
        <v>8375335</v>
      </c>
      <c r="L13" s="263">
        <v>28.281647596458555</v>
      </c>
      <c r="M13" s="263">
        <v>57.788501811700101</v>
      </c>
      <c r="N13" s="263">
        <v>86.070149408158656</v>
      </c>
      <c r="O13" s="264">
        <f t="shared" si="1"/>
        <v>10.897548236395508</v>
      </c>
    </row>
    <row r="14" spans="1:15" x14ac:dyDescent="0.35">
      <c r="A14">
        <v>9</v>
      </c>
      <c r="B14" s="239" t="s">
        <v>27</v>
      </c>
      <c r="C14" s="223"/>
      <c r="D14" s="223"/>
      <c r="E14" s="223"/>
      <c r="F14" s="223"/>
      <c r="G14" s="223"/>
      <c r="H14" s="223"/>
      <c r="I14" s="223"/>
      <c r="J14" s="223"/>
      <c r="K14" s="223"/>
      <c r="L14" s="263"/>
      <c r="M14" s="263"/>
      <c r="N14" s="263"/>
      <c r="O14" s="264"/>
    </row>
    <row r="15" spans="1:15" x14ac:dyDescent="0.35">
      <c r="A15">
        <v>10</v>
      </c>
      <c r="B15" s="239" t="s">
        <v>28</v>
      </c>
      <c r="C15" s="223">
        <v>190443227</v>
      </c>
      <c r="D15" s="223">
        <v>91898237</v>
      </c>
      <c r="E15" s="223">
        <v>39318803</v>
      </c>
      <c r="F15" s="223">
        <v>26362500</v>
      </c>
      <c r="G15" s="223">
        <v>6995980</v>
      </c>
      <c r="H15" s="223">
        <v>6143612</v>
      </c>
      <c r="I15" s="223">
        <v>17060226</v>
      </c>
      <c r="J15" s="223">
        <v>6552913</v>
      </c>
      <c r="K15" s="223">
        <v>3602719</v>
      </c>
      <c r="L15" s="263">
        <v>30.805387111383347</v>
      </c>
      <c r="M15" s="263">
        <v>85.543629079715174</v>
      </c>
      <c r="N15" s="263">
        <v>116.34901619109851</v>
      </c>
      <c r="O15" s="264">
        <f t="shared" si="1"/>
        <v>7.6237479820714009</v>
      </c>
    </row>
    <row r="16" spans="1:15" x14ac:dyDescent="0.35">
      <c r="A16">
        <v>11</v>
      </c>
      <c r="B16" s="239" t="s">
        <v>46</v>
      </c>
      <c r="C16" s="223">
        <v>25911467</v>
      </c>
      <c r="D16" s="223">
        <v>15303216</v>
      </c>
      <c r="E16" s="223">
        <v>4674089</v>
      </c>
      <c r="F16" s="223">
        <v>3935717</v>
      </c>
      <c r="G16" s="223">
        <v>954447</v>
      </c>
      <c r="H16" s="223">
        <v>442414</v>
      </c>
      <c r="I16" s="223">
        <v>2730598</v>
      </c>
      <c r="J16" s="223">
        <v>674293</v>
      </c>
      <c r="K16" s="223">
        <v>132453</v>
      </c>
      <c r="L16" s="263">
        <v>12.493420264906348</v>
      </c>
      <c r="M16" s="263">
        <v>77.109920546168837</v>
      </c>
      <c r="N16" s="263">
        <v>89.603340811075199</v>
      </c>
      <c r="O16" s="264">
        <f t="shared" si="1"/>
        <v>0.90628589537102966</v>
      </c>
    </row>
    <row r="17" spans="1:15" x14ac:dyDescent="0.35">
      <c r="A17">
        <v>12</v>
      </c>
      <c r="B17" s="239" t="s">
        <v>69</v>
      </c>
      <c r="C17" s="223">
        <v>29040707</v>
      </c>
      <c r="D17" s="223">
        <v>10489709</v>
      </c>
      <c r="E17" s="223">
        <v>2665414</v>
      </c>
      <c r="F17" s="223">
        <v>2169082</v>
      </c>
      <c r="G17" s="223">
        <v>553362</v>
      </c>
      <c r="H17" s="223">
        <v>553362</v>
      </c>
      <c r="I17" s="223">
        <v>1405845</v>
      </c>
      <c r="J17" s="223">
        <v>153208</v>
      </c>
      <c r="K17" s="223">
        <v>124777</v>
      </c>
      <c r="L17" s="263">
        <v>34.101690904317664</v>
      </c>
      <c r="M17" s="263">
        <v>86.63712298527993</v>
      </c>
      <c r="N17" s="263">
        <v>120.73881388959759</v>
      </c>
      <c r="O17" s="264">
        <f t="shared" si="1"/>
        <v>0.51681239136107116</v>
      </c>
    </row>
    <row r="18" spans="1:15" x14ac:dyDescent="0.35">
      <c r="A18">
        <v>13</v>
      </c>
      <c r="B18" s="239" t="s">
        <v>29</v>
      </c>
      <c r="C18" s="223">
        <v>70966156</v>
      </c>
      <c r="D18" s="223">
        <v>34032125</v>
      </c>
      <c r="E18" s="223">
        <v>10030016</v>
      </c>
      <c r="F18" s="223">
        <v>8422677</v>
      </c>
      <c r="G18" s="223">
        <v>2887246</v>
      </c>
      <c r="H18" s="223">
        <v>1605374</v>
      </c>
      <c r="I18" s="223">
        <v>4146859</v>
      </c>
      <c r="J18" s="223">
        <v>978275</v>
      </c>
      <c r="K18" s="223">
        <v>474119</v>
      </c>
      <c r="L18" s="263">
        <v>23.401816899026826</v>
      </c>
      <c r="M18" s="263">
        <v>60.449487175001892</v>
      </c>
      <c r="N18" s="263">
        <v>83.851304074028718</v>
      </c>
      <c r="O18" s="264">
        <f t="shared" si="1"/>
        <v>1.9447772670023515</v>
      </c>
    </row>
    <row r="19" spans="1:15" x14ac:dyDescent="0.35">
      <c r="A19">
        <v>14</v>
      </c>
      <c r="B19" s="239" t="s">
        <v>70</v>
      </c>
      <c r="C19" s="223">
        <v>16885710</v>
      </c>
      <c r="D19" s="223">
        <v>12331411</v>
      </c>
      <c r="E19" s="223">
        <v>0</v>
      </c>
      <c r="F19" s="223">
        <v>0</v>
      </c>
      <c r="G19" s="223">
        <v>193000</v>
      </c>
      <c r="H19" s="223">
        <v>193000</v>
      </c>
      <c r="I19" s="223">
        <v>122100</v>
      </c>
      <c r="J19" s="223">
        <v>0</v>
      </c>
      <c r="K19" s="223">
        <v>0</v>
      </c>
      <c r="L19" s="263">
        <v>43.314915143163653</v>
      </c>
      <c r="M19" s="263">
        <v>27.402855642384878</v>
      </c>
      <c r="N19" s="263">
        <v>70.717770785548524</v>
      </c>
      <c r="O19" s="264">
        <f t="shared" si="1"/>
        <v>0</v>
      </c>
    </row>
    <row r="20" spans="1:15" x14ac:dyDescent="0.35">
      <c r="A20">
        <v>15</v>
      </c>
      <c r="B20" s="239" t="s">
        <v>31</v>
      </c>
      <c r="C20" s="223">
        <v>48777919</v>
      </c>
      <c r="D20" s="223">
        <v>30897487</v>
      </c>
      <c r="E20" s="223">
        <v>6337297</v>
      </c>
      <c r="F20" s="223">
        <v>5032523</v>
      </c>
      <c r="G20" s="223">
        <v>1117322</v>
      </c>
      <c r="H20" s="223">
        <v>1313661</v>
      </c>
      <c r="I20" s="223">
        <v>3247204</v>
      </c>
      <c r="J20" s="223">
        <v>822479</v>
      </c>
      <c r="K20" s="223">
        <v>435623</v>
      </c>
      <c r="L20" s="263">
        <v>41.193289342766128</v>
      </c>
      <c r="M20" s="263">
        <v>101.82460614038746</v>
      </c>
      <c r="N20" s="263">
        <v>143.01789548315358</v>
      </c>
      <c r="O20" s="264">
        <f t="shared" si="1"/>
        <v>1.2287748234740803</v>
      </c>
    </row>
    <row r="21" spans="1:15" x14ac:dyDescent="0.35">
      <c r="A21">
        <v>16</v>
      </c>
      <c r="B21" s="239" t="s">
        <v>32</v>
      </c>
      <c r="C21" s="223">
        <v>94606992</v>
      </c>
      <c r="D21" s="223">
        <v>63176495</v>
      </c>
      <c r="E21" s="223">
        <v>26254732</v>
      </c>
      <c r="F21" s="223">
        <v>15818799</v>
      </c>
      <c r="G21" s="223">
        <v>4632736</v>
      </c>
      <c r="H21" s="223">
        <v>3651173</v>
      </c>
      <c r="I21" s="223">
        <v>11208191</v>
      </c>
      <c r="J21" s="223">
        <v>4138140</v>
      </c>
      <c r="K21" s="223">
        <v>2968176</v>
      </c>
      <c r="L21" s="263">
        <v>16.872148858628488</v>
      </c>
      <c r="M21" s="263">
        <v>51.793291358130688</v>
      </c>
      <c r="N21" s="263">
        <v>68.66544021675918</v>
      </c>
      <c r="O21" s="264">
        <f t="shared" si="1"/>
        <v>5.0906804081707531</v>
      </c>
    </row>
    <row r="22" spans="1:15" x14ac:dyDescent="0.35">
      <c r="A22">
        <v>17</v>
      </c>
      <c r="B22" s="239" t="s">
        <v>33</v>
      </c>
      <c r="C22" s="223">
        <v>53887473</v>
      </c>
      <c r="D22" s="223">
        <v>45029940</v>
      </c>
      <c r="E22" s="223">
        <v>16225241</v>
      </c>
      <c r="F22" s="223">
        <v>12760650</v>
      </c>
      <c r="G22" s="223">
        <v>2935466</v>
      </c>
      <c r="H22" s="223">
        <v>2628579</v>
      </c>
      <c r="I22" s="223">
        <v>5294245</v>
      </c>
      <c r="J22" s="223">
        <v>1570949</v>
      </c>
      <c r="K22" s="223">
        <v>1233718</v>
      </c>
      <c r="L22" s="263">
        <v>36.159170954349193</v>
      </c>
      <c r="M22" s="263">
        <v>72.828516863753549</v>
      </c>
      <c r="N22" s="263">
        <v>108.98768781810276</v>
      </c>
      <c r="O22" s="264">
        <f t="shared" si="1"/>
        <v>3.146004936426273</v>
      </c>
    </row>
    <row r="23" spans="1:15" x14ac:dyDescent="0.35">
      <c r="A23">
        <v>18</v>
      </c>
      <c r="B23" s="239" t="s">
        <v>34</v>
      </c>
      <c r="C23" s="223">
        <v>45831596</v>
      </c>
      <c r="D23" s="223">
        <v>24173800</v>
      </c>
      <c r="E23" s="223">
        <v>8198669</v>
      </c>
      <c r="F23" s="223">
        <v>7802533</v>
      </c>
      <c r="G23" s="223">
        <v>709838</v>
      </c>
      <c r="H23" s="223">
        <v>669857</v>
      </c>
      <c r="I23" s="223">
        <v>3671067</v>
      </c>
      <c r="J23" s="223">
        <v>657265</v>
      </c>
      <c r="K23" s="223">
        <v>132254</v>
      </c>
      <c r="L23" s="263">
        <v>10.574339187663711</v>
      </c>
      <c r="M23" s="263">
        <v>57.951335342676202</v>
      </c>
      <c r="N23" s="263">
        <v>68.525674530339913</v>
      </c>
      <c r="O23" s="264">
        <f t="shared" si="1"/>
        <v>1.5896869048740203</v>
      </c>
    </row>
    <row r="24" spans="1:15" x14ac:dyDescent="0.35">
      <c r="A24">
        <v>19</v>
      </c>
      <c r="B24" s="239" t="s">
        <v>35</v>
      </c>
      <c r="C24" s="223">
        <v>84444387</v>
      </c>
      <c r="D24" s="223">
        <v>50398962</v>
      </c>
      <c r="E24" s="223">
        <v>15217625</v>
      </c>
      <c r="F24" s="223">
        <v>5658857</v>
      </c>
      <c r="G24" s="223">
        <v>-269850</v>
      </c>
      <c r="H24" s="223">
        <v>-2844138</v>
      </c>
      <c r="I24" s="223">
        <v>6482961</v>
      </c>
      <c r="J24" s="223">
        <v>3366160</v>
      </c>
      <c r="K24" s="223">
        <v>595844</v>
      </c>
      <c r="L24" s="263">
        <v>-45.472005776135418</v>
      </c>
      <c r="M24" s="263">
        <v>103.64941505597149</v>
      </c>
      <c r="N24" s="263">
        <v>58.177409279836077</v>
      </c>
      <c r="O24" s="264">
        <f t="shared" si="1"/>
        <v>2.9506324972728515</v>
      </c>
    </row>
    <row r="25" spans="1:15" x14ac:dyDescent="0.35">
      <c r="A25">
        <v>20</v>
      </c>
      <c r="B25" s="239" t="s">
        <v>36</v>
      </c>
      <c r="C25" s="223">
        <v>76868160</v>
      </c>
      <c r="D25" s="223">
        <v>37824557</v>
      </c>
      <c r="E25" s="223">
        <v>13002288</v>
      </c>
      <c r="F25" s="223">
        <v>9290949</v>
      </c>
      <c r="G25" s="223">
        <v>4316779</v>
      </c>
      <c r="H25" s="223">
        <v>3197740</v>
      </c>
      <c r="I25" s="223">
        <v>5503869</v>
      </c>
      <c r="J25" s="223">
        <v>1584221</v>
      </c>
      <c r="K25" s="223">
        <v>415033</v>
      </c>
      <c r="L25" s="263">
        <v>35.125459603700314</v>
      </c>
      <c r="M25" s="263">
        <v>60.457050361679954</v>
      </c>
      <c r="N25" s="263">
        <v>95.582509965380268</v>
      </c>
      <c r="O25" s="264">
        <f t="shared" si="1"/>
        <v>2.5210881140585886</v>
      </c>
    </row>
    <row r="26" spans="1:15" x14ac:dyDescent="0.35">
      <c r="A26">
        <v>21</v>
      </c>
      <c r="B26" s="239" t="s">
        <v>62</v>
      </c>
      <c r="C26" s="223">
        <v>35447841</v>
      </c>
      <c r="D26" s="223">
        <v>18861428</v>
      </c>
      <c r="E26" s="223">
        <v>11376297</v>
      </c>
      <c r="F26" s="223">
        <v>9551747</v>
      </c>
      <c r="G26" s="223">
        <v>4161744</v>
      </c>
      <c r="H26" s="223">
        <v>1824585</v>
      </c>
      <c r="I26" s="223">
        <v>4956606</v>
      </c>
      <c r="J26" s="223">
        <v>1582051</v>
      </c>
      <c r="K26" s="223">
        <v>218400</v>
      </c>
      <c r="L26" s="263">
        <v>25.817285243303665</v>
      </c>
      <c r="M26" s="263">
        <v>70.134365316315993</v>
      </c>
      <c r="N26" s="263">
        <v>95.951650559619665</v>
      </c>
      <c r="O26" s="264">
        <f t="shared" si="1"/>
        <v>2.2058154033121236</v>
      </c>
    </row>
    <row r="27" spans="1:15" x14ac:dyDescent="0.35">
      <c r="A27">
        <v>22</v>
      </c>
      <c r="B27" s="239" t="s">
        <v>38</v>
      </c>
      <c r="C27" s="223">
        <v>101520458</v>
      </c>
      <c r="D27" s="223">
        <v>24878583</v>
      </c>
      <c r="E27" s="223">
        <v>7746912</v>
      </c>
      <c r="F27" s="223">
        <v>4067254</v>
      </c>
      <c r="G27" s="223">
        <v>53339526</v>
      </c>
      <c r="H27" s="223">
        <v>1616654</v>
      </c>
      <c r="I27" s="223">
        <v>4308628</v>
      </c>
      <c r="J27" s="223">
        <v>1151511</v>
      </c>
      <c r="K27" s="223">
        <v>294370</v>
      </c>
      <c r="L27" s="263">
        <v>21.093434819210017</v>
      </c>
      <c r="M27" s="263">
        <v>56.217201626460088</v>
      </c>
      <c r="N27" s="263">
        <v>77.310636445670113</v>
      </c>
      <c r="O27" s="264">
        <f t="shared" si="1"/>
        <v>1.5020931519020229</v>
      </c>
    </row>
    <row r="28" spans="1:15" x14ac:dyDescent="0.35">
      <c r="A28">
        <v>23</v>
      </c>
      <c r="B28" s="239" t="s">
        <v>77</v>
      </c>
      <c r="C28" s="223">
        <v>19502490</v>
      </c>
      <c r="D28" s="223">
        <v>9038069</v>
      </c>
      <c r="E28" s="223">
        <v>4600326</v>
      </c>
      <c r="F28" s="223">
        <v>4367892</v>
      </c>
      <c r="G28" s="223">
        <v>269291</v>
      </c>
      <c r="H28" s="223">
        <v>269291</v>
      </c>
      <c r="I28" s="223">
        <v>3538012</v>
      </c>
      <c r="J28" s="223">
        <v>580224</v>
      </c>
      <c r="K28" s="223">
        <v>49626</v>
      </c>
      <c r="L28" s="263">
        <v>7.3783814145155944</v>
      </c>
      <c r="M28" s="263">
        <v>96.93900644705225</v>
      </c>
      <c r="N28" s="263">
        <v>104.31738786156784</v>
      </c>
      <c r="O28" s="264">
        <f t="shared" si="1"/>
        <v>0.89198356469220585</v>
      </c>
    </row>
    <row r="29" spans="1:15" x14ac:dyDescent="0.35">
      <c r="A29">
        <v>24</v>
      </c>
      <c r="B29" s="239" t="s">
        <v>39</v>
      </c>
      <c r="C29" s="223">
        <v>499685325</v>
      </c>
      <c r="D29" s="223">
        <v>326803710</v>
      </c>
      <c r="E29" s="223">
        <v>50416405</v>
      </c>
      <c r="F29" s="223">
        <v>26400860</v>
      </c>
      <c r="G29" s="223">
        <v>2582424</v>
      </c>
      <c r="H29" s="223">
        <v>2086227</v>
      </c>
      <c r="I29" s="223">
        <v>32674318</v>
      </c>
      <c r="J29" s="223">
        <v>5267440</v>
      </c>
      <c r="K29" s="223">
        <v>7386376</v>
      </c>
      <c r="L29" s="263">
        <v>6.1746009646956619</v>
      </c>
      <c r="M29" s="263">
        <v>96.70609930921843</v>
      </c>
      <c r="N29" s="263">
        <v>102.8807002739141</v>
      </c>
      <c r="O29" s="264">
        <f t="shared" si="1"/>
        <v>9.7755256151120484</v>
      </c>
    </row>
    <row r="30" spans="1:15" x14ac:dyDescent="0.35">
      <c r="A30">
        <v>25</v>
      </c>
      <c r="B30" s="239" t="s">
        <v>40</v>
      </c>
      <c r="C30" s="223">
        <v>400718125</v>
      </c>
      <c r="D30" s="223">
        <v>342486454</v>
      </c>
      <c r="E30" s="223">
        <v>46642024</v>
      </c>
      <c r="F30" s="223">
        <v>39083773</v>
      </c>
      <c r="G30" s="223">
        <v>24036049</v>
      </c>
      <c r="H30" s="223">
        <v>13125149</v>
      </c>
      <c r="I30" s="223">
        <v>19630894</v>
      </c>
      <c r="J30" s="223">
        <v>7477860</v>
      </c>
      <c r="K30" s="223">
        <v>2086143</v>
      </c>
      <c r="L30" s="263">
        <v>33.827045375792302</v>
      </c>
      <c r="M30" s="263">
        <v>50.59410313020971</v>
      </c>
      <c r="N30" s="263">
        <v>84.421148506002012</v>
      </c>
      <c r="O30" s="264">
        <f t="shared" si="1"/>
        <v>9.0436892585393771</v>
      </c>
    </row>
    <row r="31" spans="1:15" x14ac:dyDescent="0.35">
      <c r="A31">
        <v>26</v>
      </c>
      <c r="B31" s="239" t="s">
        <v>90</v>
      </c>
      <c r="C31" s="223">
        <v>60128681</v>
      </c>
      <c r="D31" s="223">
        <v>28355204</v>
      </c>
      <c r="E31" s="223">
        <v>16861178</v>
      </c>
      <c r="F31" s="223">
        <v>12695588</v>
      </c>
      <c r="G31" s="223">
        <v>5019362</v>
      </c>
      <c r="H31" s="223">
        <v>2981705</v>
      </c>
      <c r="I31" s="223">
        <v>7335191</v>
      </c>
      <c r="J31" s="223">
        <v>2015092</v>
      </c>
      <c r="K31" s="223">
        <v>1345555</v>
      </c>
      <c r="L31" s="263">
        <v>22.703267263994768</v>
      </c>
      <c r="M31" s="263">
        <v>55.85153518052558</v>
      </c>
      <c r="N31" s="263">
        <v>78.554802444520348</v>
      </c>
      <c r="O31" s="264">
        <f t="shared" si="1"/>
        <v>3.269310404816919</v>
      </c>
    </row>
    <row r="32" spans="1:15" x14ac:dyDescent="0.35">
      <c r="A32">
        <v>27</v>
      </c>
      <c r="B32" s="239" t="s">
        <v>41</v>
      </c>
      <c r="C32" s="223">
        <v>36363294</v>
      </c>
      <c r="D32" s="223">
        <v>29966561</v>
      </c>
      <c r="E32" s="223">
        <v>5124319</v>
      </c>
      <c r="F32" s="223">
        <v>4629586</v>
      </c>
      <c r="G32" s="223">
        <v>988251</v>
      </c>
      <c r="H32" s="223">
        <v>975501</v>
      </c>
      <c r="I32" s="223">
        <v>2327902</v>
      </c>
      <c r="J32" s="223">
        <v>178671</v>
      </c>
      <c r="K32" s="223"/>
      <c r="L32" s="263">
        <v>23.715020380796471</v>
      </c>
      <c r="M32" s="263">
        <v>56.592708130998183</v>
      </c>
      <c r="N32" s="263">
        <v>80.30772851179465</v>
      </c>
      <c r="O32" s="264">
        <f t="shared" si="1"/>
        <v>0.99358356956441762</v>
      </c>
    </row>
    <row r="33" spans="1:15" x14ac:dyDescent="0.35">
      <c r="A33">
        <v>28</v>
      </c>
      <c r="B33" s="239" t="s">
        <v>42</v>
      </c>
      <c r="C33" s="223"/>
      <c r="D33" s="223"/>
      <c r="E33" s="223"/>
      <c r="F33" s="223"/>
      <c r="G33" s="223"/>
      <c r="H33" s="223"/>
      <c r="I33" s="223"/>
      <c r="J33" s="223"/>
      <c r="K33" s="223"/>
      <c r="L33" s="263"/>
      <c r="M33" s="263"/>
      <c r="N33" s="263"/>
      <c r="O33" s="264"/>
    </row>
    <row r="34" spans="1:15" x14ac:dyDescent="0.35">
      <c r="A34">
        <v>29</v>
      </c>
      <c r="B34" s="239" t="s">
        <v>43</v>
      </c>
      <c r="C34" s="223">
        <v>44981812</v>
      </c>
      <c r="D34" s="223">
        <v>25821083</v>
      </c>
      <c r="E34" s="223">
        <v>5902441</v>
      </c>
      <c r="F34" s="223">
        <v>4617922</v>
      </c>
      <c r="G34" s="223">
        <v>2397075</v>
      </c>
      <c r="H34" s="223">
        <v>1927316</v>
      </c>
      <c r="I34" s="223">
        <v>3382184</v>
      </c>
      <c r="J34" s="223">
        <v>1359023</v>
      </c>
      <c r="K34" s="223">
        <v>408690</v>
      </c>
      <c r="L34" s="263">
        <v>35.580079898981694</v>
      </c>
      <c r="M34" s="263">
        <v>62.438321973696844</v>
      </c>
      <c r="N34" s="263">
        <v>98.018401872678538</v>
      </c>
      <c r="O34" s="264">
        <f t="shared" si="1"/>
        <v>1.1444581022226312</v>
      </c>
    </row>
    <row r="35" spans="1:15" x14ac:dyDescent="0.35">
      <c r="B35" s="266" t="s">
        <v>88</v>
      </c>
      <c r="C35" s="265">
        <f>SUM(C6:C34)</f>
        <v>2803986877</v>
      </c>
      <c r="D35" s="265">
        <f t="shared" ref="D35:K35" si="2">SUM(D6:D34)</f>
        <v>1663171596.3794332</v>
      </c>
      <c r="E35" s="265">
        <f t="shared" si="2"/>
        <v>515741117</v>
      </c>
      <c r="F35" s="265">
        <f t="shared" si="2"/>
        <v>317810391.13</v>
      </c>
      <c r="G35" s="265">
        <f t="shared" si="2"/>
        <v>161077322</v>
      </c>
      <c r="H35" s="265">
        <f t="shared" si="2"/>
        <v>80041084</v>
      </c>
      <c r="I35" s="265">
        <f t="shared" si="2"/>
        <v>208049027</v>
      </c>
      <c r="J35" s="265">
        <f t="shared" si="2"/>
        <v>66929788</v>
      </c>
      <c r="K35" s="265">
        <f t="shared" si="2"/>
        <v>46323089</v>
      </c>
    </row>
  </sheetData>
  <mergeCells count="1">
    <mergeCell ref="B1:O1"/>
  </mergeCells>
  <dataValidations count="1">
    <dataValidation type="list" allowBlank="1" showInputMessage="1" showErrorMessage="1" sqref="B3" xr:uid="{00000000-0002-0000-1F00-000000000000}">
      <formula1>$B$6:$B$25</formula1>
    </dataValidation>
  </dataValidations>
  <pageMargins left="0.7" right="0.7" top="0.75" bottom="0.75" header="0.3" footer="0.3"/>
  <pageSetup paperSize="9" orientation="portrait" r:id="rId1"/>
  <legacyDrawing r:id="rId2"/>
</worksheet>
</file>

<file path=xl/worksheets/sheet3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000-000000000000}">
  <sheetPr>
    <tabColor rgb="FF7030A0"/>
  </sheetPr>
  <dimension ref="A1:N51"/>
  <sheetViews>
    <sheetView topLeftCell="A5" zoomScale="82" zoomScaleNormal="82" workbookViewId="0">
      <pane ySplit="6" topLeftCell="A11" activePane="bottomLeft" state="frozen"/>
      <selection activeCell="A5" sqref="A5"/>
      <selection pane="bottomLeft" activeCell="A11" sqref="A11"/>
    </sheetView>
  </sheetViews>
  <sheetFormatPr defaultRowHeight="12.75" x14ac:dyDescent="0.35"/>
  <cols>
    <col min="1" max="1" width="47" bestFit="1" customWidth="1"/>
    <col min="2" max="4" width="15.265625" bestFit="1" customWidth="1"/>
    <col min="5" max="5" width="18.3984375" bestFit="1" customWidth="1"/>
    <col min="6" max="6" width="19.265625" bestFit="1" customWidth="1"/>
    <col min="7" max="7" width="13.73046875" bestFit="1" customWidth="1"/>
    <col min="8" max="8" width="19.265625" bestFit="1" customWidth="1"/>
    <col min="9" max="9" width="18.3984375" bestFit="1" customWidth="1"/>
    <col min="10" max="10" width="17.73046875" bestFit="1" customWidth="1"/>
    <col min="11" max="11" width="13.3984375" bestFit="1" customWidth="1"/>
    <col min="12" max="12" width="14.73046875" bestFit="1" customWidth="1"/>
    <col min="13" max="13" width="16.265625" bestFit="1" customWidth="1"/>
  </cols>
  <sheetData>
    <row r="1" spans="1:14" ht="22.9" x14ac:dyDescent="1.2">
      <c r="A1" s="415" t="s">
        <v>92</v>
      </c>
      <c r="B1" s="415"/>
      <c r="C1" s="415"/>
      <c r="D1" s="415"/>
      <c r="E1" s="415"/>
      <c r="F1" s="415"/>
      <c r="G1" s="415"/>
      <c r="H1" s="415"/>
      <c r="I1" s="415"/>
      <c r="J1" s="415"/>
      <c r="K1" s="415"/>
      <c r="L1" s="415"/>
      <c r="M1" s="415"/>
    </row>
    <row r="2" spans="1:14" x14ac:dyDescent="0.35">
      <c r="A2" s="253" t="s">
        <v>8</v>
      </c>
      <c r="B2" s="246" t="s">
        <v>9</v>
      </c>
      <c r="C2" s="246" t="s">
        <v>10</v>
      </c>
      <c r="D2" s="246" t="s">
        <v>67</v>
      </c>
      <c r="E2" s="246" t="s">
        <v>12</v>
      </c>
      <c r="F2" s="246" t="s">
        <v>93</v>
      </c>
      <c r="G2" s="246" t="s">
        <v>72</v>
      </c>
      <c r="H2" s="246" t="s">
        <v>14</v>
      </c>
      <c r="I2" s="246" t="s">
        <v>15</v>
      </c>
      <c r="J2" s="246" t="s">
        <v>16</v>
      </c>
      <c r="K2" s="246" t="s">
        <v>79</v>
      </c>
      <c r="L2" s="246" t="s">
        <v>80</v>
      </c>
      <c r="M2" s="254" t="s">
        <v>95</v>
      </c>
    </row>
    <row r="3" spans="1:14" x14ac:dyDescent="0.35">
      <c r="A3" s="253"/>
      <c r="B3" s="246"/>
      <c r="C3" s="246"/>
      <c r="D3" s="246"/>
      <c r="E3" s="246"/>
      <c r="F3" s="246"/>
      <c r="G3" s="246"/>
      <c r="H3" s="246"/>
      <c r="I3" s="246"/>
      <c r="J3" s="246"/>
      <c r="K3" s="246"/>
      <c r="L3" s="246"/>
      <c r="M3" s="254"/>
    </row>
    <row r="4" spans="1:14" x14ac:dyDescent="0.35">
      <c r="A4" s="253"/>
      <c r="B4" s="246"/>
      <c r="C4" s="246"/>
      <c r="D4" s="246"/>
      <c r="E4" s="246"/>
      <c r="F4" s="246"/>
      <c r="G4" s="246"/>
      <c r="H4" s="246"/>
      <c r="I4" s="246"/>
      <c r="J4" s="246"/>
      <c r="K4" s="246"/>
      <c r="L4" s="246"/>
      <c r="M4" s="254"/>
    </row>
    <row r="5" spans="1:14" ht="22.9" x14ac:dyDescent="1.2">
      <c r="A5" s="253"/>
      <c r="B5" s="415" t="s">
        <v>92</v>
      </c>
      <c r="C5" s="415"/>
      <c r="D5" s="415"/>
      <c r="E5" s="415"/>
      <c r="F5" s="415"/>
      <c r="G5" s="415"/>
      <c r="H5" s="415"/>
      <c r="I5" s="415"/>
      <c r="J5" s="415"/>
      <c r="K5" s="415"/>
      <c r="L5" s="415"/>
      <c r="M5" s="415"/>
    </row>
    <row r="6" spans="1:14" x14ac:dyDescent="0.35">
      <c r="A6" s="253"/>
      <c r="B6" s="246"/>
      <c r="C6" s="246"/>
      <c r="D6" s="246"/>
      <c r="E6" s="246"/>
      <c r="F6" s="246"/>
      <c r="G6" s="246"/>
      <c r="H6" s="246"/>
      <c r="I6" s="246"/>
      <c r="J6" s="246"/>
      <c r="K6" s="246"/>
      <c r="L6" s="246"/>
      <c r="M6" s="254"/>
    </row>
    <row r="7" spans="1:14" ht="25.5" x14ac:dyDescent="0.35">
      <c r="A7" s="253"/>
      <c r="B7" s="246" t="s">
        <v>9</v>
      </c>
      <c r="C7" s="246" t="s">
        <v>10</v>
      </c>
      <c r="D7" s="246" t="s">
        <v>67</v>
      </c>
      <c r="E7" s="246" t="s">
        <v>12</v>
      </c>
      <c r="F7" s="246" t="s">
        <v>93</v>
      </c>
      <c r="G7" s="246" t="s">
        <v>72</v>
      </c>
      <c r="H7" s="246" t="s">
        <v>14</v>
      </c>
      <c r="I7" s="246" t="s">
        <v>15</v>
      </c>
      <c r="J7" s="246" t="s">
        <v>97</v>
      </c>
      <c r="K7" s="246" t="s">
        <v>79</v>
      </c>
      <c r="L7" s="246" t="s">
        <v>80</v>
      </c>
      <c r="M7" s="254" t="s">
        <v>96</v>
      </c>
    </row>
    <row r="8" spans="1:14" x14ac:dyDescent="0.35">
      <c r="A8" s="260" t="s">
        <v>22</v>
      </c>
      <c r="B8" s="261">
        <f>INDEX(B11:B39,MATCH($A$8,$A$11:$A$39,0))</f>
        <v>70322293</v>
      </c>
      <c r="C8" s="261">
        <f t="shared" ref="C8:M8" si="0">INDEX(C11:C39,MATCH($A$8,$A$11:$A$39,0))</f>
        <v>43469392</v>
      </c>
      <c r="D8" s="261">
        <f t="shared" si="0"/>
        <v>26203777</v>
      </c>
      <c r="E8" s="261">
        <f t="shared" si="0"/>
        <v>19492857</v>
      </c>
      <c r="F8" s="261">
        <f t="shared" si="0"/>
        <v>4700245</v>
      </c>
      <c r="G8" s="261">
        <f t="shared" si="0"/>
        <v>4550745</v>
      </c>
      <c r="H8" s="261">
        <f t="shared" si="0"/>
        <v>9867929</v>
      </c>
      <c r="I8" s="261">
        <f t="shared" si="0"/>
        <v>2278850</v>
      </c>
      <c r="J8" s="261">
        <f t="shared" si="0"/>
        <v>1923715</v>
      </c>
      <c r="K8" s="261">
        <f t="shared" si="0"/>
        <v>23.224423684584959</v>
      </c>
      <c r="L8" s="261">
        <f t="shared" si="0"/>
        <v>50.360317703014069</v>
      </c>
      <c r="M8" s="261">
        <f t="shared" si="0"/>
        <v>2.5436432305731711</v>
      </c>
    </row>
    <row r="10" spans="1:14" ht="38.65" x14ac:dyDescent="0.4">
      <c r="A10" s="255" t="s">
        <v>8</v>
      </c>
      <c r="B10" s="255" t="s">
        <v>9</v>
      </c>
      <c r="C10" s="256" t="s">
        <v>10</v>
      </c>
      <c r="D10" s="257" t="s">
        <v>67</v>
      </c>
      <c r="E10" s="258" t="s">
        <v>12</v>
      </c>
      <c r="F10" s="258" t="s">
        <v>93</v>
      </c>
      <c r="G10" s="258" t="s">
        <v>72</v>
      </c>
      <c r="H10" s="233" t="s">
        <v>14</v>
      </c>
      <c r="I10" s="234" t="s">
        <v>15</v>
      </c>
      <c r="J10" s="234" t="s">
        <v>97</v>
      </c>
      <c r="K10" s="235" t="s">
        <v>79</v>
      </c>
      <c r="L10" s="234" t="s">
        <v>80</v>
      </c>
      <c r="M10" s="236" t="s">
        <v>96</v>
      </c>
    </row>
    <row r="11" spans="1:14" x14ac:dyDescent="0.35">
      <c r="A11" s="259" t="s">
        <v>20</v>
      </c>
      <c r="B11" s="267">
        <v>104626250</v>
      </c>
      <c r="C11" s="267">
        <v>40443981</v>
      </c>
      <c r="D11" s="267">
        <v>48560410</v>
      </c>
      <c r="E11" s="267">
        <v>12583900</v>
      </c>
      <c r="F11" s="267">
        <v>10897774</v>
      </c>
      <c r="G11" s="267">
        <v>4345429</v>
      </c>
      <c r="H11" s="267">
        <v>13362844</v>
      </c>
      <c r="I11" s="267">
        <v>4838575</v>
      </c>
      <c r="J11" s="267">
        <v>8423732</v>
      </c>
      <c r="K11" s="268">
        <v>24.9119325434269</v>
      </c>
      <c r="L11" s="268">
        <v>76.607917956164258</v>
      </c>
      <c r="M11" s="269">
        <v>4.7138379391015937</v>
      </c>
      <c r="N11" s="272"/>
    </row>
    <row r="12" spans="1:14" x14ac:dyDescent="0.35">
      <c r="A12" s="259" t="s">
        <v>21</v>
      </c>
      <c r="B12" s="267">
        <v>52888991</v>
      </c>
      <c r="C12" s="267">
        <v>28602766</v>
      </c>
      <c r="D12" s="267">
        <v>34076278</v>
      </c>
      <c r="E12" s="267">
        <v>20302654</v>
      </c>
      <c r="F12" s="267">
        <v>7712428</v>
      </c>
      <c r="G12" s="267">
        <v>7587032</v>
      </c>
      <c r="H12" s="267">
        <v>13927173</v>
      </c>
      <c r="I12" s="267">
        <v>3235970</v>
      </c>
      <c r="J12" s="267">
        <v>1134742</v>
      </c>
      <c r="K12" s="268">
        <v>43.386195036450367</v>
      </c>
      <c r="L12" s="268">
        <v>79.642084557490406</v>
      </c>
      <c r="M12" s="269">
        <v>3.307839700277921</v>
      </c>
      <c r="N12" s="272"/>
    </row>
    <row r="13" spans="1:14" x14ac:dyDescent="0.35">
      <c r="A13" s="259" t="s">
        <v>87</v>
      </c>
      <c r="B13" s="267">
        <v>26934471</v>
      </c>
      <c r="C13" s="267">
        <v>1743403</v>
      </c>
      <c r="D13" s="267">
        <v>1716210</v>
      </c>
      <c r="E13" s="267">
        <v>1314504</v>
      </c>
      <c r="F13" s="267">
        <v>57899</v>
      </c>
      <c r="G13" s="267">
        <v>33234</v>
      </c>
      <c r="H13" s="267">
        <v>1712819</v>
      </c>
      <c r="I13" s="267">
        <v>140900</v>
      </c>
      <c r="J13" s="267">
        <v>127671</v>
      </c>
      <c r="K13" s="268">
        <v>2.9283585719295586</v>
      </c>
      <c r="L13" s="268">
        <v>150.92219416302024</v>
      </c>
      <c r="M13" s="269">
        <v>0.16659529459214917</v>
      </c>
      <c r="N13" s="272"/>
    </row>
    <row r="14" spans="1:14" x14ac:dyDescent="0.35">
      <c r="A14" s="259" t="s">
        <v>60</v>
      </c>
      <c r="B14" s="120">
        <v>30184828</v>
      </c>
      <c r="C14" s="120">
        <v>19629294</v>
      </c>
      <c r="D14" s="120">
        <v>13333087</v>
      </c>
      <c r="E14" s="120">
        <v>10772991</v>
      </c>
      <c r="F14" s="120">
        <v>1452325</v>
      </c>
      <c r="G14" s="120">
        <v>1022257</v>
      </c>
      <c r="H14" s="120">
        <v>6596717</v>
      </c>
      <c r="I14" s="120">
        <v>1436112</v>
      </c>
      <c r="J14" s="120">
        <v>1561756</v>
      </c>
      <c r="K14" s="268">
        <v>9</v>
      </c>
      <c r="L14" s="268">
        <v>60</v>
      </c>
      <c r="M14" s="269">
        <v>1.2942644295207195</v>
      </c>
      <c r="N14" s="272"/>
    </row>
    <row r="15" spans="1:14" x14ac:dyDescent="0.35">
      <c r="A15" s="259" t="s">
        <v>22</v>
      </c>
      <c r="B15" s="267">
        <v>70322293</v>
      </c>
      <c r="C15" s="267">
        <v>43469392</v>
      </c>
      <c r="D15" s="267">
        <v>26203777</v>
      </c>
      <c r="E15" s="267">
        <v>19492857</v>
      </c>
      <c r="F15" s="267">
        <v>4700245</v>
      </c>
      <c r="G15" s="267">
        <v>4550745</v>
      </c>
      <c r="H15" s="267">
        <v>9867929</v>
      </c>
      <c r="I15" s="267">
        <v>2278850</v>
      </c>
      <c r="J15" s="267">
        <v>1923715</v>
      </c>
      <c r="K15" s="268">
        <v>23.224423684584959</v>
      </c>
      <c r="L15" s="268">
        <v>50.360317703014069</v>
      </c>
      <c r="M15" s="269">
        <v>2.5436432305731711</v>
      </c>
      <c r="N15" s="272"/>
    </row>
    <row r="16" spans="1:14" x14ac:dyDescent="0.35">
      <c r="A16" s="259" t="s">
        <v>23</v>
      </c>
      <c r="B16" s="267">
        <v>310240121</v>
      </c>
      <c r="C16" s="267">
        <v>178703380</v>
      </c>
      <c r="D16" s="267">
        <v>139816954</v>
      </c>
      <c r="E16" s="267">
        <v>84514756</v>
      </c>
      <c r="F16" s="267">
        <v>73447907</v>
      </c>
      <c r="G16" s="267">
        <v>30082960</v>
      </c>
      <c r="H16" s="267">
        <v>41248917</v>
      </c>
      <c r="I16" s="267">
        <v>17548635</v>
      </c>
      <c r="J16" s="267">
        <v>12037388</v>
      </c>
      <c r="K16" s="268">
        <v>39.610500658538783</v>
      </c>
      <c r="L16" s="268">
        <v>54.312815427488239</v>
      </c>
      <c r="M16" s="269">
        <v>13.572259012945368</v>
      </c>
      <c r="N16" s="272"/>
    </row>
    <row r="17" spans="1:14" x14ac:dyDescent="0.35">
      <c r="A17" s="259" t="s">
        <v>25</v>
      </c>
      <c r="B17" s="267">
        <v>150110962</v>
      </c>
      <c r="C17" s="267">
        <v>77330230</v>
      </c>
      <c r="D17" s="267">
        <v>48874753</v>
      </c>
      <c r="E17" s="267">
        <v>24606853</v>
      </c>
      <c r="F17" s="267">
        <v>8448258</v>
      </c>
      <c r="G17" s="267">
        <v>8448258</v>
      </c>
      <c r="H17" s="267">
        <v>14082072</v>
      </c>
      <c r="I17" s="267">
        <v>7568114</v>
      </c>
      <c r="J17" s="267">
        <v>4901806</v>
      </c>
      <c r="K17" s="268">
        <v>36.647146988744531</v>
      </c>
      <c r="L17" s="268">
        <v>61.085701039206384</v>
      </c>
      <c r="M17" s="269">
        <v>4.7443517251114526</v>
      </c>
      <c r="N17" s="272"/>
    </row>
    <row r="18" spans="1:14" x14ac:dyDescent="0.35">
      <c r="A18" s="259" t="s">
        <v>26</v>
      </c>
      <c r="B18" s="267">
        <v>130636281</v>
      </c>
      <c r="C18" s="267">
        <v>65693435</v>
      </c>
      <c r="D18" s="267">
        <v>97217794</v>
      </c>
      <c r="E18" s="267">
        <v>46587873</v>
      </c>
      <c r="F18" s="267">
        <v>19601928</v>
      </c>
      <c r="G18" s="267">
        <v>19601928</v>
      </c>
      <c r="H18" s="267">
        <v>29992676</v>
      </c>
      <c r="I18" s="267">
        <v>11419717</v>
      </c>
      <c r="J18" s="267">
        <v>12706934</v>
      </c>
      <c r="K18" s="268">
        <v>37.717369944010031</v>
      </c>
      <c r="L18" s="268">
        <v>57.710897433294875</v>
      </c>
      <c r="M18" s="269">
        <v>9.437089302025317</v>
      </c>
      <c r="N18" s="272"/>
    </row>
    <row r="19" spans="1:14" x14ac:dyDescent="0.35">
      <c r="A19" s="259" t="s">
        <v>27</v>
      </c>
      <c r="B19" s="267">
        <v>37083061</v>
      </c>
      <c r="C19" s="267">
        <v>12463452</v>
      </c>
      <c r="D19" s="267">
        <v>885920</v>
      </c>
      <c r="E19" s="267">
        <v>755259</v>
      </c>
      <c r="F19" s="267">
        <v>935120</v>
      </c>
      <c r="G19" s="267">
        <v>935120</v>
      </c>
      <c r="H19" s="267">
        <v>2743961</v>
      </c>
      <c r="I19" s="267">
        <v>81630</v>
      </c>
      <c r="J19" s="267">
        <v>45731</v>
      </c>
      <c r="K19" s="268">
        <v>32.372013675507191</v>
      </c>
      <c r="L19" s="268">
        <v>94.990528506564274</v>
      </c>
      <c r="M19" s="269">
        <v>8.5997694562481727E-2</v>
      </c>
      <c r="N19" s="272"/>
    </row>
    <row r="20" spans="1:14" x14ac:dyDescent="0.35">
      <c r="A20" s="259" t="s">
        <v>28</v>
      </c>
      <c r="B20" s="267">
        <v>231835831</v>
      </c>
      <c r="C20" s="267">
        <v>97387779</v>
      </c>
      <c r="D20" s="267">
        <v>98219625</v>
      </c>
      <c r="E20" s="267">
        <v>45126194</v>
      </c>
      <c r="F20" s="267">
        <v>19761053</v>
      </c>
      <c r="G20" s="267">
        <v>11427563</v>
      </c>
      <c r="H20" s="267">
        <v>33321796</v>
      </c>
      <c r="I20" s="267">
        <v>13813396</v>
      </c>
      <c r="J20" s="267">
        <v>10250193</v>
      </c>
      <c r="K20" s="268">
        <v>26.373054053212002</v>
      </c>
      <c r="L20" s="268">
        <v>76.901569219798077</v>
      </c>
      <c r="M20" s="269">
        <v>9.5343386657841513</v>
      </c>
      <c r="N20" s="272"/>
    </row>
    <row r="21" spans="1:14" x14ac:dyDescent="0.35">
      <c r="A21" s="259" t="s">
        <v>46</v>
      </c>
      <c r="B21" s="267">
        <v>27646525</v>
      </c>
      <c r="C21" s="267">
        <v>16192440</v>
      </c>
      <c r="D21" s="267">
        <v>8273618</v>
      </c>
      <c r="E21" s="267">
        <v>6647580</v>
      </c>
      <c r="F21" s="267">
        <v>2138404</v>
      </c>
      <c r="G21" s="267">
        <v>1335720</v>
      </c>
      <c r="H21" s="267">
        <v>5274356</v>
      </c>
      <c r="I21" s="267">
        <v>1295678</v>
      </c>
      <c r="J21" s="267">
        <v>604041</v>
      </c>
      <c r="K21" s="268">
        <v>20.904997388675163</v>
      </c>
      <c r="L21" s="268">
        <v>82.547538710914836</v>
      </c>
      <c r="M21" s="269">
        <v>0.80313354895549371</v>
      </c>
      <c r="N21" s="272"/>
    </row>
    <row r="22" spans="1:14" x14ac:dyDescent="0.35">
      <c r="A22" s="259" t="s">
        <v>69</v>
      </c>
      <c r="B22" s="267">
        <v>29695489</v>
      </c>
      <c r="C22" s="267">
        <v>10931681</v>
      </c>
      <c r="D22" s="267">
        <v>4744762</v>
      </c>
      <c r="E22" s="267">
        <v>3995954</v>
      </c>
      <c r="F22" s="267">
        <v>1346553</v>
      </c>
      <c r="G22" s="267">
        <v>1346553</v>
      </c>
      <c r="H22" s="267">
        <v>2874298</v>
      </c>
      <c r="I22" s="267">
        <v>434245</v>
      </c>
      <c r="J22" s="267">
        <v>223456</v>
      </c>
      <c r="K22" s="268">
        <v>35.75840010494737</v>
      </c>
      <c r="L22" s="268">
        <v>76.32844596896669</v>
      </c>
      <c r="M22" s="269">
        <v>0.46058176048364402</v>
      </c>
      <c r="N22" s="272"/>
    </row>
    <row r="23" spans="1:14" x14ac:dyDescent="0.35">
      <c r="A23" s="259" t="s">
        <v>29</v>
      </c>
      <c r="B23" s="267">
        <v>70916123</v>
      </c>
      <c r="C23" s="267">
        <v>29629566</v>
      </c>
      <c r="D23" s="267">
        <v>14408406</v>
      </c>
      <c r="E23" s="267">
        <v>11825657</v>
      </c>
      <c r="F23" s="267">
        <v>6436694</v>
      </c>
      <c r="G23" s="267">
        <v>3878217</v>
      </c>
      <c r="H23" s="267">
        <v>7101105</v>
      </c>
      <c r="I23" s="267">
        <v>1672584</v>
      </c>
      <c r="J23" s="267">
        <v>773242</v>
      </c>
      <c r="K23" s="268">
        <v>38.951809023478148</v>
      </c>
      <c r="L23" s="268">
        <v>71.321662974419894</v>
      </c>
      <c r="M23" s="269">
        <v>1.3986473929025525</v>
      </c>
      <c r="N23" s="272"/>
    </row>
    <row r="24" spans="1:14" x14ac:dyDescent="0.35">
      <c r="A24" s="259" t="s">
        <v>70</v>
      </c>
      <c r="B24" s="267">
        <v>17039842</v>
      </c>
      <c r="C24" s="267">
        <v>12504686</v>
      </c>
      <c r="D24" s="120">
        <v>0</v>
      </c>
      <c r="E24" s="120">
        <v>-36</v>
      </c>
      <c r="F24" s="267">
        <v>193000</v>
      </c>
      <c r="G24" s="267">
        <v>193000</v>
      </c>
      <c r="H24" s="267">
        <v>156297</v>
      </c>
      <c r="I24" s="120">
        <v>0</v>
      </c>
      <c r="J24" s="120"/>
      <c r="K24" s="268">
        <v>36.254412049238375</v>
      </c>
      <c r="L24" s="268">
        <v>29.359874818962751</v>
      </c>
      <c r="M24" s="269">
        <v>0</v>
      </c>
      <c r="N24" s="272"/>
    </row>
    <row r="25" spans="1:14" x14ac:dyDescent="0.35">
      <c r="A25" s="259" t="s">
        <v>31</v>
      </c>
      <c r="B25" s="267">
        <v>50514174</v>
      </c>
      <c r="C25" s="267">
        <v>37621904</v>
      </c>
      <c r="D25" s="267">
        <v>9889483</v>
      </c>
      <c r="E25" s="267">
        <v>7660736</v>
      </c>
      <c r="F25" s="267">
        <v>2451259</v>
      </c>
      <c r="G25" s="267">
        <v>1934428</v>
      </c>
      <c r="H25" s="267">
        <v>5948304</v>
      </c>
      <c r="I25" s="267">
        <v>1368913</v>
      </c>
      <c r="J25" s="267">
        <v>597241</v>
      </c>
      <c r="K25" s="268">
        <v>30.142987010841903</v>
      </c>
      <c r="L25" s="268">
        <v>92.688717392706764</v>
      </c>
      <c r="M25" s="269">
        <v>0.959988191275573</v>
      </c>
      <c r="N25" s="272"/>
    </row>
    <row r="26" spans="1:14" x14ac:dyDescent="0.35">
      <c r="A26" s="259" t="s">
        <v>32</v>
      </c>
      <c r="B26" s="267">
        <v>96701119</v>
      </c>
      <c r="C26" s="267">
        <v>65039688</v>
      </c>
      <c r="D26" s="267">
        <v>41357612</v>
      </c>
      <c r="E26" s="267">
        <v>26209635</v>
      </c>
      <c r="F26" s="267">
        <v>9293040</v>
      </c>
      <c r="G26" s="267">
        <v>7659093</v>
      </c>
      <c r="H26" s="267">
        <v>19343329</v>
      </c>
      <c r="I26" s="267">
        <v>6736030</v>
      </c>
      <c r="J26" s="267">
        <v>4999805</v>
      </c>
      <c r="K26" s="268">
        <v>25.014841665225529</v>
      </c>
      <c r="L26" s="268">
        <v>63.17592856143218</v>
      </c>
      <c r="M26" s="269">
        <v>4.0146506282843024</v>
      </c>
      <c r="N26" s="272"/>
    </row>
    <row r="27" spans="1:14" x14ac:dyDescent="0.35">
      <c r="A27" s="259" t="s">
        <v>33</v>
      </c>
      <c r="B27" s="267">
        <v>54462229</v>
      </c>
      <c r="C27" s="267">
        <v>44795551</v>
      </c>
      <c r="D27" s="267">
        <v>26287033</v>
      </c>
      <c r="E27" s="267">
        <v>21195620</v>
      </c>
      <c r="F27" s="267">
        <v>4882553</v>
      </c>
      <c r="G27" s="267">
        <v>4287749</v>
      </c>
      <c r="H27" s="267">
        <v>10649006</v>
      </c>
      <c r="I27" s="267">
        <v>2868169</v>
      </c>
      <c r="J27" s="267">
        <v>1750732</v>
      </c>
      <c r="K27" s="268">
        <v>23.666324805874272</v>
      </c>
      <c r="L27" s="268">
        <v>58.777422572007822</v>
      </c>
      <c r="M27" s="269">
        <v>2.551725025835152</v>
      </c>
      <c r="N27" s="272"/>
    </row>
    <row r="28" spans="1:14" x14ac:dyDescent="0.35">
      <c r="A28" s="259" t="s">
        <v>34</v>
      </c>
      <c r="B28" s="267">
        <v>47398968</v>
      </c>
      <c r="C28" s="267">
        <v>23472347</v>
      </c>
      <c r="D28" s="267">
        <v>14124371</v>
      </c>
      <c r="E28" s="267">
        <v>13351853</v>
      </c>
      <c r="F28" s="267">
        <v>1870095</v>
      </c>
      <c r="G28" s="267">
        <v>1278604</v>
      </c>
      <c r="H28" s="267">
        <v>6987924</v>
      </c>
      <c r="I28" s="267">
        <v>1042122</v>
      </c>
      <c r="J28" s="267">
        <v>242833</v>
      </c>
      <c r="K28" s="268">
        <v>13.208888213030828</v>
      </c>
      <c r="L28" s="268">
        <v>72.190222271442323</v>
      </c>
      <c r="M28" s="269">
        <v>1.3710756537217521</v>
      </c>
      <c r="N28" s="272"/>
    </row>
    <row r="29" spans="1:14" x14ac:dyDescent="0.35">
      <c r="A29" s="259" t="s">
        <v>35</v>
      </c>
      <c r="B29" s="267">
        <v>90928776</v>
      </c>
      <c r="C29" s="267">
        <v>51618256</v>
      </c>
      <c r="D29" s="267">
        <v>23169765</v>
      </c>
      <c r="E29" s="267">
        <v>19738232</v>
      </c>
      <c r="F29" s="267">
        <v>4798352</v>
      </c>
      <c r="G29" s="267">
        <v>4759</v>
      </c>
      <c r="H29" s="267">
        <v>11939737</v>
      </c>
      <c r="I29" s="267">
        <v>4489301</v>
      </c>
      <c r="J29" s="267">
        <v>811411</v>
      </c>
      <c r="K29" s="268">
        <v>3.746154464992623E-2</v>
      </c>
      <c r="L29" s="268">
        <v>93.986339721344052</v>
      </c>
      <c r="M29" s="269">
        <v>2.2491267536058333</v>
      </c>
      <c r="N29" s="272"/>
    </row>
    <row r="30" spans="1:14" x14ac:dyDescent="0.35">
      <c r="A30" s="259" t="s">
        <v>36</v>
      </c>
      <c r="B30" s="267">
        <v>79563713</v>
      </c>
      <c r="C30" s="267">
        <v>38765523</v>
      </c>
      <c r="D30" s="267">
        <v>24209651</v>
      </c>
      <c r="E30" s="267">
        <v>18577303</v>
      </c>
      <c r="F30" s="267">
        <v>8312935</v>
      </c>
      <c r="G30" s="267">
        <v>6679328</v>
      </c>
      <c r="H30" s="267">
        <v>10400874</v>
      </c>
      <c r="I30" s="267">
        <v>2810768</v>
      </c>
      <c r="J30" s="267">
        <v>927794</v>
      </c>
      <c r="K30" s="268">
        <v>36.614351298627369</v>
      </c>
      <c r="L30" s="268">
        <v>57.014905458866458</v>
      </c>
      <c r="M30" s="269">
        <v>2.3500701780773436</v>
      </c>
      <c r="N30" s="272"/>
    </row>
    <row r="31" spans="1:14" x14ac:dyDescent="0.35">
      <c r="A31" s="259" t="s">
        <v>62</v>
      </c>
      <c r="B31" s="120">
        <v>39562247</v>
      </c>
      <c r="C31" s="120">
        <v>21417792</v>
      </c>
      <c r="D31" s="120">
        <v>19372299</v>
      </c>
      <c r="E31" s="120">
        <v>15754619</v>
      </c>
      <c r="F31" s="120">
        <v>7748279</v>
      </c>
      <c r="G31" s="120">
        <v>2905969</v>
      </c>
      <c r="H31" s="120">
        <v>9664569</v>
      </c>
      <c r="I31" s="120">
        <v>2905969</v>
      </c>
      <c r="J31" s="120">
        <v>1214939</v>
      </c>
      <c r="K31" s="268">
        <v>73</v>
      </c>
      <c r="L31" s="268">
        <v>22</v>
      </c>
      <c r="M31" s="269">
        <v>1.8805005557782535</v>
      </c>
      <c r="N31" s="272"/>
    </row>
    <row r="32" spans="1:14" x14ac:dyDescent="0.35">
      <c r="A32" s="259" t="s">
        <v>38</v>
      </c>
      <c r="B32" s="267">
        <v>44674536</v>
      </c>
      <c r="C32" s="267">
        <v>25136914</v>
      </c>
      <c r="D32" s="267">
        <v>13691611</v>
      </c>
      <c r="E32" s="267">
        <v>6535792</v>
      </c>
      <c r="F32" s="267">
        <v>2220926</v>
      </c>
      <c r="G32" s="267">
        <v>2047740</v>
      </c>
      <c r="H32" s="267">
        <v>8067451</v>
      </c>
      <c r="I32" s="267">
        <v>2166889</v>
      </c>
      <c r="J32" s="267">
        <v>2564327</v>
      </c>
      <c r="K32" s="268">
        <v>24.142570548171957</v>
      </c>
      <c r="L32" s="268">
        <v>95.114128215213071</v>
      </c>
      <c r="M32" s="269">
        <v>1.3290669370217572</v>
      </c>
      <c r="N32" s="272"/>
    </row>
    <row r="33" spans="1:14" x14ac:dyDescent="0.35">
      <c r="A33" s="259" t="s">
        <v>77</v>
      </c>
      <c r="B33" s="267">
        <v>42260925</v>
      </c>
      <c r="C33" s="267">
        <v>29277409</v>
      </c>
      <c r="D33" s="267">
        <v>13333730</v>
      </c>
      <c r="E33" s="267">
        <v>9836017</v>
      </c>
      <c r="F33" s="267">
        <v>673898</v>
      </c>
      <c r="G33" s="267">
        <v>653898</v>
      </c>
      <c r="H33" s="267">
        <v>7260486</v>
      </c>
      <c r="I33" s="267">
        <v>1472216</v>
      </c>
      <c r="J33" s="267">
        <v>874933</v>
      </c>
      <c r="K33" s="268">
        <v>11.194953198994625</v>
      </c>
      <c r="L33" s="268">
        <v>124.30195683723714</v>
      </c>
      <c r="M33" s="269">
        <v>1.2943268465759883</v>
      </c>
      <c r="N33" s="272"/>
    </row>
    <row r="34" spans="1:14" x14ac:dyDescent="0.35">
      <c r="A34" s="259" t="s">
        <v>39</v>
      </c>
      <c r="B34" s="120">
        <v>503889235</v>
      </c>
      <c r="C34" s="120">
        <v>330327731</v>
      </c>
      <c r="D34" s="120">
        <v>95885974</v>
      </c>
      <c r="E34" s="120">
        <v>66111535.950000003</v>
      </c>
      <c r="F34" s="120">
        <v>13282104</v>
      </c>
      <c r="G34" s="120">
        <v>9988576</v>
      </c>
      <c r="H34" s="120">
        <v>57581478</v>
      </c>
      <c r="I34" s="120">
        <v>9746163</v>
      </c>
      <c r="J34" s="120">
        <v>9936941</v>
      </c>
      <c r="K34" s="268">
        <v>86</v>
      </c>
      <c r="L34" s="268">
        <v>15</v>
      </c>
      <c r="M34" s="269">
        <v>9.307807369602294</v>
      </c>
      <c r="N34" s="272"/>
    </row>
    <row r="35" spans="1:14" x14ac:dyDescent="0.35">
      <c r="A35" s="259" t="s">
        <v>40</v>
      </c>
      <c r="B35" s="267">
        <v>395494320</v>
      </c>
      <c r="C35" s="267">
        <v>345389549</v>
      </c>
      <c r="D35" s="267">
        <v>82083354</v>
      </c>
      <c r="E35" s="267">
        <v>64936856</v>
      </c>
      <c r="F35" s="267">
        <v>37073391</v>
      </c>
      <c r="G35" s="267">
        <v>23535381</v>
      </c>
      <c r="H35" s="267">
        <v>39016119</v>
      </c>
      <c r="I35" s="267">
        <v>14589801</v>
      </c>
      <c r="J35" s="267">
        <v>5171870</v>
      </c>
      <c r="K35" s="268">
        <v>36.056664624535628</v>
      </c>
      <c r="L35" s="268">
        <v>59.773458425592196</v>
      </c>
      <c r="M35" s="269">
        <v>7.9679646084929372</v>
      </c>
      <c r="N35" s="272"/>
    </row>
    <row r="36" spans="1:14" x14ac:dyDescent="0.35">
      <c r="A36" s="259" t="s">
        <v>90</v>
      </c>
      <c r="B36" s="120">
        <v>61302562</v>
      </c>
      <c r="C36" s="120">
        <v>28698443.920000002</v>
      </c>
      <c r="D36" s="120">
        <v>31455212</v>
      </c>
      <c r="E36" s="120">
        <v>21959870</v>
      </c>
      <c r="F36" s="120">
        <v>9782056</v>
      </c>
      <c r="G36" s="120">
        <v>6677207</v>
      </c>
      <c r="H36" s="120">
        <v>15218762</v>
      </c>
      <c r="I36" s="120">
        <v>4410278</v>
      </c>
      <c r="J36" s="120">
        <v>2682420</v>
      </c>
      <c r="K36" s="268">
        <v>30</v>
      </c>
      <c r="L36" s="268">
        <v>68.599999999999994</v>
      </c>
      <c r="M36" s="269">
        <v>3.0534085628206951</v>
      </c>
      <c r="N36" s="272"/>
    </row>
    <row r="37" spans="1:14" x14ac:dyDescent="0.35">
      <c r="A37" s="259" t="s">
        <v>41</v>
      </c>
      <c r="B37" s="267">
        <v>35715726</v>
      </c>
      <c r="C37" s="267">
        <v>30453920</v>
      </c>
      <c r="D37" s="267">
        <v>8330692</v>
      </c>
      <c r="E37" s="267">
        <v>7520900</v>
      </c>
      <c r="F37" s="267">
        <v>1973032</v>
      </c>
      <c r="G37" s="267">
        <v>1899282</v>
      </c>
      <c r="H37" s="267">
        <v>4424665</v>
      </c>
      <c r="I37" s="267">
        <v>259734</v>
      </c>
      <c r="J37" s="120"/>
      <c r="K37" s="268">
        <v>28.377653323778901</v>
      </c>
      <c r="L37" s="268">
        <v>66.110040238289088</v>
      </c>
      <c r="M37" s="269">
        <v>0.80867381491569224</v>
      </c>
      <c r="N37" s="272"/>
    </row>
    <row r="38" spans="1:14" x14ac:dyDescent="0.35">
      <c r="A38" s="259" t="s">
        <v>42</v>
      </c>
      <c r="B38" s="120">
        <v>139273250</v>
      </c>
      <c r="C38" s="120">
        <v>80132498.710000008</v>
      </c>
      <c r="D38" s="120">
        <v>80701571</v>
      </c>
      <c r="E38" s="120">
        <v>53921298</v>
      </c>
      <c r="F38" s="120">
        <v>25329523.440000001</v>
      </c>
      <c r="G38" s="120">
        <v>20455886.740000002</v>
      </c>
      <c r="H38" s="120">
        <v>29326979.630000003</v>
      </c>
      <c r="I38" s="120">
        <v>13952864.630000001</v>
      </c>
      <c r="J38" s="120">
        <v>6958079</v>
      </c>
      <c r="K38" s="268">
        <v>37</v>
      </c>
      <c r="L38" s="268">
        <v>53</v>
      </c>
      <c r="M38" s="269">
        <v>7.8338326864394459</v>
      </c>
      <c r="N38" s="272"/>
    </row>
    <row r="39" spans="1:14" x14ac:dyDescent="0.35">
      <c r="A39" s="259" t="s">
        <v>43</v>
      </c>
      <c r="B39" s="267">
        <v>48217892</v>
      </c>
      <c r="C39" s="267">
        <v>27388081</v>
      </c>
      <c r="D39" s="267">
        <v>9943199</v>
      </c>
      <c r="E39" s="267">
        <v>7987366</v>
      </c>
      <c r="F39" s="267">
        <v>7793448</v>
      </c>
      <c r="G39" s="267">
        <v>4026601</v>
      </c>
      <c r="H39" s="267">
        <v>6467198</v>
      </c>
      <c r="I39" s="267">
        <v>2373541</v>
      </c>
      <c r="J39" s="267">
        <v>613712</v>
      </c>
      <c r="K39" s="268">
        <v>39.478748484961976</v>
      </c>
      <c r="L39" s="268">
        <v>63.407544786396549</v>
      </c>
      <c r="M39" s="269">
        <v>0.96520249071696518</v>
      </c>
      <c r="N39" s="272"/>
    </row>
    <row r="40" spans="1:14" s="6" customFormat="1" x14ac:dyDescent="0.35">
      <c r="A40" s="270" t="s">
        <v>98</v>
      </c>
      <c r="B40" s="271">
        <f>SUM(B11:B39)</f>
        <v>3020120740</v>
      </c>
      <c r="C40" s="271">
        <f t="shared" ref="C40:J40" si="1">SUM(C11:C39)</f>
        <v>1814261092.6300001</v>
      </c>
      <c r="D40" s="271">
        <f t="shared" si="1"/>
        <v>1030167151</v>
      </c>
      <c r="E40" s="271">
        <f t="shared" si="1"/>
        <v>649824628.95000005</v>
      </c>
      <c r="F40" s="271">
        <f t="shared" si="1"/>
        <v>294614479.44</v>
      </c>
      <c r="G40" s="271">
        <f t="shared" si="1"/>
        <v>188822517.74000001</v>
      </c>
      <c r="H40" s="271">
        <f t="shared" si="1"/>
        <v>424559841.63</v>
      </c>
      <c r="I40" s="271">
        <f t="shared" si="1"/>
        <v>136957164.63</v>
      </c>
      <c r="J40" s="271">
        <f t="shared" si="1"/>
        <v>94061444</v>
      </c>
    </row>
    <row r="48" spans="1:14" x14ac:dyDescent="0.35">
      <c r="M48" s="7"/>
    </row>
    <row r="49" spans="13:13" x14ac:dyDescent="0.35">
      <c r="M49" s="7"/>
    </row>
    <row r="50" spans="13:13" x14ac:dyDescent="0.35">
      <c r="M50" s="7"/>
    </row>
    <row r="51" spans="13:13" x14ac:dyDescent="0.35">
      <c r="M51" s="7"/>
    </row>
  </sheetData>
  <mergeCells count="2">
    <mergeCell ref="A1:M1"/>
    <mergeCell ref="B5:M5"/>
  </mergeCells>
  <dataValidations count="1">
    <dataValidation type="list" allowBlank="1" showInputMessage="1" showErrorMessage="1" sqref="A8" xr:uid="{00000000-0002-0000-2000-000000000000}">
      <formula1>$A$11:$A$39</formula1>
    </dataValidation>
  </dataValidations>
  <pageMargins left="0.7" right="0.7" top="0.75" bottom="0.75" header="0.3" footer="0.3"/>
  <customProperties>
    <customPr name="LastActive" r:id="rId1"/>
  </customProperties>
  <legacyDrawing r:id="rId2"/>
</worksheet>
</file>

<file path=xl/worksheets/sheet3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100-000000000000}">
  <sheetPr>
    <tabColor rgb="FF7030A0"/>
  </sheetPr>
  <dimension ref="A1:N47"/>
  <sheetViews>
    <sheetView workbookViewId="0">
      <pane xSplit="1" ySplit="4" topLeftCell="B5" activePane="bottomRight" state="frozen"/>
      <selection pane="topRight" activeCell="B1" sqref="B1"/>
      <selection pane="bottomLeft" activeCell="A5" sqref="A5"/>
      <selection pane="bottomRight" sqref="A1:XFD1048576"/>
    </sheetView>
  </sheetViews>
  <sheetFormatPr defaultRowHeight="12.75" x14ac:dyDescent="0.35"/>
  <cols>
    <col min="1" max="1" width="47" bestFit="1" customWidth="1"/>
    <col min="2" max="4" width="15.265625" bestFit="1" customWidth="1"/>
    <col min="5" max="5" width="18.3984375" bestFit="1" customWidth="1"/>
    <col min="6" max="6" width="19.265625" bestFit="1" customWidth="1"/>
    <col min="7" max="7" width="13.73046875" bestFit="1" customWidth="1"/>
    <col min="8" max="8" width="19.265625" bestFit="1" customWidth="1"/>
    <col min="9" max="9" width="18.3984375" bestFit="1" customWidth="1"/>
    <col min="10" max="10" width="17.73046875" bestFit="1" customWidth="1"/>
    <col min="11" max="11" width="13.3984375" bestFit="1" customWidth="1"/>
    <col min="12" max="12" width="14.73046875" bestFit="1" customWidth="1"/>
    <col min="13" max="13" width="16.265625" bestFit="1" customWidth="1"/>
  </cols>
  <sheetData>
    <row r="1" spans="1:14" ht="22.9" x14ac:dyDescent="1.2">
      <c r="A1" s="253"/>
      <c r="B1" s="415" t="s">
        <v>92</v>
      </c>
      <c r="C1" s="415"/>
      <c r="D1" s="415"/>
      <c r="E1" s="415"/>
      <c r="F1" s="415"/>
      <c r="G1" s="415"/>
      <c r="H1" s="415"/>
      <c r="I1" s="415"/>
      <c r="J1" s="415"/>
      <c r="K1" s="415"/>
      <c r="L1" s="415"/>
      <c r="M1" s="415"/>
    </row>
    <row r="2" spans="1:14" x14ac:dyDescent="0.35">
      <c r="A2" s="253"/>
      <c r="B2" s="246"/>
      <c r="C2" s="246"/>
      <c r="D2" s="246"/>
      <c r="E2" s="246"/>
      <c r="F2" s="246"/>
      <c r="G2" s="246"/>
      <c r="H2" s="246"/>
      <c r="I2" s="246"/>
      <c r="J2" s="246"/>
      <c r="K2" s="246"/>
      <c r="L2" s="246"/>
      <c r="M2" s="254"/>
    </row>
    <row r="3" spans="1:14" ht="25.5" x14ac:dyDescent="0.35">
      <c r="A3" s="253"/>
      <c r="B3" s="246" t="s">
        <v>9</v>
      </c>
      <c r="C3" s="246" t="s">
        <v>10</v>
      </c>
      <c r="D3" s="246" t="s">
        <v>67</v>
      </c>
      <c r="E3" s="246" t="s">
        <v>12</v>
      </c>
      <c r="F3" s="246" t="s">
        <v>93</v>
      </c>
      <c r="G3" s="246" t="s">
        <v>72</v>
      </c>
      <c r="H3" s="246" t="s">
        <v>14</v>
      </c>
      <c r="I3" s="246" t="s">
        <v>15</v>
      </c>
      <c r="J3" s="246" t="s">
        <v>97</v>
      </c>
      <c r="K3" s="246" t="s">
        <v>79</v>
      </c>
      <c r="L3" s="246" t="s">
        <v>80</v>
      </c>
      <c r="M3" s="254" t="s">
        <v>96</v>
      </c>
    </row>
    <row r="4" spans="1:14" x14ac:dyDescent="0.35">
      <c r="A4" s="260" t="s">
        <v>28</v>
      </c>
      <c r="B4" s="261">
        <f>INDEX(B7:B35,MATCH($A$4,$A$7:$A$35,0))</f>
        <v>236836765</v>
      </c>
      <c r="C4" s="261">
        <f t="shared" ref="C4:M4" si="0">INDEX(C7:C35,MATCH($A$4,$A$7:$A$35,0))</f>
        <v>98293457.870000005</v>
      </c>
      <c r="D4" s="261">
        <f t="shared" si="0"/>
        <v>147639144</v>
      </c>
      <c r="E4" s="261">
        <f t="shared" si="0"/>
        <v>64423257</v>
      </c>
      <c r="F4" s="261">
        <f t="shared" si="0"/>
        <v>30120594</v>
      </c>
      <c r="G4" s="261">
        <f t="shared" si="0"/>
        <v>18278362</v>
      </c>
      <c r="H4" s="261">
        <f t="shared" si="0"/>
        <v>46521429</v>
      </c>
      <c r="I4" s="261">
        <f t="shared" si="0"/>
        <v>16807745</v>
      </c>
      <c r="J4" s="261">
        <f t="shared" si="0"/>
        <v>11474011</v>
      </c>
      <c r="K4" s="261">
        <f t="shared" si="0"/>
        <v>29.014458463747395</v>
      </c>
      <c r="L4" s="261">
        <f t="shared" si="0"/>
        <v>73.846555254495641</v>
      </c>
      <c r="M4" s="261">
        <f t="shared" si="0"/>
        <v>9.7939161749151697</v>
      </c>
    </row>
    <row r="6" spans="1:14" ht="38.65" x14ac:dyDescent="0.4">
      <c r="A6" s="255" t="s">
        <v>8</v>
      </c>
      <c r="B6" s="255" t="s">
        <v>9</v>
      </c>
      <c r="C6" s="256" t="s">
        <v>10</v>
      </c>
      <c r="D6" s="257" t="s">
        <v>67</v>
      </c>
      <c r="E6" s="258" t="s">
        <v>12</v>
      </c>
      <c r="F6" s="258" t="s">
        <v>93</v>
      </c>
      <c r="G6" s="258" t="s">
        <v>72</v>
      </c>
      <c r="H6" s="233" t="s">
        <v>14</v>
      </c>
      <c r="I6" s="234" t="s">
        <v>15</v>
      </c>
      <c r="J6" s="234" t="s">
        <v>97</v>
      </c>
      <c r="K6" s="235" t="s">
        <v>79</v>
      </c>
      <c r="L6" s="234" t="s">
        <v>80</v>
      </c>
      <c r="M6" s="236" t="s">
        <v>96</v>
      </c>
    </row>
    <row r="7" spans="1:14" x14ac:dyDescent="0.35">
      <c r="A7" s="259" t="s">
        <v>20</v>
      </c>
      <c r="B7" s="274">
        <v>102641517</v>
      </c>
      <c r="C7" s="274">
        <v>37732839</v>
      </c>
      <c r="D7" s="274">
        <v>67687882</v>
      </c>
      <c r="E7" s="274">
        <v>21763064</v>
      </c>
      <c r="F7" s="274">
        <v>17086509</v>
      </c>
      <c r="G7" s="274">
        <v>9228781</v>
      </c>
      <c r="H7" s="274">
        <v>18302788</v>
      </c>
      <c r="I7" s="274">
        <v>6707591</v>
      </c>
      <c r="J7" s="274">
        <v>11151879</v>
      </c>
      <c r="K7" s="263">
        <v>32.70040074089124</v>
      </c>
      <c r="L7" s="263">
        <v>64.852389744168306</v>
      </c>
      <c r="M7" s="275">
        <f t="shared" ref="M7:M36" si="1">D7/$D$36*100</f>
        <v>4.4902010700194079</v>
      </c>
      <c r="N7" s="272"/>
    </row>
    <row r="8" spans="1:14" x14ac:dyDescent="0.35">
      <c r="A8" s="259" t="s">
        <v>21</v>
      </c>
      <c r="B8" s="274">
        <v>83184361</v>
      </c>
      <c r="C8" s="274">
        <v>59263676</v>
      </c>
      <c r="D8" s="274">
        <v>46260345</v>
      </c>
      <c r="E8" s="274">
        <v>28779016</v>
      </c>
      <c r="F8" s="274">
        <v>16862458</v>
      </c>
      <c r="G8" s="274">
        <v>12771665</v>
      </c>
      <c r="H8" s="274">
        <v>21330922</v>
      </c>
      <c r="I8" s="274">
        <v>5059082</v>
      </c>
      <c r="J8" s="274">
        <v>1663548</v>
      </c>
      <c r="K8" s="263">
        <v>47.681041603472011</v>
      </c>
      <c r="L8" s="263">
        <v>79.635707585691947</v>
      </c>
      <c r="M8" s="275">
        <f t="shared" si="1"/>
        <v>3.0687657004612281</v>
      </c>
      <c r="N8" s="272"/>
    </row>
    <row r="9" spans="1:14" x14ac:dyDescent="0.35">
      <c r="A9" s="259" t="s">
        <v>87</v>
      </c>
      <c r="B9" s="274">
        <v>26667685</v>
      </c>
      <c r="C9" s="274">
        <v>2192918</v>
      </c>
      <c r="D9" s="274">
        <v>2538705</v>
      </c>
      <c r="E9" s="274">
        <v>2023106</v>
      </c>
      <c r="F9" s="274">
        <v>102935</v>
      </c>
      <c r="G9" s="274">
        <v>74868</v>
      </c>
      <c r="H9" s="274">
        <v>2645541</v>
      </c>
      <c r="I9" s="274">
        <v>234693</v>
      </c>
      <c r="J9" s="274">
        <v>165636</v>
      </c>
      <c r="K9" s="263">
        <v>4.3154321023234905</v>
      </c>
      <c r="L9" s="263">
        <v>152.49041725988391</v>
      </c>
      <c r="M9" s="275">
        <f t="shared" si="1"/>
        <v>0.16840970009171832</v>
      </c>
      <c r="N9" s="272"/>
    </row>
    <row r="10" spans="1:14" x14ac:dyDescent="0.35">
      <c r="A10" s="259" t="s">
        <v>60</v>
      </c>
      <c r="B10" s="263"/>
      <c r="C10" s="263"/>
      <c r="D10" s="263"/>
      <c r="E10" s="263"/>
      <c r="F10" s="263"/>
      <c r="G10" s="263"/>
      <c r="H10" s="263"/>
      <c r="I10" s="263"/>
      <c r="J10" s="263"/>
      <c r="K10" s="263"/>
      <c r="L10" s="263"/>
      <c r="M10" s="275">
        <f t="shared" si="1"/>
        <v>0</v>
      </c>
      <c r="N10" s="272"/>
    </row>
    <row r="11" spans="1:14" x14ac:dyDescent="0.35">
      <c r="A11" s="259" t="s">
        <v>22</v>
      </c>
      <c r="B11" s="274">
        <v>73280679</v>
      </c>
      <c r="C11" s="274">
        <v>44431747</v>
      </c>
      <c r="D11" s="274">
        <v>37008603</v>
      </c>
      <c r="E11" s="274">
        <v>28319993</v>
      </c>
      <c r="F11" s="274">
        <v>7188958</v>
      </c>
      <c r="G11" s="274">
        <v>5735474</v>
      </c>
      <c r="H11" s="274">
        <v>14730824</v>
      </c>
      <c r="I11" s="274">
        <v>3735996</v>
      </c>
      <c r="J11" s="274">
        <v>2408899</v>
      </c>
      <c r="K11" s="263">
        <v>19.841144205626239</v>
      </c>
      <c r="L11" s="263">
        <v>50.959415603958789</v>
      </c>
      <c r="M11" s="275">
        <f t="shared" si="1"/>
        <v>2.4550342525198743</v>
      </c>
      <c r="N11" s="272"/>
    </row>
    <row r="12" spans="1:14" x14ac:dyDescent="0.35">
      <c r="A12" s="259" t="s">
        <v>23</v>
      </c>
      <c r="B12" s="274">
        <v>330420286</v>
      </c>
      <c r="C12" s="274">
        <v>185375779</v>
      </c>
      <c r="D12" s="274">
        <v>211678803</v>
      </c>
      <c r="E12" s="274">
        <v>127347343</v>
      </c>
      <c r="F12" s="274">
        <v>92543168</v>
      </c>
      <c r="G12" s="274">
        <v>46154455</v>
      </c>
      <c r="H12" s="274">
        <v>65046982</v>
      </c>
      <c r="I12" s="274">
        <v>27861019</v>
      </c>
      <c r="J12" s="274">
        <v>19041383</v>
      </c>
      <c r="K12" s="263">
        <v>38.53542048522224</v>
      </c>
      <c r="L12" s="263">
        <v>54.309227628506981</v>
      </c>
      <c r="M12" s="275">
        <f t="shared" si="1"/>
        <v>14.04210561250871</v>
      </c>
      <c r="N12" s="272"/>
    </row>
    <row r="13" spans="1:14" x14ac:dyDescent="0.35">
      <c r="A13" s="259" t="s">
        <v>25</v>
      </c>
      <c r="B13" s="274">
        <v>153884376</v>
      </c>
      <c r="C13" s="274">
        <v>77924499</v>
      </c>
      <c r="D13" s="274">
        <v>102956756</v>
      </c>
      <c r="E13" s="274">
        <v>34962116</v>
      </c>
      <c r="F13" s="274">
        <v>13845840</v>
      </c>
      <c r="G13" s="274">
        <v>13845840</v>
      </c>
      <c r="H13" s="274">
        <v>21485028</v>
      </c>
      <c r="I13" s="274">
        <v>11455886</v>
      </c>
      <c r="J13" s="274">
        <v>9897694</v>
      </c>
      <c r="K13" s="263">
        <v>36.664160485487187</v>
      </c>
      <c r="L13" s="263">
        <v>56.892937851888057</v>
      </c>
      <c r="M13" s="275">
        <f t="shared" si="1"/>
        <v>6.8298271758145273</v>
      </c>
      <c r="N13" s="272"/>
    </row>
    <row r="14" spans="1:14" x14ac:dyDescent="0.35">
      <c r="A14" s="259" t="s">
        <v>26</v>
      </c>
      <c r="B14" s="274">
        <v>127033409</v>
      </c>
      <c r="C14" s="274">
        <v>62263300</v>
      </c>
      <c r="D14" s="274">
        <v>126295575</v>
      </c>
      <c r="E14" s="274">
        <v>62247283</v>
      </c>
      <c r="F14" s="274">
        <v>32268246</v>
      </c>
      <c r="G14" s="274">
        <v>21724040</v>
      </c>
      <c r="H14" s="274">
        <v>47682548</v>
      </c>
      <c r="I14" s="274">
        <v>17038787</v>
      </c>
      <c r="J14" s="274">
        <v>16989364</v>
      </c>
      <c r="K14" s="263">
        <v>30.06318599161072</v>
      </c>
      <c r="L14" s="263">
        <v>65.986313276807891</v>
      </c>
      <c r="M14" s="275">
        <f t="shared" si="1"/>
        <v>8.3780509782196511</v>
      </c>
      <c r="N14" s="272"/>
    </row>
    <row r="15" spans="1:14" x14ac:dyDescent="0.35">
      <c r="A15" s="259" t="s">
        <v>27</v>
      </c>
      <c r="B15" s="263"/>
      <c r="C15" s="263"/>
      <c r="D15" s="263"/>
      <c r="E15" s="263"/>
      <c r="F15" s="263"/>
      <c r="G15" s="263"/>
      <c r="H15" s="263"/>
      <c r="I15" s="263"/>
      <c r="J15" s="263"/>
      <c r="K15" s="263"/>
      <c r="L15" s="263"/>
      <c r="M15" s="275">
        <f t="shared" si="1"/>
        <v>0</v>
      </c>
      <c r="N15" s="272"/>
    </row>
    <row r="16" spans="1:14" x14ac:dyDescent="0.35">
      <c r="A16" s="259" t="s">
        <v>28</v>
      </c>
      <c r="B16" s="263">
        <v>236836765</v>
      </c>
      <c r="C16" s="263">
        <v>98293457.870000005</v>
      </c>
      <c r="D16" s="263">
        <v>147639144</v>
      </c>
      <c r="E16" s="263">
        <v>64423257</v>
      </c>
      <c r="F16" s="263">
        <v>30120594</v>
      </c>
      <c r="G16" s="263">
        <v>18278362</v>
      </c>
      <c r="H16" s="263">
        <v>46521429</v>
      </c>
      <c r="I16" s="263">
        <v>16807745</v>
      </c>
      <c r="J16" s="263">
        <v>11474011</v>
      </c>
      <c r="K16" s="263">
        <v>29.014458463747395</v>
      </c>
      <c r="L16" s="263">
        <v>73.846555254495641</v>
      </c>
      <c r="M16" s="275">
        <f t="shared" si="1"/>
        <v>9.7939161749151697</v>
      </c>
      <c r="N16" s="272"/>
    </row>
    <row r="17" spans="1:14" x14ac:dyDescent="0.35">
      <c r="A17" s="259" t="s">
        <v>46</v>
      </c>
      <c r="B17" s="274">
        <v>27086082</v>
      </c>
      <c r="C17" s="274">
        <v>17792189</v>
      </c>
      <c r="D17" s="274">
        <v>12053151</v>
      </c>
      <c r="E17" s="274">
        <v>9829618</v>
      </c>
      <c r="F17" s="274">
        <v>3708160</v>
      </c>
      <c r="G17" s="274">
        <v>1714503</v>
      </c>
      <c r="H17" s="274">
        <v>8196077</v>
      </c>
      <c r="I17" s="274">
        <v>1795330</v>
      </c>
      <c r="J17" s="274">
        <v>717931</v>
      </c>
      <c r="K17" s="263">
        <v>17.277865686974597</v>
      </c>
      <c r="L17" s="263">
        <v>82.59578289807699</v>
      </c>
      <c r="M17" s="275">
        <f t="shared" si="1"/>
        <v>0.79956810463216277</v>
      </c>
      <c r="N17" s="272"/>
    </row>
    <row r="18" spans="1:14" x14ac:dyDescent="0.35">
      <c r="A18" s="259" t="s">
        <v>69</v>
      </c>
      <c r="B18" s="274">
        <v>29312037</v>
      </c>
      <c r="C18" s="274">
        <v>11348187</v>
      </c>
      <c r="D18" s="274">
        <v>7561582</v>
      </c>
      <c r="E18" s="274">
        <v>6855559</v>
      </c>
      <c r="F18" s="274">
        <v>2121066</v>
      </c>
      <c r="G18" s="274">
        <v>2121066</v>
      </c>
      <c r="H18" s="274">
        <v>4805990</v>
      </c>
      <c r="I18" s="274">
        <v>1114069</v>
      </c>
      <c r="J18" s="274">
        <v>368203</v>
      </c>
      <c r="K18" s="263">
        <v>30.794065829885863</v>
      </c>
      <c r="L18" s="263">
        <v>69.774336318517754</v>
      </c>
      <c r="M18" s="275">
        <f t="shared" si="1"/>
        <v>0.5016115526770285</v>
      </c>
      <c r="N18" s="272"/>
    </row>
    <row r="19" spans="1:14" x14ac:dyDescent="0.35">
      <c r="A19" s="259" t="s">
        <v>29</v>
      </c>
      <c r="B19" s="263">
        <v>73843095</v>
      </c>
      <c r="C19" s="263">
        <v>30788606.115440346</v>
      </c>
      <c r="D19" s="263">
        <v>22118041</v>
      </c>
      <c r="E19" s="263">
        <v>16865397</v>
      </c>
      <c r="F19" s="263">
        <v>7888739</v>
      </c>
      <c r="G19" s="263">
        <v>4592562</v>
      </c>
      <c r="H19" s="263">
        <v>10685810</v>
      </c>
      <c r="I19" s="263">
        <v>2668224</v>
      </c>
      <c r="J19" s="263">
        <v>1461168</v>
      </c>
      <c r="K19" s="263">
        <v>33.309270717053153</v>
      </c>
      <c r="L19" s="263">
        <v>77.502826988725189</v>
      </c>
      <c r="M19" s="275">
        <f t="shared" si="1"/>
        <v>1.4672412318195023</v>
      </c>
      <c r="N19" s="272"/>
    </row>
    <row r="20" spans="1:14" x14ac:dyDescent="0.35">
      <c r="A20" s="259" t="s">
        <v>70</v>
      </c>
      <c r="B20" s="274">
        <v>16587955</v>
      </c>
      <c r="C20" s="274">
        <v>12055816</v>
      </c>
      <c r="D20" s="276">
        <v>0</v>
      </c>
      <c r="E20" s="276">
        <v>0</v>
      </c>
      <c r="F20" s="274">
        <v>111913</v>
      </c>
      <c r="G20" s="274">
        <v>111913</v>
      </c>
      <c r="H20" s="274">
        <v>223206</v>
      </c>
      <c r="I20" s="276">
        <v>0</v>
      </c>
      <c r="J20" s="276">
        <v>0</v>
      </c>
      <c r="K20" s="263">
        <v>14.285768993142606</v>
      </c>
      <c r="L20" s="263">
        <v>28.492394573314883</v>
      </c>
      <c r="M20" s="275">
        <f t="shared" si="1"/>
        <v>0</v>
      </c>
      <c r="N20" s="272"/>
    </row>
    <row r="21" spans="1:14" x14ac:dyDescent="0.35">
      <c r="A21" s="259" t="s">
        <v>31</v>
      </c>
      <c r="B21" s="274">
        <v>51600585</v>
      </c>
      <c r="C21" s="274">
        <v>32697517</v>
      </c>
      <c r="D21" s="274">
        <v>14062128</v>
      </c>
      <c r="E21" s="274">
        <v>10641361</v>
      </c>
      <c r="F21" s="274">
        <v>5981244</v>
      </c>
      <c r="G21" s="274">
        <v>3467255</v>
      </c>
      <c r="H21" s="274">
        <v>9256682</v>
      </c>
      <c r="I21" s="274">
        <v>1932318</v>
      </c>
      <c r="J21" s="274">
        <v>1367407</v>
      </c>
      <c r="K21" s="263">
        <v>34.780484276856363</v>
      </c>
      <c r="L21" s="263">
        <v>92.854976849657547</v>
      </c>
      <c r="M21" s="275">
        <f t="shared" si="1"/>
        <v>0.93283731632125622</v>
      </c>
      <c r="N21" s="272"/>
    </row>
    <row r="22" spans="1:14" x14ac:dyDescent="0.35">
      <c r="A22" s="259" t="s">
        <v>32</v>
      </c>
      <c r="B22" s="274">
        <v>99776004</v>
      </c>
      <c r="C22" s="274">
        <v>64797518</v>
      </c>
      <c r="D22" s="274">
        <v>55404776</v>
      </c>
      <c r="E22" s="274">
        <v>36253772</v>
      </c>
      <c r="F22" s="274">
        <v>9322378</v>
      </c>
      <c r="G22" s="274">
        <v>6542184</v>
      </c>
      <c r="H22" s="274">
        <v>28235122</v>
      </c>
      <c r="I22" s="274">
        <v>9162977</v>
      </c>
      <c r="J22" s="274">
        <v>6244198</v>
      </c>
      <c r="K22" s="263">
        <v>16.589530814503782</v>
      </c>
      <c r="L22" s="263">
        <v>71.598020855156875</v>
      </c>
      <c r="M22" s="275">
        <f t="shared" si="1"/>
        <v>3.6753784743831335</v>
      </c>
      <c r="N22" s="272"/>
    </row>
    <row r="23" spans="1:14" x14ac:dyDescent="0.35">
      <c r="A23" s="259" t="s">
        <v>33</v>
      </c>
      <c r="B23" s="274">
        <v>56395446</v>
      </c>
      <c r="C23" s="274">
        <v>45747739</v>
      </c>
      <c r="D23" s="274">
        <v>38287775</v>
      </c>
      <c r="E23" s="274">
        <v>31112639</v>
      </c>
      <c r="F23" s="274">
        <v>8788852</v>
      </c>
      <c r="G23" s="274">
        <v>8207758</v>
      </c>
      <c r="H23" s="274">
        <v>17255404</v>
      </c>
      <c r="I23" s="274">
        <v>4624558</v>
      </c>
      <c r="J23" s="274">
        <v>2723223</v>
      </c>
      <c r="K23" s="263">
        <v>25.524401509305346</v>
      </c>
      <c r="L23" s="263">
        <v>53.660678092759738</v>
      </c>
      <c r="M23" s="275">
        <f t="shared" si="1"/>
        <v>2.5398904972925922</v>
      </c>
      <c r="N23" s="272"/>
    </row>
    <row r="24" spans="1:14" x14ac:dyDescent="0.35">
      <c r="A24" s="259" t="s">
        <v>34</v>
      </c>
      <c r="B24" s="274">
        <v>45815467</v>
      </c>
      <c r="C24" s="274">
        <v>21345097</v>
      </c>
      <c r="D24" s="274">
        <v>21494139</v>
      </c>
      <c r="E24" s="274">
        <v>20251978</v>
      </c>
      <c r="F24" s="274">
        <v>3568998</v>
      </c>
      <c r="G24" s="274">
        <v>2338791</v>
      </c>
      <c r="H24" s="274">
        <v>11186669</v>
      </c>
      <c r="I24" s="274">
        <v>1799671</v>
      </c>
      <c r="J24" s="274">
        <v>393896</v>
      </c>
      <c r="K24" s="263">
        <v>15.607927720628497</v>
      </c>
      <c r="L24" s="263">
        <v>74.654264184613112</v>
      </c>
      <c r="M24" s="275">
        <f t="shared" si="1"/>
        <v>1.4258535366337195</v>
      </c>
      <c r="N24" s="272"/>
    </row>
    <row r="25" spans="1:14" x14ac:dyDescent="0.35">
      <c r="A25" s="259" t="s">
        <v>35</v>
      </c>
      <c r="B25" s="274">
        <v>94762894</v>
      </c>
      <c r="C25" s="274">
        <v>52979073</v>
      </c>
      <c r="D25" s="274">
        <v>31866102</v>
      </c>
      <c r="E25" s="274">
        <v>27246027</v>
      </c>
      <c r="F25" s="274">
        <v>8591381</v>
      </c>
      <c r="G25" s="274">
        <v>658143</v>
      </c>
      <c r="H25" s="274">
        <v>16144306</v>
      </c>
      <c r="I25" s="274">
        <v>5701035</v>
      </c>
      <c r="J25" s="274">
        <v>1018235</v>
      </c>
      <c r="K25" s="263">
        <v>3.3046624932860382</v>
      </c>
      <c r="L25" s="263">
        <v>81.06366324390406</v>
      </c>
      <c r="M25" s="275">
        <f t="shared" si="1"/>
        <v>2.1138969202455997</v>
      </c>
      <c r="N25" s="272"/>
    </row>
    <row r="26" spans="1:14" x14ac:dyDescent="0.35">
      <c r="A26" s="259" t="s">
        <v>36</v>
      </c>
      <c r="B26" s="274">
        <v>67834641</v>
      </c>
      <c r="C26" s="274">
        <v>42178658</v>
      </c>
      <c r="D26" s="274">
        <v>34629306</v>
      </c>
      <c r="E26" s="274">
        <v>25700353</v>
      </c>
      <c r="F26" s="274">
        <v>10242575</v>
      </c>
      <c r="G26" s="274">
        <v>7896971</v>
      </c>
      <c r="H26" s="274">
        <v>16584564</v>
      </c>
      <c r="I26" s="274">
        <v>4180804</v>
      </c>
      <c r="J26" s="274">
        <v>1567339</v>
      </c>
      <c r="K26" s="263">
        <v>30.95851351859401</v>
      </c>
      <c r="L26" s="263">
        <v>65.016504276638159</v>
      </c>
      <c r="M26" s="275">
        <f t="shared" si="1"/>
        <v>2.2971991774721134</v>
      </c>
      <c r="N26" s="272"/>
    </row>
    <row r="27" spans="1:14" x14ac:dyDescent="0.35">
      <c r="A27" s="259" t="s">
        <v>62</v>
      </c>
      <c r="B27" s="274">
        <v>46226572</v>
      </c>
      <c r="C27" s="274">
        <v>17535441</v>
      </c>
      <c r="D27" s="274">
        <v>29579604</v>
      </c>
      <c r="E27" s="274">
        <v>25085887</v>
      </c>
      <c r="F27" s="274">
        <v>41307738</v>
      </c>
      <c r="G27" s="274">
        <v>36183794</v>
      </c>
      <c r="H27" s="274">
        <v>19158695</v>
      </c>
      <c r="I27" s="274">
        <v>4552718</v>
      </c>
      <c r="J27" s="274">
        <v>1863138</v>
      </c>
      <c r="K27" s="263">
        <v>176.38293878247794</v>
      </c>
      <c r="L27" s="263">
        <v>93.391724685840472</v>
      </c>
      <c r="M27" s="275">
        <f t="shared" si="1"/>
        <v>1.9622178388082869</v>
      </c>
      <c r="N27" s="272"/>
    </row>
    <row r="28" spans="1:14" x14ac:dyDescent="0.35">
      <c r="A28" s="259" t="s">
        <v>38</v>
      </c>
      <c r="B28" s="274">
        <v>54883278</v>
      </c>
      <c r="C28" s="274">
        <v>24550690</v>
      </c>
      <c r="D28" s="274">
        <v>34069098</v>
      </c>
      <c r="E28" s="274">
        <v>12954660</v>
      </c>
      <c r="F28" s="274">
        <v>2764749</v>
      </c>
      <c r="G28" s="274">
        <v>2478491</v>
      </c>
      <c r="H28" s="274">
        <v>11508487</v>
      </c>
      <c r="I28" s="274">
        <v>3462390</v>
      </c>
      <c r="J28" s="274">
        <v>3505487</v>
      </c>
      <c r="K28" s="263">
        <v>21.53533554320768</v>
      </c>
      <c r="L28" s="263">
        <v>99.995977043952749</v>
      </c>
      <c r="M28" s="275">
        <f t="shared" si="1"/>
        <v>2.260036741793694</v>
      </c>
      <c r="N28" s="272"/>
    </row>
    <row r="29" spans="1:14" x14ac:dyDescent="0.35">
      <c r="A29" s="259" t="s">
        <v>77</v>
      </c>
      <c r="B29" s="274">
        <v>54058752</v>
      </c>
      <c r="C29" s="274">
        <v>41460986</v>
      </c>
      <c r="D29" s="274">
        <v>18981995</v>
      </c>
      <c r="E29" s="274">
        <v>14934327</v>
      </c>
      <c r="F29" s="274">
        <v>932677</v>
      </c>
      <c r="G29" s="274">
        <v>932677</v>
      </c>
      <c r="H29" s="274">
        <v>11172059</v>
      </c>
      <c r="I29" s="274">
        <v>2219115</v>
      </c>
      <c r="J29" s="274">
        <v>1026242</v>
      </c>
      <c r="K29" s="263">
        <v>9.4008467925559813</v>
      </c>
      <c r="L29" s="263">
        <v>112.6079178712418</v>
      </c>
      <c r="M29" s="275">
        <f t="shared" si="1"/>
        <v>1.259205809691357</v>
      </c>
      <c r="N29" s="272"/>
    </row>
    <row r="30" spans="1:14" x14ac:dyDescent="0.35">
      <c r="A30" s="259" t="s">
        <v>39</v>
      </c>
      <c r="B30" s="274">
        <v>503928230</v>
      </c>
      <c r="C30" s="274">
        <v>330342555</v>
      </c>
      <c r="D30" s="274">
        <v>146349722</v>
      </c>
      <c r="E30" s="274">
        <v>100393332</v>
      </c>
      <c r="F30" s="274">
        <v>31895087</v>
      </c>
      <c r="G30" s="274">
        <v>21611605</v>
      </c>
      <c r="H30" s="274">
        <v>86833268</v>
      </c>
      <c r="I30" s="274">
        <v>17519888</v>
      </c>
      <c r="J30" s="274">
        <v>13620635</v>
      </c>
      <c r="K30" s="263">
        <v>21.645777188447401</v>
      </c>
      <c r="L30" s="263">
        <v>86.970568436390522</v>
      </c>
      <c r="M30" s="275">
        <f t="shared" si="1"/>
        <v>9.708379977400428</v>
      </c>
      <c r="N30" s="272"/>
    </row>
    <row r="31" spans="1:14" x14ac:dyDescent="0.35">
      <c r="A31" s="259" t="s">
        <v>40</v>
      </c>
      <c r="B31" s="274">
        <v>387925180</v>
      </c>
      <c r="C31" s="274">
        <v>342899336</v>
      </c>
      <c r="D31" s="274">
        <v>111180806</v>
      </c>
      <c r="E31" s="274">
        <v>87151966</v>
      </c>
      <c r="F31" s="274">
        <v>47045391</v>
      </c>
      <c r="G31" s="274">
        <v>31068440</v>
      </c>
      <c r="H31" s="274">
        <v>54292104</v>
      </c>
      <c r="I31" s="274">
        <v>19942946</v>
      </c>
      <c r="J31" s="274">
        <v>6924222</v>
      </c>
      <c r="K31" s="263">
        <v>35.665606498147497</v>
      </c>
      <c r="L31" s="263">
        <v>62.325653210154726</v>
      </c>
      <c r="M31" s="275">
        <f t="shared" si="1"/>
        <v>7.3753847707455247</v>
      </c>
      <c r="N31" s="272"/>
    </row>
    <row r="32" spans="1:14" x14ac:dyDescent="0.35">
      <c r="A32" s="259" t="s">
        <v>90</v>
      </c>
      <c r="B32" s="274">
        <v>67618803</v>
      </c>
      <c r="C32" s="274">
        <v>32817772</v>
      </c>
      <c r="D32" s="274">
        <v>48119141</v>
      </c>
      <c r="E32" s="274">
        <v>35767730</v>
      </c>
      <c r="F32" s="274">
        <v>15571465</v>
      </c>
      <c r="G32" s="274">
        <v>9567739</v>
      </c>
      <c r="H32" s="274">
        <v>23425399</v>
      </c>
      <c r="I32" s="274">
        <v>6137889</v>
      </c>
      <c r="J32" s="274">
        <v>4158905</v>
      </c>
      <c r="K32" s="263">
        <v>26.87371696479714</v>
      </c>
      <c r="L32" s="263">
        <v>65.796897523379556</v>
      </c>
      <c r="M32" s="275">
        <f t="shared" si="1"/>
        <v>3.1920723772478912</v>
      </c>
      <c r="N32" s="272"/>
    </row>
    <row r="33" spans="1:14" x14ac:dyDescent="0.35">
      <c r="A33" s="259" t="s">
        <v>41</v>
      </c>
      <c r="B33" s="274">
        <v>35957413</v>
      </c>
      <c r="C33" s="274">
        <v>30594740</v>
      </c>
      <c r="D33" s="274">
        <v>12582205</v>
      </c>
      <c r="E33" s="274">
        <v>10722096</v>
      </c>
      <c r="F33" s="274">
        <v>3325925</v>
      </c>
      <c r="G33" s="274">
        <v>3047899</v>
      </c>
      <c r="H33" s="274">
        <v>6249319</v>
      </c>
      <c r="I33" s="274">
        <v>41945</v>
      </c>
      <c r="J33" s="263"/>
      <c r="K33" s="263">
        <v>32.189147926709389</v>
      </c>
      <c r="L33" s="263">
        <v>65.999645569684418</v>
      </c>
      <c r="M33" s="275">
        <f t="shared" si="1"/>
        <v>0.83466388199594632</v>
      </c>
      <c r="N33" s="272"/>
    </row>
    <row r="34" spans="1:14" x14ac:dyDescent="0.35">
      <c r="A34" s="259" t="s">
        <v>42</v>
      </c>
      <c r="B34" s="274">
        <v>134330426</v>
      </c>
      <c r="C34" s="274">
        <v>95607919</v>
      </c>
      <c r="D34" s="274">
        <v>109836220</v>
      </c>
      <c r="E34" s="274">
        <v>71292233</v>
      </c>
      <c r="F34" s="274">
        <v>45903024</v>
      </c>
      <c r="G34" s="274">
        <v>35065259</v>
      </c>
      <c r="H34" s="274">
        <v>41067743</v>
      </c>
      <c r="I34" s="274">
        <v>18757615</v>
      </c>
      <c r="J34" s="274">
        <v>10810579</v>
      </c>
      <c r="K34" s="263">
        <v>44.197297547748107</v>
      </c>
      <c r="L34" s="263">
        <v>51.763007282662578</v>
      </c>
      <c r="M34" s="275">
        <f t="shared" si="1"/>
        <v>7.2861891670784882</v>
      </c>
      <c r="N34" s="272"/>
    </row>
    <row r="35" spans="1:14" x14ac:dyDescent="0.35">
      <c r="A35" s="259" t="s">
        <v>43</v>
      </c>
      <c r="B35" s="274">
        <v>54234053</v>
      </c>
      <c r="C35" s="274">
        <v>26450254</v>
      </c>
      <c r="D35" s="274">
        <v>17216101</v>
      </c>
      <c r="E35" s="274">
        <v>14168443</v>
      </c>
      <c r="F35" s="274">
        <v>10464100</v>
      </c>
      <c r="G35" s="274">
        <v>5381916</v>
      </c>
      <c r="H35" s="274">
        <v>9314421</v>
      </c>
      <c r="I35" s="274">
        <v>3380763</v>
      </c>
      <c r="J35" s="274">
        <v>992155</v>
      </c>
      <c r="K35" s="263">
        <v>38.987689347153918</v>
      </c>
      <c r="L35" s="263">
        <v>67.47555190318964</v>
      </c>
      <c r="M35" s="275">
        <f t="shared" si="1"/>
        <v>1.1420619592109884</v>
      </c>
      <c r="N35" s="272"/>
    </row>
    <row r="36" spans="1:14" s="6" customFormat="1" x14ac:dyDescent="0.35">
      <c r="A36" s="270" t="s">
        <v>98</v>
      </c>
      <c r="B36" s="271">
        <f>SUM(B7:B35)</f>
        <v>3036125991</v>
      </c>
      <c r="C36" s="271">
        <f t="shared" ref="C36:J36" si="2">SUM(C7:C35)</f>
        <v>1841468308.9854403</v>
      </c>
      <c r="D36" s="271">
        <f t="shared" si="2"/>
        <v>1507457705</v>
      </c>
      <c r="E36" s="271">
        <f t="shared" si="2"/>
        <v>927092556</v>
      </c>
      <c r="F36" s="271">
        <f t="shared" si="2"/>
        <v>469554170</v>
      </c>
      <c r="G36" s="271">
        <f t="shared" si="2"/>
        <v>310802451</v>
      </c>
      <c r="H36" s="271">
        <f t="shared" si="2"/>
        <v>623341387</v>
      </c>
      <c r="I36" s="271">
        <f t="shared" si="2"/>
        <v>197895054</v>
      </c>
      <c r="J36" s="271">
        <f t="shared" si="2"/>
        <v>131555377</v>
      </c>
      <c r="M36" s="273">
        <f t="shared" si="1"/>
        <v>100</v>
      </c>
    </row>
    <row r="44" spans="1:14" x14ac:dyDescent="0.35">
      <c r="M44" s="7"/>
    </row>
    <row r="45" spans="1:14" x14ac:dyDescent="0.35">
      <c r="M45" s="7"/>
    </row>
    <row r="46" spans="1:14" x14ac:dyDescent="0.35">
      <c r="M46" s="7"/>
    </row>
    <row r="47" spans="1:14" x14ac:dyDescent="0.35">
      <c r="M47" s="7"/>
    </row>
  </sheetData>
  <mergeCells count="1">
    <mergeCell ref="B1:M1"/>
  </mergeCells>
  <dataValidations count="1">
    <dataValidation type="list" allowBlank="1" showInputMessage="1" showErrorMessage="1" sqref="A4" xr:uid="{00000000-0002-0000-2100-000000000000}">
      <formula1>$A$7:$A$35</formula1>
    </dataValidation>
  </dataValidations>
  <pageMargins left="0.7" right="0.7" top="0.75" bottom="0.75" header="0.3" footer="0.3"/>
  <legacyDrawing r:id="rId1"/>
</worksheet>
</file>

<file path=xl/worksheets/sheet3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200-000000000000}">
  <sheetPr>
    <tabColor rgb="FF7030A0"/>
  </sheetPr>
  <dimension ref="A1:N47"/>
  <sheetViews>
    <sheetView topLeftCell="B7" zoomScale="85" zoomScaleNormal="85" workbookViewId="0">
      <selection activeCell="L7" sqref="L7:L35"/>
    </sheetView>
  </sheetViews>
  <sheetFormatPr defaultRowHeight="12.75" x14ac:dyDescent="0.35"/>
  <cols>
    <col min="1" max="1" width="47" bestFit="1" customWidth="1"/>
    <col min="2" max="4" width="15.265625" bestFit="1" customWidth="1"/>
    <col min="5" max="5" width="18.3984375" bestFit="1" customWidth="1"/>
    <col min="6" max="6" width="19.265625" bestFit="1" customWidth="1"/>
    <col min="7" max="7" width="13.73046875" bestFit="1" customWidth="1"/>
    <col min="8" max="8" width="19.265625" bestFit="1" customWidth="1"/>
    <col min="9" max="9" width="18.3984375" bestFit="1" customWidth="1"/>
    <col min="10" max="10" width="17.73046875" bestFit="1" customWidth="1"/>
    <col min="11" max="11" width="13.3984375" bestFit="1" customWidth="1"/>
    <col min="12" max="12" width="14.73046875" bestFit="1" customWidth="1"/>
    <col min="13" max="13" width="16.265625" bestFit="1" customWidth="1"/>
  </cols>
  <sheetData>
    <row r="1" spans="1:14" ht="22.9" x14ac:dyDescent="1.2">
      <c r="A1" s="253"/>
      <c r="B1" s="415" t="s">
        <v>92</v>
      </c>
      <c r="C1" s="415"/>
      <c r="D1" s="415"/>
      <c r="E1" s="415"/>
      <c r="F1" s="415"/>
      <c r="G1" s="415"/>
      <c r="H1" s="415"/>
      <c r="I1" s="415"/>
      <c r="J1" s="415"/>
      <c r="K1" s="415"/>
      <c r="L1" s="415"/>
      <c r="M1" s="415"/>
    </row>
    <row r="2" spans="1:14" x14ac:dyDescent="0.35">
      <c r="A2" s="253"/>
      <c r="B2" s="246"/>
      <c r="C2" s="246"/>
      <c r="D2" s="246"/>
      <c r="E2" s="246"/>
      <c r="F2" s="246"/>
      <c r="G2" s="246"/>
      <c r="H2" s="246"/>
      <c r="I2" s="246"/>
      <c r="J2" s="246"/>
      <c r="K2" s="246"/>
      <c r="L2" s="246"/>
      <c r="M2" s="254"/>
    </row>
    <row r="3" spans="1:14" ht="25.5" x14ac:dyDescent="0.35">
      <c r="A3" s="253"/>
      <c r="B3" s="246" t="s">
        <v>9</v>
      </c>
      <c r="C3" s="246" t="s">
        <v>10</v>
      </c>
      <c r="D3" s="246" t="s">
        <v>67</v>
      </c>
      <c r="E3" s="246" t="s">
        <v>12</v>
      </c>
      <c r="F3" s="246" t="s">
        <v>93</v>
      </c>
      <c r="G3" s="246" t="s">
        <v>72</v>
      </c>
      <c r="H3" s="246" t="s">
        <v>14</v>
      </c>
      <c r="I3" s="246" t="s">
        <v>15</v>
      </c>
      <c r="J3" s="246" t="s">
        <v>97</v>
      </c>
      <c r="K3" s="246" t="s">
        <v>79</v>
      </c>
      <c r="L3" s="246" t="s">
        <v>80</v>
      </c>
      <c r="M3" s="254" t="s">
        <v>96</v>
      </c>
    </row>
    <row r="4" spans="1:14" x14ac:dyDescent="0.35">
      <c r="A4" s="260" t="s">
        <v>28</v>
      </c>
      <c r="B4" s="261">
        <f>INDEX(B7:B35,MATCH($A$4,$A$7:$A$35,0))</f>
        <v>221016574</v>
      </c>
      <c r="C4" s="261">
        <f t="shared" ref="C4:M4" si="0">INDEX(C7:C35,MATCH($A$4,$A$7:$A$35,0))</f>
        <v>104873232</v>
      </c>
      <c r="D4" s="261">
        <f t="shared" si="0"/>
        <v>172261551</v>
      </c>
      <c r="E4" s="261">
        <f t="shared" si="0"/>
        <v>81583879</v>
      </c>
      <c r="F4" s="261">
        <f t="shared" si="0"/>
        <v>42150208</v>
      </c>
      <c r="G4" s="261">
        <f t="shared" si="0"/>
        <v>25840938</v>
      </c>
      <c r="H4" s="261">
        <f t="shared" si="0"/>
        <v>65803911</v>
      </c>
      <c r="I4" s="261">
        <f t="shared" si="0"/>
        <v>24939291</v>
      </c>
      <c r="J4" s="261">
        <f t="shared" si="0"/>
        <v>15442517</v>
      </c>
      <c r="K4" s="261">
        <f t="shared" si="0"/>
        <v>29.896137023646098</v>
      </c>
      <c r="L4" s="261">
        <f t="shared" si="0"/>
        <v>76.130469410507175</v>
      </c>
      <c r="M4" s="261">
        <f t="shared" si="0"/>
        <v>8.9036096056824672</v>
      </c>
    </row>
    <row r="6" spans="1:14" ht="38.65" x14ac:dyDescent="0.4">
      <c r="A6" s="255" t="s">
        <v>8</v>
      </c>
      <c r="B6" s="255" t="s">
        <v>9</v>
      </c>
      <c r="C6" s="256" t="s">
        <v>10</v>
      </c>
      <c r="D6" s="257" t="s">
        <v>67</v>
      </c>
      <c r="E6" s="258" t="s">
        <v>12</v>
      </c>
      <c r="F6" s="258" t="s">
        <v>93</v>
      </c>
      <c r="G6" s="258" t="s">
        <v>72</v>
      </c>
      <c r="H6" s="233" t="s">
        <v>14</v>
      </c>
      <c r="I6" s="234" t="s">
        <v>15</v>
      </c>
      <c r="J6" s="234" t="s">
        <v>97</v>
      </c>
      <c r="K6" s="235" t="s">
        <v>79</v>
      </c>
      <c r="L6" s="234" t="s">
        <v>80</v>
      </c>
      <c r="M6" s="236" t="s">
        <v>96</v>
      </c>
    </row>
    <row r="7" spans="1:14" x14ac:dyDescent="0.35">
      <c r="A7" s="259" t="s">
        <v>20</v>
      </c>
      <c r="B7" s="274">
        <v>106446574</v>
      </c>
      <c r="C7" s="274">
        <v>40902865</v>
      </c>
      <c r="D7" s="274">
        <v>80142571</v>
      </c>
      <c r="E7" s="274">
        <v>24334447</v>
      </c>
      <c r="F7" s="274">
        <v>17087481</v>
      </c>
      <c r="G7" s="274">
        <v>8600784</v>
      </c>
      <c r="H7" s="274">
        <v>21548394</v>
      </c>
      <c r="I7" s="274">
        <v>6372422</v>
      </c>
      <c r="J7" s="274">
        <v>10365162</v>
      </c>
      <c r="K7" s="263">
        <v>27.628614171923683</v>
      </c>
      <c r="L7" s="263">
        <v>69.220697072568655</v>
      </c>
      <c r="M7" s="277">
        <v>4.1422950207831875</v>
      </c>
      <c r="N7" s="272"/>
    </row>
    <row r="8" spans="1:14" x14ac:dyDescent="0.35">
      <c r="A8" s="259" t="s">
        <v>21</v>
      </c>
      <c r="B8" s="274">
        <v>87429873</v>
      </c>
      <c r="C8" s="274">
        <v>53006980</v>
      </c>
      <c r="D8" s="274">
        <v>55874979</v>
      </c>
      <c r="E8" s="274">
        <v>36963159</v>
      </c>
      <c r="F8" s="274">
        <v>24200468</v>
      </c>
      <c r="G8" s="274">
        <v>18224501</v>
      </c>
      <c r="H8" s="274">
        <v>28583395</v>
      </c>
      <c r="I8" s="274">
        <v>6332409</v>
      </c>
      <c r="J8" s="274">
        <v>2079981</v>
      </c>
      <c r="K8" s="263">
        <v>51.064524854912541</v>
      </c>
      <c r="L8" s="263">
        <v>80.089846323654228</v>
      </c>
      <c r="M8" s="277">
        <v>2.8879863025365777</v>
      </c>
      <c r="N8" s="272"/>
    </row>
    <row r="9" spans="1:14" x14ac:dyDescent="0.35">
      <c r="A9" s="259" t="s">
        <v>87</v>
      </c>
      <c r="B9" s="274">
        <v>34943443</v>
      </c>
      <c r="C9" s="274">
        <v>1749553</v>
      </c>
      <c r="D9" s="274">
        <v>3752074</v>
      </c>
      <c r="E9" s="274">
        <v>2584604</v>
      </c>
      <c r="F9" s="274">
        <v>268821</v>
      </c>
      <c r="G9" s="274">
        <v>235754</v>
      </c>
      <c r="H9" s="274">
        <v>3804666</v>
      </c>
      <c r="I9" s="274">
        <v>480417</v>
      </c>
      <c r="J9" s="274">
        <v>339856</v>
      </c>
      <c r="K9" s="263">
        <v>9.236738990836292</v>
      </c>
      <c r="L9" s="263">
        <v>149.06515600714792</v>
      </c>
      <c r="M9" s="277">
        <v>0.19393185486662334</v>
      </c>
      <c r="N9" s="272"/>
    </row>
    <row r="10" spans="1:14" x14ac:dyDescent="0.35">
      <c r="A10" s="259" t="s">
        <v>60</v>
      </c>
      <c r="B10" s="263">
        <v>30089565</v>
      </c>
      <c r="C10" s="263">
        <v>20849241</v>
      </c>
      <c r="D10" s="263">
        <v>22321255</v>
      </c>
      <c r="E10" s="263">
        <v>13967913</v>
      </c>
      <c r="F10" s="263">
        <v>3890980</v>
      </c>
      <c r="G10" s="263">
        <v>2217414</v>
      </c>
      <c r="H10" s="263">
        <v>11954025</v>
      </c>
      <c r="I10" s="263">
        <v>1953515</v>
      </c>
      <c r="J10" s="263">
        <v>2636586</v>
      </c>
      <c r="K10" s="263">
        <v>12.840810797053523</v>
      </c>
      <c r="L10" s="263">
        <v>69.224499028258919</v>
      </c>
      <c r="M10" s="277">
        <v>1.1537092245784306</v>
      </c>
      <c r="N10" s="272"/>
    </row>
    <row r="11" spans="1:14" x14ac:dyDescent="0.35">
      <c r="A11" s="259" t="s">
        <v>22</v>
      </c>
      <c r="B11" s="274">
        <v>76005194</v>
      </c>
      <c r="C11" s="274">
        <v>46893485</v>
      </c>
      <c r="D11" s="274">
        <v>47584161</v>
      </c>
      <c r="E11" s="274">
        <v>37007826</v>
      </c>
      <c r="F11" s="274">
        <v>10845246</v>
      </c>
      <c r="G11" s="274">
        <v>8809918</v>
      </c>
      <c r="H11" s="274">
        <v>21757217</v>
      </c>
      <c r="I11" s="274">
        <v>5516304</v>
      </c>
      <c r="J11" s="274">
        <v>2985787</v>
      </c>
      <c r="K11" s="263">
        <v>23.079715117692054</v>
      </c>
      <c r="L11" s="263">
        <v>56.99830238077206</v>
      </c>
      <c r="M11" s="277">
        <v>2.4594623147096883</v>
      </c>
      <c r="N11" s="272"/>
    </row>
    <row r="12" spans="1:14" x14ac:dyDescent="0.35">
      <c r="A12" s="259" t="s">
        <v>23</v>
      </c>
      <c r="B12" s="274">
        <v>307914167</v>
      </c>
      <c r="C12" s="274">
        <v>207006773</v>
      </c>
      <c r="D12" s="274">
        <v>259686405</v>
      </c>
      <c r="E12" s="274">
        <v>155978942</v>
      </c>
      <c r="F12" s="274">
        <v>120191775</v>
      </c>
      <c r="G12" s="274">
        <v>68635218</v>
      </c>
      <c r="H12" s="274">
        <v>90868295</v>
      </c>
      <c r="I12" s="274">
        <v>39030860</v>
      </c>
      <c r="J12" s="274">
        <v>26963356</v>
      </c>
      <c r="K12" s="263">
        <v>41.213213720779507</v>
      </c>
      <c r="L12" s="263">
        <v>54.563452574417994</v>
      </c>
      <c r="M12" s="277">
        <v>13.422300894197495</v>
      </c>
      <c r="N12" s="272"/>
    </row>
    <row r="13" spans="1:14" x14ac:dyDescent="0.35">
      <c r="A13" s="259" t="s">
        <v>25</v>
      </c>
      <c r="B13" s="274">
        <v>153769903</v>
      </c>
      <c r="C13" s="274">
        <v>81390454</v>
      </c>
      <c r="D13" s="274">
        <v>113813228</v>
      </c>
      <c r="E13" s="274">
        <v>43309608</v>
      </c>
      <c r="F13" s="274">
        <v>19425786</v>
      </c>
      <c r="G13" s="274">
        <v>19425786</v>
      </c>
      <c r="H13" s="274">
        <v>26609934</v>
      </c>
      <c r="I13" s="274">
        <v>12597593</v>
      </c>
      <c r="J13" s="274">
        <v>9467250</v>
      </c>
      <c r="K13" s="263">
        <v>40.709842795322082</v>
      </c>
      <c r="L13" s="263">
        <v>55.765374432411441</v>
      </c>
      <c r="M13" s="277">
        <v>5.882615965036381</v>
      </c>
      <c r="N13" s="272"/>
    </row>
    <row r="14" spans="1:14" x14ac:dyDescent="0.35">
      <c r="A14" s="259" t="s">
        <v>26</v>
      </c>
      <c r="B14" s="274">
        <v>116675233</v>
      </c>
      <c r="C14" s="274">
        <v>77038585</v>
      </c>
      <c r="D14" s="274">
        <v>147957818</v>
      </c>
      <c r="E14" s="274">
        <v>74595070</v>
      </c>
      <c r="F14" s="274">
        <v>38324721</v>
      </c>
      <c r="G14" s="274">
        <v>28586098</v>
      </c>
      <c r="H14" s="274">
        <v>59460623</v>
      </c>
      <c r="I14" s="274">
        <v>19061808</v>
      </c>
      <c r="J14" s="274">
        <v>19441700</v>
      </c>
      <c r="K14" s="263">
        <v>31.338478193543434</v>
      </c>
      <c r="L14" s="263">
        <v>65.18572199885439</v>
      </c>
      <c r="M14" s="277">
        <v>7.6474328829224243</v>
      </c>
      <c r="N14" s="272"/>
    </row>
    <row r="15" spans="1:14" x14ac:dyDescent="0.35">
      <c r="A15" s="259" t="s">
        <v>27</v>
      </c>
      <c r="B15" s="263"/>
      <c r="C15" s="263"/>
      <c r="D15" s="263"/>
      <c r="E15" s="263"/>
      <c r="F15" s="263"/>
      <c r="G15" s="263"/>
      <c r="H15" s="263"/>
      <c r="I15" s="263"/>
      <c r="J15" s="263"/>
      <c r="K15" s="263"/>
      <c r="L15" s="263"/>
      <c r="M15" s="277">
        <v>0</v>
      </c>
      <c r="N15" s="272"/>
    </row>
    <row r="16" spans="1:14" x14ac:dyDescent="0.35">
      <c r="A16" s="259" t="s">
        <v>28</v>
      </c>
      <c r="B16" s="263">
        <v>221016574</v>
      </c>
      <c r="C16" s="263">
        <v>104873232</v>
      </c>
      <c r="D16" s="263">
        <v>172261551</v>
      </c>
      <c r="E16" s="263">
        <v>81583879</v>
      </c>
      <c r="F16" s="263">
        <v>42150208</v>
      </c>
      <c r="G16" s="263">
        <v>25840938</v>
      </c>
      <c r="H16" s="263">
        <v>65803911</v>
      </c>
      <c r="I16" s="263">
        <v>24939291</v>
      </c>
      <c r="J16" s="263">
        <v>15442517</v>
      </c>
      <c r="K16" s="263">
        <v>29.896137023646098</v>
      </c>
      <c r="L16" s="263">
        <v>76.130469410507175</v>
      </c>
      <c r="M16" s="277">
        <v>8.9036096056824672</v>
      </c>
      <c r="N16" s="272"/>
    </row>
    <row r="17" spans="1:14" x14ac:dyDescent="0.35">
      <c r="A17" s="259" t="s">
        <v>46</v>
      </c>
      <c r="B17" s="274">
        <v>27534034</v>
      </c>
      <c r="C17" s="274">
        <v>18997945</v>
      </c>
      <c r="D17" s="274">
        <v>16005213</v>
      </c>
      <c r="E17" s="274">
        <v>12611484</v>
      </c>
      <c r="F17" s="274">
        <v>4397025</v>
      </c>
      <c r="G17" s="274">
        <v>1892388</v>
      </c>
      <c r="H17" s="274">
        <v>11490263</v>
      </c>
      <c r="I17" s="274">
        <v>2344741</v>
      </c>
      <c r="J17" s="274">
        <v>998013</v>
      </c>
      <c r="K17" s="263">
        <v>14.786362892650981</v>
      </c>
      <c r="L17" s="263">
        <v>89.780319073044495</v>
      </c>
      <c r="M17" s="277">
        <v>0.8272546449311482</v>
      </c>
      <c r="N17" s="272"/>
    </row>
    <row r="18" spans="1:14" x14ac:dyDescent="0.35">
      <c r="A18" s="259" t="s">
        <v>69</v>
      </c>
      <c r="B18" s="274">
        <v>45781645</v>
      </c>
      <c r="C18" s="274">
        <v>6682860</v>
      </c>
      <c r="D18" s="274">
        <v>10792141</v>
      </c>
      <c r="E18" s="274">
        <v>9204670</v>
      </c>
      <c r="F18" s="274">
        <v>3463490</v>
      </c>
      <c r="G18" s="274">
        <v>2779252</v>
      </c>
      <c r="H18" s="274">
        <v>6741858</v>
      </c>
      <c r="I18" s="274">
        <v>1536479</v>
      </c>
      <c r="J18" s="274">
        <v>527124</v>
      </c>
      <c r="K18" s="263">
        <v>28.03599863010313</v>
      </c>
      <c r="L18" s="263">
        <v>68.009205949064651</v>
      </c>
      <c r="M18" s="277">
        <v>0.55780880710565284</v>
      </c>
      <c r="N18" s="272"/>
    </row>
    <row r="19" spans="1:14" x14ac:dyDescent="0.35">
      <c r="A19" s="259" t="s">
        <v>29</v>
      </c>
      <c r="B19" s="263">
        <v>76162797</v>
      </c>
      <c r="C19" s="263">
        <v>35597512</v>
      </c>
      <c r="D19" s="263">
        <v>26860234</v>
      </c>
      <c r="E19" s="263">
        <v>20410326</v>
      </c>
      <c r="F19" s="263">
        <v>11981838</v>
      </c>
      <c r="G19" s="263">
        <v>6367918</v>
      </c>
      <c r="H19" s="263">
        <v>12885044</v>
      </c>
      <c r="I19" s="263">
        <v>1997869</v>
      </c>
      <c r="J19" s="263">
        <v>1228323</v>
      </c>
      <c r="K19" s="263">
        <v>40.306640769147705</v>
      </c>
      <c r="L19" s="263">
        <v>81.557714751141901</v>
      </c>
      <c r="M19" s="277">
        <v>1.3883135038838632</v>
      </c>
      <c r="N19" s="272"/>
    </row>
    <row r="20" spans="1:14" x14ac:dyDescent="0.35">
      <c r="A20" s="259" t="s">
        <v>70</v>
      </c>
      <c r="B20" s="274">
        <v>15760998</v>
      </c>
      <c r="C20" s="274">
        <v>10355816</v>
      </c>
      <c r="D20" s="276">
        <v>0</v>
      </c>
      <c r="E20" s="276">
        <v>-31766</v>
      </c>
      <c r="F20" s="274">
        <v>111913</v>
      </c>
      <c r="G20" s="274">
        <v>111913</v>
      </c>
      <c r="H20" s="274">
        <v>849122</v>
      </c>
      <c r="I20" s="276">
        <v>0</v>
      </c>
      <c r="J20" s="276">
        <v>0</v>
      </c>
      <c r="K20" s="263">
        <v>14.604675563304371</v>
      </c>
      <c r="L20" s="263">
        <v>110.81064151317661</v>
      </c>
      <c r="M20" s="277">
        <v>0</v>
      </c>
      <c r="N20" s="272"/>
    </row>
    <row r="21" spans="1:14" x14ac:dyDescent="0.35">
      <c r="A21" s="259" t="s">
        <v>31</v>
      </c>
      <c r="B21" s="274">
        <v>49845574</v>
      </c>
      <c r="C21" s="274">
        <v>30313239</v>
      </c>
      <c r="D21" s="274">
        <v>17724207</v>
      </c>
      <c r="E21" s="274">
        <v>13387572</v>
      </c>
      <c r="F21" s="274">
        <v>7938300</v>
      </c>
      <c r="G21" s="274">
        <v>5098964</v>
      </c>
      <c r="H21" s="274">
        <v>12140999</v>
      </c>
      <c r="I21" s="274">
        <v>2868014</v>
      </c>
      <c r="J21" s="274">
        <v>1695832</v>
      </c>
      <c r="K21" s="263">
        <v>38.135121790184002</v>
      </c>
      <c r="L21" s="263">
        <v>90.802460170242853</v>
      </c>
      <c r="M21" s="277">
        <v>0.91610355753910766</v>
      </c>
      <c r="N21" s="272"/>
    </row>
    <row r="22" spans="1:14" x14ac:dyDescent="0.35">
      <c r="A22" s="259" t="s">
        <v>32</v>
      </c>
      <c r="B22" s="274">
        <v>110611702</v>
      </c>
      <c r="C22" s="274">
        <v>67861485</v>
      </c>
      <c r="D22" s="274">
        <v>68901475</v>
      </c>
      <c r="E22" s="274">
        <v>47622580</v>
      </c>
      <c r="F22" s="274">
        <v>12301251</v>
      </c>
      <c r="G22" s="274">
        <v>9376473</v>
      </c>
      <c r="H22" s="274">
        <v>40711549</v>
      </c>
      <c r="I22" s="274">
        <v>11433419</v>
      </c>
      <c r="J22" s="274">
        <v>7305864</v>
      </c>
      <c r="K22" s="263">
        <v>17.724927836377528</v>
      </c>
      <c r="L22" s="263">
        <v>76.959563380830701</v>
      </c>
      <c r="M22" s="277">
        <v>3.5612812673194285</v>
      </c>
      <c r="N22" s="272"/>
    </row>
    <row r="23" spans="1:14" x14ac:dyDescent="0.35">
      <c r="A23" s="259" t="s">
        <v>33</v>
      </c>
      <c r="B23" s="274">
        <v>60074943</v>
      </c>
      <c r="C23" s="274">
        <v>47516256</v>
      </c>
      <c r="D23" s="274">
        <v>51417133</v>
      </c>
      <c r="E23" s="274">
        <v>44450723</v>
      </c>
      <c r="F23" s="274">
        <v>11307855</v>
      </c>
      <c r="G23" s="274">
        <v>10070523</v>
      </c>
      <c r="H23" s="274">
        <v>30657649</v>
      </c>
      <c r="I23" s="274">
        <v>8318873</v>
      </c>
      <c r="J23" s="274">
        <v>2172763</v>
      </c>
      <c r="K23" s="263">
        <v>21.095807215535142</v>
      </c>
      <c r="L23" s="263">
        <v>64.221873380910182</v>
      </c>
      <c r="M23" s="277">
        <v>2.657575510134893</v>
      </c>
      <c r="N23" s="272"/>
    </row>
    <row r="24" spans="1:14" x14ac:dyDescent="0.35">
      <c r="A24" s="259" t="s">
        <v>34</v>
      </c>
      <c r="B24" s="274">
        <v>57650463</v>
      </c>
      <c r="C24" s="274">
        <v>22596525</v>
      </c>
      <c r="D24" s="274">
        <v>27966171</v>
      </c>
      <c r="E24" s="274">
        <v>26272271</v>
      </c>
      <c r="F24" s="274">
        <v>4889620</v>
      </c>
      <c r="G24" s="274">
        <v>3458305</v>
      </c>
      <c r="H24" s="274">
        <v>16116018</v>
      </c>
      <c r="I24" s="274">
        <v>2516991</v>
      </c>
      <c r="J24" s="274">
        <v>539901</v>
      </c>
      <c r="K24" s="263">
        <v>15.832684798360066</v>
      </c>
      <c r="L24" s="263">
        <v>73.781761064653693</v>
      </c>
      <c r="M24" s="277">
        <v>1.445475599774197</v>
      </c>
      <c r="N24" s="272"/>
    </row>
    <row r="25" spans="1:14" x14ac:dyDescent="0.35">
      <c r="A25" s="259" t="s">
        <v>35</v>
      </c>
      <c r="B25" s="274">
        <v>93771307</v>
      </c>
      <c r="C25" s="274">
        <v>50483191</v>
      </c>
      <c r="D25" s="274">
        <v>40648695</v>
      </c>
      <c r="E25" s="274">
        <v>34185512</v>
      </c>
      <c r="F25" s="274">
        <v>10292878</v>
      </c>
      <c r="G25" s="274">
        <v>460360</v>
      </c>
      <c r="H25" s="274">
        <v>23559718.810000002</v>
      </c>
      <c r="I25" s="274">
        <v>8289300</v>
      </c>
      <c r="J25" s="274">
        <v>1372354</v>
      </c>
      <c r="K25" s="263">
        <v>1.5942228719274723</v>
      </c>
      <c r="L25" s="263">
        <v>81.587090087390635</v>
      </c>
      <c r="M25" s="277">
        <v>2.1009918299206354</v>
      </c>
      <c r="N25" s="272"/>
    </row>
    <row r="26" spans="1:14" x14ac:dyDescent="0.35">
      <c r="A26" s="259" t="s">
        <v>36</v>
      </c>
      <c r="B26" s="274">
        <v>75735491</v>
      </c>
      <c r="C26" s="274">
        <v>39177371</v>
      </c>
      <c r="D26" s="274">
        <v>46142160</v>
      </c>
      <c r="E26" s="274">
        <v>33306237</v>
      </c>
      <c r="F26" s="274">
        <v>12729301</v>
      </c>
      <c r="G26" s="274">
        <v>11111029</v>
      </c>
      <c r="H26" s="274">
        <v>23093588</v>
      </c>
      <c r="I26" s="274">
        <v>6293564</v>
      </c>
      <c r="J26" s="274">
        <v>3734538</v>
      </c>
      <c r="K26" s="263">
        <v>30.697443487883547</v>
      </c>
      <c r="L26" s="263">
        <v>63.802741632882572</v>
      </c>
      <c r="M26" s="277">
        <v>2.3849302216194332</v>
      </c>
      <c r="N26" s="272"/>
    </row>
    <row r="27" spans="1:14" x14ac:dyDescent="0.35">
      <c r="A27" s="259" t="s">
        <v>62</v>
      </c>
      <c r="B27" s="274">
        <v>54387995</v>
      </c>
      <c r="C27" s="274">
        <v>16038410</v>
      </c>
      <c r="D27" s="274">
        <v>40041715</v>
      </c>
      <c r="E27" s="274">
        <v>32353019</v>
      </c>
      <c r="F27" s="274">
        <v>58651035</v>
      </c>
      <c r="G27" s="274">
        <v>46982235</v>
      </c>
      <c r="H27" s="274">
        <v>25526672</v>
      </c>
      <c r="I27" s="274">
        <v>6117941</v>
      </c>
      <c r="J27" s="274">
        <v>2769640</v>
      </c>
      <c r="K27" s="263">
        <v>178.03005586421978</v>
      </c>
      <c r="L27" s="263">
        <v>96.728366417383398</v>
      </c>
      <c r="M27" s="277">
        <v>2.0696191125203542</v>
      </c>
      <c r="N27" s="272"/>
    </row>
    <row r="28" spans="1:14" x14ac:dyDescent="0.35">
      <c r="A28" s="259" t="s">
        <v>38</v>
      </c>
      <c r="B28" s="274">
        <v>51743164</v>
      </c>
      <c r="C28" s="274">
        <v>30756253</v>
      </c>
      <c r="D28" s="274">
        <v>37820740</v>
      </c>
      <c r="E28" s="274">
        <v>15198206</v>
      </c>
      <c r="F28" s="274">
        <v>3201527</v>
      </c>
      <c r="G28" s="274">
        <v>2738191</v>
      </c>
      <c r="H28" s="274">
        <v>15225940</v>
      </c>
      <c r="I28" s="274">
        <v>4681786</v>
      </c>
      <c r="J28" s="274">
        <v>4390249</v>
      </c>
      <c r="K28" s="263">
        <v>17.237970901212289</v>
      </c>
      <c r="L28" s="263">
        <v>95.853178490326002</v>
      </c>
      <c r="M28" s="277">
        <v>1.9548245212190101</v>
      </c>
      <c r="N28" s="272"/>
    </row>
    <row r="29" spans="1:14" x14ac:dyDescent="0.35">
      <c r="A29" s="259" t="s">
        <v>77</v>
      </c>
      <c r="B29" s="274">
        <v>61084473</v>
      </c>
      <c r="C29" s="274">
        <v>47212671</v>
      </c>
      <c r="D29" s="274">
        <v>21220374</v>
      </c>
      <c r="E29" s="274">
        <v>16861296</v>
      </c>
      <c r="F29" s="274">
        <v>2073237</v>
      </c>
      <c r="G29" s="274">
        <v>1607931</v>
      </c>
      <c r="H29" s="274">
        <v>16935205</v>
      </c>
      <c r="I29" s="274">
        <v>2825221</v>
      </c>
      <c r="J29" s="274">
        <v>1105708</v>
      </c>
      <c r="K29" s="263">
        <v>10.871174034411716</v>
      </c>
      <c r="L29" s="263">
        <v>114.49842117817212</v>
      </c>
      <c r="M29" s="277">
        <v>1.0968084560121862</v>
      </c>
      <c r="N29" s="272"/>
    </row>
    <row r="30" spans="1:14" x14ac:dyDescent="0.35">
      <c r="A30" s="259" t="s">
        <v>39</v>
      </c>
      <c r="B30" s="274">
        <v>541448899</v>
      </c>
      <c r="C30" s="274">
        <v>333480802</v>
      </c>
      <c r="D30" s="274">
        <v>242688816</v>
      </c>
      <c r="E30" s="274">
        <v>122261137</v>
      </c>
      <c r="F30" s="274">
        <v>59169522</v>
      </c>
      <c r="G30" s="274">
        <v>36079891</v>
      </c>
      <c r="H30" s="274">
        <v>119583344</v>
      </c>
      <c r="I30" s="274">
        <v>22997708</v>
      </c>
      <c r="J30" s="274">
        <v>23780678</v>
      </c>
      <c r="K30" s="263">
        <v>25.71350365489068</v>
      </c>
      <c r="L30" s="263">
        <v>85.224945746317502</v>
      </c>
      <c r="M30" s="277">
        <v>12.543753732539564</v>
      </c>
      <c r="N30" s="272"/>
    </row>
    <row r="31" spans="1:14" x14ac:dyDescent="0.35">
      <c r="A31" s="259" t="s">
        <v>40</v>
      </c>
      <c r="B31" s="274">
        <v>392659895</v>
      </c>
      <c r="C31" s="274">
        <v>349202960</v>
      </c>
      <c r="D31" s="274">
        <v>146980180</v>
      </c>
      <c r="E31" s="274">
        <v>107037460</v>
      </c>
      <c r="F31" s="274">
        <v>56960153</v>
      </c>
      <c r="G31" s="274">
        <v>40374418</v>
      </c>
      <c r="H31" s="274">
        <v>75382921</v>
      </c>
      <c r="I31" s="274">
        <v>28523671</v>
      </c>
      <c r="J31" s="274">
        <v>11498970</v>
      </c>
      <c r="K31" s="263">
        <v>35.038222804479815</v>
      </c>
      <c r="L31" s="263">
        <v>65.41973141632657</v>
      </c>
      <c r="M31" s="277">
        <v>7.5969021229405858</v>
      </c>
      <c r="N31" s="272"/>
    </row>
    <row r="32" spans="1:14" x14ac:dyDescent="0.35">
      <c r="A32" s="259" t="s">
        <v>90</v>
      </c>
      <c r="B32" s="274">
        <v>69964255</v>
      </c>
      <c r="C32" s="274">
        <v>35276079</v>
      </c>
      <c r="D32" s="274">
        <v>59291583</v>
      </c>
      <c r="E32" s="274">
        <v>45503752</v>
      </c>
      <c r="F32" s="274">
        <v>19946952</v>
      </c>
      <c r="G32" s="274">
        <v>11557027</v>
      </c>
      <c r="H32" s="274">
        <v>31825913</v>
      </c>
      <c r="I32" s="274">
        <v>8015459</v>
      </c>
      <c r="J32" s="274">
        <v>4643412</v>
      </c>
      <c r="K32" s="263">
        <v>25.17878595615699</v>
      </c>
      <c r="L32" s="263">
        <v>69.337715598161537</v>
      </c>
      <c r="M32" s="277">
        <v>3.0645788620289345</v>
      </c>
      <c r="N32" s="272"/>
    </row>
    <row r="33" spans="1:14" x14ac:dyDescent="0.35">
      <c r="A33" s="259" t="s">
        <v>41</v>
      </c>
      <c r="B33" s="274">
        <v>36697357</v>
      </c>
      <c r="C33" s="274">
        <v>30591058</v>
      </c>
      <c r="D33" s="274">
        <v>17779911</v>
      </c>
      <c r="E33" s="274">
        <v>15167361</v>
      </c>
      <c r="F33" s="274">
        <v>4992679</v>
      </c>
      <c r="G33" s="274">
        <v>4401589</v>
      </c>
      <c r="H33" s="274">
        <v>8961717</v>
      </c>
      <c r="I33" s="274">
        <v>83273</v>
      </c>
      <c r="J33" s="263"/>
      <c r="K33" s="263">
        <v>32.47678932312553</v>
      </c>
      <c r="L33" s="263">
        <v>66.123346587442072</v>
      </c>
      <c r="M33" s="277">
        <v>0.91898270652270719</v>
      </c>
      <c r="N33" s="272"/>
    </row>
    <row r="34" spans="1:14" x14ac:dyDescent="0.35">
      <c r="A34" s="259" t="s">
        <v>42</v>
      </c>
      <c r="B34" s="274">
        <v>169038468</v>
      </c>
      <c r="C34" s="274">
        <v>98881133</v>
      </c>
      <c r="D34" s="274">
        <v>138800995</v>
      </c>
      <c r="E34" s="274">
        <v>90503510</v>
      </c>
      <c r="F34" s="274">
        <v>49163091</v>
      </c>
      <c r="G34" s="274">
        <v>33220300</v>
      </c>
      <c r="H34" s="274">
        <v>57168771</v>
      </c>
      <c r="I34" s="274">
        <v>23515585</v>
      </c>
      <c r="J34" s="274">
        <v>13016890</v>
      </c>
      <c r="K34" s="263">
        <v>32.090583112120896</v>
      </c>
      <c r="L34" s="263">
        <v>55.224642679124116</v>
      </c>
      <c r="M34" s="277">
        <v>7.1741480625603096</v>
      </c>
      <c r="N34" s="272"/>
    </row>
    <row r="35" spans="1:14" x14ac:dyDescent="0.35">
      <c r="A35" s="259" t="s">
        <v>43</v>
      </c>
      <c r="B35" s="274">
        <v>47710780</v>
      </c>
      <c r="C35" s="274">
        <v>23327116</v>
      </c>
      <c r="D35" s="274">
        <v>20262581</v>
      </c>
      <c r="E35" s="274">
        <v>16092618</v>
      </c>
      <c r="F35" s="274">
        <v>13022497</v>
      </c>
      <c r="G35" s="274">
        <v>7217156</v>
      </c>
      <c r="H35" s="274">
        <v>11824585</v>
      </c>
      <c r="I35" s="274">
        <v>4356247</v>
      </c>
      <c r="J35" s="274">
        <v>1202600</v>
      </c>
      <c r="K35" s="263">
        <v>42.399059286432852</v>
      </c>
      <c r="L35" s="263">
        <v>69.466598817105336</v>
      </c>
      <c r="M35" s="277">
        <v>1.0473034161147141</v>
      </c>
      <c r="N35" s="272"/>
    </row>
    <row r="36" spans="1:14" s="6" customFormat="1" x14ac:dyDescent="0.35">
      <c r="A36" s="270" t="s">
        <v>98</v>
      </c>
      <c r="B36" s="271">
        <f>SUM(B7:B35)</f>
        <v>3171954766</v>
      </c>
      <c r="C36" s="271">
        <f t="shared" ref="C36:J36" si="1">SUM(C7:C35)</f>
        <v>1928059850</v>
      </c>
      <c r="D36" s="271">
        <f t="shared" si="1"/>
        <v>1934738366</v>
      </c>
      <c r="E36" s="271">
        <f t="shared" si="1"/>
        <v>1172723416</v>
      </c>
      <c r="F36" s="271">
        <f t="shared" si="1"/>
        <v>622979650</v>
      </c>
      <c r="G36" s="271">
        <f t="shared" si="1"/>
        <v>415482274</v>
      </c>
      <c r="H36" s="271">
        <f t="shared" si="1"/>
        <v>871071336.80999994</v>
      </c>
      <c r="I36" s="271">
        <f t="shared" si="1"/>
        <v>263000760</v>
      </c>
      <c r="J36" s="271">
        <f t="shared" si="1"/>
        <v>171705054</v>
      </c>
      <c r="M36" s="273">
        <f t="shared" ref="M36" si="2">D36/$D$36*100</f>
        <v>100</v>
      </c>
    </row>
    <row r="44" spans="1:14" x14ac:dyDescent="0.35">
      <c r="M44" s="7"/>
    </row>
    <row r="45" spans="1:14" x14ac:dyDescent="0.35">
      <c r="M45" s="7"/>
    </row>
    <row r="46" spans="1:14" x14ac:dyDescent="0.35">
      <c r="M46" s="7"/>
    </row>
    <row r="47" spans="1:14" x14ac:dyDescent="0.35">
      <c r="M47" s="7"/>
    </row>
  </sheetData>
  <mergeCells count="1">
    <mergeCell ref="B1:M1"/>
  </mergeCells>
  <dataValidations count="1">
    <dataValidation type="list" allowBlank="1" showInputMessage="1" showErrorMessage="1" sqref="A4" xr:uid="{00000000-0002-0000-2200-000000000000}">
      <formula1>$A$7:$A$35</formula1>
    </dataValidation>
  </dataValidations>
  <pageMargins left="0.7" right="0.7" top="0.75" bottom="0.75" header="0.3" footer="0.3"/>
  <legacyDrawing r:id="rId1"/>
</worksheet>
</file>

<file path=xl/worksheets/sheet3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300-000000000000}">
  <sheetPr>
    <tabColor theme="8" tint="-0.249977111117893"/>
  </sheetPr>
  <dimension ref="A1:AG34"/>
  <sheetViews>
    <sheetView zoomScale="89" workbookViewId="0">
      <pane xSplit="1" topLeftCell="B1" activePane="topRight" state="frozen"/>
      <selection pane="topRight" activeCell="I15" sqref="I15"/>
    </sheetView>
  </sheetViews>
  <sheetFormatPr defaultRowHeight="12.75" x14ac:dyDescent="0.35"/>
  <cols>
    <col min="1" max="1" width="48.265625" bestFit="1" customWidth="1"/>
    <col min="2" max="2" width="15.3984375" bestFit="1" customWidth="1"/>
    <col min="3" max="3" width="15.265625" bestFit="1" customWidth="1"/>
    <col min="4" max="4" width="20.73046875" customWidth="1"/>
    <col min="5" max="5" width="15.265625" bestFit="1" customWidth="1"/>
    <col min="6" max="6" width="18.265625" customWidth="1"/>
    <col min="7" max="9" width="14.265625" bestFit="1" customWidth="1"/>
    <col min="10" max="10" width="16.265625" bestFit="1" customWidth="1"/>
    <col min="11" max="13" width="15.265625" bestFit="1" customWidth="1"/>
    <col min="14" max="15" width="15.3984375" bestFit="1" customWidth="1"/>
    <col min="16" max="16" width="14.265625" customWidth="1"/>
    <col min="17" max="17" width="22.3984375" customWidth="1"/>
    <col min="18" max="19" width="14.265625" bestFit="1" customWidth="1"/>
    <col min="20" max="21" width="14.73046875" bestFit="1" customWidth="1"/>
    <col min="22" max="22" width="15.265625" bestFit="1" customWidth="1"/>
    <col min="23" max="23" width="17.3984375" bestFit="1" customWidth="1"/>
    <col min="24" max="24" width="15.3984375" bestFit="1" customWidth="1"/>
    <col min="25" max="25" width="15.265625" bestFit="1" customWidth="1"/>
    <col min="26" max="26" width="12.73046875" bestFit="1" customWidth="1"/>
    <col min="27" max="27" width="14.265625" bestFit="1" customWidth="1"/>
    <col min="28" max="29" width="17.3984375" bestFit="1" customWidth="1"/>
    <col min="30" max="30" width="15.265625" bestFit="1" customWidth="1"/>
    <col min="31" max="31" width="10.265625" customWidth="1"/>
    <col min="32" max="32" width="12.3984375" customWidth="1"/>
    <col min="33" max="33" width="11.265625" customWidth="1"/>
  </cols>
  <sheetData>
    <row r="1" spans="1:33" ht="23.25" x14ac:dyDescent="0.7">
      <c r="A1" s="285" t="s">
        <v>99</v>
      </c>
      <c r="B1" s="416" t="s">
        <v>92</v>
      </c>
      <c r="C1" s="416"/>
      <c r="D1" s="416"/>
      <c r="E1" s="416"/>
      <c r="F1" s="416"/>
      <c r="G1" s="416"/>
      <c r="H1" s="416"/>
      <c r="I1" s="416"/>
      <c r="J1" s="416"/>
      <c r="K1" s="416"/>
      <c r="L1" s="416"/>
      <c r="M1" s="416"/>
      <c r="N1" s="416"/>
      <c r="O1" s="416"/>
      <c r="P1" s="416"/>
      <c r="Q1" s="416"/>
      <c r="R1" s="416"/>
      <c r="S1" s="416"/>
      <c r="T1" s="416"/>
      <c r="U1" s="416"/>
      <c r="V1" s="416"/>
      <c r="W1" s="416"/>
      <c r="X1" s="416"/>
      <c r="Y1" s="416"/>
      <c r="Z1" s="416"/>
      <c r="AA1" s="416"/>
      <c r="AB1" s="416"/>
      <c r="AC1" s="416"/>
      <c r="AD1" s="416"/>
      <c r="AE1" s="416"/>
      <c r="AF1" s="416"/>
      <c r="AG1" s="416"/>
    </row>
    <row r="2" spans="1:33" ht="27" customHeight="1" x14ac:dyDescent="0.35">
      <c r="A2" s="279"/>
      <c r="B2" s="246" t="s">
        <v>100</v>
      </c>
      <c r="C2" s="246" t="s">
        <v>101</v>
      </c>
      <c r="D2" s="246" t="s">
        <v>102</v>
      </c>
      <c r="E2" s="246" t="s">
        <v>103</v>
      </c>
      <c r="F2" s="246" t="s">
        <v>104</v>
      </c>
      <c r="G2" s="246" t="s">
        <v>105</v>
      </c>
      <c r="H2" s="246" t="s">
        <v>106</v>
      </c>
      <c r="I2" s="246" t="s">
        <v>107</v>
      </c>
      <c r="J2" s="246" t="s">
        <v>108</v>
      </c>
      <c r="K2" s="246" t="s">
        <v>109</v>
      </c>
      <c r="L2" s="246" t="s">
        <v>110</v>
      </c>
      <c r="M2" s="254" t="s">
        <v>93</v>
      </c>
      <c r="N2" s="246" t="s">
        <v>111</v>
      </c>
      <c r="O2" s="246" t="s">
        <v>112</v>
      </c>
      <c r="P2" s="246" t="s">
        <v>113</v>
      </c>
      <c r="Q2" s="246" t="s">
        <v>97</v>
      </c>
      <c r="R2" s="246" t="s">
        <v>114</v>
      </c>
      <c r="S2" s="246" t="s">
        <v>115</v>
      </c>
      <c r="T2" s="246" t="s">
        <v>116</v>
      </c>
      <c r="U2" s="246" t="s">
        <v>117</v>
      </c>
      <c r="V2" s="246" t="s">
        <v>118</v>
      </c>
      <c r="W2" s="246" t="s">
        <v>119</v>
      </c>
      <c r="X2" s="246" t="s">
        <v>120</v>
      </c>
      <c r="Y2" s="254" t="s">
        <v>121</v>
      </c>
      <c r="Z2" s="246" t="s">
        <v>122</v>
      </c>
      <c r="AA2" s="246" t="s">
        <v>123</v>
      </c>
      <c r="AB2" s="246" t="s">
        <v>9</v>
      </c>
      <c r="AC2" s="246" t="s">
        <v>124</v>
      </c>
      <c r="AD2" s="246" t="s">
        <v>125</v>
      </c>
      <c r="AE2" s="288" t="s">
        <v>79</v>
      </c>
      <c r="AF2" s="288" t="s">
        <v>80</v>
      </c>
      <c r="AG2" s="288" t="s">
        <v>96</v>
      </c>
    </row>
    <row r="3" spans="1:33" ht="15.4" x14ac:dyDescent="0.45">
      <c r="A3" s="282" t="s">
        <v>20</v>
      </c>
      <c r="B3" s="278">
        <f t="shared" ref="B3:AG3" si="0">INDEX(B6:B34,MATCH($A$3,$A$6:$A$34,0))</f>
        <v>15176508</v>
      </c>
      <c r="C3" s="278">
        <f t="shared" si="0"/>
        <v>6293112</v>
      </c>
      <c r="D3" s="278">
        <f t="shared" si="0"/>
        <v>338149</v>
      </c>
      <c r="E3" s="278">
        <f t="shared" si="0"/>
        <v>2385680</v>
      </c>
      <c r="F3" s="278">
        <f t="shared" si="0"/>
        <v>1172125</v>
      </c>
      <c r="G3" s="278">
        <f t="shared" si="0"/>
        <v>3218672</v>
      </c>
      <c r="H3" s="278">
        <f t="shared" si="0"/>
        <v>670223</v>
      </c>
      <c r="I3" s="278">
        <f t="shared" si="0"/>
        <v>103454</v>
      </c>
      <c r="J3" s="278">
        <f t="shared" si="0"/>
        <v>29357923</v>
      </c>
      <c r="K3" s="278">
        <f t="shared" si="0"/>
        <v>9222054</v>
      </c>
      <c r="L3" s="278">
        <f t="shared" si="0"/>
        <v>5709101</v>
      </c>
      <c r="M3" s="278">
        <f t="shared" si="0"/>
        <v>5909544</v>
      </c>
      <c r="N3" s="278">
        <f t="shared" si="0"/>
        <v>2220589</v>
      </c>
      <c r="O3" s="278">
        <f t="shared" si="0"/>
        <v>4286604</v>
      </c>
      <c r="P3" s="278">
        <f t="shared" si="0"/>
        <v>2359334</v>
      </c>
      <c r="Q3" s="278">
        <f t="shared" si="0"/>
        <v>4780045</v>
      </c>
      <c r="R3" s="278">
        <f t="shared" si="0"/>
        <v>1622619</v>
      </c>
      <c r="S3" s="278">
        <f t="shared" si="0"/>
        <v>977880</v>
      </c>
      <c r="T3" s="278">
        <f t="shared" si="0"/>
        <v>0</v>
      </c>
      <c r="U3" s="278">
        <f t="shared" si="0"/>
        <v>2600499</v>
      </c>
      <c r="V3" s="278">
        <f t="shared" si="0"/>
        <v>26348147</v>
      </c>
      <c r="W3" s="278">
        <f t="shared" si="0"/>
        <v>47349236</v>
      </c>
      <c r="X3" s="278">
        <f t="shared" si="0"/>
        <v>25097183</v>
      </c>
      <c r="Y3" s="278">
        <f t="shared" si="0"/>
        <v>20264876</v>
      </c>
      <c r="Z3" s="278">
        <f t="shared" si="0"/>
        <v>0</v>
      </c>
      <c r="AA3" s="278">
        <f t="shared" si="0"/>
        <v>1497667</v>
      </c>
      <c r="AB3" s="278">
        <f t="shared" si="0"/>
        <v>120557109</v>
      </c>
      <c r="AC3" s="278">
        <f t="shared" si="0"/>
        <v>27982271</v>
      </c>
      <c r="AD3" s="278">
        <f t="shared" si="0"/>
        <v>49258615</v>
      </c>
      <c r="AE3" s="292">
        <f t="shared" si="0"/>
        <v>21.170350760681565</v>
      </c>
      <c r="AF3" s="292">
        <f t="shared" si="0"/>
        <v>63.360143904947073</v>
      </c>
      <c r="AG3" s="292">
        <f t="shared" si="0"/>
        <v>5.0757724231855565</v>
      </c>
    </row>
    <row r="5" spans="1:33" ht="32.65" customHeight="1" x14ac:dyDescent="0.35">
      <c r="A5" s="281" t="s">
        <v>126</v>
      </c>
      <c r="B5" s="286" t="s">
        <v>100</v>
      </c>
      <c r="C5" s="286" t="s">
        <v>101</v>
      </c>
      <c r="D5" s="286" t="s">
        <v>102</v>
      </c>
      <c r="E5" s="286" t="s">
        <v>103</v>
      </c>
      <c r="F5" s="286" t="s">
        <v>127</v>
      </c>
      <c r="G5" s="293" t="s">
        <v>105</v>
      </c>
      <c r="H5" s="293" t="s">
        <v>106</v>
      </c>
      <c r="I5" s="293" t="s">
        <v>107</v>
      </c>
      <c r="J5" s="293" t="s">
        <v>108</v>
      </c>
      <c r="K5" s="286" t="s">
        <v>109</v>
      </c>
      <c r="L5" s="286" t="s">
        <v>110</v>
      </c>
      <c r="M5" s="286" t="s">
        <v>93</v>
      </c>
      <c r="N5" s="286" t="s">
        <v>111</v>
      </c>
      <c r="O5" s="286" t="s">
        <v>112</v>
      </c>
      <c r="P5" s="286" t="s">
        <v>113</v>
      </c>
      <c r="Q5" s="286" t="s">
        <v>97</v>
      </c>
      <c r="R5" s="286" t="s">
        <v>114</v>
      </c>
      <c r="S5" s="286" t="s">
        <v>115</v>
      </c>
      <c r="T5" s="286" t="s">
        <v>116</v>
      </c>
      <c r="U5" s="286" t="s">
        <v>117</v>
      </c>
      <c r="V5" s="286" t="s">
        <v>118</v>
      </c>
      <c r="W5" s="286" t="s">
        <v>119</v>
      </c>
      <c r="X5" s="286" t="s">
        <v>120</v>
      </c>
      <c r="Y5" s="286" t="s">
        <v>121</v>
      </c>
      <c r="Z5" s="286" t="s">
        <v>122</v>
      </c>
      <c r="AA5" s="286" t="s">
        <v>123</v>
      </c>
      <c r="AB5" s="286" t="s">
        <v>9</v>
      </c>
      <c r="AC5" s="286" t="s">
        <v>124</v>
      </c>
      <c r="AD5" s="286" t="s">
        <v>125</v>
      </c>
      <c r="AE5" s="287" t="s">
        <v>79</v>
      </c>
      <c r="AF5" s="287" t="s">
        <v>80</v>
      </c>
      <c r="AG5" s="287" t="s">
        <v>96</v>
      </c>
    </row>
    <row r="6" spans="1:33" ht="15.4" x14ac:dyDescent="0.45">
      <c r="A6" s="283" t="s">
        <v>20</v>
      </c>
      <c r="B6" s="280">
        <v>15176508</v>
      </c>
      <c r="C6" s="280">
        <v>6293112</v>
      </c>
      <c r="D6" s="280">
        <v>338149</v>
      </c>
      <c r="E6" s="280">
        <v>2385680</v>
      </c>
      <c r="F6" s="280">
        <v>1172125</v>
      </c>
      <c r="G6" s="280">
        <v>3218672</v>
      </c>
      <c r="H6" s="280">
        <v>670223</v>
      </c>
      <c r="I6" s="280">
        <v>103454</v>
      </c>
      <c r="J6" s="280">
        <v>29357923</v>
      </c>
      <c r="K6" s="280">
        <v>9222054</v>
      </c>
      <c r="L6" s="280">
        <v>5709101</v>
      </c>
      <c r="M6" s="280">
        <v>5909544</v>
      </c>
      <c r="N6" s="280">
        <v>2220589</v>
      </c>
      <c r="O6" s="280">
        <v>4286604</v>
      </c>
      <c r="P6" s="280">
        <v>2359334</v>
      </c>
      <c r="Q6" s="280">
        <v>4780045</v>
      </c>
      <c r="R6" s="280">
        <v>1622619</v>
      </c>
      <c r="S6" s="280">
        <v>977880</v>
      </c>
      <c r="T6" s="280">
        <v>0</v>
      </c>
      <c r="U6" s="280">
        <v>2600499</v>
      </c>
      <c r="V6" s="280">
        <v>26348147</v>
      </c>
      <c r="W6" s="280">
        <v>47349236</v>
      </c>
      <c r="X6" s="280">
        <v>25097183</v>
      </c>
      <c r="Y6" s="280">
        <v>20264876</v>
      </c>
      <c r="Z6" s="280">
        <v>0</v>
      </c>
      <c r="AA6" s="280">
        <v>1497667</v>
      </c>
      <c r="AB6" s="280">
        <v>120557109</v>
      </c>
      <c r="AC6" s="280">
        <v>27982271</v>
      </c>
      <c r="AD6" s="280">
        <v>49258615</v>
      </c>
      <c r="AE6" s="289">
        <v>21.170350760681565</v>
      </c>
      <c r="AF6" s="289">
        <v>63.360143904947073</v>
      </c>
      <c r="AG6" s="289">
        <v>5.0757724231855565</v>
      </c>
    </row>
    <row r="7" spans="1:33" ht="15.4" x14ac:dyDescent="0.45">
      <c r="A7" s="283" t="s">
        <v>21</v>
      </c>
      <c r="B7" s="280">
        <v>1656231</v>
      </c>
      <c r="C7" s="280">
        <v>8069761</v>
      </c>
      <c r="D7" s="280">
        <v>1297069</v>
      </c>
      <c r="E7" s="280">
        <v>368980</v>
      </c>
      <c r="F7" s="280"/>
      <c r="G7" s="280">
        <v>851322</v>
      </c>
      <c r="H7" s="280">
        <v>251633</v>
      </c>
      <c r="I7" s="280">
        <v>108018</v>
      </c>
      <c r="J7" s="280">
        <v>12603014</v>
      </c>
      <c r="K7" s="280">
        <v>9785621</v>
      </c>
      <c r="L7" s="280">
        <v>8403388</v>
      </c>
      <c r="M7" s="280">
        <v>3997048</v>
      </c>
      <c r="N7" s="280">
        <v>3089123</v>
      </c>
      <c r="O7" s="280">
        <v>5599357</v>
      </c>
      <c r="P7" s="280">
        <v>2082558</v>
      </c>
      <c r="Q7" s="280">
        <v>469144</v>
      </c>
      <c r="R7" s="280">
        <v>-1898506</v>
      </c>
      <c r="S7" s="280">
        <v>1456399</v>
      </c>
      <c r="T7" s="280">
        <v>0</v>
      </c>
      <c r="U7" s="280">
        <v>-442107</v>
      </c>
      <c r="V7" s="280">
        <v>9744892</v>
      </c>
      <c r="W7" s="280">
        <v>47539266</v>
      </c>
      <c r="X7" s="280">
        <v>10295462</v>
      </c>
      <c r="Y7" s="280">
        <v>7722116</v>
      </c>
      <c r="Z7" s="280">
        <v>0</v>
      </c>
      <c r="AA7" s="280">
        <v>1109620</v>
      </c>
      <c r="AB7" s="280">
        <v>76411356</v>
      </c>
      <c r="AC7" s="280">
        <v>31173520</v>
      </c>
      <c r="AD7" s="280">
        <v>15543196</v>
      </c>
      <c r="AE7" s="289">
        <v>34.81670170363995</v>
      </c>
      <c r="AF7" s="289">
        <v>86.580865529704482</v>
      </c>
      <c r="AG7" s="289">
        <v>2.1789699124907949</v>
      </c>
    </row>
    <row r="8" spans="1:33" ht="15.4" x14ac:dyDescent="0.45">
      <c r="A8" s="283" t="s">
        <v>87</v>
      </c>
      <c r="B8" s="280">
        <v>122859</v>
      </c>
      <c r="C8" s="280">
        <v>1179767</v>
      </c>
      <c r="D8" s="280">
        <v>97412</v>
      </c>
      <c r="E8" s="280"/>
      <c r="F8" s="280">
        <v>18864</v>
      </c>
      <c r="G8" s="280">
        <v>14050</v>
      </c>
      <c r="H8" s="280">
        <v>6873</v>
      </c>
      <c r="I8" s="280"/>
      <c r="J8" s="280">
        <v>1439825</v>
      </c>
      <c r="K8" s="280">
        <v>1278043</v>
      </c>
      <c r="L8" s="280">
        <v>678339</v>
      </c>
      <c r="M8" s="280">
        <v>162945</v>
      </c>
      <c r="N8" s="280">
        <v>162945</v>
      </c>
      <c r="O8" s="280">
        <v>950743</v>
      </c>
      <c r="P8" s="280">
        <v>147222</v>
      </c>
      <c r="Q8" s="280">
        <v>49531</v>
      </c>
      <c r="R8" s="280">
        <v>-533040</v>
      </c>
      <c r="S8" s="280">
        <v>41304</v>
      </c>
      <c r="T8" s="280">
        <v>0</v>
      </c>
      <c r="U8" s="280">
        <v>-491736</v>
      </c>
      <c r="V8" s="280">
        <v>1219445</v>
      </c>
      <c r="W8" s="280">
        <v>1774019</v>
      </c>
      <c r="X8" s="280">
        <v>21947645</v>
      </c>
      <c r="Y8" s="280">
        <v>8684869</v>
      </c>
      <c r="Z8" s="280">
        <v>1238831</v>
      </c>
      <c r="AA8" s="280">
        <v>27600</v>
      </c>
      <c r="AB8" s="280">
        <v>34892409</v>
      </c>
      <c r="AC8" s="280">
        <v>2284000</v>
      </c>
      <c r="AD8" s="280">
        <v>5582665</v>
      </c>
      <c r="AE8" s="289">
        <v>22.386552543723468</v>
      </c>
      <c r="AF8" s="289">
        <v>150.84630497204171</v>
      </c>
      <c r="AG8" s="289">
        <v>0.24893532247540617</v>
      </c>
    </row>
    <row r="9" spans="1:33" ht="15.4" x14ac:dyDescent="0.45">
      <c r="A9" s="283" t="s">
        <v>60</v>
      </c>
      <c r="B9" s="280"/>
      <c r="C9" s="280"/>
      <c r="D9" s="280"/>
      <c r="E9" s="280"/>
      <c r="F9" s="280"/>
      <c r="G9" s="280"/>
      <c r="H9" s="280"/>
      <c r="I9" s="280"/>
      <c r="J9" s="280">
        <v>0</v>
      </c>
      <c r="K9" s="280"/>
      <c r="L9" s="280"/>
      <c r="M9" s="280"/>
      <c r="N9" s="280"/>
      <c r="O9" s="280"/>
      <c r="P9" s="280">
        <v>0</v>
      </c>
      <c r="Q9" s="280">
        <v>0</v>
      </c>
      <c r="R9" s="280">
        <v>0</v>
      </c>
      <c r="S9" s="280"/>
      <c r="T9" s="280"/>
      <c r="U9" s="280">
        <v>0</v>
      </c>
      <c r="V9" s="280"/>
      <c r="W9" s="280">
        <v>0</v>
      </c>
      <c r="X9" s="280"/>
      <c r="Y9" s="280"/>
      <c r="Z9" s="280"/>
      <c r="AA9" s="280"/>
      <c r="AB9" s="280">
        <v>0</v>
      </c>
      <c r="AC9" s="280"/>
      <c r="AD9" s="280"/>
      <c r="AE9" s="289"/>
      <c r="AF9" s="289"/>
      <c r="AG9" s="289"/>
    </row>
    <row r="10" spans="1:33" ht="15.4" x14ac:dyDescent="0.45">
      <c r="A10" s="283" t="s">
        <v>128</v>
      </c>
      <c r="B10" s="280">
        <v>1379991</v>
      </c>
      <c r="C10" s="280">
        <v>5764824</v>
      </c>
      <c r="D10" s="280">
        <v>1324228</v>
      </c>
      <c r="E10" s="280">
        <v>85271</v>
      </c>
      <c r="F10" s="280"/>
      <c r="G10" s="280"/>
      <c r="H10" s="280">
        <v>307228</v>
      </c>
      <c r="I10" s="280"/>
      <c r="J10" s="280">
        <v>8861542</v>
      </c>
      <c r="K10" s="280">
        <v>6964444</v>
      </c>
      <c r="L10" s="280">
        <v>4510658</v>
      </c>
      <c r="M10" s="280">
        <v>3617335</v>
      </c>
      <c r="N10" s="280">
        <v>2164759</v>
      </c>
      <c r="O10" s="280">
        <v>2479993</v>
      </c>
      <c r="P10" s="280">
        <v>979982</v>
      </c>
      <c r="Q10" s="280">
        <v>545652</v>
      </c>
      <c r="R10" s="280">
        <v>-568424</v>
      </c>
      <c r="S10" s="280">
        <v>1030075</v>
      </c>
      <c r="T10" s="280">
        <v>0</v>
      </c>
      <c r="U10" s="280">
        <v>461651</v>
      </c>
      <c r="V10" s="280">
        <v>2293597</v>
      </c>
      <c r="W10" s="280">
        <v>25955571</v>
      </c>
      <c r="X10" s="280">
        <v>10806779</v>
      </c>
      <c r="Y10" s="280">
        <v>9556849</v>
      </c>
      <c r="Z10" s="280">
        <v>0</v>
      </c>
      <c r="AA10" s="280">
        <v>1682698</v>
      </c>
      <c r="AB10" s="280">
        <v>50295494</v>
      </c>
      <c r="AC10" s="280">
        <v>24696534</v>
      </c>
      <c r="AD10" s="280">
        <v>7969355</v>
      </c>
      <c r="AE10" s="289">
        <v>42.81301977133522</v>
      </c>
      <c r="AF10" s="289">
        <v>68.428854243509591</v>
      </c>
      <c r="AG10" s="289">
        <v>1.5320964807524218</v>
      </c>
    </row>
    <row r="11" spans="1:33" ht="15.4" x14ac:dyDescent="0.45">
      <c r="A11" s="283" t="s">
        <v>22</v>
      </c>
      <c r="B11" s="280">
        <v>1323970</v>
      </c>
      <c r="C11" s="280">
        <v>13082335</v>
      </c>
      <c r="D11" s="280">
        <v>545500</v>
      </c>
      <c r="E11" s="280">
        <v>168927</v>
      </c>
      <c r="F11" s="280">
        <v>328279</v>
      </c>
      <c r="G11" s="280"/>
      <c r="H11" s="280">
        <v>343918</v>
      </c>
      <c r="I11" s="280"/>
      <c r="J11" s="280">
        <v>15792929</v>
      </c>
      <c r="K11" s="280">
        <v>13306824</v>
      </c>
      <c r="L11" s="280">
        <v>10861357</v>
      </c>
      <c r="M11" s="280">
        <v>9988922</v>
      </c>
      <c r="N11" s="280">
        <v>5071568</v>
      </c>
      <c r="O11" s="280">
        <v>4407912</v>
      </c>
      <c r="P11" s="280">
        <v>1703261</v>
      </c>
      <c r="Q11" s="280">
        <v>751691</v>
      </c>
      <c r="R11" s="280">
        <v>430307</v>
      </c>
      <c r="S11" s="280">
        <v>1272663</v>
      </c>
      <c r="T11" s="280">
        <v>1935</v>
      </c>
      <c r="U11" s="280">
        <v>1704905</v>
      </c>
      <c r="V11" s="280">
        <v>2502264</v>
      </c>
      <c r="W11" s="280">
        <v>50225963</v>
      </c>
      <c r="X11" s="280">
        <v>19730576</v>
      </c>
      <c r="Y11" s="280">
        <v>7643341</v>
      </c>
      <c r="Z11" s="280">
        <v>935533</v>
      </c>
      <c r="AA11" s="280">
        <v>0</v>
      </c>
      <c r="AB11" s="280">
        <v>81037677</v>
      </c>
      <c r="AC11" s="280">
        <v>25778676</v>
      </c>
      <c r="AD11" s="280">
        <v>13434408</v>
      </c>
      <c r="AE11" s="289">
        <v>43.671291120126263</v>
      </c>
      <c r="AF11" s="289">
        <v>52.623333684662285</v>
      </c>
      <c r="AG11" s="289">
        <v>2.7304831305514172</v>
      </c>
    </row>
    <row r="12" spans="1:33" ht="15.4" x14ac:dyDescent="0.45">
      <c r="A12" s="283" t="s">
        <v>23</v>
      </c>
      <c r="B12" s="280">
        <v>27183791</v>
      </c>
      <c r="C12" s="280">
        <v>51061270</v>
      </c>
      <c r="D12" s="280">
        <v>2043653</v>
      </c>
      <c r="E12" s="280">
        <v>2324276</v>
      </c>
      <c r="F12" s="280">
        <v>5367507</v>
      </c>
      <c r="G12" s="280">
        <v>8206973</v>
      </c>
      <c r="H12" s="280">
        <v>6402554</v>
      </c>
      <c r="I12" s="280">
        <v>2109754</v>
      </c>
      <c r="J12" s="280">
        <v>104699778</v>
      </c>
      <c r="K12" s="280">
        <v>62884380</v>
      </c>
      <c r="L12" s="280">
        <v>40891260</v>
      </c>
      <c r="M12" s="280">
        <v>22447351</v>
      </c>
      <c r="N12" s="280">
        <v>18692296</v>
      </c>
      <c r="O12" s="280">
        <v>16363522</v>
      </c>
      <c r="P12" s="280">
        <v>11236753</v>
      </c>
      <c r="Q12" s="280">
        <v>7080967</v>
      </c>
      <c r="R12" s="280">
        <v>1679656</v>
      </c>
      <c r="S12" s="280">
        <v>7295380</v>
      </c>
      <c r="T12" s="280">
        <v>-178943</v>
      </c>
      <c r="U12" s="280">
        <v>8796093</v>
      </c>
      <c r="V12" s="280">
        <v>28698388</v>
      </c>
      <c r="W12" s="280">
        <v>226744156</v>
      </c>
      <c r="X12" s="280">
        <v>85441493</v>
      </c>
      <c r="Y12" s="280">
        <v>19782837</v>
      </c>
      <c r="Z12" s="280">
        <v>0</v>
      </c>
      <c r="AA12" s="280">
        <v>8194952</v>
      </c>
      <c r="AB12" s="280">
        <v>368861826</v>
      </c>
      <c r="AC12" s="280">
        <v>179264468</v>
      </c>
      <c r="AD12" s="280">
        <v>40426069</v>
      </c>
      <c r="AE12" s="289">
        <v>38.964828545483208</v>
      </c>
      <c r="AF12" s="289">
        <v>57.533862249088422</v>
      </c>
      <c r="AG12" s="289">
        <v>18.101833903101721</v>
      </c>
    </row>
    <row r="13" spans="1:33" ht="15.4" x14ac:dyDescent="0.45">
      <c r="A13" s="283" t="s">
        <v>25</v>
      </c>
      <c r="B13" s="280">
        <v>6225001</v>
      </c>
      <c r="C13" s="280">
        <v>11807206</v>
      </c>
      <c r="D13" s="280">
        <v>6628952</v>
      </c>
      <c r="E13" s="280">
        <v>211011</v>
      </c>
      <c r="F13" s="280"/>
      <c r="G13" s="280">
        <v>1526403</v>
      </c>
      <c r="H13" s="280"/>
      <c r="I13" s="280">
        <v>295520</v>
      </c>
      <c r="J13" s="280">
        <v>26694093</v>
      </c>
      <c r="K13" s="280">
        <v>14888869</v>
      </c>
      <c r="L13" s="280">
        <v>14763666</v>
      </c>
      <c r="M13" s="280">
        <v>6889886</v>
      </c>
      <c r="N13" s="280">
        <v>6889886</v>
      </c>
      <c r="O13" s="280">
        <v>4293645</v>
      </c>
      <c r="P13" s="280">
        <v>7008752</v>
      </c>
      <c r="Q13" s="280">
        <v>4463359</v>
      </c>
      <c r="R13" s="280">
        <v>1034742</v>
      </c>
      <c r="S13" s="280">
        <v>283577</v>
      </c>
      <c r="T13" s="280">
        <v>0</v>
      </c>
      <c r="U13" s="280">
        <v>1318319</v>
      </c>
      <c r="V13" s="280">
        <v>21331793</v>
      </c>
      <c r="W13" s="280">
        <v>88618330</v>
      </c>
      <c r="X13" s="280">
        <v>37061417</v>
      </c>
      <c r="Y13" s="280">
        <v>23056023</v>
      </c>
      <c r="Z13" s="280">
        <v>0</v>
      </c>
      <c r="AA13" s="280">
        <v>0</v>
      </c>
      <c r="AB13" s="280">
        <v>170067563</v>
      </c>
      <c r="AC13" s="280">
        <v>57437915</v>
      </c>
      <c r="AD13" s="280">
        <v>21040557</v>
      </c>
      <c r="AE13" s="289">
        <v>35.8343841545949</v>
      </c>
      <c r="AF13" s="289">
        <v>58.783909627204409</v>
      </c>
      <c r="AG13" s="289">
        <v>4.6152154943437447</v>
      </c>
    </row>
    <row r="14" spans="1:33" ht="15.4" x14ac:dyDescent="0.45">
      <c r="A14" s="283" t="s">
        <v>26</v>
      </c>
      <c r="B14" s="280">
        <v>35044276</v>
      </c>
      <c r="C14" s="280">
        <v>14120282</v>
      </c>
      <c r="D14" s="280"/>
      <c r="E14" s="280">
        <v>13375278</v>
      </c>
      <c r="F14" s="280"/>
      <c r="G14" s="280">
        <v>7336751</v>
      </c>
      <c r="H14" s="280"/>
      <c r="I14" s="280"/>
      <c r="J14" s="280">
        <v>69876587</v>
      </c>
      <c r="K14" s="280">
        <v>26121905</v>
      </c>
      <c r="L14" s="280">
        <v>19063494</v>
      </c>
      <c r="M14" s="280">
        <v>6468774</v>
      </c>
      <c r="N14" s="280">
        <v>4566179</v>
      </c>
      <c r="O14" s="280">
        <v>11977794</v>
      </c>
      <c r="P14" s="280">
        <v>12043657</v>
      </c>
      <c r="Q14" s="280">
        <v>10528523</v>
      </c>
      <c r="R14" s="280">
        <v>1004387</v>
      </c>
      <c r="S14" s="280">
        <v>1213185</v>
      </c>
      <c r="T14" s="280">
        <v>0</v>
      </c>
      <c r="U14" s="280">
        <v>2217572</v>
      </c>
      <c r="V14" s="280">
        <v>19140954</v>
      </c>
      <c r="W14" s="280">
        <v>77808767</v>
      </c>
      <c r="X14" s="280">
        <v>50186329</v>
      </c>
      <c r="Y14" s="280">
        <v>4046469</v>
      </c>
      <c r="Z14" s="280">
        <v>0</v>
      </c>
      <c r="AA14" s="280">
        <v>4690563</v>
      </c>
      <c r="AB14" s="280">
        <v>155873082</v>
      </c>
      <c r="AC14" s="280">
        <v>68590032</v>
      </c>
      <c r="AD14" s="280">
        <v>30430567</v>
      </c>
      <c r="AE14" s="289"/>
      <c r="AF14" s="289">
        <v>81.175443363661216</v>
      </c>
      <c r="AG14" s="289">
        <v>12.081156194902697</v>
      </c>
    </row>
    <row r="15" spans="1:33" ht="15.4" x14ac:dyDescent="0.45">
      <c r="A15" s="283" t="s">
        <v>27</v>
      </c>
      <c r="B15" s="280"/>
      <c r="C15" s="280"/>
      <c r="D15" s="280"/>
      <c r="E15" s="280"/>
      <c r="F15" s="280"/>
      <c r="G15" s="280"/>
      <c r="H15" s="280"/>
      <c r="I15" s="280"/>
      <c r="J15" s="280">
        <v>0</v>
      </c>
      <c r="K15" s="280"/>
      <c r="L15" s="280"/>
      <c r="M15" s="280">
        <v>0</v>
      </c>
      <c r="N15" s="280"/>
      <c r="O15" s="280"/>
      <c r="P15" s="280">
        <v>0</v>
      </c>
      <c r="Q15" s="280">
        <v>0</v>
      </c>
      <c r="R15" s="280">
        <v>0</v>
      </c>
      <c r="S15" s="280"/>
      <c r="T15" s="280"/>
      <c r="U15" s="280">
        <v>0</v>
      </c>
      <c r="V15" s="280"/>
      <c r="W15" s="280">
        <v>0</v>
      </c>
      <c r="X15" s="280"/>
      <c r="Y15" s="280"/>
      <c r="Z15" s="280"/>
      <c r="AA15" s="280"/>
      <c r="AB15" s="280">
        <v>0</v>
      </c>
      <c r="AC15" s="280"/>
      <c r="AD15" s="280"/>
      <c r="AE15" s="289"/>
      <c r="AF15" s="289"/>
      <c r="AG15" s="289"/>
    </row>
    <row r="16" spans="1:33" ht="15.4" x14ac:dyDescent="0.45">
      <c r="A16" s="283" t="s">
        <v>28</v>
      </c>
      <c r="B16" s="280">
        <v>12905307</v>
      </c>
      <c r="C16" s="280">
        <v>33494393</v>
      </c>
      <c r="D16" s="280">
        <v>1960994</v>
      </c>
      <c r="E16" s="280">
        <v>1113411</v>
      </c>
      <c r="F16" s="280">
        <v>632702</v>
      </c>
      <c r="G16" s="280">
        <v>3497720</v>
      </c>
      <c r="H16" s="280">
        <v>1508839</v>
      </c>
      <c r="I16" s="280">
        <v>3560960</v>
      </c>
      <c r="J16" s="280">
        <v>58674326</v>
      </c>
      <c r="K16" s="280">
        <v>40992253</v>
      </c>
      <c r="L16" s="280">
        <v>22891315</v>
      </c>
      <c r="M16" s="280">
        <v>15805051</v>
      </c>
      <c r="N16" s="280">
        <v>8440958</v>
      </c>
      <c r="O16" s="280">
        <v>11450176</v>
      </c>
      <c r="P16" s="280">
        <v>6498675</v>
      </c>
      <c r="Q16" s="280">
        <v>4154033</v>
      </c>
      <c r="R16" s="280">
        <v>655539</v>
      </c>
      <c r="S16" s="280">
        <v>3312304</v>
      </c>
      <c r="T16" s="280">
        <v>88046</v>
      </c>
      <c r="U16" s="280">
        <v>4055889</v>
      </c>
      <c r="V16" s="280">
        <v>18082724</v>
      </c>
      <c r="W16" s="280">
        <v>118600103</v>
      </c>
      <c r="X16" s="280">
        <v>81098669</v>
      </c>
      <c r="Y16" s="280">
        <v>17846521</v>
      </c>
      <c r="Z16" s="280">
        <v>0</v>
      </c>
      <c r="AA16" s="280">
        <v>9736171</v>
      </c>
      <c r="AB16" s="280">
        <v>245364188</v>
      </c>
      <c r="AC16" s="280">
        <v>124477043</v>
      </c>
      <c r="AD16" s="280">
        <v>42429316</v>
      </c>
      <c r="AE16" s="289">
        <v>31.21038782714129</v>
      </c>
      <c r="AF16" s="289">
        <v>66.365760943434708</v>
      </c>
      <c r="AG16" s="289">
        <v>10.144366338851672</v>
      </c>
    </row>
    <row r="17" spans="1:33" ht="15.4" x14ac:dyDescent="0.45">
      <c r="A17" s="283" t="s">
        <v>46</v>
      </c>
      <c r="B17" s="280">
        <v>452934</v>
      </c>
      <c r="C17" s="280">
        <v>3806131</v>
      </c>
      <c r="D17" s="280">
        <v>458098</v>
      </c>
      <c r="E17" s="280">
        <v>40275</v>
      </c>
      <c r="F17" s="280"/>
      <c r="G17" s="280">
        <v>1490432</v>
      </c>
      <c r="H17" s="280">
        <v>69641</v>
      </c>
      <c r="I17" s="280"/>
      <c r="J17" s="280">
        <v>6317511</v>
      </c>
      <c r="K17" s="280">
        <v>5066129</v>
      </c>
      <c r="L17" s="280">
        <v>4356732</v>
      </c>
      <c r="M17" s="280">
        <v>2706931</v>
      </c>
      <c r="N17" s="280">
        <v>1599561</v>
      </c>
      <c r="O17" s="280">
        <v>2550859</v>
      </c>
      <c r="P17" s="280">
        <v>906172</v>
      </c>
      <c r="Q17" s="280">
        <v>373765</v>
      </c>
      <c r="R17" s="280">
        <v>-326095</v>
      </c>
      <c r="S17" s="280">
        <v>706949</v>
      </c>
      <c r="T17" s="280">
        <v>0</v>
      </c>
      <c r="U17" s="280">
        <v>380854</v>
      </c>
      <c r="V17" s="280">
        <v>1137672</v>
      </c>
      <c r="W17" s="280">
        <v>19606428</v>
      </c>
      <c r="X17" s="280">
        <v>6967222</v>
      </c>
      <c r="Y17" s="280">
        <v>1099362</v>
      </c>
      <c r="Z17" s="280">
        <v>0</v>
      </c>
      <c r="AA17" s="280">
        <v>0</v>
      </c>
      <c r="AB17" s="280">
        <v>28810684</v>
      </c>
      <c r="AC17" s="280">
        <v>8678388</v>
      </c>
      <c r="AD17" s="280">
        <v>2777182</v>
      </c>
      <c r="AE17" s="289">
        <v>33.813804342334429</v>
      </c>
      <c r="AF17" s="289">
        <v>73.079657380609262</v>
      </c>
      <c r="AG17" s="289">
        <v>1.0922519320243265</v>
      </c>
    </row>
    <row r="18" spans="1:33" ht="15.4" x14ac:dyDescent="0.45">
      <c r="A18" s="283" t="s">
        <v>69</v>
      </c>
      <c r="B18" s="280">
        <v>48610</v>
      </c>
      <c r="C18" s="280">
        <v>6010109</v>
      </c>
      <c r="D18" s="280"/>
      <c r="E18" s="280"/>
      <c r="F18" s="280">
        <v>21457</v>
      </c>
      <c r="G18" s="280">
        <v>302570</v>
      </c>
      <c r="H18" s="280">
        <v>56559</v>
      </c>
      <c r="I18" s="280"/>
      <c r="J18" s="280">
        <v>6439305</v>
      </c>
      <c r="K18" s="280">
        <v>5479784</v>
      </c>
      <c r="L18" s="280">
        <v>6045527</v>
      </c>
      <c r="M18" s="280">
        <v>617431</v>
      </c>
      <c r="N18" s="280">
        <v>617431</v>
      </c>
      <c r="O18" s="280">
        <v>2136410</v>
      </c>
      <c r="P18" s="280">
        <v>878555</v>
      </c>
      <c r="Q18" s="280">
        <v>280367</v>
      </c>
      <c r="R18" s="280">
        <v>2693498</v>
      </c>
      <c r="S18" s="280">
        <v>585104</v>
      </c>
      <c r="T18" s="280">
        <v>275</v>
      </c>
      <c r="U18" s="280">
        <v>3278877</v>
      </c>
      <c r="V18" s="280">
        <v>2619858</v>
      </c>
      <c r="W18" s="280">
        <v>28239731</v>
      </c>
      <c r="X18" s="280">
        <v>2002485</v>
      </c>
      <c r="Y18" s="280">
        <v>16867375</v>
      </c>
      <c r="Z18" s="280">
        <v>19819</v>
      </c>
      <c r="AA18" s="280">
        <v>0</v>
      </c>
      <c r="AB18" s="280">
        <v>49749268</v>
      </c>
      <c r="AC18" s="280">
        <v>3758221</v>
      </c>
      <c r="AD18" s="280">
        <v>2962266</v>
      </c>
      <c r="AE18" s="289"/>
      <c r="AF18" s="289">
        <v>47.660694282895037</v>
      </c>
      <c r="AG18" s="289">
        <v>1.1133092332002121</v>
      </c>
    </row>
    <row r="19" spans="1:33" ht="15.4" x14ac:dyDescent="0.45">
      <c r="A19" s="283" t="s">
        <v>29</v>
      </c>
      <c r="B19" s="280">
        <v>842943</v>
      </c>
      <c r="C19" s="280">
        <v>10765729</v>
      </c>
      <c r="D19" s="280">
        <v>234618</v>
      </c>
      <c r="E19" s="280"/>
      <c r="F19" s="280">
        <v>800321</v>
      </c>
      <c r="G19" s="280">
        <v>116749</v>
      </c>
      <c r="H19" s="280">
        <v>129426</v>
      </c>
      <c r="I19" s="280">
        <v>3598</v>
      </c>
      <c r="J19" s="280">
        <v>12893384</v>
      </c>
      <c r="K19" s="280">
        <v>11877175</v>
      </c>
      <c r="L19" s="280">
        <v>8641468</v>
      </c>
      <c r="M19" s="280">
        <v>5174527</v>
      </c>
      <c r="N19" s="280">
        <v>3637767</v>
      </c>
      <c r="O19" s="280">
        <v>3173408</v>
      </c>
      <c r="P19" s="280">
        <v>1470721</v>
      </c>
      <c r="Q19" s="280">
        <v>377898</v>
      </c>
      <c r="R19" s="280">
        <v>737470</v>
      </c>
      <c r="S19" s="280">
        <v>636630</v>
      </c>
      <c r="T19" s="280">
        <v>0</v>
      </c>
      <c r="U19" s="280">
        <v>1374100</v>
      </c>
      <c r="V19" s="280">
        <v>2761374</v>
      </c>
      <c r="W19" s="280">
        <v>21561263</v>
      </c>
      <c r="X19" s="280">
        <v>9300995</v>
      </c>
      <c r="Y19" s="280">
        <v>27871421</v>
      </c>
      <c r="Z19" s="280">
        <v>0</v>
      </c>
      <c r="AA19" s="280">
        <v>0</v>
      </c>
      <c r="AB19" s="280">
        <v>61495053</v>
      </c>
      <c r="AC19" s="280">
        <v>16050144</v>
      </c>
      <c r="AD19" s="280">
        <v>7501629</v>
      </c>
      <c r="AE19" s="289">
        <v>40.3328460115711</v>
      </c>
      <c r="AF19" s="289">
        <v>51.490636925034416</v>
      </c>
      <c r="AG19" s="289">
        <v>2.2291727840808724</v>
      </c>
    </row>
    <row r="20" spans="1:33" ht="15.4" x14ac:dyDescent="0.45">
      <c r="A20" s="283" t="s">
        <v>31</v>
      </c>
      <c r="B20" s="280">
        <v>2010545</v>
      </c>
      <c r="C20" s="280">
        <v>5219739</v>
      </c>
      <c r="D20" s="280">
        <v>62655</v>
      </c>
      <c r="E20" s="280">
        <v>618195</v>
      </c>
      <c r="F20" s="280">
        <v>63598</v>
      </c>
      <c r="G20" s="280">
        <v>471232</v>
      </c>
      <c r="H20" s="280">
        <v>11003</v>
      </c>
      <c r="I20" s="280">
        <v>3967</v>
      </c>
      <c r="J20" s="280">
        <v>8460934</v>
      </c>
      <c r="K20" s="280">
        <v>6101861</v>
      </c>
      <c r="L20" s="280">
        <v>3460156</v>
      </c>
      <c r="M20" s="280">
        <v>810083</v>
      </c>
      <c r="N20" s="280">
        <v>876238</v>
      </c>
      <c r="O20" s="280">
        <v>2563178</v>
      </c>
      <c r="P20" s="280">
        <v>1365223</v>
      </c>
      <c r="Q20" s="280">
        <v>635767</v>
      </c>
      <c r="R20" s="280">
        <v>-708716</v>
      </c>
      <c r="S20" s="280">
        <v>1260567</v>
      </c>
      <c r="T20" s="280">
        <v>10497</v>
      </c>
      <c r="U20" s="280">
        <v>562348</v>
      </c>
      <c r="V20" s="280">
        <v>6650564</v>
      </c>
      <c r="W20" s="280">
        <v>34990545</v>
      </c>
      <c r="X20" s="280">
        <v>7074075</v>
      </c>
      <c r="Y20" s="280">
        <v>4786408</v>
      </c>
      <c r="Z20" s="280">
        <v>0</v>
      </c>
      <c r="AA20" s="280">
        <v>0</v>
      </c>
      <c r="AB20" s="280">
        <v>53501592</v>
      </c>
      <c r="AC20" s="280"/>
      <c r="AD20" s="280"/>
      <c r="AE20" s="289">
        <v>21.392931458916586</v>
      </c>
      <c r="AF20" s="289">
        <v>95.910030535242001</v>
      </c>
      <c r="AG20" s="289">
        <v>1.4628342567555974</v>
      </c>
    </row>
    <row r="21" spans="1:33" ht="15.4" x14ac:dyDescent="0.45">
      <c r="A21" s="283" t="s">
        <v>32</v>
      </c>
      <c r="B21" s="280">
        <v>2490692</v>
      </c>
      <c r="C21" s="280">
        <v>14925746</v>
      </c>
      <c r="D21" s="280">
        <v>589232</v>
      </c>
      <c r="E21" s="280">
        <v>79228</v>
      </c>
      <c r="F21" s="280">
        <v>5566969</v>
      </c>
      <c r="G21" s="280">
        <v>525541</v>
      </c>
      <c r="H21" s="280">
        <v>4943633</v>
      </c>
      <c r="I21" s="280"/>
      <c r="J21" s="280">
        <v>29121041</v>
      </c>
      <c r="K21" s="280">
        <v>19622506</v>
      </c>
      <c r="L21" s="280">
        <v>18094770</v>
      </c>
      <c r="M21" s="280">
        <v>9495688</v>
      </c>
      <c r="N21" s="280">
        <v>7575736</v>
      </c>
      <c r="O21" s="280">
        <v>6422715</v>
      </c>
      <c r="P21" s="280">
        <v>4495831</v>
      </c>
      <c r="Q21" s="280">
        <v>2759321</v>
      </c>
      <c r="R21" s="280">
        <v>2359809</v>
      </c>
      <c r="S21" s="280">
        <v>1413930</v>
      </c>
      <c r="T21" s="280">
        <v>2913</v>
      </c>
      <c r="U21" s="280">
        <v>3776652</v>
      </c>
      <c r="V21" s="280">
        <v>17159695</v>
      </c>
      <c r="W21" s="280">
        <v>73989214</v>
      </c>
      <c r="X21" s="280">
        <v>17810162</v>
      </c>
      <c r="Y21" s="280">
        <v>4405513</v>
      </c>
      <c r="Z21" s="280">
        <v>0</v>
      </c>
      <c r="AA21" s="280">
        <v>0</v>
      </c>
      <c r="AB21" s="280">
        <v>113364584</v>
      </c>
      <c r="AC21" s="280">
        <v>16430293</v>
      </c>
      <c r="AD21" s="280">
        <v>2878519</v>
      </c>
      <c r="AE21" s="289">
        <v>36.327337403485963</v>
      </c>
      <c r="AF21" s="289">
        <v>52.356854105988127</v>
      </c>
      <c r="AG21" s="289">
        <v>5.034817239702412</v>
      </c>
    </row>
    <row r="22" spans="1:33" ht="15.4" x14ac:dyDescent="0.45">
      <c r="A22" s="283" t="s">
        <v>33</v>
      </c>
      <c r="B22" s="280">
        <v>1941026</v>
      </c>
      <c r="C22" s="280">
        <v>16647742</v>
      </c>
      <c r="D22" s="280">
        <v>991152</v>
      </c>
      <c r="E22" s="280">
        <v>235985</v>
      </c>
      <c r="F22" s="280">
        <v>2392672</v>
      </c>
      <c r="G22" s="280">
        <v>146060</v>
      </c>
      <c r="H22" s="280">
        <v>539354</v>
      </c>
      <c r="I22" s="280">
        <v>7006</v>
      </c>
      <c r="J22" s="280">
        <v>22900997</v>
      </c>
      <c r="K22" s="280">
        <v>19753893</v>
      </c>
      <c r="L22" s="280">
        <v>12609693</v>
      </c>
      <c r="M22" s="280">
        <v>3940000</v>
      </c>
      <c r="N22" s="280">
        <v>3716160</v>
      </c>
      <c r="O22" s="280">
        <v>4837934</v>
      </c>
      <c r="P22" s="280">
        <v>3121747</v>
      </c>
      <c r="Q22" s="280">
        <v>1225109</v>
      </c>
      <c r="R22" s="280">
        <v>2158961</v>
      </c>
      <c r="S22" s="280">
        <v>176824</v>
      </c>
      <c r="T22" s="280">
        <v>150452</v>
      </c>
      <c r="U22" s="280">
        <v>2486237</v>
      </c>
      <c r="V22" s="280">
        <v>2127306</v>
      </c>
      <c r="W22" s="280">
        <v>46925400</v>
      </c>
      <c r="X22" s="280">
        <v>9836720</v>
      </c>
      <c r="Y22" s="280">
        <v>3930223</v>
      </c>
      <c r="Z22" s="280">
        <v>0</v>
      </c>
      <c r="AA22" s="280">
        <v>0</v>
      </c>
      <c r="AB22" s="280">
        <v>62819649</v>
      </c>
      <c r="AC22" s="280">
        <v>43153316</v>
      </c>
      <c r="AD22" s="280">
        <v>21750424</v>
      </c>
      <c r="AE22" s="289">
        <v>26.860955436875788</v>
      </c>
      <c r="AF22" s="289">
        <v>57.533754368150703</v>
      </c>
      <c r="AG22" s="289">
        <v>3.9594166466086564</v>
      </c>
    </row>
    <row r="23" spans="1:33" ht="15.4" x14ac:dyDescent="0.45">
      <c r="A23" s="283" t="s">
        <v>34</v>
      </c>
      <c r="B23" s="280">
        <v>222611</v>
      </c>
      <c r="C23" s="280">
        <v>12961647</v>
      </c>
      <c r="D23" s="280">
        <v>189969</v>
      </c>
      <c r="E23" s="280">
        <v>200</v>
      </c>
      <c r="F23" s="280">
        <v>514468</v>
      </c>
      <c r="G23" s="280">
        <v>0</v>
      </c>
      <c r="H23" s="280">
        <v>0</v>
      </c>
      <c r="I23" s="280">
        <v>0</v>
      </c>
      <c r="J23" s="280">
        <v>13888895</v>
      </c>
      <c r="K23" s="280">
        <v>13105702</v>
      </c>
      <c r="L23" s="280">
        <v>9023257</v>
      </c>
      <c r="M23" s="280">
        <v>773291</v>
      </c>
      <c r="N23" s="280">
        <v>2251284</v>
      </c>
      <c r="O23" s="280">
        <v>4346463</v>
      </c>
      <c r="P23" s="280">
        <v>1421362</v>
      </c>
      <c r="Q23" s="280">
        <v>232605</v>
      </c>
      <c r="R23" s="280">
        <v>1236753</v>
      </c>
      <c r="S23" s="280">
        <v>527361</v>
      </c>
      <c r="T23" s="280">
        <v>0</v>
      </c>
      <c r="U23" s="280">
        <v>1764114</v>
      </c>
      <c r="V23" s="280">
        <v>968052</v>
      </c>
      <c r="W23" s="280">
        <v>41353007</v>
      </c>
      <c r="X23" s="280">
        <v>9251723</v>
      </c>
      <c r="Y23" s="280">
        <v>13594775</v>
      </c>
      <c r="Z23" s="280">
        <v>0</v>
      </c>
      <c r="AA23" s="280">
        <v>0</v>
      </c>
      <c r="AB23" s="280">
        <v>65167557</v>
      </c>
      <c r="AC23" s="280">
        <v>26587534</v>
      </c>
      <c r="AD23" s="280">
        <v>5732729</v>
      </c>
      <c r="AE23" s="289">
        <v>24.322791329429933</v>
      </c>
      <c r="AF23" s="289">
        <v>62.315373759894001</v>
      </c>
      <c r="AG23" s="289">
        <v>2.4012894314601128</v>
      </c>
    </row>
    <row r="24" spans="1:33" ht="15.4" x14ac:dyDescent="0.45">
      <c r="A24" s="283" t="s">
        <v>35</v>
      </c>
      <c r="B24" s="280">
        <v>1051190</v>
      </c>
      <c r="C24" s="280">
        <v>12069780</v>
      </c>
      <c r="D24" s="280">
        <v>548673</v>
      </c>
      <c r="E24" s="280">
        <v>129693</v>
      </c>
      <c r="F24" s="280">
        <v>48678</v>
      </c>
      <c r="G24" s="280">
        <v>178039</v>
      </c>
      <c r="H24" s="280">
        <v>768213</v>
      </c>
      <c r="I24" s="280"/>
      <c r="J24" s="280">
        <v>14794266</v>
      </c>
      <c r="K24" s="280">
        <v>12477584</v>
      </c>
      <c r="L24" s="280">
        <v>8115260</v>
      </c>
      <c r="M24" s="280">
        <v>4141941</v>
      </c>
      <c r="N24" s="280">
        <v>465399</v>
      </c>
      <c r="O24" s="280">
        <v>4414831</v>
      </c>
      <c r="P24" s="280">
        <v>1702578</v>
      </c>
      <c r="Q24" s="280">
        <v>628997</v>
      </c>
      <c r="R24" s="280">
        <v>2161449</v>
      </c>
      <c r="S24" s="280">
        <v>1258533</v>
      </c>
      <c r="T24" s="280">
        <v>5087</v>
      </c>
      <c r="U24" s="280">
        <v>3425069</v>
      </c>
      <c r="V24" s="280">
        <v>5476086</v>
      </c>
      <c r="W24" s="280">
        <v>49641671</v>
      </c>
      <c r="X24" s="280">
        <v>15732547</v>
      </c>
      <c r="Y24" s="280">
        <v>26461474</v>
      </c>
      <c r="Z24" s="280">
        <v>0</v>
      </c>
      <c r="AA24" s="280">
        <v>974469</v>
      </c>
      <c r="AB24" s="280">
        <v>98286247</v>
      </c>
      <c r="AC24" s="280">
        <v>19014281</v>
      </c>
      <c r="AD24" s="280">
        <v>4495176</v>
      </c>
      <c r="AE24" s="289">
        <v>5.3223389934673699</v>
      </c>
      <c r="AF24" s="289">
        <v>69.900000000000006</v>
      </c>
      <c r="AG24" s="289">
        <v>2.5578215251832255</v>
      </c>
    </row>
    <row r="25" spans="1:33" ht="15.4" x14ac:dyDescent="0.45">
      <c r="A25" s="283" t="s">
        <v>36</v>
      </c>
      <c r="B25" s="280">
        <v>939615</v>
      </c>
      <c r="C25" s="280">
        <v>12434081</v>
      </c>
      <c r="D25" s="280">
        <v>702737</v>
      </c>
      <c r="E25" s="280">
        <v>123315</v>
      </c>
      <c r="F25" s="280">
        <v>19032</v>
      </c>
      <c r="G25" s="280">
        <v>449964</v>
      </c>
      <c r="H25" s="280">
        <v>3156503</v>
      </c>
      <c r="I25" s="280">
        <v>5600</v>
      </c>
      <c r="J25" s="280">
        <v>17830847</v>
      </c>
      <c r="K25" s="280">
        <v>15150161</v>
      </c>
      <c r="L25" s="280">
        <v>12774480</v>
      </c>
      <c r="M25" s="280">
        <v>13871432</v>
      </c>
      <c r="N25" s="280">
        <v>6348584</v>
      </c>
      <c r="O25" s="280">
        <v>4620141</v>
      </c>
      <c r="P25" s="280">
        <v>1894693</v>
      </c>
      <c r="Q25" s="280">
        <v>905858</v>
      </c>
      <c r="R25" s="280">
        <v>816920</v>
      </c>
      <c r="S25" s="280">
        <v>1247814</v>
      </c>
      <c r="T25" s="280">
        <v>260</v>
      </c>
      <c r="U25" s="280">
        <v>2064994</v>
      </c>
      <c r="V25" s="280">
        <v>7249027</v>
      </c>
      <c r="W25" s="280">
        <v>46187182</v>
      </c>
      <c r="X25" s="280">
        <v>27858163</v>
      </c>
      <c r="Y25" s="280">
        <v>12495819</v>
      </c>
      <c r="Z25" s="280">
        <v>0</v>
      </c>
      <c r="AA25" s="280">
        <v>0</v>
      </c>
      <c r="AB25" s="280">
        <v>93790191</v>
      </c>
      <c r="AC25" s="280">
        <v>23965080</v>
      </c>
      <c r="AD25" s="280">
        <v>8983141</v>
      </c>
      <c r="AE25" s="289">
        <v>46.406631181188651</v>
      </c>
      <c r="AF25" s="289">
        <v>47.621878933108228</v>
      </c>
      <c r="AG25" s="289">
        <v>3.0828244043231843</v>
      </c>
    </row>
    <row r="26" spans="1:33" ht="15.4" x14ac:dyDescent="0.45">
      <c r="A26" s="283" t="s">
        <v>62</v>
      </c>
      <c r="B26" s="280">
        <v>1566014</v>
      </c>
      <c r="C26" s="280">
        <v>6561258</v>
      </c>
      <c r="D26" s="280">
        <v>1292969</v>
      </c>
      <c r="E26" s="280">
        <v>784768</v>
      </c>
      <c r="F26" s="280">
        <v>2898107</v>
      </c>
      <c r="G26" s="280"/>
      <c r="H26" s="280">
        <v>638912</v>
      </c>
      <c r="I26" s="280"/>
      <c r="J26" s="280">
        <v>13742028</v>
      </c>
      <c r="K26" s="280">
        <v>11663357</v>
      </c>
      <c r="L26" s="280">
        <v>8711751</v>
      </c>
      <c r="M26" s="280">
        <v>1156830</v>
      </c>
      <c r="N26" s="280">
        <v>-215082</v>
      </c>
      <c r="O26" s="280">
        <v>4057330</v>
      </c>
      <c r="P26" s="280">
        <v>2028907</v>
      </c>
      <c r="Q26" s="280">
        <v>827492</v>
      </c>
      <c r="R26" s="280">
        <v>3668088</v>
      </c>
      <c r="S26" s="280">
        <v>229791</v>
      </c>
      <c r="T26" s="280">
        <v>420674</v>
      </c>
      <c r="U26" s="280">
        <v>4318553</v>
      </c>
      <c r="V26" s="280">
        <v>4026185</v>
      </c>
      <c r="W26" s="280">
        <v>11970922</v>
      </c>
      <c r="X26" s="280">
        <v>24388623</v>
      </c>
      <c r="Y26" s="280">
        <v>1107936</v>
      </c>
      <c r="Z26" s="280">
        <v>0</v>
      </c>
      <c r="AA26" s="280">
        <v>2993340</v>
      </c>
      <c r="AB26" s="280">
        <v>44487006</v>
      </c>
      <c r="AC26" s="280">
        <v>38394251</v>
      </c>
      <c r="AD26" s="280">
        <v>11132875</v>
      </c>
      <c r="AE26" s="289">
        <v>-2.2547072131404975</v>
      </c>
      <c r="AF26" s="289">
        <v>63.802096246001902</v>
      </c>
      <c r="AG26" s="289">
        <v>2.3758971900377204</v>
      </c>
    </row>
    <row r="27" spans="1:33" ht="15.4" x14ac:dyDescent="0.45">
      <c r="A27" s="283" t="s">
        <v>38</v>
      </c>
      <c r="B27" s="280">
        <v>2949311</v>
      </c>
      <c r="C27" s="280">
        <v>4860569</v>
      </c>
      <c r="D27" s="280">
        <v>811842</v>
      </c>
      <c r="E27" s="280">
        <v>445619</v>
      </c>
      <c r="F27" s="280">
        <v>11950</v>
      </c>
      <c r="G27" s="280">
        <v>1886054</v>
      </c>
      <c r="H27" s="280">
        <v>1708728</v>
      </c>
      <c r="I27" s="280"/>
      <c r="J27" s="280">
        <v>12674073</v>
      </c>
      <c r="K27" s="280">
        <v>5452894</v>
      </c>
      <c r="L27" s="280">
        <v>3935776</v>
      </c>
      <c r="M27" s="280">
        <v>1270837</v>
      </c>
      <c r="N27" s="280">
        <v>1123818</v>
      </c>
      <c r="O27" s="280">
        <v>3028803</v>
      </c>
      <c r="P27" s="280">
        <v>1186898</v>
      </c>
      <c r="Q27" s="280">
        <v>1118937</v>
      </c>
      <c r="R27" s="280">
        <v>-284806</v>
      </c>
      <c r="S27" s="280">
        <v>160396</v>
      </c>
      <c r="T27" s="280">
        <v>12877</v>
      </c>
      <c r="U27" s="280">
        <v>-111533</v>
      </c>
      <c r="V27" s="280">
        <v>1578925</v>
      </c>
      <c r="W27" s="280">
        <v>31692912</v>
      </c>
      <c r="X27" s="280">
        <v>16558098</v>
      </c>
      <c r="Y27" s="280">
        <v>1718018</v>
      </c>
      <c r="Z27" s="280">
        <v>0</v>
      </c>
      <c r="AA27" s="280">
        <v>2000556</v>
      </c>
      <c r="AB27" s="280">
        <v>53548509</v>
      </c>
      <c r="AC27" s="280">
        <v>50564993</v>
      </c>
      <c r="AD27" s="280">
        <v>4280770</v>
      </c>
      <c r="AE27" s="289">
        <v>22.233072382151072</v>
      </c>
      <c r="AF27" s="289">
        <v>83.401391928681207</v>
      </c>
      <c r="AG27" s="289">
        <v>2.1912554993362656</v>
      </c>
    </row>
    <row r="28" spans="1:33" ht="15.4" x14ac:dyDescent="0.45">
      <c r="A28" s="283" t="s">
        <v>77</v>
      </c>
      <c r="B28" s="280">
        <v>978395</v>
      </c>
      <c r="C28" s="280">
        <v>9496144</v>
      </c>
      <c r="D28" s="280">
        <v>164539</v>
      </c>
      <c r="E28" s="280"/>
      <c r="F28" s="280">
        <v>867225</v>
      </c>
      <c r="G28" s="280"/>
      <c r="H28" s="280">
        <v>322560</v>
      </c>
      <c r="I28" s="280"/>
      <c r="J28" s="280">
        <v>11828863</v>
      </c>
      <c r="K28" s="280">
        <v>10063767</v>
      </c>
      <c r="L28" s="280">
        <v>2755436</v>
      </c>
      <c r="M28" s="280">
        <v>1558411</v>
      </c>
      <c r="N28" s="280">
        <v>1558411</v>
      </c>
      <c r="O28" s="280">
        <v>5003277</v>
      </c>
      <c r="P28" s="280">
        <v>1589699</v>
      </c>
      <c r="Q28" s="280">
        <v>470552</v>
      </c>
      <c r="R28" s="280">
        <v>-4925399</v>
      </c>
      <c r="S28" s="280">
        <v>1823378</v>
      </c>
      <c r="T28" s="280">
        <v>0</v>
      </c>
      <c r="U28" s="280">
        <v>-3102021</v>
      </c>
      <c r="V28" s="280">
        <v>1171774</v>
      </c>
      <c r="W28" s="280">
        <v>47792135</v>
      </c>
      <c r="X28" s="280">
        <v>14528778</v>
      </c>
      <c r="Y28" s="280">
        <v>3915150</v>
      </c>
      <c r="Z28" s="280">
        <v>0</v>
      </c>
      <c r="AA28" s="280">
        <v>0</v>
      </c>
      <c r="AB28" s="280">
        <v>67407837</v>
      </c>
      <c r="AC28" s="280">
        <v>25549337</v>
      </c>
      <c r="AD28" s="280">
        <v>9242148</v>
      </c>
      <c r="AE28" s="289">
        <v>48.308022224509209</v>
      </c>
      <c r="AF28" s="289">
        <v>204.3707540139641</v>
      </c>
      <c r="AG28" s="289">
        <v>2.045124980020296</v>
      </c>
    </row>
    <row r="29" spans="1:33" ht="15.4" x14ac:dyDescent="0.45">
      <c r="A29" s="283" t="s">
        <v>39</v>
      </c>
      <c r="B29" s="280"/>
      <c r="C29" s="280"/>
      <c r="D29" s="280"/>
      <c r="E29" s="280"/>
      <c r="F29" s="280"/>
      <c r="G29" s="280"/>
      <c r="H29" s="280"/>
      <c r="I29" s="280"/>
      <c r="J29" s="280">
        <v>0</v>
      </c>
      <c r="K29" s="280"/>
      <c r="L29" s="280"/>
      <c r="M29" s="280">
        <v>0</v>
      </c>
      <c r="N29" s="280"/>
      <c r="O29" s="280"/>
      <c r="P29" s="280">
        <v>0</v>
      </c>
      <c r="Q29" s="280">
        <v>0</v>
      </c>
      <c r="R29" s="280">
        <v>0</v>
      </c>
      <c r="S29" s="280"/>
      <c r="T29" s="280"/>
      <c r="U29" s="280">
        <v>0</v>
      </c>
      <c r="V29" s="280"/>
      <c r="W29" s="280">
        <v>0</v>
      </c>
      <c r="X29" s="280"/>
      <c r="Y29" s="280"/>
      <c r="Z29" s="280"/>
      <c r="AA29" s="280"/>
      <c r="AB29" s="280">
        <v>0</v>
      </c>
      <c r="AC29" s="280">
        <v>18271887</v>
      </c>
      <c r="AD29" s="280">
        <v>2696985</v>
      </c>
      <c r="AE29" s="289"/>
      <c r="AF29" s="289"/>
      <c r="AG29" s="289"/>
    </row>
    <row r="30" spans="1:33" ht="15.4" x14ac:dyDescent="0.45">
      <c r="A30" s="283" t="s">
        <v>40</v>
      </c>
      <c r="B30" s="280">
        <v>6834139</v>
      </c>
      <c r="C30" s="280">
        <v>30266474</v>
      </c>
      <c r="D30" s="280">
        <v>1813617</v>
      </c>
      <c r="E30" s="280">
        <v>339613</v>
      </c>
      <c r="F30" s="280">
        <v>3858546</v>
      </c>
      <c r="G30" s="280">
        <v>2267798</v>
      </c>
      <c r="H30" s="280">
        <v>8143265</v>
      </c>
      <c r="I30" s="280"/>
      <c r="J30" s="280">
        <v>53523452</v>
      </c>
      <c r="K30" s="280">
        <v>41667982</v>
      </c>
      <c r="L30" s="280">
        <v>41998584</v>
      </c>
      <c r="M30" s="280">
        <v>27695928</v>
      </c>
      <c r="N30" s="280">
        <v>20226937</v>
      </c>
      <c r="O30" s="280">
        <v>10552062</v>
      </c>
      <c r="P30" s="280">
        <v>10857108</v>
      </c>
      <c r="Q30" s="280">
        <v>3047948</v>
      </c>
      <c r="R30" s="280">
        <v>3410425</v>
      </c>
      <c r="S30" s="280">
        <v>2758050</v>
      </c>
      <c r="T30" s="280">
        <v>5129</v>
      </c>
      <c r="U30" s="280">
        <v>6173604</v>
      </c>
      <c r="V30" s="280">
        <v>5773304</v>
      </c>
      <c r="W30" s="280">
        <v>402056679</v>
      </c>
      <c r="X30" s="280">
        <v>57986278</v>
      </c>
      <c r="Y30" s="280">
        <v>2335952</v>
      </c>
      <c r="Z30" s="280">
        <v>0</v>
      </c>
      <c r="AA30" s="280">
        <v>0</v>
      </c>
      <c r="AB30" s="280">
        <v>468152213</v>
      </c>
      <c r="AC30" s="280"/>
      <c r="AD30" s="280"/>
      <c r="AE30" s="289">
        <v>44.902317896525304</v>
      </c>
      <c r="AF30" s="289">
        <v>47.5</v>
      </c>
      <c r="AG30" s="289">
        <v>9.2538175011664094</v>
      </c>
    </row>
    <row r="31" spans="1:33" ht="15.4" x14ac:dyDescent="0.45">
      <c r="A31" s="283" t="s">
        <v>90</v>
      </c>
      <c r="B31" s="280">
        <v>1669775</v>
      </c>
      <c r="C31" s="280">
        <v>13419549</v>
      </c>
      <c r="D31" s="280">
        <v>1942747</v>
      </c>
      <c r="E31" s="280">
        <v>234154</v>
      </c>
      <c r="F31" s="280">
        <v>1030814</v>
      </c>
      <c r="G31" s="280"/>
      <c r="H31" s="280">
        <v>358605</v>
      </c>
      <c r="I31" s="280"/>
      <c r="J31" s="280">
        <v>18655644</v>
      </c>
      <c r="K31" s="280">
        <v>14969112</v>
      </c>
      <c r="L31" s="280">
        <v>12649095</v>
      </c>
      <c r="M31" s="280">
        <v>9028707</v>
      </c>
      <c r="N31" s="280">
        <v>3015426</v>
      </c>
      <c r="O31" s="280">
        <v>6265660</v>
      </c>
      <c r="P31" s="280">
        <v>1909796</v>
      </c>
      <c r="Q31" s="280">
        <v>976704</v>
      </c>
      <c r="R31" s="280">
        <v>2434917</v>
      </c>
      <c r="S31" s="280">
        <v>1099959</v>
      </c>
      <c r="T31" s="280">
        <v>16335</v>
      </c>
      <c r="U31" s="280">
        <v>3551211</v>
      </c>
      <c r="V31" s="280">
        <v>5291454</v>
      </c>
      <c r="W31" s="280">
        <v>37214410</v>
      </c>
      <c r="X31" s="280">
        <v>20461969</v>
      </c>
      <c r="Y31" s="280">
        <v>11831016</v>
      </c>
      <c r="Z31" s="280">
        <v>0</v>
      </c>
      <c r="AA31" s="280">
        <v>3224401</v>
      </c>
      <c r="AB31" s="280">
        <v>78023250</v>
      </c>
      <c r="AC31" s="280">
        <v>138887989</v>
      </c>
      <c r="AD31" s="280">
        <v>32977379</v>
      </c>
      <c r="AE31" s="289">
        <v>22.130269204763696</v>
      </c>
      <c r="AF31" s="289">
        <v>59.999828266951539</v>
      </c>
      <c r="AG31" s="289">
        <v>3.2254256636681919</v>
      </c>
    </row>
    <row r="32" spans="1:33" ht="15.4" x14ac:dyDescent="0.45">
      <c r="A32" s="283" t="s">
        <v>41</v>
      </c>
      <c r="B32" s="280">
        <v>483320</v>
      </c>
      <c r="C32" s="280">
        <v>5779676</v>
      </c>
      <c r="D32" s="280">
        <v>333689</v>
      </c>
      <c r="E32" s="280">
        <v>176525</v>
      </c>
      <c r="F32" s="280">
        <v>297876</v>
      </c>
      <c r="G32" s="280">
        <v>170656</v>
      </c>
      <c r="H32" s="280">
        <v>80210</v>
      </c>
      <c r="I32" s="280"/>
      <c r="J32" s="280">
        <v>7321952</v>
      </c>
      <c r="K32" s="280">
        <v>6527086</v>
      </c>
      <c r="L32" s="280">
        <v>5804061</v>
      </c>
      <c r="M32" s="280">
        <v>1931220</v>
      </c>
      <c r="N32" s="280">
        <v>1797755</v>
      </c>
      <c r="O32" s="280">
        <v>2582611</v>
      </c>
      <c r="P32" s="280">
        <v>384496</v>
      </c>
      <c r="Q32" s="280">
        <v>242872</v>
      </c>
      <c r="R32" s="280">
        <v>1282071</v>
      </c>
      <c r="S32" s="280">
        <v>225972</v>
      </c>
      <c r="T32" s="280">
        <v>-31520</v>
      </c>
      <c r="U32" s="280">
        <v>1476523</v>
      </c>
      <c r="V32" s="280">
        <v>2071569</v>
      </c>
      <c r="W32" s="280">
        <v>30326050</v>
      </c>
      <c r="X32" s="280">
        <v>4614826</v>
      </c>
      <c r="Y32" s="280">
        <v>715016</v>
      </c>
      <c r="Z32" s="280">
        <v>1173106</v>
      </c>
      <c r="AA32" s="280"/>
      <c r="AB32" s="280">
        <v>38900567</v>
      </c>
      <c r="AC32" s="280">
        <v>39705471</v>
      </c>
      <c r="AD32" s="280">
        <v>7016231</v>
      </c>
      <c r="AE32" s="289">
        <v>29.730030083018942</v>
      </c>
      <c r="AF32" s="289">
        <v>49.067965528971463</v>
      </c>
      <c r="AG32" s="289">
        <v>1.2659125117770877</v>
      </c>
    </row>
    <row r="33" spans="1:33" ht="15.4" x14ac:dyDescent="0.45">
      <c r="A33" s="283" t="s">
        <v>42</v>
      </c>
      <c r="B33" s="280"/>
      <c r="C33" s="280"/>
      <c r="D33" s="280"/>
      <c r="E33" s="280"/>
      <c r="F33" s="280"/>
      <c r="G33" s="280"/>
      <c r="H33" s="280"/>
      <c r="I33" s="280"/>
      <c r="J33" s="280"/>
      <c r="K33" s="280"/>
      <c r="L33" s="280"/>
      <c r="M33" s="280"/>
      <c r="N33" s="280"/>
      <c r="O33" s="280">
        <v>2582611</v>
      </c>
      <c r="P33" s="280"/>
      <c r="Q33" s="280"/>
      <c r="R33" s="280"/>
      <c r="S33" s="280"/>
      <c r="T33" s="280"/>
      <c r="U33" s="280"/>
      <c r="V33" s="280"/>
      <c r="W33" s="280"/>
      <c r="X33" s="280"/>
      <c r="Y33" s="280"/>
      <c r="Z33" s="280"/>
      <c r="AA33" s="280"/>
      <c r="AB33" s="280"/>
      <c r="AC33" s="280"/>
      <c r="AD33" s="280"/>
      <c r="AE33" s="290"/>
      <c r="AF33" s="290"/>
      <c r="AG33" s="290"/>
    </row>
    <row r="34" spans="1:33" ht="15.4" x14ac:dyDescent="0.45">
      <c r="A34" s="283" t="s">
        <v>44</v>
      </c>
      <c r="B34" s="284">
        <f>SUM(B6:B33)</f>
        <v>125499054</v>
      </c>
      <c r="C34" s="284">
        <f t="shared" ref="C34:L34" si="1">SUM(C6:C33)</f>
        <v>310097324</v>
      </c>
      <c r="D34" s="284">
        <f t="shared" si="1"/>
        <v>24372494</v>
      </c>
      <c r="E34" s="284">
        <f t="shared" si="1"/>
        <v>23240404</v>
      </c>
      <c r="F34" s="284">
        <f t="shared" si="1"/>
        <v>25911190</v>
      </c>
      <c r="G34" s="284">
        <f t="shared" si="1"/>
        <v>32656986</v>
      </c>
      <c r="H34" s="284">
        <f t="shared" si="1"/>
        <v>30417880</v>
      </c>
      <c r="I34" s="284">
        <f t="shared" si="1"/>
        <v>6197877</v>
      </c>
      <c r="J34" s="284">
        <f t="shared" si="1"/>
        <v>578393209</v>
      </c>
      <c r="K34" s="284">
        <f t="shared" si="1"/>
        <v>384423386</v>
      </c>
      <c r="L34" s="284">
        <f t="shared" si="1"/>
        <v>286748624</v>
      </c>
      <c r="M34" s="284">
        <f t="shared" ref="M34" si="2">SUM(M6:M33)</f>
        <v>159460113</v>
      </c>
      <c r="N34" s="284">
        <f t="shared" ref="N34" si="3">SUM(N6:N33)</f>
        <v>105893728</v>
      </c>
      <c r="O34" s="284">
        <f t="shared" ref="O34" si="4">SUM(O6:O33)</f>
        <v>130948039</v>
      </c>
      <c r="P34" s="284">
        <f t="shared" ref="P34" si="5">SUM(P6:P33)</f>
        <v>79273980</v>
      </c>
      <c r="Q34" s="284">
        <f t="shared" ref="Q34" si="6">SUM(Q6:Q33)</f>
        <v>46927137</v>
      </c>
      <c r="R34" s="284">
        <f t="shared" ref="R34" si="7">SUM(R6:R33)</f>
        <v>20142625</v>
      </c>
      <c r="S34" s="284">
        <f t="shared" ref="S34" si="8">SUM(S6:S33)</f>
        <v>30994025</v>
      </c>
      <c r="T34" s="284">
        <f t="shared" ref="T34" si="9">SUM(T6:T33)</f>
        <v>504017</v>
      </c>
      <c r="U34" s="284">
        <f t="shared" ref="U34" si="10">SUM(U6:U33)</f>
        <v>51640667</v>
      </c>
      <c r="V34" s="284">
        <f t="shared" ref="V34" si="11">SUM(V6:V33)</f>
        <v>195425049</v>
      </c>
      <c r="W34" s="284">
        <f t="shared" ref="W34" si="12">SUM(W6:W33)</f>
        <v>1608162960</v>
      </c>
      <c r="X34" s="284">
        <f t="shared" ref="X34" si="13">SUM(X6:X33)</f>
        <v>586038217</v>
      </c>
      <c r="Y34" s="284">
        <f t="shared" ref="Y34" si="14">SUM(Y6:Y33)</f>
        <v>251739359</v>
      </c>
      <c r="Z34" s="284">
        <f t="shared" ref="Z34" si="15">SUM(Z6:Z33)</f>
        <v>3367289</v>
      </c>
      <c r="AA34" s="284">
        <f t="shared" ref="AA34" si="16">SUM(AA6:AA33)</f>
        <v>36132037</v>
      </c>
      <c r="AB34" s="284">
        <f t="shared" ref="AB34" si="17">SUM(AB6:AB33)</f>
        <v>2680864911</v>
      </c>
      <c r="AC34" s="284">
        <f t="shared" ref="AC34" si="18">SUM(AC6:AC33)</f>
        <v>1010695644</v>
      </c>
      <c r="AD34" s="284">
        <f t="shared" ref="AD34" si="19">SUM(AD6:AD33)</f>
        <v>350542202</v>
      </c>
      <c r="AE34" s="291">
        <f>AVERAGE(AE6:AE32)</f>
        <v>30.486188961901068</v>
      </c>
      <c r="AF34" s="291">
        <f>AVERAGE(AF6:AF32)</f>
        <v>72.987891449739422</v>
      </c>
      <c r="AG34" s="291">
        <f>SUM(AG6:AG32)</f>
        <v>100</v>
      </c>
    </row>
  </sheetData>
  <mergeCells count="1">
    <mergeCell ref="B1:AG1"/>
  </mergeCells>
  <dataValidations count="1">
    <dataValidation type="list" allowBlank="1" showInputMessage="1" showErrorMessage="1" sqref="A3" xr:uid="{00000000-0002-0000-2300-000000000000}">
      <formula1>$A$6:$A$34</formula1>
    </dataValidation>
  </dataValidations>
  <pageMargins left="0.7" right="0.7" top="0.75" bottom="0.75" header="0.3" footer="0.3"/>
  <pageSetup orientation="portrait" horizontalDpi="4294967295" verticalDpi="4294967295" r:id="rId1"/>
  <ignoredErrors>
    <ignoredError sqref="B3:AD3 AE3:AG3" unlockedFormula="1"/>
  </ignoredErrors>
  <legacyDrawing r:id="rId2"/>
</worksheet>
</file>

<file path=xl/worksheets/sheet3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400-000000000000}">
  <sheetPr>
    <tabColor theme="8" tint="-0.249977111117893"/>
  </sheetPr>
  <dimension ref="A1:AE38"/>
  <sheetViews>
    <sheetView zoomScale="89" workbookViewId="0">
      <pane xSplit="1" topLeftCell="B1" activePane="topRight" state="frozen"/>
      <selection pane="topRight" activeCell="I38" sqref="I38"/>
    </sheetView>
  </sheetViews>
  <sheetFormatPr defaultRowHeight="12.75" x14ac:dyDescent="0.35"/>
  <cols>
    <col min="1" max="1" width="48.265625" bestFit="1" customWidth="1"/>
    <col min="2" max="2" width="15.3984375" bestFit="1" customWidth="1"/>
    <col min="3" max="3" width="15.265625" bestFit="1" customWidth="1"/>
    <col min="4" max="4" width="20.73046875" customWidth="1"/>
    <col min="5" max="5" width="15.265625" bestFit="1" customWidth="1"/>
    <col min="6" max="6" width="18.265625" customWidth="1"/>
    <col min="7" max="9" width="14.265625" bestFit="1" customWidth="1"/>
    <col min="10" max="10" width="17.3984375" bestFit="1" customWidth="1"/>
    <col min="11" max="11" width="15.265625" bestFit="1" customWidth="1"/>
    <col min="12" max="12" width="15.3984375" bestFit="1" customWidth="1"/>
    <col min="13" max="13" width="15.265625" bestFit="1" customWidth="1"/>
    <col min="14" max="16" width="15.3984375" bestFit="1" customWidth="1"/>
    <col min="17" max="17" width="22.3984375" customWidth="1"/>
    <col min="18" max="19" width="14.265625" bestFit="1" customWidth="1"/>
    <col min="20" max="20" width="14.73046875" bestFit="1" customWidth="1"/>
    <col min="21" max="21" width="15.3984375" bestFit="1" customWidth="1"/>
    <col min="22" max="22" width="15.265625" bestFit="1" customWidth="1"/>
    <col min="23" max="23" width="17.3984375" bestFit="1" customWidth="1"/>
    <col min="24" max="24" width="15.3984375" bestFit="1" customWidth="1"/>
    <col min="25" max="25" width="15.265625" bestFit="1" customWidth="1"/>
    <col min="26" max="27" width="17.3984375" bestFit="1" customWidth="1"/>
    <col min="28" max="28" width="15.265625" bestFit="1" customWidth="1"/>
    <col min="29" max="29" width="10.265625" customWidth="1"/>
    <col min="30" max="30" width="12.3984375" customWidth="1"/>
    <col min="31" max="31" width="11.265625" customWidth="1"/>
  </cols>
  <sheetData>
    <row r="1" spans="1:31" ht="23.25" x14ac:dyDescent="0.7">
      <c r="A1" s="285" t="s">
        <v>129</v>
      </c>
      <c r="B1" s="416" t="s">
        <v>92</v>
      </c>
      <c r="C1" s="416"/>
      <c r="D1" s="416"/>
      <c r="E1" s="416"/>
      <c r="F1" s="416"/>
      <c r="G1" s="416"/>
      <c r="H1" s="416"/>
      <c r="I1" s="416"/>
      <c r="J1" s="416"/>
      <c r="K1" s="416"/>
      <c r="L1" s="416"/>
      <c r="M1" s="416"/>
      <c r="N1" s="416"/>
      <c r="O1" s="416"/>
      <c r="P1" s="416"/>
      <c r="Q1" s="416"/>
      <c r="R1" s="416"/>
      <c r="S1" s="416"/>
      <c r="T1" s="416"/>
      <c r="U1" s="416"/>
      <c r="V1" s="416"/>
      <c r="W1" s="416"/>
      <c r="X1" s="416"/>
      <c r="Y1" s="416"/>
      <c r="Z1" s="416"/>
      <c r="AA1" s="416"/>
      <c r="AB1" s="416"/>
      <c r="AC1" s="416"/>
      <c r="AD1" s="416"/>
      <c r="AE1" s="416"/>
    </row>
    <row r="2" spans="1:31" ht="27" customHeight="1" x14ac:dyDescent="0.35">
      <c r="A2" s="279"/>
      <c r="B2" s="246" t="s">
        <v>100</v>
      </c>
      <c r="C2" s="246" t="s">
        <v>101</v>
      </c>
      <c r="D2" s="246" t="s">
        <v>102</v>
      </c>
      <c r="E2" s="246" t="s">
        <v>103</v>
      </c>
      <c r="F2" s="246" t="s">
        <v>104</v>
      </c>
      <c r="G2" s="246" t="s">
        <v>105</v>
      </c>
      <c r="H2" s="246" t="s">
        <v>106</v>
      </c>
      <c r="I2" s="246" t="s">
        <v>107</v>
      </c>
      <c r="J2" s="246" t="s">
        <v>108</v>
      </c>
      <c r="K2" s="246" t="s">
        <v>109</v>
      </c>
      <c r="L2" s="246" t="s">
        <v>110</v>
      </c>
      <c r="M2" s="254" t="s">
        <v>93</v>
      </c>
      <c r="N2" s="246" t="s">
        <v>111</v>
      </c>
      <c r="O2" s="246" t="s">
        <v>112</v>
      </c>
      <c r="P2" s="246" t="s">
        <v>113</v>
      </c>
      <c r="Q2" s="246" t="s">
        <v>97</v>
      </c>
      <c r="R2" s="246" t="s">
        <v>114</v>
      </c>
      <c r="S2" s="246" t="s">
        <v>115</v>
      </c>
      <c r="T2" s="246" t="s">
        <v>116</v>
      </c>
      <c r="U2" s="246" t="s">
        <v>117</v>
      </c>
      <c r="V2" s="246" t="s">
        <v>118</v>
      </c>
      <c r="W2" s="246" t="s">
        <v>119</v>
      </c>
      <c r="X2" s="246" t="s">
        <v>120</v>
      </c>
      <c r="Y2" s="254" t="s">
        <v>121</v>
      </c>
      <c r="Z2" s="246" t="s">
        <v>9</v>
      </c>
      <c r="AA2" s="246" t="s">
        <v>124</v>
      </c>
      <c r="AB2" s="246" t="s">
        <v>125</v>
      </c>
      <c r="AC2" s="288" t="s">
        <v>79</v>
      </c>
      <c r="AD2" s="288" t="s">
        <v>80</v>
      </c>
      <c r="AE2" s="288" t="s">
        <v>96</v>
      </c>
    </row>
    <row r="3" spans="1:31" ht="15.4" x14ac:dyDescent="0.45">
      <c r="A3" s="282" t="s">
        <v>23</v>
      </c>
      <c r="B3" s="278">
        <f t="shared" ref="B3:AE3" si="0">INDEX(B6:B35,MATCH($A$3,$A$6:$A$35,0))</f>
        <v>41686771</v>
      </c>
      <c r="C3" s="278">
        <f t="shared" si="0"/>
        <v>91505565</v>
      </c>
      <c r="D3" s="278">
        <f t="shared" si="0"/>
        <v>2659751</v>
      </c>
      <c r="E3" s="278">
        <f t="shared" si="0"/>
        <v>9687707</v>
      </c>
      <c r="F3" s="278">
        <f t="shared" si="0"/>
        <v>6210101</v>
      </c>
      <c r="G3" s="278">
        <f t="shared" si="0"/>
        <v>14192028</v>
      </c>
      <c r="H3" s="278">
        <f t="shared" si="0"/>
        <v>12572891</v>
      </c>
      <c r="I3" s="278">
        <f t="shared" si="0"/>
        <v>2792155</v>
      </c>
      <c r="J3" s="278">
        <f t="shared" si="0"/>
        <v>181306969</v>
      </c>
      <c r="K3" s="278">
        <f t="shared" si="0"/>
        <v>111573497</v>
      </c>
      <c r="L3" s="278">
        <f t="shared" si="0"/>
        <v>85403537</v>
      </c>
      <c r="M3" s="278">
        <f t="shared" si="0"/>
        <v>42386857</v>
      </c>
      <c r="N3" s="278">
        <f t="shared" si="0"/>
        <v>37408315</v>
      </c>
      <c r="O3" s="278">
        <f t="shared" si="0"/>
        <v>56566289</v>
      </c>
      <c r="P3" s="278">
        <f t="shared" si="0"/>
        <v>23208280</v>
      </c>
      <c r="Q3" s="278">
        <f t="shared" si="0"/>
        <v>14254295</v>
      </c>
      <c r="R3" s="278">
        <f t="shared" si="0"/>
        <v>5683228</v>
      </c>
      <c r="S3" s="278">
        <f t="shared" si="0"/>
        <v>14559290</v>
      </c>
      <c r="T3" s="278">
        <f t="shared" si="0"/>
        <v>-992546</v>
      </c>
      <c r="U3" s="278">
        <f t="shared" si="0"/>
        <v>19249972</v>
      </c>
      <c r="V3" s="278">
        <f t="shared" si="0"/>
        <v>35091376</v>
      </c>
      <c r="W3" s="278">
        <f t="shared" si="0"/>
        <v>224245482</v>
      </c>
      <c r="X3" s="278">
        <f t="shared" si="0"/>
        <v>96377769</v>
      </c>
      <c r="Y3" s="278">
        <f t="shared" si="0"/>
        <v>20103711</v>
      </c>
      <c r="Z3" s="278">
        <f t="shared" si="0"/>
        <v>384521150</v>
      </c>
      <c r="AA3" s="278">
        <f t="shared" si="0"/>
        <v>193297091</v>
      </c>
      <c r="AB3" s="278">
        <f t="shared" si="0"/>
        <v>35012805</v>
      </c>
      <c r="AC3" s="278">
        <f t="shared" si="0"/>
        <v>37.54</v>
      </c>
      <c r="AD3" s="278">
        <f t="shared" si="0"/>
        <v>56.76</v>
      </c>
      <c r="AE3" s="278">
        <f t="shared" si="0"/>
        <v>14.378771030264781</v>
      </c>
    </row>
    <row r="5" spans="1:31" ht="32.65" customHeight="1" x14ac:dyDescent="0.35">
      <c r="A5" s="281" t="s">
        <v>126</v>
      </c>
      <c r="B5" s="286" t="s">
        <v>100</v>
      </c>
      <c r="C5" s="286" t="s">
        <v>101</v>
      </c>
      <c r="D5" s="286" t="s">
        <v>102</v>
      </c>
      <c r="E5" s="286" t="s">
        <v>103</v>
      </c>
      <c r="F5" s="286" t="s">
        <v>127</v>
      </c>
      <c r="G5" s="293" t="s">
        <v>105</v>
      </c>
      <c r="H5" s="293" t="s">
        <v>106</v>
      </c>
      <c r="I5" s="293" t="s">
        <v>107</v>
      </c>
      <c r="J5" s="293" t="s">
        <v>108</v>
      </c>
      <c r="K5" s="286" t="s">
        <v>109</v>
      </c>
      <c r="L5" s="286" t="s">
        <v>110</v>
      </c>
      <c r="M5" s="286" t="s">
        <v>93</v>
      </c>
      <c r="N5" s="286" t="s">
        <v>111</v>
      </c>
      <c r="O5" s="286" t="s">
        <v>112</v>
      </c>
      <c r="P5" s="286" t="s">
        <v>113</v>
      </c>
      <c r="Q5" s="286" t="s">
        <v>97</v>
      </c>
      <c r="R5" s="286" t="s">
        <v>114</v>
      </c>
      <c r="S5" s="286" t="s">
        <v>115</v>
      </c>
      <c r="T5" s="286" t="s">
        <v>116</v>
      </c>
      <c r="U5" s="286" t="s">
        <v>117</v>
      </c>
      <c r="V5" s="286" t="s">
        <v>118</v>
      </c>
      <c r="W5" s="286" t="s">
        <v>119</v>
      </c>
      <c r="X5" s="286" t="s">
        <v>120</v>
      </c>
      <c r="Y5" s="286" t="s">
        <v>121</v>
      </c>
      <c r="Z5" s="286" t="s">
        <v>9</v>
      </c>
      <c r="AA5" s="286" t="s">
        <v>124</v>
      </c>
      <c r="AB5" s="286" t="s">
        <v>125</v>
      </c>
      <c r="AC5" s="287" t="s">
        <v>79</v>
      </c>
      <c r="AD5" s="287" t="s">
        <v>80</v>
      </c>
      <c r="AE5" s="287" t="s">
        <v>96</v>
      </c>
    </row>
    <row r="6" spans="1:31" ht="15.4" x14ac:dyDescent="0.45">
      <c r="A6" s="283" t="s">
        <v>20</v>
      </c>
      <c r="B6" s="294">
        <v>28087467</v>
      </c>
      <c r="C6" s="294">
        <v>10219746</v>
      </c>
      <c r="D6" s="294">
        <v>413594</v>
      </c>
      <c r="E6" s="294">
        <v>3426592</v>
      </c>
      <c r="F6" s="294">
        <v>1975655</v>
      </c>
      <c r="G6" s="294">
        <v>5898609</v>
      </c>
      <c r="H6" s="294">
        <v>2679309</v>
      </c>
      <c r="I6" s="294">
        <v>189538</v>
      </c>
      <c r="J6" s="294">
        <v>52890510</v>
      </c>
      <c r="K6" s="294">
        <v>17151073</v>
      </c>
      <c r="L6" s="294">
        <v>13596617</v>
      </c>
      <c r="M6" s="294">
        <v>10113254</v>
      </c>
      <c r="N6" s="294">
        <v>5416036</v>
      </c>
      <c r="O6" s="294">
        <v>13960801</v>
      </c>
      <c r="P6" s="294">
        <v>4644573</v>
      </c>
      <c r="Q6" s="294">
        <v>9800479</v>
      </c>
      <c r="R6" s="294">
        <v>4020259</v>
      </c>
      <c r="S6" s="294">
        <v>1976792</v>
      </c>
      <c r="T6" s="295">
        <v>0</v>
      </c>
      <c r="U6" s="294">
        <v>5997051</v>
      </c>
      <c r="V6" s="294">
        <v>28467158</v>
      </c>
      <c r="W6" s="294">
        <v>47742974</v>
      </c>
      <c r="X6" s="294">
        <v>22781168</v>
      </c>
      <c r="Y6" s="294">
        <v>21516286</v>
      </c>
      <c r="Z6" s="294">
        <v>121506031</v>
      </c>
      <c r="AA6" s="294">
        <v>27245975</v>
      </c>
      <c r="AB6" s="294">
        <v>47547281</v>
      </c>
      <c r="AC6" s="296">
        <v>23.15</v>
      </c>
      <c r="AD6" s="296">
        <v>59.67</v>
      </c>
      <c r="AE6" s="289">
        <f>100*(J6/$J$35)</f>
        <v>4.1945466142778534</v>
      </c>
    </row>
    <row r="7" spans="1:31" ht="15.4" x14ac:dyDescent="0.45">
      <c r="A7" s="283" t="s">
        <v>31</v>
      </c>
      <c r="B7" s="294">
        <v>2884237</v>
      </c>
      <c r="C7" s="294">
        <v>9341462</v>
      </c>
      <c r="D7" s="294">
        <v>90923</v>
      </c>
      <c r="E7" s="294">
        <v>1044272</v>
      </c>
      <c r="F7" s="294">
        <v>75817</v>
      </c>
      <c r="G7" s="294">
        <v>605434</v>
      </c>
      <c r="H7" s="294">
        <v>33889</v>
      </c>
      <c r="I7" s="294">
        <v>9524</v>
      </c>
      <c r="J7" s="294">
        <v>14085558</v>
      </c>
      <c r="K7" s="294">
        <v>10606430</v>
      </c>
      <c r="L7" s="294">
        <v>7740393</v>
      </c>
      <c r="M7" s="294">
        <v>3085930</v>
      </c>
      <c r="N7" s="294">
        <v>2581929</v>
      </c>
      <c r="O7" s="294">
        <v>7674039</v>
      </c>
      <c r="P7" s="294">
        <v>2102574</v>
      </c>
      <c r="Q7" s="294">
        <v>1114357</v>
      </c>
      <c r="R7" s="294">
        <v>-1401218</v>
      </c>
      <c r="S7" s="294">
        <v>2578737</v>
      </c>
      <c r="T7" s="294">
        <v>27067</v>
      </c>
      <c r="U7" s="294">
        <v>1204586</v>
      </c>
      <c r="V7" s="294">
        <v>4134705</v>
      </c>
      <c r="W7" s="294">
        <v>37762263</v>
      </c>
      <c r="X7" s="294">
        <v>6592318</v>
      </c>
      <c r="Y7" s="294">
        <v>4668953</v>
      </c>
      <c r="Z7" s="294">
        <v>53169587</v>
      </c>
      <c r="AA7" s="294">
        <v>16637132</v>
      </c>
      <c r="AB7" s="294">
        <v>1926841</v>
      </c>
      <c r="AC7" s="296">
        <v>29.16</v>
      </c>
      <c r="AD7" s="296">
        <v>86.67</v>
      </c>
      <c r="AE7" s="289">
        <f t="shared" ref="AE7:AE34" si="1">100*(J7/$J$35)</f>
        <v>1.1170724127847194</v>
      </c>
    </row>
    <row r="8" spans="1:31" ht="15.4" x14ac:dyDescent="0.45">
      <c r="A8" s="283" t="s">
        <v>22</v>
      </c>
      <c r="B8" s="294">
        <v>2094670</v>
      </c>
      <c r="C8" s="294">
        <v>24190757</v>
      </c>
      <c r="D8" s="294">
        <v>895230</v>
      </c>
      <c r="E8" s="280">
        <v>528911</v>
      </c>
      <c r="F8" s="294">
        <v>672176</v>
      </c>
      <c r="G8" s="280"/>
      <c r="H8" s="294">
        <v>632312</v>
      </c>
      <c r="I8" s="280"/>
      <c r="J8" s="294">
        <v>29014056</v>
      </c>
      <c r="K8" s="294">
        <v>24159764</v>
      </c>
      <c r="L8" s="294">
        <v>21673518</v>
      </c>
      <c r="M8" s="294">
        <v>17481610</v>
      </c>
      <c r="N8" s="294">
        <v>10112942</v>
      </c>
      <c r="O8" s="294">
        <v>11367048</v>
      </c>
      <c r="P8" s="294">
        <v>3150162</v>
      </c>
      <c r="Q8" s="294">
        <v>1982390</v>
      </c>
      <c r="R8" s="294">
        <v>2175918</v>
      </c>
      <c r="S8" s="294">
        <v>2858328</v>
      </c>
      <c r="T8" s="294">
        <v>333168</v>
      </c>
      <c r="U8" s="294">
        <v>5367414</v>
      </c>
      <c r="V8" s="294">
        <v>2883889</v>
      </c>
      <c r="W8" s="294">
        <v>50557607</v>
      </c>
      <c r="X8" s="294">
        <v>25529360</v>
      </c>
      <c r="Y8" s="294">
        <v>7960230</v>
      </c>
      <c r="Z8" s="294">
        <v>87705420</v>
      </c>
      <c r="AA8" s="294">
        <v>31735142</v>
      </c>
      <c r="AB8" s="294">
        <v>11655243</v>
      </c>
      <c r="AC8" s="296">
        <v>42.75</v>
      </c>
      <c r="AD8" s="296">
        <v>48.05</v>
      </c>
      <c r="AE8" s="289">
        <f t="shared" si="1"/>
        <v>2.3009952137211012</v>
      </c>
    </row>
    <row r="9" spans="1:31" ht="15.4" x14ac:dyDescent="0.45">
      <c r="A9" s="283" t="s">
        <v>23</v>
      </c>
      <c r="B9" s="294">
        <v>41686771</v>
      </c>
      <c r="C9" s="294">
        <v>91505565</v>
      </c>
      <c r="D9" s="294">
        <v>2659751</v>
      </c>
      <c r="E9" s="294">
        <v>9687707</v>
      </c>
      <c r="F9" s="294">
        <v>6210101</v>
      </c>
      <c r="G9" s="294">
        <v>14192028</v>
      </c>
      <c r="H9" s="294">
        <v>12572891</v>
      </c>
      <c r="I9" s="294">
        <v>2792155</v>
      </c>
      <c r="J9" s="294">
        <v>181306969</v>
      </c>
      <c r="K9" s="294">
        <v>111573497</v>
      </c>
      <c r="L9" s="294">
        <v>85403537</v>
      </c>
      <c r="M9" s="294">
        <v>42386857</v>
      </c>
      <c r="N9" s="294">
        <v>37408315</v>
      </c>
      <c r="O9" s="294">
        <v>56566289</v>
      </c>
      <c r="P9" s="294">
        <v>23208280</v>
      </c>
      <c r="Q9" s="294">
        <v>14254295</v>
      </c>
      <c r="R9" s="294">
        <v>5683228</v>
      </c>
      <c r="S9" s="294">
        <v>14559290</v>
      </c>
      <c r="T9" s="294">
        <v>-992546</v>
      </c>
      <c r="U9" s="294">
        <v>19249972</v>
      </c>
      <c r="V9" s="294">
        <v>35091376</v>
      </c>
      <c r="W9" s="294">
        <v>224245482</v>
      </c>
      <c r="X9" s="294">
        <v>96377769</v>
      </c>
      <c r="Y9" s="294">
        <v>20103711</v>
      </c>
      <c r="Z9" s="294">
        <v>384521150</v>
      </c>
      <c r="AA9" s="294">
        <v>193297091</v>
      </c>
      <c r="AB9" s="294">
        <v>35012805</v>
      </c>
      <c r="AC9" s="296">
        <v>37.54</v>
      </c>
      <c r="AD9" s="296">
        <v>56.76</v>
      </c>
      <c r="AE9" s="289">
        <f t="shared" si="1"/>
        <v>14.378771030264781</v>
      </c>
    </row>
    <row r="10" spans="1:31" ht="15.4" x14ac:dyDescent="0.45">
      <c r="A10" s="283" t="s">
        <v>90</v>
      </c>
      <c r="B10" s="294">
        <v>5710771</v>
      </c>
      <c r="C10" s="294">
        <v>23390640</v>
      </c>
      <c r="D10" s="294">
        <v>2953838</v>
      </c>
      <c r="E10" s="280">
        <v>927535</v>
      </c>
      <c r="F10" s="294">
        <v>1411212</v>
      </c>
      <c r="G10" s="280"/>
      <c r="H10" s="294">
        <v>1800676</v>
      </c>
      <c r="I10" s="280"/>
      <c r="J10" s="294">
        <v>36194672</v>
      </c>
      <c r="K10" s="294">
        <v>25960595</v>
      </c>
      <c r="L10" s="294">
        <v>24204926</v>
      </c>
      <c r="M10" s="294">
        <v>14382312</v>
      </c>
      <c r="N10" s="294">
        <v>7452686</v>
      </c>
      <c r="O10" s="294">
        <v>16871013</v>
      </c>
      <c r="P10" s="294">
        <v>4462647</v>
      </c>
      <c r="Q10" s="294">
        <v>3576884</v>
      </c>
      <c r="R10" s="294">
        <v>3458111</v>
      </c>
      <c r="S10" s="294">
        <v>2384793</v>
      </c>
      <c r="T10" s="294">
        <v>19542</v>
      </c>
      <c r="U10" s="294">
        <v>5862446</v>
      </c>
      <c r="V10" s="294">
        <v>2296991</v>
      </c>
      <c r="W10" s="294">
        <v>48025993</v>
      </c>
      <c r="X10" s="294">
        <v>22669939</v>
      </c>
      <c r="Y10" s="294">
        <v>11802785</v>
      </c>
      <c r="Z10" s="294">
        <v>87877043</v>
      </c>
      <c r="AA10" s="294">
        <v>40034643</v>
      </c>
      <c r="AB10" s="294">
        <v>5222491</v>
      </c>
      <c r="AC10" s="296">
        <v>26.83</v>
      </c>
      <c r="AD10" s="296">
        <v>60.73</v>
      </c>
      <c r="AE10" s="289">
        <f t="shared" si="1"/>
        <v>2.8704627520607646</v>
      </c>
    </row>
    <row r="11" spans="1:31" ht="15.4" x14ac:dyDescent="0.45">
      <c r="A11" s="283" t="s">
        <v>25</v>
      </c>
      <c r="B11" s="294">
        <v>17197006</v>
      </c>
      <c r="C11" s="294">
        <v>27349358</v>
      </c>
      <c r="D11" s="294">
        <v>12057825</v>
      </c>
      <c r="E11" s="294">
        <v>559163</v>
      </c>
      <c r="F11" s="280"/>
      <c r="G11" s="294">
        <v>3568727</v>
      </c>
      <c r="H11" s="280"/>
      <c r="I11" s="294">
        <v>2134595</v>
      </c>
      <c r="J11" s="294">
        <v>62866674</v>
      </c>
      <c r="K11" s="294">
        <v>32729789</v>
      </c>
      <c r="L11" s="294">
        <v>25678366</v>
      </c>
      <c r="M11" s="294">
        <v>12727543</v>
      </c>
      <c r="N11" s="294">
        <v>12727543</v>
      </c>
      <c r="O11" s="294">
        <v>18126141</v>
      </c>
      <c r="P11" s="294">
        <v>10901144</v>
      </c>
      <c r="Q11" s="294">
        <v>6739229</v>
      </c>
      <c r="R11" s="294">
        <v>1563911</v>
      </c>
      <c r="S11" s="294">
        <v>868168</v>
      </c>
      <c r="T11" s="294">
        <v>57000</v>
      </c>
      <c r="U11" s="294">
        <v>2489079</v>
      </c>
      <c r="V11" s="294">
        <v>7291984</v>
      </c>
      <c r="W11" s="294">
        <v>109282120</v>
      </c>
      <c r="X11" s="294">
        <v>50914565</v>
      </c>
      <c r="Y11" s="294">
        <v>24515160</v>
      </c>
      <c r="Z11" s="294">
        <v>192929013</v>
      </c>
      <c r="AA11" s="294">
        <v>79564845</v>
      </c>
      <c r="AB11" s="294">
        <v>25763346</v>
      </c>
      <c r="AC11" s="296">
        <v>39.26</v>
      </c>
      <c r="AD11" s="296">
        <v>55.91</v>
      </c>
      <c r="AE11" s="289">
        <f t="shared" si="1"/>
        <v>4.9857185074904651</v>
      </c>
    </row>
    <row r="12" spans="1:31" ht="15.4" x14ac:dyDescent="0.45">
      <c r="A12" s="283" t="s">
        <v>26</v>
      </c>
      <c r="B12" s="294">
        <v>43399169</v>
      </c>
      <c r="C12" s="294">
        <v>22449912</v>
      </c>
      <c r="D12" s="294">
        <v>623795</v>
      </c>
      <c r="E12" s="294">
        <v>22055806</v>
      </c>
      <c r="F12" s="294">
        <v>4326087</v>
      </c>
      <c r="G12" s="294">
        <v>2709454</v>
      </c>
      <c r="H12" s="294">
        <v>4788695</v>
      </c>
      <c r="I12" s="280"/>
      <c r="J12" s="294">
        <v>100352918</v>
      </c>
      <c r="K12" s="294">
        <v>43771323</v>
      </c>
      <c r="L12" s="294">
        <v>36712911</v>
      </c>
      <c r="M12" s="294">
        <v>23630693</v>
      </c>
      <c r="N12" s="294">
        <v>14386942</v>
      </c>
      <c r="O12" s="294">
        <v>37313782</v>
      </c>
      <c r="P12" s="294">
        <v>16244210</v>
      </c>
      <c r="Q12" s="294">
        <v>13968487</v>
      </c>
      <c r="R12" s="294">
        <v>-1019326</v>
      </c>
      <c r="S12" s="294">
        <v>1855240</v>
      </c>
      <c r="T12" s="294">
        <v>23696000</v>
      </c>
      <c r="U12" s="294">
        <v>24531914</v>
      </c>
      <c r="V12" s="294">
        <v>10006944</v>
      </c>
      <c r="W12" s="294">
        <v>110360680</v>
      </c>
      <c r="X12" s="294">
        <v>41776067</v>
      </c>
      <c r="Y12" s="294">
        <v>4661353</v>
      </c>
      <c r="Z12" s="294">
        <v>171292923</v>
      </c>
      <c r="AA12" s="294">
        <v>75521607</v>
      </c>
      <c r="AB12" s="294">
        <v>21838409</v>
      </c>
      <c r="AC12" s="296">
        <v>28.39</v>
      </c>
      <c r="AD12" s="296">
        <v>73.62</v>
      </c>
      <c r="AE12" s="289">
        <f t="shared" si="1"/>
        <v>7.9586109574251216</v>
      </c>
    </row>
    <row r="13" spans="1:31" ht="15.4" x14ac:dyDescent="0.45">
      <c r="A13" s="283" t="s">
        <v>27</v>
      </c>
      <c r="B13" s="294"/>
      <c r="C13" s="294"/>
      <c r="D13" s="280"/>
      <c r="E13" s="280"/>
      <c r="F13" s="280"/>
      <c r="G13" s="280"/>
      <c r="H13" s="280"/>
      <c r="I13" s="280"/>
      <c r="J13" s="280"/>
      <c r="K13" s="280"/>
      <c r="L13" s="280"/>
      <c r="M13" s="280"/>
      <c r="N13" s="280"/>
      <c r="O13" s="280"/>
      <c r="P13" s="280"/>
      <c r="Q13" s="280"/>
      <c r="R13" s="280"/>
      <c r="S13" s="280"/>
      <c r="T13" s="280"/>
      <c r="U13" s="280"/>
      <c r="V13" s="280"/>
      <c r="W13" s="280"/>
      <c r="X13" s="280"/>
      <c r="Y13" s="280"/>
      <c r="Z13" s="280"/>
      <c r="AA13" s="280"/>
      <c r="AB13" s="280"/>
      <c r="AC13" s="289"/>
      <c r="AD13" s="289"/>
      <c r="AE13" s="289">
        <f t="shared" si="1"/>
        <v>0</v>
      </c>
    </row>
    <row r="14" spans="1:31" ht="15.4" x14ac:dyDescent="0.45">
      <c r="A14" s="283" t="s">
        <v>128</v>
      </c>
      <c r="B14" s="294">
        <v>2042116</v>
      </c>
      <c r="C14" s="294">
        <v>10066505</v>
      </c>
      <c r="D14" s="294">
        <v>1960374</v>
      </c>
      <c r="E14" s="280">
        <v>320177</v>
      </c>
      <c r="F14" s="280"/>
      <c r="G14" s="280"/>
      <c r="H14" s="294">
        <v>355215</v>
      </c>
      <c r="I14" s="280"/>
      <c r="J14" s="294">
        <v>14744387</v>
      </c>
      <c r="K14" s="294">
        <v>11301871</v>
      </c>
      <c r="L14" s="294">
        <v>9274585</v>
      </c>
      <c r="M14" s="294">
        <v>7118491</v>
      </c>
      <c r="N14" s="294">
        <v>3782641</v>
      </c>
      <c r="O14" s="294">
        <v>7103080</v>
      </c>
      <c r="P14" s="294">
        <v>2206832</v>
      </c>
      <c r="Q14" s="294">
        <v>936829</v>
      </c>
      <c r="R14" s="294">
        <v>-674307</v>
      </c>
      <c r="S14" s="294">
        <v>2007014</v>
      </c>
      <c r="T14" s="294">
        <v>220220</v>
      </c>
      <c r="U14" s="294">
        <v>1552927</v>
      </c>
      <c r="V14" s="294">
        <v>1112186</v>
      </c>
      <c r="W14" s="294">
        <v>26369667</v>
      </c>
      <c r="X14" s="294">
        <v>12324976</v>
      </c>
      <c r="Y14" s="294">
        <v>8452207</v>
      </c>
      <c r="Z14" s="294">
        <v>49870192</v>
      </c>
      <c r="AA14" s="294">
        <v>24610663</v>
      </c>
      <c r="AB14" s="294">
        <v>6882841</v>
      </c>
      <c r="AC14" s="296">
        <v>37.04</v>
      </c>
      <c r="AD14" s="296">
        <v>69.56</v>
      </c>
      <c r="AE14" s="289">
        <f t="shared" si="1"/>
        <v>1.1693216527965489</v>
      </c>
    </row>
    <row r="15" spans="1:31" ht="15.4" x14ac:dyDescent="0.45">
      <c r="A15" s="283" t="s">
        <v>28</v>
      </c>
      <c r="B15" s="294">
        <v>59753531</v>
      </c>
      <c r="C15" s="294">
        <v>54510289</v>
      </c>
      <c r="D15" s="294">
        <v>4173451</v>
      </c>
      <c r="E15" s="294">
        <v>2517382</v>
      </c>
      <c r="F15" s="294">
        <v>874943</v>
      </c>
      <c r="G15" s="294">
        <v>7782209</v>
      </c>
      <c r="H15" s="294">
        <v>5026607</v>
      </c>
      <c r="I15" s="294">
        <v>4203605</v>
      </c>
      <c r="J15" s="294">
        <v>138842017</v>
      </c>
      <c r="K15" s="294">
        <v>67327543</v>
      </c>
      <c r="L15" s="294">
        <v>49022425</v>
      </c>
      <c r="M15" s="294">
        <v>23457365</v>
      </c>
      <c r="N15" s="294">
        <v>17487084</v>
      </c>
      <c r="O15" s="294">
        <v>36468091</v>
      </c>
      <c r="P15" s="294">
        <v>13784914</v>
      </c>
      <c r="Q15" s="294">
        <v>8998496</v>
      </c>
      <c r="R15" s="294">
        <v>4065746</v>
      </c>
      <c r="S15" s="294">
        <v>6961044</v>
      </c>
      <c r="T15" s="294">
        <v>331773</v>
      </c>
      <c r="U15" s="294">
        <v>11358563</v>
      </c>
      <c r="V15" s="294">
        <v>21750198</v>
      </c>
      <c r="W15" s="294">
        <v>122640879</v>
      </c>
      <c r="X15" s="294">
        <v>95346763</v>
      </c>
      <c r="Y15" s="294">
        <v>16095922</v>
      </c>
      <c r="Z15" s="294">
        <v>266878329</v>
      </c>
      <c r="AA15" s="294">
        <v>143209278</v>
      </c>
      <c r="AB15" s="294">
        <v>42032361</v>
      </c>
      <c r="AC15" s="296">
        <v>30.14</v>
      </c>
      <c r="AD15" s="296">
        <v>62.85</v>
      </c>
      <c r="AE15" s="289">
        <f t="shared" si="1"/>
        <v>11.011036050264179</v>
      </c>
    </row>
    <row r="16" spans="1:31" ht="15.4" x14ac:dyDescent="0.45">
      <c r="A16" s="283" t="s">
        <v>32</v>
      </c>
      <c r="B16" s="294">
        <v>4099682</v>
      </c>
      <c r="C16" s="294">
        <v>24785607</v>
      </c>
      <c r="D16" s="294">
        <v>934611</v>
      </c>
      <c r="E16" s="294">
        <v>252032</v>
      </c>
      <c r="F16" s="294">
        <v>9021468</v>
      </c>
      <c r="G16" s="294">
        <v>1031623</v>
      </c>
      <c r="H16" s="294">
        <v>8572909</v>
      </c>
      <c r="I16" s="280"/>
      <c r="J16" s="294">
        <v>48697932</v>
      </c>
      <c r="K16" s="294">
        <v>32729664</v>
      </c>
      <c r="L16" s="294">
        <v>29828771</v>
      </c>
      <c r="M16" s="294">
        <v>13134153</v>
      </c>
      <c r="N16" s="294">
        <v>10732412</v>
      </c>
      <c r="O16" s="294">
        <v>20094134</v>
      </c>
      <c r="P16" s="294">
        <v>7245671</v>
      </c>
      <c r="Q16" s="294">
        <v>4771281</v>
      </c>
      <c r="R16" s="294">
        <v>3773506</v>
      </c>
      <c r="S16" s="294">
        <v>2893754</v>
      </c>
      <c r="T16" s="294">
        <v>3414</v>
      </c>
      <c r="U16" s="294">
        <v>6670674</v>
      </c>
      <c r="V16" s="294">
        <v>17077038</v>
      </c>
      <c r="W16" s="294">
        <v>75335943</v>
      </c>
      <c r="X16" s="294">
        <v>20767888</v>
      </c>
      <c r="Y16" s="294">
        <v>3975520</v>
      </c>
      <c r="Z16" s="294">
        <v>117156389</v>
      </c>
      <c r="AA16" s="294">
        <v>44037030</v>
      </c>
      <c r="AB16" s="294">
        <v>22872024</v>
      </c>
      <c r="AC16" s="296">
        <v>31.02</v>
      </c>
      <c r="AD16" s="296">
        <v>58.08</v>
      </c>
      <c r="AE16" s="289">
        <f t="shared" si="1"/>
        <v>3.8620490857988155</v>
      </c>
    </row>
    <row r="17" spans="1:31" ht="15.4" x14ac:dyDescent="0.45">
      <c r="A17" s="283" t="s">
        <v>35</v>
      </c>
      <c r="B17" s="294">
        <v>1383669</v>
      </c>
      <c r="C17" s="294">
        <v>20205210</v>
      </c>
      <c r="D17" s="294">
        <v>973578</v>
      </c>
      <c r="E17" s="294">
        <v>379042</v>
      </c>
      <c r="F17" s="294">
        <v>210849</v>
      </c>
      <c r="G17" s="294">
        <v>194529</v>
      </c>
      <c r="H17" s="294">
        <v>1541682</v>
      </c>
      <c r="I17" s="280"/>
      <c r="J17" s="294">
        <v>24888559</v>
      </c>
      <c r="K17" s="294">
        <v>20850051</v>
      </c>
      <c r="L17" s="294">
        <v>17197764</v>
      </c>
      <c r="M17" s="294">
        <v>8606892</v>
      </c>
      <c r="N17" s="294">
        <v>8281420</v>
      </c>
      <c r="O17" s="294">
        <v>11735467</v>
      </c>
      <c r="P17" s="294">
        <v>3156911</v>
      </c>
      <c r="Q17" s="294">
        <v>980857</v>
      </c>
      <c r="R17" s="294">
        <v>-1838266</v>
      </c>
      <c r="S17" s="294">
        <v>2223692</v>
      </c>
      <c r="T17" s="294">
        <v>6464</v>
      </c>
      <c r="U17" s="294">
        <v>391890</v>
      </c>
      <c r="V17" s="294">
        <v>2235628</v>
      </c>
      <c r="W17" s="294">
        <v>53363857</v>
      </c>
      <c r="X17" s="294">
        <v>19512775</v>
      </c>
      <c r="Y17" s="294">
        <v>27292171</v>
      </c>
      <c r="Z17" s="294">
        <v>103382178</v>
      </c>
      <c r="AA17" s="294">
        <v>32349346</v>
      </c>
      <c r="AB17" s="294">
        <v>8727985</v>
      </c>
      <c r="AC17" s="296">
        <v>45.56</v>
      </c>
      <c r="AD17" s="296">
        <v>64.56</v>
      </c>
      <c r="AE17" s="289">
        <f t="shared" si="1"/>
        <v>1.9738176260297846</v>
      </c>
    </row>
    <row r="18" spans="1:31" ht="15.4" x14ac:dyDescent="0.45">
      <c r="A18" s="283" t="s">
        <v>33</v>
      </c>
      <c r="B18" s="294">
        <v>2160759</v>
      </c>
      <c r="C18" s="294">
        <v>25665460</v>
      </c>
      <c r="D18" s="294">
        <v>1154326</v>
      </c>
      <c r="E18" s="294">
        <v>407228</v>
      </c>
      <c r="F18" s="294">
        <v>2870264</v>
      </c>
      <c r="G18" s="294">
        <v>217217</v>
      </c>
      <c r="H18" s="294">
        <v>799083</v>
      </c>
      <c r="I18" s="294">
        <v>196387</v>
      </c>
      <c r="J18" s="294">
        <v>33470724</v>
      </c>
      <c r="K18" s="294">
        <v>27518366</v>
      </c>
      <c r="L18" s="294">
        <v>18641539</v>
      </c>
      <c r="M18" s="294">
        <v>7062019</v>
      </c>
      <c r="N18" s="294">
        <v>6923732</v>
      </c>
      <c r="O18" s="294">
        <v>13310019</v>
      </c>
      <c r="P18" s="294">
        <v>4470366</v>
      </c>
      <c r="Q18" s="294">
        <v>1994138</v>
      </c>
      <c r="R18" s="294">
        <v>401926</v>
      </c>
      <c r="S18" s="294">
        <v>359060</v>
      </c>
      <c r="T18" s="294">
        <v>1922267</v>
      </c>
      <c r="U18" s="294">
        <v>2683253</v>
      </c>
      <c r="V18" s="294">
        <v>811790</v>
      </c>
      <c r="W18" s="294">
        <v>49454718</v>
      </c>
      <c r="X18" s="294">
        <v>11673053</v>
      </c>
      <c r="Y18" s="294">
        <v>3627074</v>
      </c>
      <c r="Z18" s="294">
        <v>65566635</v>
      </c>
      <c r="AA18" s="294">
        <v>28932760</v>
      </c>
      <c r="AB18" s="294">
        <v>5937473</v>
      </c>
      <c r="AC18" s="296">
        <v>33.549999999999997</v>
      </c>
      <c r="AD18" s="296">
        <v>64.5</v>
      </c>
      <c r="AE18" s="289">
        <f t="shared" si="1"/>
        <v>2.6544367228001486</v>
      </c>
    </row>
    <row r="19" spans="1:31" ht="15.4" x14ac:dyDescent="0.45">
      <c r="A19" s="283" t="s">
        <v>36</v>
      </c>
      <c r="B19" s="294">
        <v>1637833</v>
      </c>
      <c r="C19" s="294">
        <v>21842616</v>
      </c>
      <c r="D19" s="294">
        <v>821759</v>
      </c>
      <c r="E19" s="294">
        <v>3536287</v>
      </c>
      <c r="F19" s="294">
        <v>1193151</v>
      </c>
      <c r="G19" s="294">
        <v>1059690</v>
      </c>
      <c r="H19" s="294">
        <v>3191135</v>
      </c>
      <c r="I19" s="294">
        <v>15689</v>
      </c>
      <c r="J19" s="294">
        <v>33298160</v>
      </c>
      <c r="K19" s="294">
        <v>21105117</v>
      </c>
      <c r="L19" s="294">
        <v>20531660</v>
      </c>
      <c r="M19" s="294">
        <v>16719625</v>
      </c>
      <c r="N19" s="294">
        <v>8917477</v>
      </c>
      <c r="O19" s="294">
        <v>12789339</v>
      </c>
      <c r="P19" s="294">
        <v>3405624</v>
      </c>
      <c r="Q19" s="294">
        <v>2228417</v>
      </c>
      <c r="R19" s="294">
        <v>1053261</v>
      </c>
      <c r="S19" s="294">
        <v>2697073</v>
      </c>
      <c r="T19" s="294">
        <v>3142</v>
      </c>
      <c r="U19" s="294">
        <v>3753476</v>
      </c>
      <c r="V19" s="294">
        <v>7808438</v>
      </c>
      <c r="W19" s="294">
        <v>43473825</v>
      </c>
      <c r="X19" s="294">
        <v>17942849</v>
      </c>
      <c r="Y19" s="294">
        <v>11957055</v>
      </c>
      <c r="Z19" s="294">
        <v>82229954</v>
      </c>
      <c r="AA19" s="294">
        <v>30480039</v>
      </c>
      <c r="AB19" s="294">
        <v>6304913</v>
      </c>
      <c r="AC19" s="296">
        <v>39.18</v>
      </c>
      <c r="AD19" s="296">
        <v>56.19</v>
      </c>
      <c r="AE19" s="289">
        <f t="shared" si="1"/>
        <v>2.6407513236246394</v>
      </c>
    </row>
    <row r="20" spans="1:31" ht="15.4" x14ac:dyDescent="0.45">
      <c r="A20" s="283" t="s">
        <v>62</v>
      </c>
      <c r="B20" s="294"/>
      <c r="C20" s="280"/>
      <c r="D20" s="280"/>
      <c r="E20" s="280"/>
      <c r="F20" s="280"/>
      <c r="G20" s="280"/>
      <c r="H20" s="280"/>
      <c r="I20" s="280"/>
      <c r="J20" s="280"/>
      <c r="K20" s="280"/>
      <c r="L20" s="280"/>
      <c r="M20" s="280"/>
      <c r="N20" s="280"/>
      <c r="O20" s="280"/>
      <c r="P20" s="280"/>
      <c r="Q20" s="280"/>
      <c r="R20" s="280"/>
      <c r="S20" s="280"/>
      <c r="T20" s="280"/>
      <c r="U20" s="280"/>
      <c r="V20" s="280"/>
      <c r="W20" s="280"/>
      <c r="X20" s="280"/>
      <c r="Y20" s="280"/>
      <c r="Z20" s="280"/>
      <c r="AA20" s="280"/>
      <c r="AB20" s="280"/>
      <c r="AC20" s="289"/>
      <c r="AD20" s="289"/>
      <c r="AE20" s="289">
        <f t="shared" si="1"/>
        <v>0</v>
      </c>
    </row>
    <row r="21" spans="1:31" ht="15.4" x14ac:dyDescent="0.45">
      <c r="A21" s="283" t="s">
        <v>39</v>
      </c>
      <c r="B21" s="294">
        <v>24362973</v>
      </c>
      <c r="C21" s="294">
        <v>54522828</v>
      </c>
      <c r="D21" s="294">
        <v>2616091</v>
      </c>
      <c r="E21" s="294">
        <v>8196225</v>
      </c>
      <c r="F21" s="294">
        <v>4080811</v>
      </c>
      <c r="G21" s="294">
        <v>12825407</v>
      </c>
      <c r="H21" s="294">
        <v>9619058</v>
      </c>
      <c r="I21" s="280"/>
      <c r="J21" s="294">
        <v>116223392</v>
      </c>
      <c r="K21" s="294">
        <v>93509319</v>
      </c>
      <c r="L21" s="294">
        <v>75467728</v>
      </c>
      <c r="M21" s="294">
        <v>41454319</v>
      </c>
      <c r="N21" s="294">
        <v>10003239</v>
      </c>
      <c r="O21" s="294">
        <v>67222296</v>
      </c>
      <c r="P21" s="294">
        <v>13323807</v>
      </c>
      <c r="Q21" s="294">
        <v>5103280</v>
      </c>
      <c r="R21" s="294">
        <v>3345473</v>
      </c>
      <c r="S21" s="294">
        <v>1716049</v>
      </c>
      <c r="T21" s="294">
        <v>8287081</v>
      </c>
      <c r="U21" s="294">
        <v>13348603</v>
      </c>
      <c r="V21" s="294">
        <v>65185166</v>
      </c>
      <c r="W21" s="294">
        <v>351562094</v>
      </c>
      <c r="X21" s="294">
        <v>56502528</v>
      </c>
      <c r="Y21" s="294">
        <v>88303460</v>
      </c>
      <c r="Z21" s="294">
        <v>561645976</v>
      </c>
      <c r="AA21" s="294">
        <v>163365756</v>
      </c>
      <c r="AB21" s="294">
        <v>86545506</v>
      </c>
      <c r="AC21" s="296">
        <v>12.42</v>
      </c>
      <c r="AD21" s="296">
        <v>83.43</v>
      </c>
      <c r="AE21" s="289">
        <f t="shared" si="1"/>
        <v>9.2172383176771735</v>
      </c>
    </row>
    <row r="22" spans="1:31" ht="15.4" x14ac:dyDescent="0.45">
      <c r="A22" s="283" t="s">
        <v>40</v>
      </c>
      <c r="B22" s="294">
        <v>27482522</v>
      </c>
      <c r="C22" s="294">
        <v>48447297</v>
      </c>
      <c r="D22" s="294">
        <v>7408133</v>
      </c>
      <c r="E22" s="294">
        <v>899609</v>
      </c>
      <c r="F22" s="294">
        <v>8049116</v>
      </c>
      <c r="G22" s="294">
        <v>5887927</v>
      </c>
      <c r="H22" s="294">
        <v>9353262</v>
      </c>
      <c r="I22" s="295">
        <v>0</v>
      </c>
      <c r="J22" s="294">
        <v>107527866</v>
      </c>
      <c r="K22" s="294">
        <v>71674986</v>
      </c>
      <c r="L22" s="294">
        <v>71229918</v>
      </c>
      <c r="M22" s="294">
        <v>44647344</v>
      </c>
      <c r="N22" s="294">
        <v>36892870</v>
      </c>
      <c r="O22" s="294">
        <v>40468819</v>
      </c>
      <c r="P22" s="294">
        <v>18305499</v>
      </c>
      <c r="Q22" s="294">
        <v>8059291</v>
      </c>
      <c r="R22" s="294">
        <v>1927520</v>
      </c>
      <c r="S22" s="294">
        <v>4586490</v>
      </c>
      <c r="T22" s="294">
        <v>14909</v>
      </c>
      <c r="U22" s="294">
        <v>6528919</v>
      </c>
      <c r="V22" s="294">
        <v>1457967</v>
      </c>
      <c r="W22" s="294">
        <v>436395710</v>
      </c>
      <c r="X22" s="294">
        <v>65173145</v>
      </c>
      <c r="Y22" s="294">
        <v>2976205</v>
      </c>
      <c r="Z22" s="294">
        <v>506003027</v>
      </c>
      <c r="AA22" s="294">
        <v>143056300</v>
      </c>
      <c r="AB22" s="294">
        <v>39121223</v>
      </c>
      <c r="AC22" s="296">
        <v>46.53</v>
      </c>
      <c r="AD22" s="296">
        <v>51.04</v>
      </c>
      <c r="AE22" s="289">
        <f t="shared" si="1"/>
        <v>8.5276289880892175</v>
      </c>
    </row>
    <row r="23" spans="1:31" ht="15.4" x14ac:dyDescent="0.45">
      <c r="A23" s="283" t="s">
        <v>41</v>
      </c>
      <c r="B23" s="294">
        <v>707203</v>
      </c>
      <c r="C23" s="294">
        <v>10544487</v>
      </c>
      <c r="D23" s="294">
        <v>477741</v>
      </c>
      <c r="E23" s="294">
        <v>207220</v>
      </c>
      <c r="F23" s="294">
        <v>652881</v>
      </c>
      <c r="G23" s="294">
        <v>249124</v>
      </c>
      <c r="H23" s="294">
        <v>82620</v>
      </c>
      <c r="I23" s="280"/>
      <c r="J23" s="294">
        <v>12921276</v>
      </c>
      <c r="K23" s="294">
        <v>11189512</v>
      </c>
      <c r="L23" s="294">
        <v>9911278</v>
      </c>
      <c r="M23" s="294">
        <v>4130516</v>
      </c>
      <c r="N23" s="294">
        <v>3361980</v>
      </c>
      <c r="O23" s="294">
        <v>6017571</v>
      </c>
      <c r="P23" s="294">
        <v>624698</v>
      </c>
      <c r="Q23" s="294">
        <v>608322</v>
      </c>
      <c r="R23" s="294">
        <v>1140049</v>
      </c>
      <c r="S23" s="294">
        <v>534663</v>
      </c>
      <c r="T23" s="294">
        <v>-2278321</v>
      </c>
      <c r="U23" s="294">
        <v>-603609</v>
      </c>
      <c r="V23" s="294">
        <v>466878</v>
      </c>
      <c r="W23" s="294">
        <v>28086112</v>
      </c>
      <c r="X23" s="294">
        <v>5592273</v>
      </c>
      <c r="Y23" s="294">
        <v>667793</v>
      </c>
      <c r="Z23" s="294">
        <v>35922705</v>
      </c>
      <c r="AA23" s="294">
        <v>13221018</v>
      </c>
      <c r="AB23" s="294">
        <v>1215444</v>
      </c>
      <c r="AC23" s="296">
        <v>31.96</v>
      </c>
      <c r="AD23" s="296">
        <v>57.2</v>
      </c>
      <c r="AE23" s="289">
        <f t="shared" si="1"/>
        <v>1.0247376041174434</v>
      </c>
    </row>
    <row r="24" spans="1:31" ht="15.4" x14ac:dyDescent="0.45">
      <c r="A24" s="283" t="s">
        <v>42</v>
      </c>
      <c r="B24" s="294">
        <v>11945670</v>
      </c>
      <c r="C24" s="294">
        <v>58586930</v>
      </c>
      <c r="D24" s="294">
        <v>6517796</v>
      </c>
      <c r="E24" s="294">
        <v>857443</v>
      </c>
      <c r="F24" s="294">
        <v>2472197</v>
      </c>
      <c r="G24" s="294">
        <v>5321842</v>
      </c>
      <c r="H24" s="294">
        <v>7934448</v>
      </c>
      <c r="I24" s="280"/>
      <c r="J24" s="294">
        <v>93636326</v>
      </c>
      <c r="K24" s="294">
        <v>62078653</v>
      </c>
      <c r="L24" s="294">
        <v>60378448</v>
      </c>
      <c r="M24" s="294">
        <v>33316751</v>
      </c>
      <c r="N24" s="294">
        <v>22656665</v>
      </c>
      <c r="O24" s="294">
        <v>35335409</v>
      </c>
      <c r="P24" s="294">
        <v>15250611</v>
      </c>
      <c r="Q24" s="294">
        <v>8474009</v>
      </c>
      <c r="R24" s="294">
        <v>10860382</v>
      </c>
      <c r="S24" s="294">
        <v>893848</v>
      </c>
      <c r="T24" s="295">
        <v>0</v>
      </c>
      <c r="U24" s="294">
        <v>11754230</v>
      </c>
      <c r="V24" s="294">
        <v>7428849</v>
      </c>
      <c r="W24" s="294">
        <v>113882880</v>
      </c>
      <c r="X24" s="294">
        <v>52266648</v>
      </c>
      <c r="Y24" s="294">
        <v>7593395</v>
      </c>
      <c r="Z24" s="294">
        <v>188905285</v>
      </c>
      <c r="AA24" s="294">
        <v>72277669</v>
      </c>
      <c r="AB24" s="294">
        <v>41870366</v>
      </c>
      <c r="AC24" s="296">
        <v>32.909999999999997</v>
      </c>
      <c r="AD24" s="296">
        <v>51.32</v>
      </c>
      <c r="AE24" s="289">
        <f t="shared" si="1"/>
        <v>7.4259434102018922</v>
      </c>
    </row>
    <row r="25" spans="1:31" ht="15.4" x14ac:dyDescent="0.45">
      <c r="A25" s="283" t="s">
        <v>21</v>
      </c>
      <c r="B25" s="294">
        <v>3794297</v>
      </c>
      <c r="C25" s="294">
        <v>17305000</v>
      </c>
      <c r="D25" s="294">
        <v>144637</v>
      </c>
      <c r="E25" s="294">
        <v>537311</v>
      </c>
      <c r="F25" s="280"/>
      <c r="G25" s="294">
        <v>3226643</v>
      </c>
      <c r="H25" s="294">
        <v>489689</v>
      </c>
      <c r="I25" s="294">
        <v>486629</v>
      </c>
      <c r="J25" s="294">
        <v>25984206</v>
      </c>
      <c r="K25" s="294">
        <v>19770982</v>
      </c>
      <c r="L25" s="294">
        <v>17821324</v>
      </c>
      <c r="M25" s="294">
        <v>3574719</v>
      </c>
      <c r="N25" s="294">
        <v>4697573</v>
      </c>
      <c r="O25" s="294">
        <v>17617229</v>
      </c>
      <c r="P25" s="294">
        <v>3959061</v>
      </c>
      <c r="Q25" s="294">
        <v>874743</v>
      </c>
      <c r="R25" s="294">
        <v>-3618735</v>
      </c>
      <c r="S25" s="294">
        <v>3740020</v>
      </c>
      <c r="T25" s="295">
        <v>0</v>
      </c>
      <c r="U25" s="294">
        <v>121285</v>
      </c>
      <c r="V25" s="294">
        <v>4393766</v>
      </c>
      <c r="W25" s="294">
        <v>68542464</v>
      </c>
      <c r="X25" s="294">
        <v>5842783</v>
      </c>
      <c r="Y25" s="294">
        <v>13292343</v>
      </c>
      <c r="Z25" s="294">
        <v>93746291</v>
      </c>
      <c r="AA25" s="294">
        <v>27689991</v>
      </c>
      <c r="AB25" s="294">
        <v>15632680</v>
      </c>
      <c r="AC25" s="296">
        <v>25.13</v>
      </c>
      <c r="AD25" s="296">
        <v>94.23</v>
      </c>
      <c r="AE25" s="289">
        <f t="shared" si="1"/>
        <v>2.060709252037809</v>
      </c>
    </row>
    <row r="26" spans="1:31" ht="15.4" x14ac:dyDescent="0.45">
      <c r="A26" s="283" t="s">
        <v>38</v>
      </c>
      <c r="B26" s="294">
        <v>6049865</v>
      </c>
      <c r="C26" s="294">
        <v>8651030</v>
      </c>
      <c r="D26" s="294">
        <v>998411</v>
      </c>
      <c r="E26" s="294">
        <v>791095</v>
      </c>
      <c r="F26" s="294">
        <v>147633</v>
      </c>
      <c r="G26" s="294">
        <v>2115226</v>
      </c>
      <c r="H26" s="294">
        <v>3313139</v>
      </c>
      <c r="I26" s="280"/>
      <c r="J26" s="294">
        <v>22066399</v>
      </c>
      <c r="K26" s="294">
        <v>9667571</v>
      </c>
      <c r="L26" s="294">
        <v>8501276</v>
      </c>
      <c r="M26" s="294">
        <v>4740044</v>
      </c>
      <c r="N26" s="294">
        <v>2311601</v>
      </c>
      <c r="O26" s="294">
        <v>8574672</v>
      </c>
      <c r="P26" s="294">
        <v>2355148</v>
      </c>
      <c r="Q26" s="294">
        <v>2133762</v>
      </c>
      <c r="R26" s="294">
        <v>-251235</v>
      </c>
      <c r="S26" s="294">
        <v>1038454</v>
      </c>
      <c r="T26" s="294">
        <v>111948</v>
      </c>
      <c r="U26" s="294">
        <v>899167</v>
      </c>
      <c r="V26" s="294">
        <v>3875584</v>
      </c>
      <c r="W26" s="294">
        <v>30067096</v>
      </c>
      <c r="X26" s="294">
        <v>15691867</v>
      </c>
      <c r="Y26" s="294">
        <v>1631292</v>
      </c>
      <c r="Z26" s="294">
        <v>53524580</v>
      </c>
      <c r="AA26" s="294">
        <v>24734133</v>
      </c>
      <c r="AB26" s="294">
        <v>9105788</v>
      </c>
      <c r="AC26" s="296">
        <v>21.74</v>
      </c>
      <c r="AD26" s="296">
        <v>80.63</v>
      </c>
      <c r="AE26" s="289">
        <f t="shared" si="1"/>
        <v>1.7500027739334372</v>
      </c>
    </row>
    <row r="27" spans="1:31" ht="15.4" x14ac:dyDescent="0.45">
      <c r="A27" s="283" t="s">
        <v>29</v>
      </c>
      <c r="B27" s="294">
        <v>1368355</v>
      </c>
      <c r="C27" s="294">
        <v>19097762</v>
      </c>
      <c r="D27" s="294">
        <v>240423</v>
      </c>
      <c r="E27" s="294">
        <v>221679</v>
      </c>
      <c r="F27" s="294">
        <v>1396291</v>
      </c>
      <c r="G27" s="294">
        <v>308036</v>
      </c>
      <c r="H27" s="294">
        <v>197459</v>
      </c>
      <c r="I27" s="294">
        <v>12902</v>
      </c>
      <c r="J27" s="294">
        <v>22842907</v>
      </c>
      <c r="K27" s="294">
        <v>20447409</v>
      </c>
      <c r="L27" s="294">
        <v>16524800</v>
      </c>
      <c r="M27" s="294">
        <v>8632280</v>
      </c>
      <c r="N27" s="294">
        <v>5076642</v>
      </c>
      <c r="O27" s="294">
        <v>9285070</v>
      </c>
      <c r="P27" s="294">
        <v>3057667</v>
      </c>
      <c r="Q27" s="294">
        <v>755694</v>
      </c>
      <c r="R27" s="294">
        <v>2918782</v>
      </c>
      <c r="S27" s="294">
        <v>1557528</v>
      </c>
      <c r="T27" s="294">
        <v>64970</v>
      </c>
      <c r="U27" s="294">
        <v>4541280</v>
      </c>
      <c r="V27" s="294">
        <v>2525192</v>
      </c>
      <c r="W27" s="294">
        <v>35444940</v>
      </c>
      <c r="X27" s="294">
        <v>8194648</v>
      </c>
      <c r="Y27" s="294">
        <v>27492647</v>
      </c>
      <c r="Z27" s="294">
        <v>78607533</v>
      </c>
      <c r="AA27" s="294">
        <v>23294254</v>
      </c>
      <c r="AB27" s="294">
        <v>8251627</v>
      </c>
      <c r="AC27" s="296">
        <v>29.38</v>
      </c>
      <c r="AD27" s="296">
        <v>53.73</v>
      </c>
      <c r="AE27" s="289">
        <f t="shared" si="1"/>
        <v>1.8115846910365181</v>
      </c>
    </row>
    <row r="28" spans="1:31" ht="15.4" x14ac:dyDescent="0.45">
      <c r="A28" s="283" t="s">
        <v>34</v>
      </c>
      <c r="B28" s="294">
        <v>368866</v>
      </c>
      <c r="C28" s="294">
        <v>21759874</v>
      </c>
      <c r="D28" s="294">
        <v>267622</v>
      </c>
      <c r="E28" s="294">
        <v>400</v>
      </c>
      <c r="F28" s="294">
        <v>663469</v>
      </c>
      <c r="G28" s="294">
        <v>1950</v>
      </c>
      <c r="H28" s="294">
        <v>74664</v>
      </c>
      <c r="I28" s="295">
        <v>0</v>
      </c>
      <c r="J28" s="294">
        <v>23136845</v>
      </c>
      <c r="K28" s="294">
        <v>21554147</v>
      </c>
      <c r="L28" s="294">
        <v>17871116</v>
      </c>
      <c r="M28" s="294">
        <v>1890150</v>
      </c>
      <c r="N28" s="294">
        <v>3337243</v>
      </c>
      <c r="O28" s="294">
        <v>11468196</v>
      </c>
      <c r="P28" s="294">
        <v>2917688</v>
      </c>
      <c r="Q28" s="294">
        <v>429225</v>
      </c>
      <c r="R28" s="294">
        <v>3494902</v>
      </c>
      <c r="S28" s="294">
        <v>1042668</v>
      </c>
      <c r="T28" s="295">
        <v>0</v>
      </c>
      <c r="U28" s="294">
        <v>4537570</v>
      </c>
      <c r="V28" s="294">
        <v>1870447</v>
      </c>
      <c r="W28" s="294">
        <v>31320519</v>
      </c>
      <c r="X28" s="294">
        <v>18605839</v>
      </c>
      <c r="Y28" s="294">
        <v>13452177</v>
      </c>
      <c r="Z28" s="294">
        <v>65248982</v>
      </c>
      <c r="AA28" s="294">
        <v>17568916</v>
      </c>
      <c r="AB28" s="294">
        <v>3889623</v>
      </c>
      <c r="AC28" s="296">
        <v>18.239999999999998</v>
      </c>
      <c r="AD28" s="296">
        <v>62.67</v>
      </c>
      <c r="AE28" s="289">
        <f t="shared" si="1"/>
        <v>1.8348958037996128</v>
      </c>
    </row>
    <row r="29" spans="1:31" ht="15.4" x14ac:dyDescent="0.45">
      <c r="A29" s="283" t="s">
        <v>46</v>
      </c>
      <c r="B29" s="294">
        <v>896965</v>
      </c>
      <c r="C29" s="294">
        <v>7848796</v>
      </c>
      <c r="D29" s="294">
        <v>803567</v>
      </c>
      <c r="E29" s="294">
        <v>123839</v>
      </c>
      <c r="F29" s="280"/>
      <c r="G29" s="294">
        <v>1826822</v>
      </c>
      <c r="H29" s="294">
        <v>213297</v>
      </c>
      <c r="I29" s="280"/>
      <c r="J29" s="294">
        <v>11713286</v>
      </c>
      <c r="K29" s="294">
        <v>9184425</v>
      </c>
      <c r="L29" s="294">
        <v>8103488</v>
      </c>
      <c r="M29" s="294">
        <v>3675981</v>
      </c>
      <c r="N29" s="294">
        <v>1714763</v>
      </c>
      <c r="O29" s="294">
        <v>7026214</v>
      </c>
      <c r="P29" s="294">
        <v>1705444</v>
      </c>
      <c r="Q29" s="294">
        <v>793019</v>
      </c>
      <c r="R29" s="294">
        <v>155530</v>
      </c>
      <c r="S29" s="294">
        <v>1340268</v>
      </c>
      <c r="T29" s="294">
        <v>19181</v>
      </c>
      <c r="U29" s="294">
        <v>1514979</v>
      </c>
      <c r="V29" s="294">
        <v>1311055</v>
      </c>
      <c r="W29" s="294">
        <v>20020492</v>
      </c>
      <c r="X29" s="294">
        <v>7008101</v>
      </c>
      <c r="Y29" s="294">
        <v>1468387</v>
      </c>
      <c r="Z29" s="294">
        <v>29808035</v>
      </c>
      <c r="AA29" s="294">
        <v>8434297</v>
      </c>
      <c r="AB29" s="294">
        <v>3623335</v>
      </c>
      <c r="AC29" s="296">
        <v>19.27</v>
      </c>
      <c r="AD29" s="296">
        <v>78.98</v>
      </c>
      <c r="AE29" s="289">
        <f t="shared" si="1"/>
        <v>0.92893647902748855</v>
      </c>
    </row>
    <row r="30" spans="1:31" ht="15.4" x14ac:dyDescent="0.45">
      <c r="A30" s="283" t="s">
        <v>60</v>
      </c>
      <c r="B30" s="294">
        <v>657166</v>
      </c>
      <c r="C30" s="294">
        <v>7587248</v>
      </c>
      <c r="D30" s="294">
        <v>1480313</v>
      </c>
      <c r="E30" s="280">
        <v>37438</v>
      </c>
      <c r="F30" s="294">
        <v>1700510</v>
      </c>
      <c r="G30" s="280"/>
      <c r="H30" s="294">
        <v>392688</v>
      </c>
      <c r="I30" s="280"/>
      <c r="J30" s="294">
        <v>11855363</v>
      </c>
      <c r="K30" s="294">
        <v>9462883</v>
      </c>
      <c r="L30" s="294">
        <v>8667073</v>
      </c>
      <c r="M30" s="294">
        <v>2259655</v>
      </c>
      <c r="N30" s="294">
        <v>1893694</v>
      </c>
      <c r="O30" s="294">
        <v>6539412</v>
      </c>
      <c r="P30" s="294">
        <v>1001526</v>
      </c>
      <c r="Q30" s="280"/>
      <c r="R30" s="294">
        <v>233967</v>
      </c>
      <c r="S30" s="294">
        <v>860093</v>
      </c>
      <c r="T30" s="295">
        <v>0</v>
      </c>
      <c r="U30" s="294">
        <v>1094060</v>
      </c>
      <c r="V30" s="294">
        <v>882684</v>
      </c>
      <c r="W30" s="294">
        <v>21321244</v>
      </c>
      <c r="X30" s="294">
        <v>7019334</v>
      </c>
      <c r="Y30" s="294">
        <v>1638502</v>
      </c>
      <c r="Z30" s="294">
        <v>32252167</v>
      </c>
      <c r="AA30" s="294">
        <v>13102791</v>
      </c>
      <c r="AB30" s="294">
        <v>4668706</v>
      </c>
      <c r="AC30" s="296">
        <v>21.85</v>
      </c>
      <c r="AD30" s="296">
        <v>75.45</v>
      </c>
      <c r="AE30" s="289">
        <f t="shared" si="1"/>
        <v>0.94020406936300915</v>
      </c>
    </row>
    <row r="31" spans="1:31" ht="15.4" x14ac:dyDescent="0.45">
      <c r="A31" s="283" t="s">
        <v>69</v>
      </c>
      <c r="B31" s="294">
        <v>62583</v>
      </c>
      <c r="C31" s="294">
        <v>10227944</v>
      </c>
      <c r="D31" s="280"/>
      <c r="E31" s="294"/>
      <c r="F31" s="294">
        <v>75962</v>
      </c>
      <c r="G31" s="294">
        <v>398114</v>
      </c>
      <c r="H31" s="294">
        <v>129030</v>
      </c>
      <c r="I31" s="280"/>
      <c r="J31" s="294">
        <v>10893633</v>
      </c>
      <c r="K31" s="294">
        <v>9776731</v>
      </c>
      <c r="L31" s="294">
        <v>8567676</v>
      </c>
      <c r="M31" s="294">
        <v>1504761</v>
      </c>
      <c r="N31" s="294">
        <v>1480822</v>
      </c>
      <c r="O31" s="294">
        <v>5693367</v>
      </c>
      <c r="P31" s="294">
        <v>2337078</v>
      </c>
      <c r="Q31" s="294">
        <v>429556</v>
      </c>
      <c r="R31" s="294">
        <v>1823043</v>
      </c>
      <c r="S31" s="294">
        <v>1400053</v>
      </c>
      <c r="T31" s="294">
        <v>1577</v>
      </c>
      <c r="U31" s="294">
        <v>3224673</v>
      </c>
      <c r="V31" s="294">
        <v>1496935</v>
      </c>
      <c r="W31" s="294">
        <v>29507773</v>
      </c>
      <c r="X31" s="294">
        <v>2200484</v>
      </c>
      <c r="Y31" s="294">
        <v>16795047</v>
      </c>
      <c r="Z31" s="294">
        <v>50024353</v>
      </c>
      <c r="AA31" s="294">
        <v>5765865</v>
      </c>
      <c r="AB31" s="294">
        <v>905010</v>
      </c>
      <c r="AC31" s="296">
        <v>16.46</v>
      </c>
      <c r="AD31" s="296">
        <v>63.28</v>
      </c>
      <c r="AE31" s="289">
        <f t="shared" si="1"/>
        <v>0.86393289490563596</v>
      </c>
    </row>
    <row r="32" spans="1:31" ht="15.4" x14ac:dyDescent="0.45">
      <c r="A32" s="283" t="s">
        <v>70</v>
      </c>
      <c r="B32" s="294"/>
      <c r="C32" s="294"/>
      <c r="D32" s="280"/>
      <c r="E32" s="280"/>
      <c r="F32" s="280"/>
      <c r="G32" s="280"/>
      <c r="H32" s="280"/>
      <c r="I32" s="280"/>
      <c r="J32" s="280"/>
      <c r="K32" s="280"/>
      <c r="L32" s="280"/>
      <c r="M32" s="280"/>
      <c r="N32" s="280"/>
      <c r="O32" s="280"/>
      <c r="P32" s="280"/>
      <c r="Q32" s="280"/>
      <c r="R32" s="280"/>
      <c r="S32" s="280"/>
      <c r="T32" s="280"/>
      <c r="U32" s="280"/>
      <c r="V32" s="280"/>
      <c r="W32" s="280"/>
      <c r="X32" s="280"/>
      <c r="Y32" s="280"/>
      <c r="Z32" s="280"/>
      <c r="AA32" s="280"/>
      <c r="AB32" s="280"/>
      <c r="AC32" s="289"/>
      <c r="AD32" s="289"/>
      <c r="AE32" s="289">
        <f t="shared" si="1"/>
        <v>0</v>
      </c>
    </row>
    <row r="33" spans="1:31" ht="15.4" x14ac:dyDescent="0.45">
      <c r="A33" s="283" t="s">
        <v>87</v>
      </c>
      <c r="B33" s="294">
        <v>191494</v>
      </c>
      <c r="C33" s="294">
        <v>1958759</v>
      </c>
      <c r="D33" s="294">
        <v>104371</v>
      </c>
      <c r="E33" s="294">
        <v>0</v>
      </c>
      <c r="F33" s="294">
        <v>54189</v>
      </c>
      <c r="G33" s="294">
        <v>15460</v>
      </c>
      <c r="H33" s="294">
        <v>8073</v>
      </c>
      <c r="I33" s="280"/>
      <c r="J33" s="294">
        <v>2332346</v>
      </c>
      <c r="K33" s="294">
        <v>2086178</v>
      </c>
      <c r="L33" s="294">
        <v>1585783</v>
      </c>
      <c r="M33" s="294">
        <v>191308</v>
      </c>
      <c r="N33" s="294">
        <v>191308</v>
      </c>
      <c r="O33" s="294">
        <v>2066604</v>
      </c>
      <c r="P33" s="294">
        <v>240179</v>
      </c>
      <c r="Q33" s="294">
        <v>78944</v>
      </c>
      <c r="R33" s="294">
        <v>-593184</v>
      </c>
      <c r="S33" s="294">
        <v>53304</v>
      </c>
      <c r="T33" s="295">
        <v>0</v>
      </c>
      <c r="U33" s="294">
        <v>-539880</v>
      </c>
      <c r="V33" s="294">
        <v>122128</v>
      </c>
      <c r="W33" s="294">
        <v>2514629</v>
      </c>
      <c r="X33" s="294">
        <v>21643460</v>
      </c>
      <c r="Y33" s="294">
        <v>8557389</v>
      </c>
      <c r="Z33" s="294">
        <v>34076437</v>
      </c>
      <c r="AA33" s="294">
        <v>2036704</v>
      </c>
      <c r="AB33" s="294">
        <v>5270176</v>
      </c>
      <c r="AC33" s="290">
        <v>11.49</v>
      </c>
      <c r="AD33" s="290">
        <v>124.14</v>
      </c>
      <c r="AE33" s="289">
        <f t="shared" si="1"/>
        <v>0.18496955347234301</v>
      </c>
    </row>
    <row r="34" spans="1:31" ht="15.4" x14ac:dyDescent="0.45">
      <c r="A34" s="283" t="s">
        <v>77</v>
      </c>
      <c r="B34" s="294">
        <v>6491008</v>
      </c>
      <c r="C34" s="294">
        <v>16153062</v>
      </c>
      <c r="D34" s="294">
        <v>936507</v>
      </c>
      <c r="E34" s="280">
        <v>6634</v>
      </c>
      <c r="F34" s="294">
        <v>1084864</v>
      </c>
      <c r="G34" s="280"/>
      <c r="H34" s="294">
        <v>4476032</v>
      </c>
      <c r="I34" s="280"/>
      <c r="J34" s="294">
        <v>29148106</v>
      </c>
      <c r="K34" s="294">
        <v>17307375</v>
      </c>
      <c r="L34" s="294">
        <v>13549015</v>
      </c>
      <c r="M34" s="294">
        <v>3982783</v>
      </c>
      <c r="N34" s="294">
        <v>2567868</v>
      </c>
      <c r="O34" s="294">
        <v>12581987</v>
      </c>
      <c r="P34" s="294">
        <v>3017099</v>
      </c>
      <c r="Q34" s="294">
        <v>2030577</v>
      </c>
      <c r="R34" s="294">
        <v>429736</v>
      </c>
      <c r="S34" s="294">
        <v>3866535</v>
      </c>
      <c r="T34" s="295">
        <v>0</v>
      </c>
      <c r="U34" s="294">
        <v>4296271</v>
      </c>
      <c r="V34" s="294">
        <v>1269566</v>
      </c>
      <c r="W34" s="294">
        <v>50516890</v>
      </c>
      <c r="X34" s="294">
        <v>18178549</v>
      </c>
      <c r="Y34" s="294">
        <v>4013525</v>
      </c>
      <c r="Z34" s="294">
        <v>73978530</v>
      </c>
      <c r="AA34" s="294">
        <v>17820955</v>
      </c>
      <c r="AB34" s="294">
        <v>4084281</v>
      </c>
      <c r="AC34" s="290">
        <v>16.48</v>
      </c>
      <c r="AD34" s="290">
        <v>80.760000000000005</v>
      </c>
      <c r="AE34" s="289">
        <f t="shared" si="1"/>
        <v>2.3116262129994962</v>
      </c>
    </row>
    <row r="35" spans="1:31" ht="15.4" x14ac:dyDescent="0.45">
      <c r="A35" s="283" t="s">
        <v>44</v>
      </c>
      <c r="B35" s="284">
        <f>SUM(B6:B34)</f>
        <v>296516648</v>
      </c>
      <c r="C35" s="284">
        <f t="shared" ref="C35:AB35" si="2">SUM(C6:C34)</f>
        <v>648214144</v>
      </c>
      <c r="D35" s="284">
        <f t="shared" si="2"/>
        <v>51708667</v>
      </c>
      <c r="E35" s="284">
        <f t="shared" si="2"/>
        <v>57521027</v>
      </c>
      <c r="F35" s="284">
        <f t="shared" si="2"/>
        <v>49219646</v>
      </c>
      <c r="G35" s="284">
        <f t="shared" si="2"/>
        <v>69436071</v>
      </c>
      <c r="H35" s="284">
        <f t="shared" si="2"/>
        <v>78277862</v>
      </c>
      <c r="I35" s="284">
        <f t="shared" si="2"/>
        <v>10041024</v>
      </c>
      <c r="J35" s="284">
        <f t="shared" si="2"/>
        <v>1260935087</v>
      </c>
      <c r="K35" s="284">
        <f t="shared" si="2"/>
        <v>804495254</v>
      </c>
      <c r="L35" s="284">
        <f t="shared" si="2"/>
        <v>677685935</v>
      </c>
      <c r="M35" s="284">
        <f t="shared" si="2"/>
        <v>353907355</v>
      </c>
      <c r="N35" s="284">
        <f t="shared" si="2"/>
        <v>242397427</v>
      </c>
      <c r="O35" s="284">
        <f t="shared" si="2"/>
        <v>493276089</v>
      </c>
      <c r="P35" s="284">
        <f t="shared" si="2"/>
        <v>167079413</v>
      </c>
      <c r="Q35" s="284">
        <f t="shared" si="2"/>
        <v>101116561</v>
      </c>
      <c r="R35" s="284">
        <f t="shared" si="2"/>
        <v>43128979</v>
      </c>
      <c r="S35" s="284">
        <f t="shared" si="2"/>
        <v>66852958</v>
      </c>
      <c r="T35" s="284">
        <f t="shared" si="2"/>
        <v>31848856</v>
      </c>
      <c r="U35" s="284">
        <f t="shared" si="2"/>
        <v>141830793</v>
      </c>
      <c r="V35" s="284">
        <f t="shared" si="2"/>
        <v>233254542</v>
      </c>
      <c r="W35" s="284">
        <f t="shared" si="2"/>
        <v>2217798851</v>
      </c>
      <c r="X35" s="284">
        <f t="shared" si="2"/>
        <v>728129149</v>
      </c>
      <c r="Y35" s="284">
        <f t="shared" si="2"/>
        <v>354510589</v>
      </c>
      <c r="Z35" s="284">
        <f t="shared" si="2"/>
        <v>3587828745</v>
      </c>
      <c r="AA35" s="284">
        <f t="shared" si="2"/>
        <v>1300024200</v>
      </c>
      <c r="AB35" s="284">
        <f t="shared" si="2"/>
        <v>465907778</v>
      </c>
      <c r="AC35" s="291">
        <f>AVERAGE(AC6:AC34)</f>
        <v>28.747307692307693</v>
      </c>
      <c r="AD35" s="291">
        <f>AVERAGE(AD6:AD34)</f>
        <v>68.231153846153859</v>
      </c>
      <c r="AE35" s="291">
        <f>SUM(AE6:AE34)</f>
        <v>100</v>
      </c>
    </row>
    <row r="38" spans="1:31" x14ac:dyDescent="0.35">
      <c r="I38" s="297"/>
    </row>
  </sheetData>
  <mergeCells count="1">
    <mergeCell ref="B1:AE1"/>
  </mergeCells>
  <dataValidations count="1">
    <dataValidation type="list" allowBlank="1" showInputMessage="1" showErrorMessage="1" sqref="A3" xr:uid="{00000000-0002-0000-2400-000000000000}">
      <formula1>$A$6:$A$35</formula1>
    </dataValidation>
  </dataValidations>
  <pageMargins left="0.7" right="0.7" top="0.75" bottom="0.75" header="0.3" footer="0.3"/>
  <pageSetup orientation="portrait" horizontalDpi="4294967295" verticalDpi="4294967295" r:id="rId1"/>
  <customProperties>
    <customPr name="LastActive" r:id="rId2"/>
  </customProperties>
  <ignoredErrors>
    <ignoredError sqref="B3:O3" unlockedFormula="1"/>
  </ignoredErrors>
  <legacyDrawing r:id="rId3"/>
</worksheet>
</file>

<file path=xl/worksheets/sheet3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500-000000000000}">
  <sheetPr>
    <tabColor theme="8" tint="-0.249977111117893"/>
  </sheetPr>
  <dimension ref="A1:AE35"/>
  <sheetViews>
    <sheetView topLeftCell="A4" zoomScale="89" workbookViewId="0">
      <pane xSplit="1" topLeftCell="T1" activePane="topRight" state="frozen"/>
      <selection pane="topRight" activeCell="AD14" sqref="AD14"/>
    </sheetView>
  </sheetViews>
  <sheetFormatPr defaultRowHeight="12.75" x14ac:dyDescent="0.35"/>
  <cols>
    <col min="1" max="1" width="48.265625" bestFit="1" customWidth="1"/>
    <col min="2" max="2" width="15.3984375" bestFit="1" customWidth="1"/>
    <col min="3" max="3" width="15.265625" bestFit="1" customWidth="1"/>
    <col min="4" max="4" width="20.73046875" customWidth="1"/>
    <col min="5" max="5" width="15.265625" bestFit="1" customWidth="1"/>
    <col min="6" max="6" width="18.265625" customWidth="1"/>
    <col min="7" max="7" width="14.265625" bestFit="1" customWidth="1"/>
    <col min="8" max="8" width="15.3984375" bestFit="1" customWidth="1"/>
    <col min="9" max="9" width="14.265625" bestFit="1" customWidth="1"/>
    <col min="10" max="11" width="17.3984375" bestFit="1" customWidth="1"/>
    <col min="12" max="12" width="15.3984375" bestFit="1" customWidth="1"/>
    <col min="13" max="13" width="15.265625" bestFit="1" customWidth="1"/>
    <col min="14" max="16" width="15.3984375" bestFit="1" customWidth="1"/>
    <col min="17" max="17" width="22.3984375" customWidth="1"/>
    <col min="18" max="18" width="14.265625" bestFit="1" customWidth="1"/>
    <col min="19" max="19" width="17.3984375" bestFit="1" customWidth="1"/>
    <col min="20" max="20" width="14.73046875" bestFit="1" customWidth="1"/>
    <col min="21" max="21" width="15.3984375" bestFit="1" customWidth="1"/>
    <col min="22" max="22" width="15.265625" bestFit="1" customWidth="1"/>
    <col min="23" max="23" width="17.3984375" bestFit="1" customWidth="1"/>
    <col min="24" max="24" width="15.3984375" bestFit="1" customWidth="1"/>
    <col min="25" max="25" width="15.265625" bestFit="1" customWidth="1"/>
    <col min="26" max="27" width="17.3984375" bestFit="1" customWidth="1"/>
    <col min="28" max="28" width="15.265625" bestFit="1" customWidth="1"/>
    <col min="29" max="29" width="10.265625" customWidth="1"/>
    <col min="30" max="30" width="12.3984375" customWidth="1"/>
    <col min="31" max="31" width="11.265625" customWidth="1"/>
  </cols>
  <sheetData>
    <row r="1" spans="1:31" ht="23.25" x14ac:dyDescent="0.7">
      <c r="A1" s="285" t="s">
        <v>130</v>
      </c>
      <c r="B1" s="416" t="s">
        <v>92</v>
      </c>
      <c r="C1" s="416"/>
      <c r="D1" s="416"/>
      <c r="E1" s="416"/>
      <c r="F1" s="416"/>
      <c r="G1" s="416"/>
      <c r="H1" s="416"/>
      <c r="I1" s="416"/>
      <c r="J1" s="416"/>
      <c r="K1" s="416"/>
      <c r="L1" s="416"/>
      <c r="M1" s="416"/>
      <c r="N1" s="416"/>
      <c r="O1" s="416"/>
      <c r="P1" s="416"/>
      <c r="Q1" s="416"/>
      <c r="R1" s="416"/>
      <c r="S1" s="416"/>
      <c r="T1" s="416"/>
      <c r="U1" s="416"/>
      <c r="V1" s="416"/>
      <c r="W1" s="416"/>
      <c r="X1" s="416"/>
      <c r="Y1" s="416"/>
      <c r="Z1" s="416"/>
      <c r="AA1" s="416"/>
      <c r="AB1" s="416"/>
      <c r="AC1" s="416"/>
      <c r="AD1" s="416"/>
      <c r="AE1" s="416"/>
    </row>
    <row r="2" spans="1:31" ht="27" customHeight="1" x14ac:dyDescent="0.35">
      <c r="A2" s="279"/>
      <c r="B2" s="246" t="s">
        <v>100</v>
      </c>
      <c r="C2" s="246" t="s">
        <v>101</v>
      </c>
      <c r="D2" s="246" t="s">
        <v>102</v>
      </c>
      <c r="E2" s="246" t="s">
        <v>103</v>
      </c>
      <c r="F2" s="246" t="s">
        <v>104</v>
      </c>
      <c r="G2" s="246" t="s">
        <v>105</v>
      </c>
      <c r="H2" s="246" t="s">
        <v>106</v>
      </c>
      <c r="I2" s="246" t="s">
        <v>107</v>
      </c>
      <c r="J2" s="246" t="s">
        <v>108</v>
      </c>
      <c r="K2" s="246" t="s">
        <v>109</v>
      </c>
      <c r="L2" s="246" t="s">
        <v>110</v>
      </c>
      <c r="M2" s="254" t="s">
        <v>93</v>
      </c>
      <c r="N2" s="246" t="s">
        <v>111</v>
      </c>
      <c r="O2" s="246" t="s">
        <v>112</v>
      </c>
      <c r="P2" s="246" t="s">
        <v>113</v>
      </c>
      <c r="Q2" s="246" t="s">
        <v>97</v>
      </c>
      <c r="R2" s="246" t="s">
        <v>131</v>
      </c>
      <c r="S2" s="246" t="s">
        <v>132</v>
      </c>
      <c r="T2" s="246" t="s">
        <v>133</v>
      </c>
      <c r="U2" s="246" t="s">
        <v>134</v>
      </c>
      <c r="V2" s="246" t="s">
        <v>118</v>
      </c>
      <c r="W2" s="246" t="s">
        <v>119</v>
      </c>
      <c r="X2" s="246" t="s">
        <v>120</v>
      </c>
      <c r="Y2" s="254" t="s">
        <v>121</v>
      </c>
      <c r="Z2" s="246" t="s">
        <v>135</v>
      </c>
      <c r="AA2" s="246" t="s">
        <v>124</v>
      </c>
      <c r="AB2" s="246" t="s">
        <v>125</v>
      </c>
      <c r="AC2" s="288" t="s">
        <v>79</v>
      </c>
      <c r="AD2" s="288" t="s">
        <v>80</v>
      </c>
      <c r="AE2" s="288" t="s">
        <v>19</v>
      </c>
    </row>
    <row r="3" spans="1:31" ht="15.4" x14ac:dyDescent="0.45">
      <c r="A3" s="282" t="s">
        <v>23</v>
      </c>
      <c r="B3" s="302">
        <f t="shared" ref="B3:AE3" si="0">INDEX(B6:B32,MATCH($A$3,$A$6:$A$32,0))</f>
        <v>61917753</v>
      </c>
      <c r="C3" s="302">
        <f t="shared" si="0"/>
        <v>136468395</v>
      </c>
      <c r="D3" s="302">
        <f t="shared" si="0"/>
        <v>4076747</v>
      </c>
      <c r="E3" s="302">
        <f t="shared" si="0"/>
        <v>11981277</v>
      </c>
      <c r="F3" s="302">
        <f t="shared" si="0"/>
        <v>21087046</v>
      </c>
      <c r="G3" s="302">
        <f t="shared" si="0"/>
        <v>8930825</v>
      </c>
      <c r="H3" s="302">
        <f t="shared" si="0"/>
        <v>21701442</v>
      </c>
      <c r="I3" s="302">
        <f t="shared" si="0"/>
        <v>3553005</v>
      </c>
      <c r="J3" s="302">
        <f t="shared" si="0"/>
        <v>269716490</v>
      </c>
      <c r="K3" s="302">
        <f t="shared" si="0"/>
        <v>162739590</v>
      </c>
      <c r="L3" s="302">
        <f t="shared" si="0"/>
        <v>134010512</v>
      </c>
      <c r="M3" s="302">
        <f t="shared" si="0"/>
        <v>68809371</v>
      </c>
      <c r="N3" s="302">
        <f t="shared" si="0"/>
        <v>61731929</v>
      </c>
      <c r="O3" s="302">
        <f t="shared" si="0"/>
        <v>50866672</v>
      </c>
      <c r="P3" s="302">
        <f t="shared" si="0"/>
        <v>37279955</v>
      </c>
      <c r="Q3" s="302">
        <f t="shared" si="0"/>
        <v>23408240</v>
      </c>
      <c r="R3" s="302">
        <f t="shared" si="0"/>
        <v>7540196</v>
      </c>
      <c r="S3" s="302">
        <f t="shared" si="0"/>
        <v>22771883</v>
      </c>
      <c r="T3" s="302">
        <f t="shared" si="0"/>
        <v>-1431462</v>
      </c>
      <c r="U3" s="302">
        <f t="shared" si="0"/>
        <v>20326489</v>
      </c>
      <c r="V3" s="302">
        <f t="shared" si="0"/>
        <v>31808100</v>
      </c>
      <c r="W3" s="302">
        <f t="shared" si="0"/>
        <v>244088428</v>
      </c>
      <c r="X3" s="302">
        <f t="shared" si="0"/>
        <v>98035576</v>
      </c>
      <c r="Y3" s="302">
        <f t="shared" si="0"/>
        <v>19628970</v>
      </c>
      <c r="Z3" s="302">
        <f t="shared" si="0"/>
        <v>402793423</v>
      </c>
      <c r="AA3" s="302">
        <f t="shared" si="0"/>
        <v>222446199</v>
      </c>
      <c r="AB3" s="302">
        <f t="shared" si="0"/>
        <v>38741200</v>
      </c>
      <c r="AC3" s="302">
        <f t="shared" si="0"/>
        <v>39.22</v>
      </c>
      <c r="AD3" s="302">
        <f t="shared" si="0"/>
        <v>55.99</v>
      </c>
      <c r="AE3" s="302">
        <f t="shared" si="0"/>
        <v>0.1411395233240024</v>
      </c>
    </row>
    <row r="5" spans="1:31" ht="32.65" customHeight="1" x14ac:dyDescent="0.35">
      <c r="A5" s="281" t="s">
        <v>136</v>
      </c>
      <c r="B5" s="286" t="s">
        <v>100</v>
      </c>
      <c r="C5" s="286" t="s">
        <v>101</v>
      </c>
      <c r="D5" s="286" t="s">
        <v>102</v>
      </c>
      <c r="E5" s="286" t="s">
        <v>103</v>
      </c>
      <c r="F5" s="286" t="s">
        <v>104</v>
      </c>
      <c r="G5" s="293" t="s">
        <v>105</v>
      </c>
      <c r="H5" s="293" t="s">
        <v>106</v>
      </c>
      <c r="I5" s="293" t="s">
        <v>107</v>
      </c>
      <c r="J5" s="293" t="s">
        <v>137</v>
      </c>
      <c r="K5" s="286" t="s">
        <v>138</v>
      </c>
      <c r="L5" s="286" t="s">
        <v>110</v>
      </c>
      <c r="M5" s="286" t="s">
        <v>93</v>
      </c>
      <c r="N5" s="286" t="s">
        <v>111</v>
      </c>
      <c r="O5" s="286" t="s">
        <v>112</v>
      </c>
      <c r="P5" s="286" t="s">
        <v>139</v>
      </c>
      <c r="Q5" s="286" t="s">
        <v>140</v>
      </c>
      <c r="R5" s="286" t="s">
        <v>131</v>
      </c>
      <c r="S5" s="286" t="s">
        <v>132</v>
      </c>
      <c r="T5" s="286" t="s">
        <v>133</v>
      </c>
      <c r="U5" s="286" t="s">
        <v>134</v>
      </c>
      <c r="V5" s="286" t="s">
        <v>118</v>
      </c>
      <c r="W5" s="286" t="s">
        <v>119</v>
      </c>
      <c r="X5" s="286" t="s">
        <v>120</v>
      </c>
      <c r="Y5" s="286" t="s">
        <v>121</v>
      </c>
      <c r="Z5" s="286" t="s">
        <v>135</v>
      </c>
      <c r="AA5" s="286" t="s">
        <v>124</v>
      </c>
      <c r="AB5" s="286" t="s">
        <v>125</v>
      </c>
      <c r="AC5" s="287" t="s">
        <v>79</v>
      </c>
      <c r="AD5" s="287" t="s">
        <v>80</v>
      </c>
      <c r="AE5" s="287" t="s">
        <v>19</v>
      </c>
    </row>
    <row r="6" spans="1:31" ht="15.4" x14ac:dyDescent="0.45">
      <c r="A6" s="283" t="s">
        <v>20</v>
      </c>
      <c r="B6" s="294">
        <v>67515318</v>
      </c>
      <c r="C6" s="294">
        <v>13739192</v>
      </c>
      <c r="D6" s="294">
        <v>798033</v>
      </c>
      <c r="E6" s="294">
        <v>4536680</v>
      </c>
      <c r="F6" s="294">
        <v>7946626</v>
      </c>
      <c r="G6" s="294">
        <v>3867411</v>
      </c>
      <c r="H6" s="294">
        <v>6557139</v>
      </c>
      <c r="I6" s="294">
        <v>508028</v>
      </c>
      <c r="J6" s="294">
        <v>105468427</v>
      </c>
      <c r="K6" s="294">
        <v>25149799</v>
      </c>
      <c r="L6" s="294">
        <v>19959813</v>
      </c>
      <c r="M6" s="294">
        <v>15395358</v>
      </c>
      <c r="N6" s="294">
        <v>9747722</v>
      </c>
      <c r="O6" s="294">
        <v>14348628</v>
      </c>
      <c r="P6" s="294">
        <v>9152934</v>
      </c>
      <c r="Q6" s="294">
        <v>18773245</v>
      </c>
      <c r="R6" s="294">
        <v>5483774</v>
      </c>
      <c r="S6" s="294">
        <v>2705680</v>
      </c>
      <c r="T6" s="295">
        <v>0</v>
      </c>
      <c r="U6" s="294">
        <v>8189454</v>
      </c>
      <c r="V6" s="294">
        <v>22805510</v>
      </c>
      <c r="W6" s="294">
        <v>45825320</v>
      </c>
      <c r="X6" s="294">
        <v>18115253</v>
      </c>
      <c r="Y6" s="294">
        <v>22380564</v>
      </c>
      <c r="Z6" s="294">
        <v>109625867</v>
      </c>
      <c r="AA6" s="294">
        <v>29259972</v>
      </c>
      <c r="AB6" s="294">
        <v>24849717</v>
      </c>
      <c r="AC6" s="299">
        <v>25.17</v>
      </c>
      <c r="AD6" s="299">
        <v>60.68</v>
      </c>
      <c r="AE6" s="298">
        <v>5.5190409427737779E-2</v>
      </c>
    </row>
    <row r="7" spans="1:31" ht="15.4" x14ac:dyDescent="0.45">
      <c r="A7" s="283" t="s">
        <v>21</v>
      </c>
      <c r="B7" s="294">
        <v>5152245</v>
      </c>
      <c r="C7" s="294">
        <v>25039022</v>
      </c>
      <c r="D7" s="294">
        <v>175187</v>
      </c>
      <c r="E7" s="294">
        <v>2561812</v>
      </c>
      <c r="F7" s="280">
        <v>5293932</v>
      </c>
      <c r="G7" s="294"/>
      <c r="H7" s="294">
        <v>958026</v>
      </c>
      <c r="I7" s="294">
        <v>462959</v>
      </c>
      <c r="J7" s="294">
        <v>39643183</v>
      </c>
      <c r="K7" s="294">
        <v>28977697</v>
      </c>
      <c r="L7" s="294">
        <v>26000056.260000002</v>
      </c>
      <c r="M7" s="294">
        <v>7595206</v>
      </c>
      <c r="N7" s="294">
        <v>8474685</v>
      </c>
      <c r="O7" s="294">
        <v>19810502</v>
      </c>
      <c r="P7" s="294">
        <v>6553736</v>
      </c>
      <c r="Q7" s="294">
        <v>1531829</v>
      </c>
      <c r="R7" s="294">
        <v>-7307037.7400000002</v>
      </c>
      <c r="S7" s="294">
        <v>6510729</v>
      </c>
      <c r="T7" s="295">
        <v>0</v>
      </c>
      <c r="U7" s="294">
        <v>-796308.74</v>
      </c>
      <c r="V7" s="294">
        <v>6278085</v>
      </c>
      <c r="W7" s="294">
        <v>75095291</v>
      </c>
      <c r="X7" s="294">
        <v>6002201</v>
      </c>
      <c r="Y7" s="294">
        <v>8168825</v>
      </c>
      <c r="Z7" s="294">
        <v>96728141</v>
      </c>
      <c r="AA7" s="294">
        <v>26280234</v>
      </c>
      <c r="AB7" s="294">
        <v>20162355</v>
      </c>
      <c r="AC7" s="299">
        <v>30.78</v>
      </c>
      <c r="AD7" s="299">
        <v>95.76</v>
      </c>
      <c r="AE7" s="298">
        <v>2.0744819687020973E-2</v>
      </c>
    </row>
    <row r="8" spans="1:31" ht="15.4" x14ac:dyDescent="0.45">
      <c r="A8" s="283" t="s">
        <v>87</v>
      </c>
      <c r="B8" s="294">
        <v>209596</v>
      </c>
      <c r="C8" s="294">
        <v>2770751</v>
      </c>
      <c r="D8" s="294">
        <v>186488</v>
      </c>
      <c r="E8" s="294"/>
      <c r="F8" s="294">
        <v>24769</v>
      </c>
      <c r="G8" s="294">
        <v>62034</v>
      </c>
      <c r="H8" s="294">
        <v>8073</v>
      </c>
      <c r="I8" s="280"/>
      <c r="J8" s="294">
        <v>3261711</v>
      </c>
      <c r="K8" s="294">
        <v>2846111.42</v>
      </c>
      <c r="L8" s="294">
        <v>2379136.31</v>
      </c>
      <c r="M8" s="294">
        <v>308704</v>
      </c>
      <c r="N8" s="294">
        <v>228704</v>
      </c>
      <c r="O8" s="294">
        <v>2731714</v>
      </c>
      <c r="P8" s="294">
        <v>335801</v>
      </c>
      <c r="Q8" s="294">
        <v>94684</v>
      </c>
      <c r="R8" s="294">
        <v>-822398.69</v>
      </c>
      <c r="S8" s="294">
        <v>243389</v>
      </c>
      <c r="T8" s="295">
        <v>0</v>
      </c>
      <c r="U8" s="294">
        <v>-579009.68999999994</v>
      </c>
      <c r="V8" s="294">
        <v>708376</v>
      </c>
      <c r="W8" s="294">
        <v>2110006</v>
      </c>
      <c r="X8" s="294">
        <v>21923983</v>
      </c>
      <c r="Y8" s="294">
        <v>8420981</v>
      </c>
      <c r="Z8" s="294">
        <v>34402177</v>
      </c>
      <c r="AA8" s="294">
        <v>1969289</v>
      </c>
      <c r="AB8" s="294">
        <v>4765750</v>
      </c>
      <c r="AC8" s="300">
        <v>9.24</v>
      </c>
      <c r="AD8" s="300">
        <v>124</v>
      </c>
      <c r="AE8" s="298">
        <v>1.7068156854653386E-3</v>
      </c>
    </row>
    <row r="9" spans="1:31" ht="15.4" x14ac:dyDescent="0.45">
      <c r="A9" s="283" t="s">
        <v>60</v>
      </c>
      <c r="B9" s="294">
        <v>1405461</v>
      </c>
      <c r="C9" s="294">
        <v>11137682</v>
      </c>
      <c r="D9" s="294">
        <v>1927808</v>
      </c>
      <c r="E9" s="280">
        <v>68842</v>
      </c>
      <c r="F9" s="294"/>
      <c r="G9" s="280">
        <v>1905994</v>
      </c>
      <c r="H9" s="294">
        <v>686634</v>
      </c>
      <c r="I9" s="280"/>
      <c r="J9" s="294">
        <v>17132421</v>
      </c>
      <c r="K9" s="294">
        <v>14010380</v>
      </c>
      <c r="L9" s="294">
        <v>13698044</v>
      </c>
      <c r="M9" s="294">
        <v>5463640</v>
      </c>
      <c r="N9" s="294">
        <v>4124179</v>
      </c>
      <c r="O9" s="294">
        <v>8403194</v>
      </c>
      <c r="P9" s="294">
        <v>1070212</v>
      </c>
      <c r="Q9" s="280"/>
      <c r="R9" s="294">
        <v>100459</v>
      </c>
      <c r="S9" s="294">
        <v>799333</v>
      </c>
      <c r="T9" s="295">
        <v>0</v>
      </c>
      <c r="U9" s="294">
        <v>674844</v>
      </c>
      <c r="V9" s="294">
        <v>819463</v>
      </c>
      <c r="W9" s="294">
        <v>21573460</v>
      </c>
      <c r="X9" s="294">
        <v>8839601</v>
      </c>
      <c r="Y9" s="294">
        <v>1675151</v>
      </c>
      <c r="Z9" s="294">
        <v>33312821</v>
      </c>
      <c r="AA9" s="294">
        <v>12669829</v>
      </c>
      <c r="AB9" s="294">
        <v>6210292</v>
      </c>
      <c r="AC9" s="299">
        <v>30.11</v>
      </c>
      <c r="AD9" s="299">
        <v>69.16</v>
      </c>
      <c r="AE9" s="298">
        <v>8.9651979874353551E-3</v>
      </c>
    </row>
    <row r="10" spans="1:31" ht="15.4" x14ac:dyDescent="0.45">
      <c r="A10" s="283" t="s">
        <v>128</v>
      </c>
      <c r="B10" s="294">
        <v>2450661</v>
      </c>
      <c r="C10" s="294">
        <v>13233871</v>
      </c>
      <c r="D10" s="294">
        <v>2404376</v>
      </c>
      <c r="E10" s="280">
        <v>389796</v>
      </c>
      <c r="F10" s="280"/>
      <c r="G10" s="280"/>
      <c r="H10" s="294">
        <v>545467</v>
      </c>
      <c r="I10" s="280"/>
      <c r="J10" s="294">
        <v>19024171</v>
      </c>
      <c r="K10" s="294">
        <v>14842821</v>
      </c>
      <c r="L10" s="294">
        <v>13592235</v>
      </c>
      <c r="M10" s="294">
        <v>10760440</v>
      </c>
      <c r="N10" s="294">
        <v>5930168.9400000004</v>
      </c>
      <c r="O10" s="294">
        <v>7518959</v>
      </c>
      <c r="P10" s="294">
        <v>3389063</v>
      </c>
      <c r="Q10" s="294">
        <v>1151822</v>
      </c>
      <c r="R10" s="294">
        <v>-2094133.94</v>
      </c>
      <c r="S10" s="294">
        <v>3091202</v>
      </c>
      <c r="T10" s="294">
        <v>180940</v>
      </c>
      <c r="U10" s="294">
        <v>883506.06</v>
      </c>
      <c r="V10" s="294">
        <v>1174545</v>
      </c>
      <c r="W10" s="294">
        <v>25529669</v>
      </c>
      <c r="X10" s="294">
        <v>12142495</v>
      </c>
      <c r="Y10" s="294">
        <v>8006588</v>
      </c>
      <c r="Z10" s="294">
        <v>48223630</v>
      </c>
      <c r="AA10" s="294">
        <v>22939722</v>
      </c>
      <c r="AB10" s="294">
        <v>7188409</v>
      </c>
      <c r="AC10" s="299">
        <v>40.22</v>
      </c>
      <c r="AD10" s="299">
        <v>73.98</v>
      </c>
      <c r="AE10" s="298">
        <v>9.9551289080408462E-3</v>
      </c>
    </row>
    <row r="11" spans="1:31" ht="15.4" x14ac:dyDescent="0.45">
      <c r="A11" s="283" t="s">
        <v>22</v>
      </c>
      <c r="B11" s="294">
        <v>3549289</v>
      </c>
      <c r="C11" s="294">
        <v>33027596</v>
      </c>
      <c r="D11" s="294">
        <v>1311073</v>
      </c>
      <c r="E11" s="280">
        <v>931570</v>
      </c>
      <c r="F11" s="294"/>
      <c r="G11" s="280">
        <v>1457268</v>
      </c>
      <c r="H11" s="294">
        <v>1491120</v>
      </c>
      <c r="I11" s="280"/>
      <c r="J11" s="294">
        <v>41767917</v>
      </c>
      <c r="K11" s="294">
        <v>34521387.880000003</v>
      </c>
      <c r="L11" s="294">
        <v>30747706.719999999</v>
      </c>
      <c r="M11" s="294">
        <v>22496109</v>
      </c>
      <c r="N11" s="294">
        <v>13421501.92</v>
      </c>
      <c r="O11" s="294">
        <v>12814211</v>
      </c>
      <c r="P11" s="294">
        <v>4822109</v>
      </c>
      <c r="Q11" s="294">
        <v>2672839</v>
      </c>
      <c r="R11" s="294">
        <v>2362723.7999999998</v>
      </c>
      <c r="S11" s="294">
        <v>4262516</v>
      </c>
      <c r="T11" s="294">
        <v>370829</v>
      </c>
      <c r="U11" s="294">
        <v>4757326.8</v>
      </c>
      <c r="V11" s="294">
        <v>4574174</v>
      </c>
      <c r="W11" s="294">
        <v>53912919</v>
      </c>
      <c r="X11" s="294">
        <v>22779910</v>
      </c>
      <c r="Y11" s="294">
        <v>7729266</v>
      </c>
      <c r="Z11" s="294">
        <v>89616985</v>
      </c>
      <c r="AA11" s="294">
        <v>30336979</v>
      </c>
      <c r="AB11" s="294">
        <v>13857422</v>
      </c>
      <c r="AC11" s="299">
        <v>40.159999999999997</v>
      </c>
      <c r="AD11" s="299">
        <v>52.77</v>
      </c>
      <c r="AE11" s="298">
        <v>2.1856668443284634E-2</v>
      </c>
    </row>
    <row r="12" spans="1:31" ht="15.4" x14ac:dyDescent="0.45">
      <c r="A12" s="283" t="s">
        <v>23</v>
      </c>
      <c r="B12" s="294">
        <v>61917753</v>
      </c>
      <c r="C12" s="294">
        <v>136468395</v>
      </c>
      <c r="D12" s="294">
        <v>4076747</v>
      </c>
      <c r="E12" s="294">
        <v>11981277</v>
      </c>
      <c r="F12" s="294">
        <v>21087046</v>
      </c>
      <c r="G12" s="294">
        <v>8930825</v>
      </c>
      <c r="H12" s="294">
        <v>21701442</v>
      </c>
      <c r="I12" s="294">
        <v>3553005</v>
      </c>
      <c r="J12" s="294">
        <v>269716490</v>
      </c>
      <c r="K12" s="294">
        <v>162739590</v>
      </c>
      <c r="L12" s="294">
        <v>134010512</v>
      </c>
      <c r="M12" s="294">
        <v>68809371</v>
      </c>
      <c r="N12" s="294">
        <v>61731929</v>
      </c>
      <c r="O12" s="294">
        <v>50866672</v>
      </c>
      <c r="P12" s="294">
        <v>37279955</v>
      </c>
      <c r="Q12" s="294">
        <v>23408240</v>
      </c>
      <c r="R12" s="294">
        <v>7540196</v>
      </c>
      <c r="S12" s="294">
        <v>22771883</v>
      </c>
      <c r="T12" s="294">
        <v>-1431462</v>
      </c>
      <c r="U12" s="294">
        <v>20326489</v>
      </c>
      <c r="V12" s="294">
        <v>31808100</v>
      </c>
      <c r="W12" s="294">
        <v>244088428</v>
      </c>
      <c r="X12" s="294">
        <v>98035576</v>
      </c>
      <c r="Y12" s="294">
        <v>19628970</v>
      </c>
      <c r="Z12" s="294">
        <v>402793423</v>
      </c>
      <c r="AA12" s="294">
        <v>222446199</v>
      </c>
      <c r="AB12" s="294">
        <v>38741200</v>
      </c>
      <c r="AC12" s="299">
        <v>39.22</v>
      </c>
      <c r="AD12" s="299">
        <v>55.99</v>
      </c>
      <c r="AE12" s="298">
        <v>0.1411395233240024</v>
      </c>
    </row>
    <row r="13" spans="1:31" ht="15.4" x14ac:dyDescent="0.45">
      <c r="A13" s="283" t="s">
        <v>25</v>
      </c>
      <c r="B13" s="294">
        <v>51588486</v>
      </c>
      <c r="C13" s="294">
        <v>38101920</v>
      </c>
      <c r="D13" s="294">
        <v>13674324</v>
      </c>
      <c r="E13" s="294">
        <v>972787</v>
      </c>
      <c r="F13" s="280">
        <v>15686636</v>
      </c>
      <c r="G13" s="294"/>
      <c r="H13" s="280"/>
      <c r="I13" s="294">
        <v>2406002</v>
      </c>
      <c r="J13" s="294">
        <v>122430155</v>
      </c>
      <c r="K13" s="294">
        <v>45162916</v>
      </c>
      <c r="L13" s="294">
        <v>35867350</v>
      </c>
      <c r="M13" s="294">
        <v>17729033</v>
      </c>
      <c r="N13" s="294">
        <v>17729033</v>
      </c>
      <c r="O13" s="294">
        <v>10962346</v>
      </c>
      <c r="P13" s="294">
        <v>14132945</v>
      </c>
      <c r="Q13" s="294">
        <v>11388176</v>
      </c>
      <c r="R13" s="294">
        <v>4431202</v>
      </c>
      <c r="S13" s="294">
        <v>2731393</v>
      </c>
      <c r="T13" s="294">
        <v>57000</v>
      </c>
      <c r="U13" s="294">
        <v>5121670</v>
      </c>
      <c r="V13" s="294">
        <v>11100314</v>
      </c>
      <c r="W13" s="294">
        <v>112342205</v>
      </c>
      <c r="X13" s="294">
        <v>53707132</v>
      </c>
      <c r="Y13" s="294">
        <v>24894052</v>
      </c>
      <c r="Z13" s="294">
        <v>202325100</v>
      </c>
      <c r="AA13" s="294">
        <v>82987391</v>
      </c>
      <c r="AB13" s="294">
        <v>27512784</v>
      </c>
      <c r="AC13" s="299">
        <v>37.520000000000003</v>
      </c>
      <c r="AD13" s="299">
        <v>53.11</v>
      </c>
      <c r="AE13" s="298">
        <v>6.4066285740199749E-2</v>
      </c>
    </row>
    <row r="14" spans="1:31" ht="15.4" x14ac:dyDescent="0.45">
      <c r="A14" s="283" t="s">
        <v>26</v>
      </c>
      <c r="B14" s="294">
        <v>60447752</v>
      </c>
      <c r="C14" s="294">
        <v>31426411</v>
      </c>
      <c r="D14" s="294">
        <v>682432</v>
      </c>
      <c r="E14" s="294">
        <v>24985627</v>
      </c>
      <c r="F14" s="294">
        <v>4264089</v>
      </c>
      <c r="G14" s="294">
        <v>9172763</v>
      </c>
      <c r="H14" s="294">
        <v>7308510</v>
      </c>
      <c r="I14" s="280"/>
      <c r="J14" s="294">
        <v>138287584</v>
      </c>
      <c r="K14" s="294">
        <v>60392294.770000003</v>
      </c>
      <c r="L14" s="294">
        <v>52733287.770000003</v>
      </c>
      <c r="M14" s="294">
        <v>27317144</v>
      </c>
      <c r="N14" s="294">
        <v>15806647</v>
      </c>
      <c r="O14" s="294">
        <v>33730740</v>
      </c>
      <c r="P14" s="294">
        <v>23432934</v>
      </c>
      <c r="Q14" s="294">
        <v>20803908</v>
      </c>
      <c r="R14" s="294">
        <v>566874.77</v>
      </c>
      <c r="S14" s="294">
        <v>3222866</v>
      </c>
      <c r="T14" s="294">
        <v>20355200</v>
      </c>
      <c r="U14" s="294">
        <v>21823218.77</v>
      </c>
      <c r="V14" s="294">
        <v>6542052</v>
      </c>
      <c r="W14" s="294">
        <v>109759603</v>
      </c>
      <c r="X14" s="294">
        <v>41047967</v>
      </c>
      <c r="Y14" s="294">
        <v>4306502</v>
      </c>
      <c r="Z14" s="294">
        <v>165907768</v>
      </c>
      <c r="AA14" s="294">
        <v>66612756</v>
      </c>
      <c r="AB14" s="294">
        <v>21779094</v>
      </c>
      <c r="AC14" s="299">
        <v>21.49</v>
      </c>
      <c r="AD14" s="299">
        <v>77.73</v>
      </c>
      <c r="AE14" s="298">
        <v>7.2364295143348259E-2</v>
      </c>
    </row>
    <row r="15" spans="1:31" ht="15.4" x14ac:dyDescent="0.45">
      <c r="A15" s="283" t="s">
        <v>28</v>
      </c>
      <c r="B15" s="294">
        <v>71065515</v>
      </c>
      <c r="C15" s="294">
        <v>75352458</v>
      </c>
      <c r="D15" s="294">
        <v>5500910</v>
      </c>
      <c r="E15" s="294">
        <v>3216394</v>
      </c>
      <c r="F15" s="294">
        <v>10649489</v>
      </c>
      <c r="G15" s="294">
        <v>1226441</v>
      </c>
      <c r="H15" s="294">
        <v>5746847</v>
      </c>
      <c r="I15" s="294">
        <v>4835643</v>
      </c>
      <c r="J15" s="294">
        <v>177593697</v>
      </c>
      <c r="K15" s="294">
        <v>91888819</v>
      </c>
      <c r="L15" s="294">
        <v>76263283</v>
      </c>
      <c r="M15" s="294">
        <v>45977917</v>
      </c>
      <c r="N15" s="294">
        <v>32767844</v>
      </c>
      <c r="O15" s="294">
        <v>34446467</v>
      </c>
      <c r="P15" s="294">
        <v>20680936</v>
      </c>
      <c r="Q15" s="294">
        <v>14238516</v>
      </c>
      <c r="R15" s="294">
        <v>2606552</v>
      </c>
      <c r="S15" s="294">
        <v>11227200</v>
      </c>
      <c r="T15" s="294">
        <v>379497</v>
      </c>
      <c r="U15" s="294">
        <v>9446265</v>
      </c>
      <c r="V15" s="294">
        <v>24426578</v>
      </c>
      <c r="W15" s="294">
        <v>129206805</v>
      </c>
      <c r="X15" s="294">
        <v>79810719</v>
      </c>
      <c r="Y15" s="294">
        <v>13978355</v>
      </c>
      <c r="Z15" s="294">
        <v>257211812</v>
      </c>
      <c r="AA15" s="294">
        <v>133928014</v>
      </c>
      <c r="AB15" s="294">
        <v>41423739</v>
      </c>
      <c r="AC15" s="299">
        <v>36.21</v>
      </c>
      <c r="AD15" s="299">
        <v>60.91</v>
      </c>
      <c r="AE15" s="298">
        <v>9.2932729993361968E-2</v>
      </c>
    </row>
    <row r="16" spans="1:31" ht="15.4" x14ac:dyDescent="0.45">
      <c r="A16" s="283" t="s">
        <v>46</v>
      </c>
      <c r="B16" s="294">
        <v>1249703</v>
      </c>
      <c r="C16" s="294">
        <v>12052750</v>
      </c>
      <c r="D16" s="294">
        <v>919855</v>
      </c>
      <c r="E16" s="294">
        <v>224529</v>
      </c>
      <c r="F16" s="280">
        <v>3212060</v>
      </c>
      <c r="G16" s="294"/>
      <c r="H16" s="294">
        <v>546777</v>
      </c>
      <c r="I16" s="280"/>
      <c r="J16" s="294">
        <v>18205674</v>
      </c>
      <c r="K16" s="294">
        <v>14647921</v>
      </c>
      <c r="L16" s="294">
        <v>13718198</v>
      </c>
      <c r="M16" s="294">
        <v>5290105</v>
      </c>
      <c r="N16" s="294">
        <v>3077917</v>
      </c>
      <c r="O16" s="294">
        <v>8326049</v>
      </c>
      <c r="P16" s="294">
        <v>2596870</v>
      </c>
      <c r="Q16" s="294">
        <v>886802</v>
      </c>
      <c r="R16" s="294">
        <v>604164</v>
      </c>
      <c r="S16" s="294">
        <v>2038254</v>
      </c>
      <c r="T16" s="294">
        <v>22127</v>
      </c>
      <c r="U16" s="294">
        <v>2664545</v>
      </c>
      <c r="V16" s="294">
        <v>3760331</v>
      </c>
      <c r="W16" s="294">
        <v>21081843</v>
      </c>
      <c r="X16" s="294">
        <v>7044634</v>
      </c>
      <c r="Y16" s="294">
        <v>1531375</v>
      </c>
      <c r="Z16" s="294">
        <v>33418183</v>
      </c>
      <c r="AA16" s="294">
        <v>9891795</v>
      </c>
      <c r="AB16" s="294">
        <v>4050233</v>
      </c>
      <c r="AC16" s="299">
        <v>21.07</v>
      </c>
      <c r="AD16" s="299">
        <v>74.790000000000006</v>
      </c>
      <c r="AE16" s="298">
        <v>9.5268188836069457E-3</v>
      </c>
    </row>
    <row r="17" spans="1:31" ht="15.4" x14ac:dyDescent="0.45">
      <c r="A17" s="283" t="s">
        <v>69</v>
      </c>
      <c r="B17" s="294">
        <v>266882</v>
      </c>
      <c r="C17" s="294">
        <v>15057013</v>
      </c>
      <c r="D17" s="280"/>
      <c r="E17" s="294">
        <v>446</v>
      </c>
      <c r="F17" s="294">
        <v>563303</v>
      </c>
      <c r="G17" s="294">
        <v>99706</v>
      </c>
      <c r="H17" s="294">
        <v>189936</v>
      </c>
      <c r="I17" s="280">
        <v>193908</v>
      </c>
      <c r="J17" s="294">
        <v>16371194</v>
      </c>
      <c r="K17" s="294">
        <v>13874298</v>
      </c>
      <c r="L17" s="294">
        <v>13006019</v>
      </c>
      <c r="M17" s="294">
        <v>2537927</v>
      </c>
      <c r="N17" s="294">
        <v>2150453.46</v>
      </c>
      <c r="O17" s="294">
        <v>5973584</v>
      </c>
      <c r="P17" s="294">
        <v>2374436.88</v>
      </c>
      <c r="Q17" s="294">
        <v>733607</v>
      </c>
      <c r="R17" s="294">
        <v>3241151.66</v>
      </c>
      <c r="S17" s="294">
        <v>2241952.64</v>
      </c>
      <c r="T17" s="294">
        <v>0</v>
      </c>
      <c r="U17" s="294">
        <v>5058020.3</v>
      </c>
      <c r="V17" s="294">
        <v>958141</v>
      </c>
      <c r="W17" s="294">
        <v>31161314</v>
      </c>
      <c r="X17" s="294">
        <v>2122177</v>
      </c>
      <c r="Y17" s="294">
        <v>19314289</v>
      </c>
      <c r="Z17" s="294">
        <v>53586111</v>
      </c>
      <c r="AA17" s="294">
        <v>4688451</v>
      </c>
      <c r="AB17" s="294">
        <v>3270017</v>
      </c>
      <c r="AC17" s="299">
        <v>15.65</v>
      </c>
      <c r="AD17" s="299">
        <v>60.76</v>
      </c>
      <c r="AE17" s="298">
        <v>8.5668566923912132E-3</v>
      </c>
    </row>
    <row r="18" spans="1:31" ht="15.4" x14ac:dyDescent="0.45">
      <c r="A18" s="283" t="s">
        <v>29</v>
      </c>
      <c r="B18" s="294">
        <v>2205292</v>
      </c>
      <c r="C18" s="294">
        <v>25656235</v>
      </c>
      <c r="D18" s="294">
        <v>430124</v>
      </c>
      <c r="E18" s="294">
        <v>976612</v>
      </c>
      <c r="F18" s="294">
        <v>832467</v>
      </c>
      <c r="G18" s="294">
        <v>3359067</v>
      </c>
      <c r="H18" s="294">
        <v>373895</v>
      </c>
      <c r="I18" s="294">
        <v>32443</v>
      </c>
      <c r="J18" s="294">
        <v>33866135</v>
      </c>
      <c r="K18" s="294">
        <v>28290225</v>
      </c>
      <c r="L18" s="294">
        <v>21375578</v>
      </c>
      <c r="M18" s="294">
        <v>12562774</v>
      </c>
      <c r="N18" s="294">
        <v>7867771</v>
      </c>
      <c r="O18" s="294">
        <v>8999945</v>
      </c>
      <c r="P18" s="294">
        <v>4662299</v>
      </c>
      <c r="Q18" s="294">
        <v>1363437</v>
      </c>
      <c r="R18" s="294">
        <v>1209000</v>
      </c>
      <c r="S18" s="294">
        <v>2770361</v>
      </c>
      <c r="T18" s="294">
        <v>79229</v>
      </c>
      <c r="U18" s="294">
        <v>4058590</v>
      </c>
      <c r="V18" s="294">
        <v>4370516</v>
      </c>
      <c r="W18" s="294">
        <v>38840336</v>
      </c>
      <c r="X18" s="294">
        <v>7098139</v>
      </c>
      <c r="Y18" s="294">
        <v>27686550</v>
      </c>
      <c r="Z18" s="294">
        <v>82060323</v>
      </c>
      <c r="AA18" s="294">
        <v>28335830</v>
      </c>
      <c r="AB18" s="294">
        <v>7351004</v>
      </c>
      <c r="AC18" s="299"/>
      <c r="AD18" s="299"/>
      <c r="AE18" s="298">
        <v>1.7721757207823347E-2</v>
      </c>
    </row>
    <row r="19" spans="1:31" ht="15.4" x14ac:dyDescent="0.45">
      <c r="A19" s="283" t="s">
        <v>31</v>
      </c>
      <c r="B19" s="294">
        <v>3649981</v>
      </c>
      <c r="C19" s="294">
        <v>13300565</v>
      </c>
      <c r="D19" s="294">
        <v>165949</v>
      </c>
      <c r="E19" s="294">
        <v>1450948</v>
      </c>
      <c r="F19" s="294">
        <v>799844</v>
      </c>
      <c r="G19" s="294">
        <v>154039</v>
      </c>
      <c r="H19" s="294">
        <v>128520</v>
      </c>
      <c r="I19" s="294">
        <v>29706</v>
      </c>
      <c r="J19" s="294">
        <v>19679552</v>
      </c>
      <c r="K19" s="294">
        <v>14775195.359999999</v>
      </c>
      <c r="L19" s="294">
        <v>14130203.359999999</v>
      </c>
      <c r="M19" s="294">
        <v>8142060</v>
      </c>
      <c r="N19" s="294">
        <v>4319150</v>
      </c>
      <c r="O19" s="294">
        <v>8354213</v>
      </c>
      <c r="P19" s="294">
        <v>3049720</v>
      </c>
      <c r="Q19" s="294">
        <v>1551738</v>
      </c>
      <c r="R19" s="294">
        <v>-41141.64</v>
      </c>
      <c r="S19" s="294">
        <v>3995290</v>
      </c>
      <c r="T19" s="294">
        <v>22983</v>
      </c>
      <c r="U19" s="294">
        <v>2599217.36</v>
      </c>
      <c r="V19" s="294">
        <v>4345911</v>
      </c>
      <c r="W19" s="294">
        <v>39305501</v>
      </c>
      <c r="X19" s="294">
        <v>9885417</v>
      </c>
      <c r="Y19" s="294">
        <v>4609507</v>
      </c>
      <c r="Z19" s="294">
        <v>58156943</v>
      </c>
      <c r="AA19" s="294">
        <v>18995268</v>
      </c>
      <c r="AB19" s="294">
        <v>2531052</v>
      </c>
      <c r="AC19" s="299">
        <v>27.54</v>
      </c>
      <c r="AD19" s="299">
        <v>72.72</v>
      </c>
      <c r="AE19" s="298">
        <v>1.0298082214068253E-2</v>
      </c>
    </row>
    <row r="20" spans="1:31" ht="15.4" x14ac:dyDescent="0.45">
      <c r="A20" s="283" t="s">
        <v>32</v>
      </c>
      <c r="B20" s="294"/>
      <c r="C20" s="294">
        <v>35683646</v>
      </c>
      <c r="D20" s="294">
        <v>1235144</v>
      </c>
      <c r="E20" s="294">
        <v>482824</v>
      </c>
      <c r="F20" s="294">
        <v>1584763</v>
      </c>
      <c r="G20" s="294">
        <v>13867825</v>
      </c>
      <c r="H20" s="294">
        <v>12361731</v>
      </c>
      <c r="I20" s="280"/>
      <c r="J20" s="294">
        <v>70465927</v>
      </c>
      <c r="K20" s="294">
        <v>45682871</v>
      </c>
      <c r="L20" s="294">
        <v>41115221</v>
      </c>
      <c r="M20" s="294">
        <v>17521597</v>
      </c>
      <c r="N20" s="294">
        <v>14748399</v>
      </c>
      <c r="O20" s="294">
        <v>19842514</v>
      </c>
      <c r="P20" s="294">
        <v>10665107</v>
      </c>
      <c r="Q20" s="294">
        <v>7447128</v>
      </c>
      <c r="R20" s="294">
        <v>3306329</v>
      </c>
      <c r="S20" s="294">
        <v>4612977</v>
      </c>
      <c r="T20" s="294">
        <v>17171</v>
      </c>
      <c r="U20" s="294">
        <v>5875165</v>
      </c>
      <c r="V20" s="294">
        <v>21490898</v>
      </c>
      <c r="W20" s="294">
        <v>75809995</v>
      </c>
      <c r="X20" s="294">
        <v>20973247</v>
      </c>
      <c r="Y20" s="294">
        <v>3497655</v>
      </c>
      <c r="Z20" s="294">
        <v>121771795</v>
      </c>
      <c r="AA20" s="294">
        <v>48711496</v>
      </c>
      <c r="AB20" s="294">
        <v>21925955</v>
      </c>
      <c r="AC20" s="299">
        <v>30.37</v>
      </c>
      <c r="AD20" s="299">
        <v>62.82</v>
      </c>
      <c r="AE20" s="298">
        <v>3.6874005543242647E-2</v>
      </c>
    </row>
    <row r="21" spans="1:31" ht="15.4" x14ac:dyDescent="0.45">
      <c r="A21" s="283" t="s">
        <v>33</v>
      </c>
      <c r="B21" s="294">
        <v>7518286</v>
      </c>
      <c r="C21" s="294">
        <v>36780513</v>
      </c>
      <c r="D21" s="294">
        <v>1699830</v>
      </c>
      <c r="E21" s="294">
        <v>599818</v>
      </c>
      <c r="F21" s="294">
        <v>268920</v>
      </c>
      <c r="G21" s="294">
        <v>5318814</v>
      </c>
      <c r="H21" s="294">
        <v>1401952</v>
      </c>
      <c r="I21" s="294">
        <v>384558</v>
      </c>
      <c r="J21" s="294">
        <v>53972691</v>
      </c>
      <c r="K21" s="294">
        <v>43791338</v>
      </c>
      <c r="L21" s="294">
        <v>30962391</v>
      </c>
      <c r="M21" s="294">
        <v>11092311</v>
      </c>
      <c r="N21" s="294">
        <v>10858471</v>
      </c>
      <c r="O21" s="294">
        <v>15773738</v>
      </c>
      <c r="P21" s="294">
        <v>5209562</v>
      </c>
      <c r="Q21" s="294">
        <v>4251900</v>
      </c>
      <c r="R21" s="294">
        <v>3372520</v>
      </c>
      <c r="S21" s="294">
        <v>676670</v>
      </c>
      <c r="T21" s="294">
        <v>2164918</v>
      </c>
      <c r="U21" s="294">
        <v>6214108</v>
      </c>
      <c r="V21" s="294">
        <v>8148736</v>
      </c>
      <c r="W21" s="294">
        <v>51684125</v>
      </c>
      <c r="X21" s="294">
        <v>13580412</v>
      </c>
      <c r="Y21" s="294">
        <v>1630955</v>
      </c>
      <c r="Z21" s="294">
        <v>75044228</v>
      </c>
      <c r="AA21" s="294">
        <v>30377470</v>
      </c>
      <c r="AB21" s="294">
        <v>5439501</v>
      </c>
      <c r="AC21" s="299">
        <v>30.84</v>
      </c>
      <c r="AD21" s="299">
        <v>59.59</v>
      </c>
      <c r="AE21" s="298">
        <v>2.8243285682138582E-2</v>
      </c>
    </row>
    <row r="22" spans="1:31" ht="15.4" x14ac:dyDescent="0.45">
      <c r="A22" s="283" t="s">
        <v>34</v>
      </c>
      <c r="B22" s="294">
        <v>696425</v>
      </c>
      <c r="C22" s="294">
        <v>30850933</v>
      </c>
      <c r="D22" s="294">
        <v>359942</v>
      </c>
      <c r="E22" s="294">
        <v>82610</v>
      </c>
      <c r="F22" s="294">
        <v>1950</v>
      </c>
      <c r="G22" s="294">
        <v>842794</v>
      </c>
      <c r="H22" s="294">
        <v>109392</v>
      </c>
      <c r="I22" s="295">
        <v>0</v>
      </c>
      <c r="J22" s="294">
        <v>32944046</v>
      </c>
      <c r="K22" s="294">
        <v>31117971</v>
      </c>
      <c r="L22" s="294">
        <v>27732876</v>
      </c>
      <c r="M22" s="294">
        <v>3681227</v>
      </c>
      <c r="N22" s="294">
        <v>4917770</v>
      </c>
      <c r="O22" s="294">
        <v>13454658</v>
      </c>
      <c r="P22" s="294">
        <v>4108744</v>
      </c>
      <c r="Q22" s="294">
        <v>571778</v>
      </c>
      <c r="R22" s="294">
        <v>5823482</v>
      </c>
      <c r="S22" s="294">
        <v>1679533</v>
      </c>
      <c r="T22" s="295">
        <v>9500</v>
      </c>
      <c r="U22" s="294">
        <v>5258759</v>
      </c>
      <c r="V22" s="294">
        <v>857689</v>
      </c>
      <c r="W22" s="294">
        <v>35930628</v>
      </c>
      <c r="X22" s="294">
        <v>18819682</v>
      </c>
      <c r="Y22" s="294">
        <v>13892354</v>
      </c>
      <c r="Z22" s="294">
        <v>69500353</v>
      </c>
      <c r="AA22" s="294">
        <v>17604555</v>
      </c>
      <c r="AB22" s="294">
        <v>4249774</v>
      </c>
      <c r="AC22" s="299">
        <v>17.37</v>
      </c>
      <c r="AD22" s="299">
        <v>62.05</v>
      </c>
      <c r="AE22" s="298">
        <v>1.7239238686533431E-2</v>
      </c>
    </row>
    <row r="23" spans="1:31" ht="15.4" x14ac:dyDescent="0.45">
      <c r="A23" s="283" t="s">
        <v>35</v>
      </c>
      <c r="B23" s="294">
        <v>1981275</v>
      </c>
      <c r="C23" s="294">
        <v>29578029</v>
      </c>
      <c r="D23" s="294">
        <v>1237418</v>
      </c>
      <c r="E23" s="294">
        <v>450062</v>
      </c>
      <c r="F23" s="294">
        <v>242700</v>
      </c>
      <c r="G23" s="294">
        <v>250411</v>
      </c>
      <c r="H23" s="294">
        <v>2470007</v>
      </c>
      <c r="I23" s="280"/>
      <c r="J23" s="294">
        <v>36209902</v>
      </c>
      <c r="K23" s="294">
        <v>29844323</v>
      </c>
      <c r="L23" s="294">
        <v>26215093</v>
      </c>
      <c r="M23" s="294">
        <v>13859215</v>
      </c>
      <c r="N23" s="294">
        <v>6093958</v>
      </c>
      <c r="O23" s="294">
        <v>12664570</v>
      </c>
      <c r="P23" s="294">
        <v>4770162</v>
      </c>
      <c r="Q23" s="294">
        <v>1461876</v>
      </c>
      <c r="R23" s="294">
        <v>4148279</v>
      </c>
      <c r="S23" s="294">
        <v>3504309</v>
      </c>
      <c r="T23" s="294">
        <v>8453</v>
      </c>
      <c r="U23" s="294">
        <v>7661041</v>
      </c>
      <c r="V23" s="294">
        <v>3039502</v>
      </c>
      <c r="W23" s="294">
        <v>50520395</v>
      </c>
      <c r="X23" s="294">
        <v>12396427</v>
      </c>
      <c r="Y23" s="294">
        <v>26993740</v>
      </c>
      <c r="Z23" s="294">
        <v>94072380</v>
      </c>
      <c r="AA23" s="294">
        <v>16945594</v>
      </c>
      <c r="AB23" s="294">
        <v>7552788</v>
      </c>
      <c r="AC23" s="299">
        <v>22.02</v>
      </c>
      <c r="AD23" s="299">
        <v>62.99</v>
      </c>
      <c r="AE23" s="298">
        <v>1.8948223402613762E-2</v>
      </c>
    </row>
    <row r="24" spans="1:31" ht="15.4" x14ac:dyDescent="0.45">
      <c r="A24" s="283" t="s">
        <v>36</v>
      </c>
      <c r="B24" s="294">
        <v>3180207</v>
      </c>
      <c r="C24" s="294">
        <v>30680839</v>
      </c>
      <c r="D24" s="294">
        <v>1002095</v>
      </c>
      <c r="E24" s="294">
        <v>4087678</v>
      </c>
      <c r="F24" s="294">
        <v>1624374</v>
      </c>
      <c r="G24" s="294">
        <v>1516708</v>
      </c>
      <c r="H24" s="294">
        <v>4796596</v>
      </c>
      <c r="I24" s="294">
        <v>31811</v>
      </c>
      <c r="J24" s="294">
        <v>46920308</v>
      </c>
      <c r="K24" s="294">
        <v>33384787</v>
      </c>
      <c r="L24" s="294">
        <v>31132177</v>
      </c>
      <c r="M24" s="294">
        <v>23521973</v>
      </c>
      <c r="N24" s="294">
        <v>13564726</v>
      </c>
      <c r="O24" s="294">
        <v>14145440</v>
      </c>
      <c r="P24" s="294">
        <v>4720972</v>
      </c>
      <c r="Q24" s="294">
        <v>2681400</v>
      </c>
      <c r="R24" s="294">
        <v>1382439</v>
      </c>
      <c r="S24" s="294">
        <v>4845000</v>
      </c>
      <c r="T24" s="294">
        <v>17121</v>
      </c>
      <c r="U24" s="294">
        <v>4683420</v>
      </c>
      <c r="V24" s="294">
        <v>6525017</v>
      </c>
      <c r="W24" s="294">
        <v>44244841</v>
      </c>
      <c r="X24" s="294">
        <v>17801431</v>
      </c>
      <c r="Y24" s="294">
        <v>12646361</v>
      </c>
      <c r="Z24" s="294">
        <v>81217650</v>
      </c>
      <c r="AA24" s="294">
        <v>28536449</v>
      </c>
      <c r="AB24" s="294">
        <v>5180212</v>
      </c>
      <c r="AC24" s="299">
        <v>40.119999999999997</v>
      </c>
      <c r="AD24" s="299">
        <v>55.8</v>
      </c>
      <c r="AE24" s="298">
        <v>2.4552855130716613E-2</v>
      </c>
    </row>
    <row r="25" spans="1:31" ht="15.4" x14ac:dyDescent="0.45">
      <c r="A25" s="283" t="s">
        <v>38</v>
      </c>
      <c r="B25" s="294"/>
      <c r="C25" s="294">
        <v>13280086</v>
      </c>
      <c r="D25" s="294">
        <v>1220147</v>
      </c>
      <c r="E25" s="294">
        <v>2149205</v>
      </c>
      <c r="F25" s="294">
        <v>9807479</v>
      </c>
      <c r="G25" s="294">
        <v>2691880</v>
      </c>
      <c r="H25" s="294">
        <v>3399669</v>
      </c>
      <c r="I25" s="280">
        <v>11459553</v>
      </c>
      <c r="J25" s="294">
        <v>44008019</v>
      </c>
      <c r="K25" s="294">
        <v>14337642</v>
      </c>
      <c r="L25" s="294">
        <v>12944378</v>
      </c>
      <c r="M25" s="294">
        <v>7002325</v>
      </c>
      <c r="N25" s="294">
        <v>4186139</v>
      </c>
      <c r="O25" s="294">
        <v>9699765</v>
      </c>
      <c r="P25" s="294">
        <v>3950435</v>
      </c>
      <c r="Q25" s="294">
        <v>3757332</v>
      </c>
      <c r="R25" s="294">
        <v>-1134629</v>
      </c>
      <c r="S25" s="294">
        <v>2444734</v>
      </c>
      <c r="T25" s="294">
        <v>112028</v>
      </c>
      <c r="U25" s="294">
        <v>1351026</v>
      </c>
      <c r="V25" s="294">
        <v>47236728</v>
      </c>
      <c r="W25" s="294">
        <v>25350138</v>
      </c>
      <c r="X25" s="294">
        <v>25773557</v>
      </c>
      <c r="Y25" s="294">
        <v>3411246</v>
      </c>
      <c r="Z25" s="294">
        <v>104567328</v>
      </c>
      <c r="AA25" s="294">
        <v>38752241</v>
      </c>
      <c r="AB25" s="294">
        <v>10633611</v>
      </c>
      <c r="AC25" s="299">
        <v>25.06</v>
      </c>
      <c r="AD25" s="299">
        <v>81.73</v>
      </c>
      <c r="AE25" s="298">
        <v>2.3028887941162368E-2</v>
      </c>
    </row>
    <row r="26" spans="1:31" ht="15.4" x14ac:dyDescent="0.45">
      <c r="A26" s="283" t="s">
        <v>77</v>
      </c>
      <c r="B26" s="294">
        <v>7073907</v>
      </c>
      <c r="C26" s="294">
        <v>23914275</v>
      </c>
      <c r="D26" s="294">
        <v>1127961</v>
      </c>
      <c r="E26" s="280">
        <v>9932</v>
      </c>
      <c r="F26" s="294"/>
      <c r="G26" s="280">
        <v>1157962</v>
      </c>
      <c r="H26" s="294">
        <v>4538440</v>
      </c>
      <c r="I26" s="280"/>
      <c r="J26" s="294">
        <v>37822478.020000003</v>
      </c>
      <c r="K26" s="294">
        <v>24371797.969999999</v>
      </c>
      <c r="L26" s="294">
        <v>17479325.550000001</v>
      </c>
      <c r="M26" s="294">
        <v>5389308</v>
      </c>
      <c r="N26" s="294">
        <v>3921224.86</v>
      </c>
      <c r="O26" s="294">
        <v>14748138.890000001</v>
      </c>
      <c r="P26" s="294">
        <v>4267654.8</v>
      </c>
      <c r="Q26" s="294">
        <v>2426405.7000000002</v>
      </c>
      <c r="R26" s="294">
        <v>-3031287.3</v>
      </c>
      <c r="S26" s="294">
        <v>5903220.9199999999</v>
      </c>
      <c r="T26" s="295">
        <v>0</v>
      </c>
      <c r="U26" s="294">
        <v>2003932.1599999999</v>
      </c>
      <c r="V26" s="294">
        <v>1822282</v>
      </c>
      <c r="W26" s="294">
        <v>52468791</v>
      </c>
      <c r="X26" s="294">
        <v>16159972</v>
      </c>
      <c r="Y26" s="294">
        <v>3602428</v>
      </c>
      <c r="Z26" s="294">
        <v>74053472</v>
      </c>
      <c r="AA26" s="294">
        <v>18855751</v>
      </c>
      <c r="AB26" s="294">
        <v>4492848</v>
      </c>
      <c r="AC26" s="300">
        <v>19.7</v>
      </c>
      <c r="AD26" s="300">
        <v>95.53</v>
      </c>
      <c r="AE26" s="298">
        <v>1.9792065804635668E-2</v>
      </c>
    </row>
    <row r="27" spans="1:31" ht="15.4" x14ac:dyDescent="0.45">
      <c r="A27" s="283" t="s">
        <v>39</v>
      </c>
      <c r="B27" s="294">
        <v>72908976</v>
      </c>
      <c r="C27" s="294">
        <v>78132436</v>
      </c>
      <c r="D27" s="294">
        <v>3620838</v>
      </c>
      <c r="E27" s="294">
        <v>10340965</v>
      </c>
      <c r="F27" s="294">
        <v>17751189</v>
      </c>
      <c r="G27" s="294">
        <v>5648105</v>
      </c>
      <c r="H27" s="294">
        <v>13313396</v>
      </c>
      <c r="I27" s="280"/>
      <c r="J27" s="294">
        <v>201715905</v>
      </c>
      <c r="K27" s="294">
        <v>120268899</v>
      </c>
      <c r="L27" s="294">
        <v>109233211.27</v>
      </c>
      <c r="M27" s="294">
        <v>62828793</v>
      </c>
      <c r="N27" s="294">
        <v>28246953</v>
      </c>
      <c r="O27" s="294">
        <v>76263279</v>
      </c>
      <c r="P27" s="294">
        <v>21955868</v>
      </c>
      <c r="Q27" s="294">
        <v>12478863</v>
      </c>
      <c r="R27" s="294">
        <v>-4754025.7300000004</v>
      </c>
      <c r="S27" s="294">
        <v>6807081</v>
      </c>
      <c r="T27" s="294">
        <v>13207702</v>
      </c>
      <c r="U27" s="294">
        <v>10682530.27</v>
      </c>
      <c r="V27" s="294">
        <v>71480651</v>
      </c>
      <c r="W27" s="294">
        <v>354339751</v>
      </c>
      <c r="X27" s="294">
        <v>85421412</v>
      </c>
      <c r="Y27" s="294">
        <v>86460126</v>
      </c>
      <c r="Z27" s="294">
        <v>601060583</v>
      </c>
      <c r="AA27" s="294">
        <v>158654928</v>
      </c>
      <c r="AB27" s="294">
        <v>130612537</v>
      </c>
      <c r="AC27" s="299">
        <v>23.21</v>
      </c>
      <c r="AD27" s="299">
        <v>80.7</v>
      </c>
      <c r="AE27" s="298">
        <v>0.10555560276855801</v>
      </c>
    </row>
    <row r="28" spans="1:31" ht="15.4" x14ac:dyDescent="0.45">
      <c r="A28" s="283" t="s">
        <v>40</v>
      </c>
      <c r="B28" s="294">
        <v>32576220</v>
      </c>
      <c r="C28" s="294">
        <v>68028056</v>
      </c>
      <c r="D28" s="294">
        <v>9231062</v>
      </c>
      <c r="E28" s="294">
        <v>2621771</v>
      </c>
      <c r="F28" s="294">
        <v>8997603</v>
      </c>
      <c r="G28" s="294">
        <v>11943426</v>
      </c>
      <c r="H28" s="294">
        <v>22958926</v>
      </c>
      <c r="I28" s="295">
        <v>0</v>
      </c>
      <c r="J28" s="294">
        <v>156357064</v>
      </c>
      <c r="K28" s="294">
        <v>99867912</v>
      </c>
      <c r="L28" s="294">
        <v>96777236</v>
      </c>
      <c r="M28" s="294">
        <v>56812027</v>
      </c>
      <c r="N28" s="294">
        <v>45339772</v>
      </c>
      <c r="O28" s="294">
        <v>37223090</v>
      </c>
      <c r="P28" s="294">
        <v>26788363</v>
      </c>
      <c r="Q28" s="294">
        <v>10537523</v>
      </c>
      <c r="R28" s="294">
        <v>-2036466</v>
      </c>
      <c r="S28" s="294">
        <v>11434284</v>
      </c>
      <c r="T28" s="294">
        <v>40586</v>
      </c>
      <c r="U28" s="294">
        <v>6703104</v>
      </c>
      <c r="V28" s="294">
        <v>6368952</v>
      </c>
      <c r="W28" s="294">
        <v>441400181</v>
      </c>
      <c r="X28" s="294">
        <v>59536709</v>
      </c>
      <c r="Y28" s="294">
        <v>3063081</v>
      </c>
      <c r="Z28" s="294">
        <v>511553180</v>
      </c>
      <c r="AA28" s="294">
        <v>149990829</v>
      </c>
      <c r="AB28" s="294">
        <v>47203658</v>
      </c>
      <c r="AC28" s="299">
        <v>42.25</v>
      </c>
      <c r="AD28" s="299">
        <v>59.65</v>
      </c>
      <c r="AE28" s="298">
        <v>8.1819845280132975E-2</v>
      </c>
    </row>
    <row r="29" spans="1:31" ht="15.4" x14ac:dyDescent="0.45">
      <c r="A29" s="283" t="s">
        <v>90</v>
      </c>
      <c r="B29" s="294">
        <v>7843054</v>
      </c>
      <c r="C29" s="294">
        <v>38954031</v>
      </c>
      <c r="D29" s="294">
        <v>3816188</v>
      </c>
      <c r="E29" s="280">
        <v>1130112</v>
      </c>
      <c r="F29" s="294"/>
      <c r="G29" s="280">
        <v>1985640</v>
      </c>
      <c r="H29" s="294">
        <v>2131812</v>
      </c>
      <c r="I29" s="280"/>
      <c r="J29" s="294">
        <v>55860837</v>
      </c>
      <c r="K29" s="294">
        <v>42910806.170000002</v>
      </c>
      <c r="L29" s="294">
        <v>37150272.770000003</v>
      </c>
      <c r="M29" s="294">
        <v>21796301</v>
      </c>
      <c r="N29" s="294">
        <v>12729471</v>
      </c>
      <c r="O29" s="294">
        <v>18460435</v>
      </c>
      <c r="P29" s="294">
        <v>6720917</v>
      </c>
      <c r="Q29" s="294">
        <v>4194471</v>
      </c>
      <c r="R29" s="294">
        <v>3433920.77</v>
      </c>
      <c r="S29" s="294">
        <v>3673194</v>
      </c>
      <c r="T29" s="294">
        <v>301335</v>
      </c>
      <c r="U29" s="294">
        <v>5078676.7699999996</v>
      </c>
      <c r="V29" s="294">
        <v>5327988</v>
      </c>
      <c r="W29" s="294">
        <v>50874851</v>
      </c>
      <c r="X29" s="294">
        <v>23141535</v>
      </c>
      <c r="Y29" s="294">
        <v>12228608</v>
      </c>
      <c r="Z29" s="294">
        <v>95044542</v>
      </c>
      <c r="AA29" s="294">
        <v>46523288</v>
      </c>
      <c r="AB29" s="294">
        <v>5091788</v>
      </c>
      <c r="AC29" s="299">
        <v>30.79</v>
      </c>
      <c r="AD29" s="299">
        <v>60.91</v>
      </c>
      <c r="AE29" s="298">
        <v>2.9231330671179192E-2</v>
      </c>
    </row>
    <row r="30" spans="1:31" ht="15.4" x14ac:dyDescent="0.45">
      <c r="A30" s="283" t="s">
        <v>41</v>
      </c>
      <c r="B30" s="294">
        <v>1011502</v>
      </c>
      <c r="C30" s="294">
        <v>15200295</v>
      </c>
      <c r="D30" s="294">
        <v>590508</v>
      </c>
      <c r="E30" s="294">
        <v>333590</v>
      </c>
      <c r="F30" s="294">
        <v>376480</v>
      </c>
      <c r="G30" s="294">
        <v>782767</v>
      </c>
      <c r="H30" s="294">
        <v>159298</v>
      </c>
      <c r="I30" s="280"/>
      <c r="J30" s="294">
        <v>18454440</v>
      </c>
      <c r="K30" s="294">
        <v>15941404.76</v>
      </c>
      <c r="L30" s="294">
        <v>12911695.76</v>
      </c>
      <c r="M30" s="294">
        <v>4559883</v>
      </c>
      <c r="N30" s="294">
        <v>3370196</v>
      </c>
      <c r="O30" s="294">
        <v>8998995</v>
      </c>
      <c r="P30" s="294">
        <v>953049</v>
      </c>
      <c r="Q30" s="294">
        <v>900923</v>
      </c>
      <c r="R30" s="294">
        <v>490378.76</v>
      </c>
      <c r="S30" s="294">
        <v>-2456550</v>
      </c>
      <c r="T30" s="294">
        <v>12979</v>
      </c>
      <c r="U30" s="294">
        <v>-1953192.24</v>
      </c>
      <c r="V30" s="294">
        <v>503905</v>
      </c>
      <c r="W30" s="294">
        <v>60306508</v>
      </c>
      <c r="X30" s="294">
        <v>7651609</v>
      </c>
      <c r="Y30" s="294">
        <v>626068</v>
      </c>
      <c r="Z30" s="294">
        <v>70133584</v>
      </c>
      <c r="AA30" s="294">
        <v>14555826</v>
      </c>
      <c r="AB30" s="294">
        <v>1826810</v>
      </c>
      <c r="AC30" s="299">
        <v>24.4</v>
      </c>
      <c r="AD30" s="299">
        <v>72.05</v>
      </c>
      <c r="AE30" s="298">
        <v>9.6569952575439582E-3</v>
      </c>
    </row>
    <row r="31" spans="1:31" ht="15.4" x14ac:dyDescent="0.45">
      <c r="A31" s="283" t="s">
        <v>42</v>
      </c>
      <c r="B31" s="294">
        <v>16310117</v>
      </c>
      <c r="C31" s="294">
        <v>86818061</v>
      </c>
      <c r="D31" s="294">
        <v>7874737</v>
      </c>
      <c r="E31" s="294">
        <v>1322356</v>
      </c>
      <c r="F31" s="294">
        <v>6438845</v>
      </c>
      <c r="G31" s="294">
        <v>3405785</v>
      </c>
      <c r="H31" s="294">
        <v>11642100</v>
      </c>
      <c r="I31" s="280"/>
      <c r="J31" s="294">
        <v>133812001.44</v>
      </c>
      <c r="K31" s="294">
        <v>90751675.150000006</v>
      </c>
      <c r="L31" s="294">
        <v>79837946.379999995</v>
      </c>
      <c r="M31" s="294">
        <v>52745645</v>
      </c>
      <c r="N31" s="294">
        <v>32159003.920000002</v>
      </c>
      <c r="O31" s="294">
        <v>32109233.210000001</v>
      </c>
      <c r="P31" s="294">
        <v>22098175.440000001</v>
      </c>
      <c r="Q31" s="294">
        <v>11508185.73</v>
      </c>
      <c r="R31" s="294">
        <v>4979719.54</v>
      </c>
      <c r="S31" s="294">
        <v>1576490.28</v>
      </c>
      <c r="T31" s="295">
        <v>22022.28</v>
      </c>
      <c r="U31" s="294">
        <v>4890732.0999999996</v>
      </c>
      <c r="V31" s="294">
        <v>9673189</v>
      </c>
      <c r="W31" s="294">
        <v>112992591</v>
      </c>
      <c r="X31" s="294">
        <v>63533225</v>
      </c>
      <c r="Y31" s="294">
        <v>7771871</v>
      </c>
      <c r="Z31" s="294">
        <v>201352317</v>
      </c>
      <c r="AA31" s="294">
        <v>83500802</v>
      </c>
      <c r="AB31" s="294">
        <v>48704538</v>
      </c>
      <c r="AC31" s="299">
        <v>35.21</v>
      </c>
      <c r="AD31" s="299">
        <v>59.34</v>
      </c>
      <c r="AE31" s="298">
        <v>7.0022274493755726E-2</v>
      </c>
    </row>
    <row r="32" spans="1:31" ht="15.4" x14ac:dyDescent="0.45">
      <c r="A32" s="283" t="s">
        <v>44</v>
      </c>
      <c r="B32" s="284">
        <f>SUM(B6:B31)</f>
        <v>483773903</v>
      </c>
      <c r="C32" s="284">
        <f t="shared" ref="C32:AB32" si="1">SUM(C6:C31)</f>
        <v>934265061</v>
      </c>
      <c r="D32" s="284">
        <f t="shared" si="1"/>
        <v>65269176</v>
      </c>
      <c r="E32" s="284">
        <f t="shared" si="1"/>
        <v>75908243</v>
      </c>
      <c r="F32" s="284">
        <f t="shared" si="1"/>
        <v>117454564</v>
      </c>
      <c r="G32" s="284">
        <f t="shared" si="1"/>
        <v>79647665</v>
      </c>
      <c r="H32" s="284">
        <f t="shared" si="1"/>
        <v>125525705</v>
      </c>
      <c r="I32" s="284">
        <f t="shared" si="1"/>
        <v>23897616</v>
      </c>
      <c r="J32" s="284">
        <f t="shared" si="1"/>
        <v>1910991929.46</v>
      </c>
      <c r="K32" s="284">
        <f t="shared" si="1"/>
        <v>1144390882.48</v>
      </c>
      <c r="L32" s="284">
        <f t="shared" si="1"/>
        <v>990973246.14999998</v>
      </c>
      <c r="M32" s="284">
        <f t="shared" si="1"/>
        <v>531196393</v>
      </c>
      <c r="N32" s="284">
        <f t="shared" si="1"/>
        <v>367513789.10000008</v>
      </c>
      <c r="O32" s="284">
        <f t="shared" si="1"/>
        <v>500671080.09999996</v>
      </c>
      <c r="P32" s="284">
        <f t="shared" si="1"/>
        <v>249742960.12</v>
      </c>
      <c r="Q32" s="284">
        <f t="shared" si="1"/>
        <v>160816628.42999998</v>
      </c>
      <c r="R32" s="284">
        <f t="shared" si="1"/>
        <v>33862045.259999998</v>
      </c>
      <c r="S32" s="284">
        <f t="shared" si="1"/>
        <v>113312991.84</v>
      </c>
      <c r="T32" s="284">
        <f t="shared" si="1"/>
        <v>35950158.280000001</v>
      </c>
      <c r="U32" s="284">
        <f t="shared" si="1"/>
        <v>142677129.91999999</v>
      </c>
      <c r="V32" s="284">
        <f t="shared" si="1"/>
        <v>306147633</v>
      </c>
      <c r="W32" s="284">
        <f t="shared" si="1"/>
        <v>2305755495</v>
      </c>
      <c r="X32" s="284">
        <f t="shared" si="1"/>
        <v>753344422</v>
      </c>
      <c r="Y32" s="284">
        <f t="shared" si="1"/>
        <v>348155468</v>
      </c>
      <c r="Z32" s="284">
        <f t="shared" si="1"/>
        <v>3766740696</v>
      </c>
      <c r="AA32" s="284">
        <f t="shared" si="1"/>
        <v>1344350958</v>
      </c>
      <c r="AB32" s="284">
        <f t="shared" si="1"/>
        <v>516607088</v>
      </c>
      <c r="AC32" s="301">
        <f>AVERAGE(AC6:AC31)</f>
        <v>28.628799999999998</v>
      </c>
      <c r="AD32" s="301">
        <f>AVERAGE(AD6:AD31)</f>
        <v>69.820800000000006</v>
      </c>
      <c r="AE32" s="291">
        <f>SUM(AE6:AE31)</f>
        <v>1</v>
      </c>
    </row>
    <row r="35" spans="9:9" x14ac:dyDescent="0.35">
      <c r="I35" s="297"/>
    </row>
  </sheetData>
  <sortState xmlns:xlrd2="http://schemas.microsoft.com/office/spreadsheetml/2017/richdata2" ref="A7:AE31">
    <sortCondition ref="A6:A31"/>
  </sortState>
  <mergeCells count="1">
    <mergeCell ref="B1:AE1"/>
  </mergeCells>
  <dataValidations count="1">
    <dataValidation type="list" allowBlank="1" showInputMessage="1" showErrorMessage="1" sqref="A3" xr:uid="{00000000-0002-0000-2500-000000000000}">
      <formula1>$A$6:$A$32</formula1>
    </dataValidation>
  </dataValidations>
  <pageMargins left="0.7" right="0.7" top="0.75" bottom="0.75" header="0.3" footer="0.3"/>
  <pageSetup orientation="portrait" horizontalDpi="4294967295" verticalDpi="4294967295" r:id="rId1"/>
  <customProperties>
    <customPr name="LastActive" r:id="rId2"/>
  </customProperties>
  <legacyDrawing r:id="rId3"/>
</worksheet>
</file>

<file path=xl/worksheets/sheet3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600-000000000000}">
  <sheetPr>
    <tabColor theme="8" tint="-0.249977111117893"/>
  </sheetPr>
  <dimension ref="A1:AE34"/>
  <sheetViews>
    <sheetView zoomScale="70" zoomScaleNormal="70" workbookViewId="0">
      <pane xSplit="1" ySplit="5" topLeftCell="M6" activePane="bottomRight" state="frozen"/>
      <selection pane="topRight" activeCell="B1" sqref="B1"/>
      <selection pane="bottomLeft" activeCell="A6" sqref="A6"/>
      <selection pane="bottomRight" activeCell="Q9" sqref="Q9"/>
    </sheetView>
  </sheetViews>
  <sheetFormatPr defaultRowHeight="12.75" x14ac:dyDescent="0.35"/>
  <cols>
    <col min="1" max="1" width="48.265625" bestFit="1" customWidth="1"/>
    <col min="2" max="2" width="15.3984375" bestFit="1" customWidth="1"/>
    <col min="3" max="3" width="15.265625" bestFit="1" customWidth="1"/>
    <col min="4" max="4" width="20.73046875" customWidth="1"/>
    <col min="5" max="5" width="15.265625" bestFit="1" customWidth="1"/>
    <col min="6" max="6" width="18.265625" customWidth="1"/>
    <col min="7" max="7" width="14.265625" bestFit="1" customWidth="1"/>
    <col min="8" max="8" width="15.3984375" bestFit="1" customWidth="1"/>
    <col min="9" max="9" width="14.265625" bestFit="1" customWidth="1"/>
    <col min="10" max="11" width="17.3984375" bestFit="1" customWidth="1"/>
    <col min="12" max="12" width="15.3984375" bestFit="1" customWidth="1"/>
    <col min="13" max="13" width="15.265625" bestFit="1" customWidth="1"/>
    <col min="14" max="16" width="15.3984375" bestFit="1" customWidth="1"/>
    <col min="17" max="17" width="22.3984375" customWidth="1"/>
    <col min="18" max="18" width="14.265625" bestFit="1" customWidth="1"/>
    <col min="19" max="19" width="17.3984375" bestFit="1" customWidth="1"/>
    <col min="20" max="20" width="14.73046875" bestFit="1" customWidth="1"/>
    <col min="21" max="21" width="15.3984375" bestFit="1" customWidth="1"/>
    <col min="22" max="22" width="15.265625" bestFit="1" customWidth="1"/>
    <col min="23" max="23" width="17.3984375" bestFit="1" customWidth="1"/>
    <col min="24" max="24" width="15.3984375" bestFit="1" customWidth="1"/>
    <col min="25" max="25" width="15.265625" bestFit="1" customWidth="1"/>
    <col min="26" max="27" width="17.3984375" bestFit="1" customWidth="1"/>
    <col min="28" max="28" width="15.265625" style="161" bestFit="1" customWidth="1"/>
    <col min="29" max="29" width="10.265625" customWidth="1"/>
    <col min="30" max="30" width="12.3984375" customWidth="1"/>
    <col min="31" max="31" width="11.265625" customWidth="1"/>
  </cols>
  <sheetData>
    <row r="1" spans="1:31" ht="23.25" x14ac:dyDescent="0.7">
      <c r="A1" s="285" t="s">
        <v>141</v>
      </c>
      <c r="B1" s="416" t="s">
        <v>92</v>
      </c>
      <c r="C1" s="416"/>
      <c r="D1" s="416"/>
      <c r="E1" s="416"/>
      <c r="F1" s="416"/>
      <c r="G1" s="416"/>
      <c r="H1" s="416"/>
      <c r="I1" s="416"/>
      <c r="J1" s="416"/>
      <c r="K1" s="416"/>
      <c r="L1" s="416"/>
      <c r="M1" s="416"/>
      <c r="N1" s="416"/>
      <c r="O1" s="416"/>
      <c r="P1" s="416"/>
      <c r="Q1" s="416"/>
      <c r="R1" s="416"/>
      <c r="S1" s="416"/>
      <c r="T1" s="416"/>
      <c r="U1" s="416"/>
      <c r="V1" s="416"/>
      <c r="W1" s="416"/>
      <c r="X1" s="416"/>
      <c r="Y1" s="416"/>
      <c r="Z1" s="416"/>
      <c r="AA1" s="416"/>
      <c r="AB1" s="416"/>
      <c r="AC1" s="416"/>
      <c r="AD1" s="416"/>
      <c r="AE1" s="416"/>
    </row>
    <row r="2" spans="1:31" ht="27" customHeight="1" x14ac:dyDescent="0.35">
      <c r="A2" s="279"/>
      <c r="B2" s="246" t="s">
        <v>100</v>
      </c>
      <c r="C2" s="246" t="s">
        <v>101</v>
      </c>
      <c r="D2" s="246" t="s">
        <v>102</v>
      </c>
      <c r="E2" s="246" t="s">
        <v>103</v>
      </c>
      <c r="F2" s="246" t="s">
        <v>104</v>
      </c>
      <c r="G2" s="246" t="s">
        <v>105</v>
      </c>
      <c r="H2" s="246" t="s">
        <v>106</v>
      </c>
      <c r="I2" s="246" t="s">
        <v>107</v>
      </c>
      <c r="J2" s="246" t="s">
        <v>108</v>
      </c>
      <c r="K2" s="246" t="s">
        <v>109</v>
      </c>
      <c r="L2" s="246" t="s">
        <v>110</v>
      </c>
      <c r="M2" s="254" t="s">
        <v>93</v>
      </c>
      <c r="N2" s="246" t="s">
        <v>111</v>
      </c>
      <c r="O2" s="246" t="s">
        <v>112</v>
      </c>
      <c r="P2" s="246" t="s">
        <v>113</v>
      </c>
      <c r="Q2" s="246" t="s">
        <v>97</v>
      </c>
      <c r="R2" s="246" t="s">
        <v>131</v>
      </c>
      <c r="S2" s="246" t="s">
        <v>132</v>
      </c>
      <c r="T2" s="246" t="s">
        <v>133</v>
      </c>
      <c r="U2" s="246" t="s">
        <v>134</v>
      </c>
      <c r="V2" s="246" t="s">
        <v>118</v>
      </c>
      <c r="W2" s="246" t="s">
        <v>119</v>
      </c>
      <c r="X2" s="246" t="s">
        <v>120</v>
      </c>
      <c r="Y2" s="254" t="s">
        <v>121</v>
      </c>
      <c r="Z2" s="246" t="s">
        <v>135</v>
      </c>
      <c r="AA2" s="246" t="s">
        <v>124</v>
      </c>
      <c r="AB2" s="314" t="s">
        <v>125</v>
      </c>
      <c r="AC2" s="288" t="s">
        <v>79</v>
      </c>
      <c r="AD2" s="288" t="s">
        <v>80</v>
      </c>
      <c r="AE2" s="288" t="s">
        <v>19</v>
      </c>
    </row>
    <row r="3" spans="1:31" ht="15.4" x14ac:dyDescent="0.45">
      <c r="A3" s="282" t="s">
        <v>23</v>
      </c>
      <c r="B3" s="302">
        <f t="shared" ref="B3:AE3" si="0">INDEX(B6:B31,MATCH($A$3,$A$6:$A$31,0))</f>
        <v>75717345</v>
      </c>
      <c r="C3" s="302">
        <f t="shared" si="0"/>
        <v>168417686</v>
      </c>
      <c r="D3" s="302">
        <f t="shared" si="0"/>
        <v>4742930</v>
      </c>
      <c r="E3" s="302">
        <f t="shared" si="0"/>
        <v>14860558</v>
      </c>
      <c r="F3" s="302">
        <f t="shared" si="0"/>
        <v>27435240</v>
      </c>
      <c r="G3" s="302">
        <f t="shared" si="0"/>
        <v>13184284</v>
      </c>
      <c r="H3" s="302">
        <f t="shared" si="0"/>
        <v>26779963</v>
      </c>
      <c r="I3" s="302">
        <f t="shared" si="0"/>
        <v>4032332</v>
      </c>
      <c r="J3" s="302">
        <f t="shared" si="0"/>
        <v>335170338</v>
      </c>
      <c r="K3" s="302">
        <f t="shared" si="0"/>
        <v>203451460</v>
      </c>
      <c r="L3" s="302">
        <f t="shared" si="0"/>
        <v>184504529</v>
      </c>
      <c r="M3" s="302">
        <f t="shared" si="0"/>
        <v>97993841</v>
      </c>
      <c r="N3" s="302">
        <f t="shared" si="0"/>
        <v>86687566</v>
      </c>
      <c r="O3" s="302">
        <f t="shared" si="0"/>
        <v>64357150</v>
      </c>
      <c r="P3" s="302">
        <f t="shared" si="0"/>
        <v>51676429</v>
      </c>
      <c r="Q3" s="302">
        <f t="shared" si="0"/>
        <v>32316600</v>
      </c>
      <c r="R3" s="302">
        <f t="shared" si="0"/>
        <v>14099984</v>
      </c>
      <c r="S3" s="302">
        <f t="shared" si="0"/>
        <v>31325669</v>
      </c>
      <c r="T3" s="302">
        <f t="shared" si="0"/>
        <v>4854481</v>
      </c>
      <c r="U3" s="302">
        <f t="shared" si="0"/>
        <v>35381830</v>
      </c>
      <c r="V3" s="302">
        <f t="shared" si="0"/>
        <v>10400212</v>
      </c>
      <c r="W3" s="302">
        <f t="shared" si="0"/>
        <v>257401831</v>
      </c>
      <c r="X3" s="302">
        <f t="shared" si="0"/>
        <v>24910103</v>
      </c>
      <c r="Y3" s="302">
        <f t="shared" si="0"/>
        <v>20197774</v>
      </c>
      <c r="Z3" s="302">
        <f t="shared" si="0"/>
        <v>415471496</v>
      </c>
      <c r="AA3" s="302">
        <f t="shared" si="0"/>
        <v>52052558</v>
      </c>
      <c r="AB3" s="315">
        <f t="shared" si="0"/>
        <v>41385558</v>
      </c>
      <c r="AC3" s="302">
        <f t="shared" si="0"/>
        <v>39.979999999999997</v>
      </c>
      <c r="AD3" s="302">
        <f t="shared" si="0"/>
        <v>53.52</v>
      </c>
      <c r="AE3" s="302">
        <f t="shared" si="0"/>
        <v>0.14191455230999292</v>
      </c>
    </row>
    <row r="5" spans="1:31" ht="32.65" customHeight="1" x14ac:dyDescent="0.35">
      <c r="A5" s="281" t="s">
        <v>136</v>
      </c>
      <c r="B5" s="286" t="s">
        <v>100</v>
      </c>
      <c r="C5" s="286" t="s">
        <v>101</v>
      </c>
      <c r="D5" s="286" t="s">
        <v>102</v>
      </c>
      <c r="E5" s="286" t="s">
        <v>103</v>
      </c>
      <c r="F5" s="286" t="s">
        <v>104</v>
      </c>
      <c r="G5" s="293" t="s">
        <v>105</v>
      </c>
      <c r="H5" s="293" t="s">
        <v>106</v>
      </c>
      <c r="I5" s="293" t="s">
        <v>107</v>
      </c>
      <c r="J5" s="293" t="s">
        <v>137</v>
      </c>
      <c r="K5" s="286" t="s">
        <v>138</v>
      </c>
      <c r="L5" s="286" t="s">
        <v>110</v>
      </c>
      <c r="M5" s="286" t="s">
        <v>93</v>
      </c>
      <c r="N5" s="286" t="s">
        <v>111</v>
      </c>
      <c r="O5" s="286" t="s">
        <v>112</v>
      </c>
      <c r="P5" s="286" t="s">
        <v>139</v>
      </c>
      <c r="Q5" s="286" t="s">
        <v>140</v>
      </c>
      <c r="R5" s="286" t="s">
        <v>131</v>
      </c>
      <c r="S5" s="286" t="s">
        <v>132</v>
      </c>
      <c r="T5" s="286" t="s">
        <v>133</v>
      </c>
      <c r="U5" s="286" t="s">
        <v>134</v>
      </c>
      <c r="V5" s="286" t="s">
        <v>118</v>
      </c>
      <c r="W5" s="286" t="s">
        <v>119</v>
      </c>
      <c r="X5" s="286" t="s">
        <v>120</v>
      </c>
      <c r="Y5" s="286" t="s">
        <v>121</v>
      </c>
      <c r="Z5" s="286" t="s">
        <v>135</v>
      </c>
      <c r="AA5" s="286" t="s">
        <v>124</v>
      </c>
      <c r="AB5" s="316" t="s">
        <v>125</v>
      </c>
      <c r="AC5" s="287" t="s">
        <v>79</v>
      </c>
      <c r="AD5" s="287" t="s">
        <v>80</v>
      </c>
      <c r="AE5" s="287" t="s">
        <v>19</v>
      </c>
    </row>
    <row r="6" spans="1:31" ht="15.4" x14ac:dyDescent="0.45">
      <c r="A6" s="283" t="s">
        <v>20</v>
      </c>
      <c r="B6" s="294">
        <v>70497970</v>
      </c>
      <c r="C6" s="294">
        <v>16116859</v>
      </c>
      <c r="D6" s="294">
        <v>843515</v>
      </c>
      <c r="E6" s="294">
        <v>5262502</v>
      </c>
      <c r="F6" s="294">
        <v>9623458</v>
      </c>
      <c r="G6" s="294">
        <v>5214096</v>
      </c>
      <c r="H6" s="294">
        <v>7946527</v>
      </c>
      <c r="I6" s="294">
        <v>559812</v>
      </c>
      <c r="J6" s="294">
        <f>SUM(B6:I6)</f>
        <v>116064739</v>
      </c>
      <c r="K6" s="294">
        <v>30083365</v>
      </c>
      <c r="L6" s="294">
        <v>29033112</v>
      </c>
      <c r="M6" s="294">
        <v>17275448</v>
      </c>
      <c r="N6" s="294">
        <v>10433149</v>
      </c>
      <c r="O6" s="294">
        <v>18516183</v>
      </c>
      <c r="P6" s="294">
        <v>7380589</v>
      </c>
      <c r="Q6" s="294">
        <v>14285419</v>
      </c>
      <c r="R6" s="294">
        <v>6988610</v>
      </c>
      <c r="S6" s="294">
        <v>6434753</v>
      </c>
      <c r="T6" s="280">
        <v>6055</v>
      </c>
      <c r="U6" s="294">
        <v>13429418</v>
      </c>
      <c r="V6" s="294">
        <v>26559761</v>
      </c>
      <c r="W6" s="294">
        <v>74865939</v>
      </c>
      <c r="X6" s="303">
        <v>19736436</v>
      </c>
      <c r="Y6" s="303">
        <v>26495752</v>
      </c>
      <c r="Z6" s="304">
        <v>145752149</v>
      </c>
      <c r="AA6" s="304">
        <v>25863665</v>
      </c>
      <c r="AB6" s="303">
        <v>34982072</v>
      </c>
      <c r="AC6" s="299">
        <v>24.08</v>
      </c>
      <c r="AD6" s="299">
        <v>59.78</v>
      </c>
      <c r="AE6" s="298">
        <f>J6/$J$32</f>
        <v>4.9142998668817689E-2</v>
      </c>
    </row>
    <row r="7" spans="1:31" ht="15.4" x14ac:dyDescent="0.45">
      <c r="A7" s="283" t="s">
        <v>21</v>
      </c>
      <c r="B7" s="294">
        <v>8312052</v>
      </c>
      <c r="C7" s="294">
        <v>28846812</v>
      </c>
      <c r="D7" s="294">
        <v>268337</v>
      </c>
      <c r="E7" s="294">
        <v>2205391</v>
      </c>
      <c r="F7" s="280">
        <v>4519803</v>
      </c>
      <c r="G7" s="294"/>
      <c r="H7" s="294">
        <v>3290876</v>
      </c>
      <c r="I7" s="294">
        <v>521240</v>
      </c>
      <c r="J7" s="294">
        <f t="shared" ref="J7:J31" si="1">SUM(B7:I7)</f>
        <v>47964511</v>
      </c>
      <c r="K7" s="294">
        <v>35078619</v>
      </c>
      <c r="L7" s="294">
        <v>35789087.460000001</v>
      </c>
      <c r="M7" s="294">
        <v>13054462</v>
      </c>
      <c r="N7" s="294">
        <v>12682640</v>
      </c>
      <c r="O7" s="294">
        <v>26282082</v>
      </c>
      <c r="P7" s="294">
        <v>8391036</v>
      </c>
      <c r="Q7" s="294">
        <v>1646231</v>
      </c>
      <c r="R7" s="294">
        <v>-9920439.5399999991</v>
      </c>
      <c r="S7" s="294">
        <v>9803023.7300000004</v>
      </c>
      <c r="T7" s="295">
        <v>0</v>
      </c>
      <c r="U7" s="294">
        <v>-117415.81</v>
      </c>
      <c r="V7" s="294">
        <v>9006768</v>
      </c>
      <c r="W7" s="294">
        <v>42583567</v>
      </c>
      <c r="X7" s="303">
        <v>5767260</v>
      </c>
      <c r="Y7" s="303">
        <v>9344645</v>
      </c>
      <c r="Z7" s="304">
        <v>96862177</v>
      </c>
      <c r="AA7" s="304">
        <v>13423429</v>
      </c>
      <c r="AB7" s="303">
        <v>5297247</v>
      </c>
      <c r="AC7" s="299">
        <v>33.880000000000003</v>
      </c>
      <c r="AD7" s="299">
        <v>92.62</v>
      </c>
      <c r="AE7" s="298">
        <f t="shared" ref="AE7:AE31" si="2">J7/$J$32</f>
        <v>2.0308664978977736E-2</v>
      </c>
    </row>
    <row r="8" spans="1:31" ht="15.4" x14ac:dyDescent="0.45">
      <c r="A8" s="283" t="s">
        <v>87</v>
      </c>
      <c r="B8" s="294">
        <v>233296</v>
      </c>
      <c r="C8" s="294">
        <v>3412430</v>
      </c>
      <c r="D8" s="294">
        <v>193088</v>
      </c>
      <c r="E8" s="294"/>
      <c r="F8" s="294">
        <v>27963</v>
      </c>
      <c r="G8" s="294">
        <v>63976</v>
      </c>
      <c r="H8" s="294">
        <v>8073</v>
      </c>
      <c r="I8" s="280"/>
      <c r="J8" s="294">
        <f t="shared" si="1"/>
        <v>3938826</v>
      </c>
      <c r="K8" s="294">
        <v>3500300</v>
      </c>
      <c r="L8" s="294">
        <v>3179325</v>
      </c>
      <c r="M8" s="294">
        <v>481333</v>
      </c>
      <c r="N8" s="294">
        <v>449800</v>
      </c>
      <c r="O8" s="294">
        <v>3619128</v>
      </c>
      <c r="P8" s="294">
        <v>288928</v>
      </c>
      <c r="Q8" s="294">
        <v>102217.66</v>
      </c>
      <c r="R8" s="294">
        <v>-1076313.3400000001</v>
      </c>
      <c r="S8" s="294">
        <v>321646</v>
      </c>
      <c r="T8" s="295">
        <v>0</v>
      </c>
      <c r="U8" s="294">
        <v>-754667.34</v>
      </c>
      <c r="V8" s="294">
        <v>4628766</v>
      </c>
      <c r="W8" s="294">
        <v>60100861</v>
      </c>
      <c r="X8" s="303">
        <v>15862425</v>
      </c>
      <c r="Y8" s="303">
        <v>8282306</v>
      </c>
      <c r="Z8" s="304">
        <v>33755447</v>
      </c>
      <c r="AA8" s="304">
        <v>19772231</v>
      </c>
      <c r="AB8" s="303">
        <v>14546565</v>
      </c>
      <c r="AC8" s="300">
        <v>13.71</v>
      </c>
      <c r="AD8" s="300">
        <v>119.09</v>
      </c>
      <c r="AE8" s="298">
        <f t="shared" si="2"/>
        <v>1.6677392508908713E-3</v>
      </c>
    </row>
    <row r="9" spans="1:31" ht="15.4" x14ac:dyDescent="0.45">
      <c r="A9" s="283" t="s">
        <v>60</v>
      </c>
      <c r="B9" s="294">
        <v>1593515</v>
      </c>
      <c r="C9" s="294">
        <v>13743415</v>
      </c>
      <c r="D9" s="294">
        <v>2249582</v>
      </c>
      <c r="E9" s="280">
        <v>80710</v>
      </c>
      <c r="F9" s="294"/>
      <c r="G9" s="280">
        <v>2209140</v>
      </c>
      <c r="H9" s="294">
        <v>976669</v>
      </c>
      <c r="I9" s="280"/>
      <c r="J9" s="294">
        <f t="shared" si="1"/>
        <v>20853031</v>
      </c>
      <c r="K9" s="294">
        <v>16710040</v>
      </c>
      <c r="L9" s="294">
        <v>15903443</v>
      </c>
      <c r="M9" s="294">
        <v>5671866</v>
      </c>
      <c r="N9" s="294">
        <v>4021559</v>
      </c>
      <c r="O9" s="294">
        <v>11075317.390000001</v>
      </c>
      <c r="P9" s="294">
        <v>1384818</v>
      </c>
      <c r="Q9" s="280"/>
      <c r="R9" s="294">
        <v>-578251.39</v>
      </c>
      <c r="S9" s="294">
        <v>2251027</v>
      </c>
      <c r="T9" s="295">
        <v>0</v>
      </c>
      <c r="U9" s="294">
        <v>1254582.6100000001</v>
      </c>
      <c r="V9" s="294">
        <v>9227904</v>
      </c>
      <c r="W9" s="294">
        <v>257401831</v>
      </c>
      <c r="X9" s="303">
        <v>66925975</v>
      </c>
      <c r="Y9" s="303">
        <v>2188918</v>
      </c>
      <c r="Z9" s="304">
        <v>33160816</v>
      </c>
      <c r="AA9" s="304">
        <v>154820472</v>
      </c>
      <c r="AB9" s="303">
        <v>41385558</v>
      </c>
      <c r="AC9" s="299">
        <v>25.29</v>
      </c>
      <c r="AD9" s="299">
        <v>78.349999999999994</v>
      </c>
      <c r="AE9" s="298">
        <f t="shared" si="2"/>
        <v>8.8293868017384168E-3</v>
      </c>
    </row>
    <row r="10" spans="1:31" ht="15.4" x14ac:dyDescent="0.45">
      <c r="A10" s="283" t="s">
        <v>128</v>
      </c>
      <c r="B10" s="294">
        <v>4057470</v>
      </c>
      <c r="C10" s="294">
        <v>16544526</v>
      </c>
      <c r="D10" s="294">
        <v>2676834</v>
      </c>
      <c r="E10" s="280">
        <v>566091</v>
      </c>
      <c r="F10" s="280"/>
      <c r="G10" s="280"/>
      <c r="H10" s="294">
        <v>751848</v>
      </c>
      <c r="I10" s="280"/>
      <c r="J10" s="294">
        <f t="shared" si="1"/>
        <v>24596769</v>
      </c>
      <c r="K10" s="294">
        <v>18983621.030000001</v>
      </c>
      <c r="L10" s="294">
        <v>17957223.030000001</v>
      </c>
      <c r="M10" s="294">
        <v>12676225</v>
      </c>
      <c r="N10" s="294">
        <v>7019735</v>
      </c>
      <c r="O10" s="294">
        <v>10059765</v>
      </c>
      <c r="P10" s="294">
        <v>4634771</v>
      </c>
      <c r="Q10" s="294">
        <v>1899114</v>
      </c>
      <c r="R10" s="294">
        <v>-1857933.97</v>
      </c>
      <c r="S10" s="294">
        <v>4456568</v>
      </c>
      <c r="T10" s="294">
        <v>232086</v>
      </c>
      <c r="U10" s="294">
        <v>2123026.0299999998</v>
      </c>
      <c r="V10" s="294">
        <v>2518637</v>
      </c>
      <c r="W10" s="294">
        <v>67878034</v>
      </c>
      <c r="X10" s="303">
        <v>17390045</v>
      </c>
      <c r="Y10" s="303">
        <v>7569263</v>
      </c>
      <c r="Z10" s="304">
        <v>78466452</v>
      </c>
      <c r="AA10" s="304">
        <v>34380297</v>
      </c>
      <c r="AB10" s="303">
        <v>5902580</v>
      </c>
      <c r="AC10" s="299">
        <v>35.35</v>
      </c>
      <c r="AD10" s="299">
        <v>74</v>
      </c>
      <c r="AE10" s="298">
        <f t="shared" si="2"/>
        <v>1.041452379627732E-2</v>
      </c>
    </row>
    <row r="11" spans="1:31" ht="15.4" x14ac:dyDescent="0.45">
      <c r="A11" s="283" t="s">
        <v>22</v>
      </c>
      <c r="B11" s="294">
        <v>4606366</v>
      </c>
      <c r="C11" s="294">
        <v>41645210</v>
      </c>
      <c r="D11" s="294">
        <v>1656962</v>
      </c>
      <c r="E11" s="280">
        <v>1382316</v>
      </c>
      <c r="F11" s="294"/>
      <c r="G11" s="280">
        <v>1991476</v>
      </c>
      <c r="H11" s="294">
        <v>1626523</v>
      </c>
      <c r="I11" s="280"/>
      <c r="J11" s="294">
        <f t="shared" si="1"/>
        <v>52908853</v>
      </c>
      <c r="K11" s="294">
        <v>43583501.240000002</v>
      </c>
      <c r="L11" s="294">
        <v>39886335.270000003</v>
      </c>
      <c r="M11" s="294">
        <v>26564482</v>
      </c>
      <c r="N11" s="294">
        <v>16299354.83</v>
      </c>
      <c r="O11" s="294">
        <v>18173189</v>
      </c>
      <c r="P11" s="294">
        <v>6564000</v>
      </c>
      <c r="Q11" s="294">
        <v>3307115</v>
      </c>
      <c r="R11" s="294">
        <v>2156906.44</v>
      </c>
      <c r="S11" s="294">
        <v>6118353</v>
      </c>
      <c r="T11" s="294">
        <v>413253</v>
      </c>
      <c r="U11" s="294">
        <v>5831863.4400000004</v>
      </c>
      <c r="V11" s="294">
        <v>25507053</v>
      </c>
      <c r="W11" s="294">
        <v>125037896</v>
      </c>
      <c r="X11" s="303">
        <v>23549678</v>
      </c>
      <c r="Y11" s="303">
        <v>7620349</v>
      </c>
      <c r="Z11" s="304">
        <v>95190128</v>
      </c>
      <c r="AA11" s="304">
        <v>43264304</v>
      </c>
      <c r="AB11" s="303">
        <v>45377902</v>
      </c>
      <c r="AC11" s="299">
        <v>37.74</v>
      </c>
      <c r="AD11" s="299">
        <v>57.27</v>
      </c>
      <c r="AE11" s="298">
        <f t="shared" si="2"/>
        <v>2.2402149997922029E-2</v>
      </c>
    </row>
    <row r="12" spans="1:31" ht="15.4" x14ac:dyDescent="0.45">
      <c r="A12" s="283" t="s">
        <v>23</v>
      </c>
      <c r="B12" s="294">
        <v>75717345</v>
      </c>
      <c r="C12" s="294">
        <v>168417686</v>
      </c>
      <c r="D12" s="294">
        <v>4742930</v>
      </c>
      <c r="E12" s="294">
        <v>14860558</v>
      </c>
      <c r="F12" s="294">
        <v>27435240</v>
      </c>
      <c r="G12" s="294">
        <v>13184284</v>
      </c>
      <c r="H12" s="294">
        <v>26779963</v>
      </c>
      <c r="I12" s="294">
        <v>4032332</v>
      </c>
      <c r="J12" s="294">
        <f t="shared" si="1"/>
        <v>335170338</v>
      </c>
      <c r="K12" s="294">
        <v>203451460</v>
      </c>
      <c r="L12" s="294">
        <v>184504529</v>
      </c>
      <c r="M12" s="294">
        <v>97993841</v>
      </c>
      <c r="N12" s="294">
        <v>86687566</v>
      </c>
      <c r="O12" s="294">
        <v>64357150</v>
      </c>
      <c r="P12" s="294">
        <v>51676429</v>
      </c>
      <c r="Q12" s="294">
        <v>32316600</v>
      </c>
      <c r="R12" s="294">
        <v>14099984</v>
      </c>
      <c r="S12" s="294">
        <v>31325669</v>
      </c>
      <c r="T12" s="294">
        <v>4854481</v>
      </c>
      <c r="U12" s="294">
        <v>35381830</v>
      </c>
      <c r="V12" s="294">
        <v>10400212</v>
      </c>
      <c r="W12" s="294">
        <v>257401831</v>
      </c>
      <c r="X12" s="303">
        <v>24910103</v>
      </c>
      <c r="Y12" s="303">
        <v>20197774</v>
      </c>
      <c r="Z12" s="304">
        <v>415471496</v>
      </c>
      <c r="AA12" s="304">
        <v>52052558</v>
      </c>
      <c r="AB12" s="401">
        <v>41385558</v>
      </c>
      <c r="AC12" s="299">
        <v>39.979999999999997</v>
      </c>
      <c r="AD12" s="299">
        <v>53.52</v>
      </c>
      <c r="AE12" s="298">
        <f t="shared" si="2"/>
        <v>0.14191455230999292</v>
      </c>
    </row>
    <row r="13" spans="1:31" ht="15.4" x14ac:dyDescent="0.45">
      <c r="A13" s="283" t="s">
        <v>25</v>
      </c>
      <c r="B13" s="294">
        <v>54880039</v>
      </c>
      <c r="C13" s="294">
        <v>48008695</v>
      </c>
      <c r="D13" s="294">
        <v>15585286</v>
      </c>
      <c r="E13" s="294">
        <v>2820421</v>
      </c>
      <c r="F13" s="280">
        <v>16442360</v>
      </c>
      <c r="G13" s="294"/>
      <c r="H13" s="280"/>
      <c r="I13" s="294">
        <v>3172807</v>
      </c>
      <c r="J13" s="294">
        <f t="shared" si="1"/>
        <v>140909608</v>
      </c>
      <c r="K13" s="294">
        <v>56273451</v>
      </c>
      <c r="L13" s="294">
        <v>50257824.380000003</v>
      </c>
      <c r="M13" s="294">
        <v>25847791</v>
      </c>
      <c r="N13" s="294">
        <v>25847791</v>
      </c>
      <c r="O13" s="294">
        <v>14744805</v>
      </c>
      <c r="P13" s="294">
        <v>17269192.609999999</v>
      </c>
      <c r="Q13" s="294">
        <v>13326780</v>
      </c>
      <c r="R13" s="294">
        <v>5722815.7699999996</v>
      </c>
      <c r="S13" s="294">
        <v>6047297</v>
      </c>
      <c r="T13" s="294">
        <v>57000</v>
      </c>
      <c r="U13" s="294">
        <v>8722034.7699999996</v>
      </c>
      <c r="V13" s="294">
        <v>1275661</v>
      </c>
      <c r="W13" s="294">
        <v>57890830</v>
      </c>
      <c r="X13" s="313">
        <v>47507076</v>
      </c>
      <c r="Y13" s="303">
        <v>24645922</v>
      </c>
      <c r="Z13" s="304">
        <v>220220167</v>
      </c>
      <c r="AA13" s="304">
        <v>25697027</v>
      </c>
      <c r="AB13" s="313">
        <v>45377902</v>
      </c>
      <c r="AC13" s="299">
        <v>40.65</v>
      </c>
      <c r="AD13" s="299">
        <v>50.35</v>
      </c>
      <c r="AE13" s="298">
        <f t="shared" si="2"/>
        <v>5.9662570544940639E-2</v>
      </c>
    </row>
    <row r="14" spans="1:31" ht="15.4" x14ac:dyDescent="0.45">
      <c r="A14" s="283" t="s">
        <v>26</v>
      </c>
      <c r="B14" s="306">
        <v>65124553</v>
      </c>
      <c r="C14" s="294">
        <v>37779775</v>
      </c>
      <c r="D14" s="306">
        <v>730104</v>
      </c>
      <c r="E14" s="294">
        <v>27965085</v>
      </c>
      <c r="F14" s="294">
        <v>14568795</v>
      </c>
      <c r="G14" s="294">
        <v>5550438</v>
      </c>
      <c r="H14" s="294">
        <v>21192133</v>
      </c>
      <c r="I14" s="294"/>
      <c r="J14" s="294">
        <v>172910883</v>
      </c>
      <c r="K14" s="294">
        <v>76515953</v>
      </c>
      <c r="L14" s="306">
        <v>72698089</v>
      </c>
      <c r="M14" s="294">
        <v>33231242.27</v>
      </c>
      <c r="N14" s="294">
        <v>22557577.27</v>
      </c>
      <c r="O14" s="294">
        <v>45794782</v>
      </c>
      <c r="P14" s="294">
        <v>73133218</v>
      </c>
      <c r="Q14" s="294">
        <v>23854706</v>
      </c>
      <c r="R14" s="294">
        <v>861999.73</v>
      </c>
      <c r="S14" s="294">
        <v>4470398</v>
      </c>
      <c r="T14" s="294">
        <v>18681739</v>
      </c>
      <c r="U14" s="294">
        <v>22414417.73</v>
      </c>
      <c r="V14" s="294">
        <v>9415218</v>
      </c>
      <c r="W14" s="294">
        <v>119799942</v>
      </c>
      <c r="X14" s="294">
        <v>27898654</v>
      </c>
      <c r="Y14" s="294">
        <v>4623357</v>
      </c>
      <c r="Z14" s="294">
        <v>166161245</v>
      </c>
      <c r="AA14" s="294">
        <v>61568009</v>
      </c>
      <c r="AB14" s="317">
        <v>16071384</v>
      </c>
      <c r="AC14" s="299">
        <v>23</v>
      </c>
      <c r="AD14" s="299">
        <v>75</v>
      </c>
      <c r="AE14" s="298">
        <f>J14/J32</f>
        <v>7.3212237982916512E-2</v>
      </c>
    </row>
    <row r="15" spans="1:31" ht="15.4" x14ac:dyDescent="0.45">
      <c r="A15" s="283" t="s">
        <v>28</v>
      </c>
      <c r="B15" s="294">
        <v>80606237</v>
      </c>
      <c r="C15" s="294">
        <v>91384704</v>
      </c>
      <c r="D15" s="294">
        <v>6642887</v>
      </c>
      <c r="E15" s="294">
        <v>4452490</v>
      </c>
      <c r="F15" s="294">
        <v>15072401</v>
      </c>
      <c r="G15" s="294">
        <v>1695344</v>
      </c>
      <c r="H15" s="294">
        <v>7211290</v>
      </c>
      <c r="I15" s="294">
        <v>5426371</v>
      </c>
      <c r="J15" s="294">
        <f t="shared" si="1"/>
        <v>212491724</v>
      </c>
      <c r="K15" s="294">
        <v>112662689.23999999</v>
      </c>
      <c r="L15" s="294">
        <v>105255039.81999999</v>
      </c>
      <c r="M15" s="294">
        <v>72850273</v>
      </c>
      <c r="N15" s="294">
        <v>47357948.530000001</v>
      </c>
      <c r="O15" s="294">
        <v>47808384.530000001</v>
      </c>
      <c r="P15" s="294">
        <v>28977805.870000001</v>
      </c>
      <c r="Q15" s="294">
        <v>19850474.52</v>
      </c>
      <c r="R15" s="294">
        <v>961375.41</v>
      </c>
      <c r="S15" s="294">
        <v>20608620.969999999</v>
      </c>
      <c r="T15" s="294">
        <v>428273.33</v>
      </c>
      <c r="U15" s="294">
        <v>15330710.310000001</v>
      </c>
      <c r="V15" s="294">
        <v>18883801</v>
      </c>
      <c r="W15" s="294">
        <v>69738901</v>
      </c>
      <c r="X15" s="303">
        <v>19995693</v>
      </c>
      <c r="Y15" s="303">
        <v>12197543</v>
      </c>
      <c r="Z15" s="304">
        <v>236744326</v>
      </c>
      <c r="AA15" s="304">
        <v>42556901</v>
      </c>
      <c r="AB15" s="303">
        <v>20888719</v>
      </c>
      <c r="AC15" s="299">
        <v>37.85</v>
      </c>
      <c r="AD15" s="299">
        <v>61.38</v>
      </c>
      <c r="AE15" s="298">
        <f t="shared" si="2"/>
        <v>8.9971171258712568E-2</v>
      </c>
    </row>
    <row r="16" spans="1:31" ht="15.4" x14ac:dyDescent="0.45">
      <c r="A16" s="283" t="s">
        <v>46</v>
      </c>
      <c r="B16" s="294">
        <v>2062644</v>
      </c>
      <c r="C16" s="294">
        <v>15700992</v>
      </c>
      <c r="D16" s="294">
        <v>1108480</v>
      </c>
      <c r="E16" s="294">
        <v>326670</v>
      </c>
      <c r="F16" s="280">
        <v>4906203</v>
      </c>
      <c r="G16" s="294"/>
      <c r="H16" s="294">
        <v>974340</v>
      </c>
      <c r="I16" s="280"/>
      <c r="J16" s="294">
        <f t="shared" si="1"/>
        <v>25079329</v>
      </c>
      <c r="K16" s="294">
        <v>19368754.09</v>
      </c>
      <c r="L16" s="294">
        <v>16561736.050000001</v>
      </c>
      <c r="M16" s="294">
        <v>5854559</v>
      </c>
      <c r="N16" s="294">
        <v>3366745</v>
      </c>
      <c r="O16" s="294">
        <v>11099488</v>
      </c>
      <c r="P16" s="294">
        <v>3544629</v>
      </c>
      <c r="Q16" s="294">
        <v>1716952</v>
      </c>
      <c r="R16" s="294">
        <v>267826.05</v>
      </c>
      <c r="S16" s="294">
        <v>2803802</v>
      </c>
      <c r="T16" s="294">
        <v>207001</v>
      </c>
      <c r="U16" s="294">
        <v>3278629.05</v>
      </c>
      <c r="V16" s="294">
        <v>1447998</v>
      </c>
      <c r="W16" s="294">
        <v>49131911</v>
      </c>
      <c r="X16" s="303">
        <v>15100764</v>
      </c>
      <c r="Y16" s="303">
        <v>1370247</v>
      </c>
      <c r="Z16" s="304">
        <v>65547740</v>
      </c>
      <c r="AA16" s="304">
        <v>18311438</v>
      </c>
      <c r="AB16" s="303">
        <v>12806099</v>
      </c>
      <c r="AC16" s="299">
        <v>18.420000000000002</v>
      </c>
      <c r="AD16" s="299">
        <v>80.12</v>
      </c>
      <c r="AE16" s="298">
        <f t="shared" si="2"/>
        <v>1.0618844640333365E-2</v>
      </c>
    </row>
    <row r="17" spans="1:31" ht="15.4" x14ac:dyDescent="0.45">
      <c r="A17" s="283" t="s">
        <v>69</v>
      </c>
      <c r="B17" s="294">
        <v>452903</v>
      </c>
      <c r="C17" s="294">
        <v>18833482</v>
      </c>
      <c r="D17" s="280"/>
      <c r="E17" s="294">
        <v>446</v>
      </c>
      <c r="F17" s="294">
        <v>646570</v>
      </c>
      <c r="G17" s="294">
        <v>99027</v>
      </c>
      <c r="H17" s="294">
        <v>230709</v>
      </c>
      <c r="I17" s="280">
        <v>193394</v>
      </c>
      <c r="J17" s="294">
        <f t="shared" si="1"/>
        <v>20456531</v>
      </c>
      <c r="K17" s="294">
        <v>17340969.350000001</v>
      </c>
      <c r="L17" s="294">
        <v>15582088.26</v>
      </c>
      <c r="M17" s="294">
        <v>4712012</v>
      </c>
      <c r="N17" s="294">
        <v>4307476.55</v>
      </c>
      <c r="O17" s="294">
        <v>6721277</v>
      </c>
      <c r="P17" s="294">
        <v>2790283</v>
      </c>
      <c r="Q17" s="294">
        <v>658077.98</v>
      </c>
      <c r="R17" s="294">
        <v>2421129.69</v>
      </c>
      <c r="S17" s="294">
        <v>3195812</v>
      </c>
      <c r="T17" s="294">
        <v>471474.09</v>
      </c>
      <c r="U17" s="294">
        <v>5537131.7800000003</v>
      </c>
      <c r="V17" s="294">
        <v>2960816</v>
      </c>
      <c r="W17" s="294">
        <v>62373693</v>
      </c>
      <c r="X17" s="303">
        <v>5882070</v>
      </c>
      <c r="Y17" s="303">
        <v>20120929</v>
      </c>
      <c r="Z17" s="304">
        <v>59555322</v>
      </c>
      <c r="AA17" s="304">
        <v>15529486</v>
      </c>
      <c r="AB17" s="303">
        <v>8274147</v>
      </c>
      <c r="AC17" s="299">
        <v>26.52</v>
      </c>
      <c r="AD17" s="299">
        <v>58.57</v>
      </c>
      <c r="AE17" s="298">
        <f t="shared" si="2"/>
        <v>8.6615046426945213E-3</v>
      </c>
    </row>
    <row r="18" spans="1:31" ht="15.4" x14ac:dyDescent="0.45">
      <c r="A18" s="283" t="s">
        <v>29</v>
      </c>
      <c r="B18" s="294">
        <v>2302120</v>
      </c>
      <c r="C18" s="294">
        <v>31675152</v>
      </c>
      <c r="D18" s="294">
        <v>485584</v>
      </c>
      <c r="E18" s="294">
        <v>1087490</v>
      </c>
      <c r="F18" s="294">
        <v>906887</v>
      </c>
      <c r="G18" s="294">
        <v>4811205</v>
      </c>
      <c r="H18" s="294">
        <v>453654</v>
      </c>
      <c r="I18" s="294">
        <v>57122</v>
      </c>
      <c r="J18" s="294">
        <f t="shared" si="1"/>
        <v>41779214</v>
      </c>
      <c r="K18" s="294">
        <v>34550279</v>
      </c>
      <c r="L18" s="294">
        <v>31180788</v>
      </c>
      <c r="M18" s="294">
        <v>14024269</v>
      </c>
      <c r="N18" s="294">
        <v>7740290</v>
      </c>
      <c r="O18" s="294">
        <v>14209333</v>
      </c>
      <c r="P18" s="294">
        <v>4860055</v>
      </c>
      <c r="Q18" s="294">
        <v>1542571</v>
      </c>
      <c r="R18" s="294">
        <v>5913681</v>
      </c>
      <c r="S18" s="294">
        <v>4195259.16</v>
      </c>
      <c r="T18" s="294">
        <v>198988.12</v>
      </c>
      <c r="U18" s="294">
        <v>6248177.2800000003</v>
      </c>
      <c r="V18" s="294">
        <v>5903142</v>
      </c>
      <c r="W18" s="294">
        <v>43783671</v>
      </c>
      <c r="X18" s="303">
        <v>18646597</v>
      </c>
      <c r="Y18" s="303">
        <v>27314749</v>
      </c>
      <c r="Z18" s="304">
        <v>116705308</v>
      </c>
      <c r="AA18" s="304">
        <v>22812380</v>
      </c>
      <c r="AB18" s="303">
        <v>7144115</v>
      </c>
      <c r="AC18" s="299">
        <v>23.65</v>
      </c>
      <c r="AD18" s="299">
        <v>58.27</v>
      </c>
      <c r="AE18" s="298">
        <f t="shared" si="2"/>
        <v>1.7689746909147399E-2</v>
      </c>
    </row>
    <row r="19" spans="1:31" ht="15.4" x14ac:dyDescent="0.45">
      <c r="A19" s="283" t="s">
        <v>31</v>
      </c>
      <c r="B19" s="294">
        <v>4122356</v>
      </c>
      <c r="C19" s="294">
        <v>16185442</v>
      </c>
      <c r="D19" s="294">
        <v>174313</v>
      </c>
      <c r="E19" s="294">
        <v>1476321</v>
      </c>
      <c r="F19" s="294">
        <v>980187</v>
      </c>
      <c r="G19" s="294">
        <v>155057</v>
      </c>
      <c r="H19" s="294">
        <v>180235</v>
      </c>
      <c r="I19" s="294">
        <v>59236</v>
      </c>
      <c r="J19" s="294">
        <f t="shared" si="1"/>
        <v>23333147</v>
      </c>
      <c r="K19" s="294">
        <v>17833910.149999999</v>
      </c>
      <c r="L19" s="294">
        <v>17154271.09</v>
      </c>
      <c r="M19" s="294">
        <v>10858996</v>
      </c>
      <c r="N19" s="294">
        <v>6254728.25</v>
      </c>
      <c r="O19" s="294">
        <v>10905317.720000001</v>
      </c>
      <c r="P19" s="294">
        <v>3949361.03</v>
      </c>
      <c r="Q19" s="294">
        <v>1731099.76</v>
      </c>
      <c r="R19" s="294">
        <v>-2224036.15</v>
      </c>
      <c r="S19" s="294">
        <v>5487502.0999999996</v>
      </c>
      <c r="T19" s="294">
        <v>1513901.18</v>
      </c>
      <c r="U19" s="294">
        <v>3587941.41</v>
      </c>
      <c r="V19" s="294">
        <v>28110939</v>
      </c>
      <c r="W19" s="294">
        <v>280231321</v>
      </c>
      <c r="X19" s="303">
        <v>90704766</v>
      </c>
      <c r="Y19" s="303">
        <v>8535421</v>
      </c>
      <c r="Z19" s="304">
        <v>83850379</v>
      </c>
      <c r="AA19" s="304">
        <v>146995475</v>
      </c>
      <c r="AB19" s="303">
        <v>118405132</v>
      </c>
      <c r="AC19" s="299">
        <v>33.119999999999997</v>
      </c>
      <c r="AD19" s="299">
        <v>78.66</v>
      </c>
      <c r="AE19" s="298">
        <f t="shared" si="2"/>
        <v>9.8794933055449986E-3</v>
      </c>
    </row>
    <row r="20" spans="1:31" ht="15.4" x14ac:dyDescent="0.45">
      <c r="A20" s="283" t="s">
        <v>32</v>
      </c>
      <c r="B20" s="294">
        <v>6694549</v>
      </c>
      <c r="C20" s="294">
        <v>45590578</v>
      </c>
      <c r="D20" s="294">
        <v>1550563</v>
      </c>
      <c r="E20" s="294">
        <v>613383</v>
      </c>
      <c r="F20" s="294">
        <v>1840128</v>
      </c>
      <c r="G20" s="294">
        <v>15521728</v>
      </c>
      <c r="H20" s="294">
        <v>14686633</v>
      </c>
      <c r="I20" s="280"/>
      <c r="J20" s="294">
        <f t="shared" si="1"/>
        <v>86497562</v>
      </c>
      <c r="K20" s="294">
        <v>55713325</v>
      </c>
      <c r="L20" s="294">
        <v>58595529</v>
      </c>
      <c r="M20" s="294">
        <v>22476419</v>
      </c>
      <c r="N20" s="294">
        <v>16695304</v>
      </c>
      <c r="O20" s="294">
        <v>29785627</v>
      </c>
      <c r="P20" s="294">
        <v>14514605</v>
      </c>
      <c r="Q20" s="294">
        <v>9256288</v>
      </c>
      <c r="R20" s="294">
        <v>6856281</v>
      </c>
      <c r="S20" s="294">
        <v>6107045</v>
      </c>
      <c r="T20" s="294">
        <v>17447</v>
      </c>
      <c r="U20" s="294">
        <v>9242819</v>
      </c>
      <c r="V20" s="294">
        <v>9747244</v>
      </c>
      <c r="W20" s="294">
        <v>445360633</v>
      </c>
      <c r="X20" s="303">
        <v>31463197</v>
      </c>
      <c r="Y20" s="303">
        <v>3014337</v>
      </c>
      <c r="Z20" s="304">
        <v>117366004</v>
      </c>
      <c r="AA20" s="304">
        <v>112894506</v>
      </c>
      <c r="AB20" s="303">
        <v>49572523</v>
      </c>
      <c r="AC20" s="299">
        <v>24.61</v>
      </c>
      <c r="AD20" s="299">
        <v>65.290000000000006</v>
      </c>
      <c r="AE20" s="298">
        <f t="shared" si="2"/>
        <v>3.662395324235361E-2</v>
      </c>
    </row>
    <row r="21" spans="1:31" ht="15.4" x14ac:dyDescent="0.45">
      <c r="A21" s="283" t="s">
        <v>33</v>
      </c>
      <c r="B21" s="294">
        <v>8138461</v>
      </c>
      <c r="C21" s="294">
        <v>43122933</v>
      </c>
      <c r="D21" s="294">
        <v>2048587</v>
      </c>
      <c r="E21" s="294">
        <v>706828</v>
      </c>
      <c r="F21" s="294">
        <v>769658</v>
      </c>
      <c r="G21" s="294">
        <v>7391575</v>
      </c>
      <c r="H21" s="294">
        <v>2452651</v>
      </c>
      <c r="I21" s="294">
        <v>392311</v>
      </c>
      <c r="J21" s="294">
        <f t="shared" si="1"/>
        <v>65023004</v>
      </c>
      <c r="K21" s="294">
        <v>55285326</v>
      </c>
      <c r="L21" s="294">
        <v>52084335</v>
      </c>
      <c r="M21" s="294">
        <v>20763776</v>
      </c>
      <c r="N21" s="294">
        <v>19149541</v>
      </c>
      <c r="O21" s="294">
        <v>34974176</v>
      </c>
      <c r="P21" s="294">
        <v>12133975</v>
      </c>
      <c r="Q21" s="294">
        <v>4371558</v>
      </c>
      <c r="R21" s="294">
        <v>-9801799</v>
      </c>
      <c r="S21" s="294">
        <v>1760573</v>
      </c>
      <c r="T21" s="294">
        <v>13159038</v>
      </c>
      <c r="U21" s="294">
        <v>5117812</v>
      </c>
      <c r="V21" s="294">
        <v>679706</v>
      </c>
      <c r="W21" s="294">
        <v>61720463</v>
      </c>
      <c r="X21" s="303">
        <v>3448157</v>
      </c>
      <c r="Y21" s="303">
        <v>3525706</v>
      </c>
      <c r="Z21" s="304">
        <v>87386088</v>
      </c>
      <c r="AA21" s="304">
        <v>11796020</v>
      </c>
      <c r="AB21" s="303">
        <v>1855643</v>
      </c>
      <c r="AC21" s="299">
        <v>33.92</v>
      </c>
      <c r="AD21" s="299">
        <v>83.44</v>
      </c>
      <c r="AE21" s="298">
        <f t="shared" si="2"/>
        <v>2.7531405546128245E-2</v>
      </c>
    </row>
    <row r="22" spans="1:31" ht="15.4" x14ac:dyDescent="0.45">
      <c r="A22" s="283" t="s">
        <v>34</v>
      </c>
      <c r="B22" s="294">
        <v>877933</v>
      </c>
      <c r="C22" s="294">
        <v>37792344</v>
      </c>
      <c r="D22" s="294">
        <v>388055</v>
      </c>
      <c r="E22" s="294">
        <v>112850</v>
      </c>
      <c r="F22" s="294">
        <v>6623</v>
      </c>
      <c r="G22" s="294">
        <v>1535213</v>
      </c>
      <c r="H22" s="294">
        <v>193397</v>
      </c>
      <c r="I22" s="295">
        <v>0</v>
      </c>
      <c r="J22" s="294">
        <f t="shared" si="1"/>
        <v>40906415</v>
      </c>
      <c r="K22" s="294">
        <v>38399490</v>
      </c>
      <c r="L22" s="294">
        <v>43654964</v>
      </c>
      <c r="M22" s="294">
        <v>4907833</v>
      </c>
      <c r="N22" s="294">
        <v>6175420</v>
      </c>
      <c r="O22" s="294">
        <v>17978377</v>
      </c>
      <c r="P22" s="294">
        <v>5210573</v>
      </c>
      <c r="Q22" s="294">
        <v>802969</v>
      </c>
      <c r="R22" s="294">
        <v>15093563</v>
      </c>
      <c r="S22" s="294">
        <v>2251934</v>
      </c>
      <c r="T22" s="295">
        <v>23303</v>
      </c>
      <c r="U22" s="294">
        <v>12356367</v>
      </c>
      <c r="V22" s="294">
        <v>1706285</v>
      </c>
      <c r="W22" s="294">
        <v>116999503</v>
      </c>
      <c r="X22" s="303">
        <v>61002121</v>
      </c>
      <c r="Y22" s="303">
        <v>13894049</v>
      </c>
      <c r="Z22" s="304">
        <v>71624910</v>
      </c>
      <c r="AA22" s="304">
        <v>64219510</v>
      </c>
      <c r="AB22" s="303">
        <v>44695961</v>
      </c>
      <c r="AC22" s="299">
        <v>13.89</v>
      </c>
      <c r="AD22" s="299">
        <v>52.16</v>
      </c>
      <c r="AE22" s="298">
        <f>J22/$J$32</f>
        <v>1.7320194877542473E-2</v>
      </c>
    </row>
    <row r="23" spans="1:31" ht="15.4" x14ac:dyDescent="0.45">
      <c r="A23" s="283" t="s">
        <v>35</v>
      </c>
      <c r="B23" s="294">
        <v>6772235</v>
      </c>
      <c r="C23" s="294">
        <v>39332549</v>
      </c>
      <c r="D23" s="294">
        <v>1613988</v>
      </c>
      <c r="E23" s="294">
        <v>946837</v>
      </c>
      <c r="F23" s="294">
        <v>264598</v>
      </c>
      <c r="G23" s="294">
        <v>349638</v>
      </c>
      <c r="H23" s="294">
        <v>3830274</v>
      </c>
      <c r="I23" s="280"/>
      <c r="J23" s="294">
        <f t="shared" si="1"/>
        <v>53110119</v>
      </c>
      <c r="K23" s="294">
        <v>42374410</v>
      </c>
      <c r="L23" s="294">
        <v>36892208</v>
      </c>
      <c r="M23" s="294">
        <v>18275779</v>
      </c>
      <c r="N23" s="294">
        <v>12906247</v>
      </c>
      <c r="O23" s="294">
        <v>18656642</v>
      </c>
      <c r="P23" s="294">
        <v>9170910</v>
      </c>
      <c r="Q23" s="294">
        <v>2593291</v>
      </c>
      <c r="R23" s="294">
        <v>-1248300</v>
      </c>
      <c r="S23" s="294">
        <v>4934937</v>
      </c>
      <c r="T23" s="294">
        <v>0</v>
      </c>
      <c r="U23" s="294">
        <v>3381843</v>
      </c>
      <c r="V23" s="294">
        <v>16744540</v>
      </c>
      <c r="W23" s="294">
        <v>75743886</v>
      </c>
      <c r="X23" s="303">
        <v>8709559</v>
      </c>
      <c r="Y23" s="303">
        <v>25096947</v>
      </c>
      <c r="Z23" s="304">
        <v>107596353</v>
      </c>
      <c r="AA23" s="304">
        <v>32042616</v>
      </c>
      <c r="AB23" s="303">
        <v>22910585</v>
      </c>
      <c r="AC23" s="299">
        <v>32.69</v>
      </c>
      <c r="AD23" s="299">
        <v>70.48</v>
      </c>
      <c r="AE23" s="298">
        <f t="shared" si="2"/>
        <v>2.2487368082719329E-2</v>
      </c>
    </row>
    <row r="24" spans="1:31" ht="15.4" x14ac:dyDescent="0.45">
      <c r="A24" s="283" t="s">
        <v>36</v>
      </c>
      <c r="B24" s="294">
        <v>3815541</v>
      </c>
      <c r="C24" s="294">
        <v>43904972</v>
      </c>
      <c r="D24" s="294">
        <v>1362323</v>
      </c>
      <c r="E24" s="294">
        <v>3221945</v>
      </c>
      <c r="F24" s="294">
        <v>1300124</v>
      </c>
      <c r="G24" s="294">
        <v>1805074</v>
      </c>
      <c r="H24" s="294">
        <v>7800978</v>
      </c>
      <c r="I24" s="294">
        <v>48236</v>
      </c>
      <c r="J24" s="294">
        <f t="shared" si="1"/>
        <v>63259193</v>
      </c>
      <c r="K24" s="294">
        <v>46122790</v>
      </c>
      <c r="L24" s="294">
        <v>41982232.93</v>
      </c>
      <c r="M24" s="294">
        <v>27957340</v>
      </c>
      <c r="N24" s="294">
        <v>16317042</v>
      </c>
      <c r="O24" s="294">
        <v>19565755</v>
      </c>
      <c r="P24" s="294">
        <v>7856355</v>
      </c>
      <c r="Q24" s="294">
        <v>3685789</v>
      </c>
      <c r="R24" s="294">
        <v>1928869.93</v>
      </c>
      <c r="S24" s="294">
        <v>5588846</v>
      </c>
      <c r="T24" s="294">
        <v>122704</v>
      </c>
      <c r="U24" s="294">
        <v>5348293.93</v>
      </c>
      <c r="V24" s="294">
        <v>2831465</v>
      </c>
      <c r="W24" s="294">
        <v>67567071</v>
      </c>
      <c r="X24" s="303">
        <v>14564222</v>
      </c>
      <c r="Y24" s="303">
        <v>11910430</v>
      </c>
      <c r="Z24" s="304">
        <v>86948505</v>
      </c>
      <c r="AA24" s="304">
        <v>20601163</v>
      </c>
      <c r="AB24" s="303">
        <v>9758556</v>
      </c>
      <c r="AC24" s="299">
        <v>35.729999999999997</v>
      </c>
      <c r="AD24" s="299">
        <v>60.05</v>
      </c>
      <c r="AE24" s="298">
        <f t="shared" si="2"/>
        <v>2.6784589912268543E-2</v>
      </c>
    </row>
    <row r="25" spans="1:31" ht="15.4" x14ac:dyDescent="0.45">
      <c r="A25" s="283" t="s">
        <v>38</v>
      </c>
      <c r="B25" s="294">
        <v>12308864</v>
      </c>
      <c r="C25" s="294">
        <v>16229798</v>
      </c>
      <c r="D25" s="294">
        <v>1404918</v>
      </c>
      <c r="E25" s="294">
        <v>2834728</v>
      </c>
      <c r="F25" s="294">
        <v>10203831</v>
      </c>
      <c r="G25" s="294">
        <v>2703590</v>
      </c>
      <c r="H25" s="294">
        <v>3498335</v>
      </c>
      <c r="I25" s="280"/>
      <c r="J25" s="294">
        <f t="shared" si="1"/>
        <v>49184064</v>
      </c>
      <c r="K25" s="294">
        <v>17503888</v>
      </c>
      <c r="L25" s="294">
        <v>17400658.789999999</v>
      </c>
      <c r="M25" s="294">
        <v>7921441</v>
      </c>
      <c r="N25" s="294">
        <v>5015987</v>
      </c>
      <c r="O25" s="294">
        <v>13193084</v>
      </c>
      <c r="P25" s="294">
        <v>5114278</v>
      </c>
      <c r="Q25" s="294">
        <v>6001627</v>
      </c>
      <c r="R25" s="294">
        <v>78936.789999999994</v>
      </c>
      <c r="S25" s="294">
        <v>4645416</v>
      </c>
      <c r="T25" s="294">
        <v>355276</v>
      </c>
      <c r="U25" s="294">
        <v>4056848.79</v>
      </c>
      <c r="V25" s="294">
        <v>2739522</v>
      </c>
      <c r="W25" s="294">
        <v>43534995</v>
      </c>
      <c r="X25" s="303">
        <v>21479867</v>
      </c>
      <c r="Y25" s="303">
        <v>3331529</v>
      </c>
      <c r="Z25" s="304">
        <v>95756437</v>
      </c>
      <c r="AA25" s="304">
        <v>16726931</v>
      </c>
      <c r="AB25" s="303">
        <v>7503628</v>
      </c>
      <c r="AC25" s="299">
        <v>21.43</v>
      </c>
      <c r="AD25" s="299">
        <v>78.23</v>
      </c>
      <c r="AE25" s="298">
        <f t="shared" si="2"/>
        <v>2.0825036203967546E-2</v>
      </c>
    </row>
    <row r="26" spans="1:31" ht="15.4" x14ac:dyDescent="0.45">
      <c r="A26" s="283" t="s">
        <v>77</v>
      </c>
      <c r="B26" s="294">
        <v>7137854</v>
      </c>
      <c r="C26" s="294">
        <v>28290041</v>
      </c>
      <c r="D26" s="294">
        <v>1054299</v>
      </c>
      <c r="E26" s="280">
        <v>9932</v>
      </c>
      <c r="F26" s="294"/>
      <c r="G26" s="280">
        <v>2070292</v>
      </c>
      <c r="H26" s="294">
        <v>4802032</v>
      </c>
      <c r="I26" s="280"/>
      <c r="J26" s="294">
        <f t="shared" si="1"/>
        <v>43364450</v>
      </c>
      <c r="K26" s="294">
        <v>29039653.140000001</v>
      </c>
      <c r="L26" s="294">
        <v>28299177.600000001</v>
      </c>
      <c r="M26" s="294">
        <v>7675000</v>
      </c>
      <c r="N26" s="294">
        <v>5903816.0499999998</v>
      </c>
      <c r="O26" s="294">
        <v>23206530.710000001</v>
      </c>
      <c r="P26" s="294">
        <v>5581844.3499999996</v>
      </c>
      <c r="Q26" s="294">
        <v>2668330.86</v>
      </c>
      <c r="R26" s="294">
        <v>-3724682.65</v>
      </c>
      <c r="S26" s="294">
        <v>8116066.4800000004</v>
      </c>
      <c r="T26" s="295">
        <v>76149.83</v>
      </c>
      <c r="U26" s="294">
        <v>3083973.38</v>
      </c>
      <c r="V26" s="294">
        <v>682986</v>
      </c>
      <c r="W26" s="294">
        <v>36687022</v>
      </c>
      <c r="X26" s="303">
        <v>5639289</v>
      </c>
      <c r="Y26" s="303">
        <v>3210588</v>
      </c>
      <c r="Z26" s="304">
        <v>76121194</v>
      </c>
      <c r="AA26" s="304">
        <v>16615262</v>
      </c>
      <c r="AB26" s="303">
        <v>2438791</v>
      </c>
      <c r="AC26" s="300">
        <v>19.059999999999999</v>
      </c>
      <c r="AD26" s="300">
        <v>92.96</v>
      </c>
      <c r="AE26" s="298">
        <f t="shared" si="2"/>
        <v>1.8360952059901771E-2</v>
      </c>
    </row>
    <row r="27" spans="1:31" ht="15.4" x14ac:dyDescent="0.45">
      <c r="A27" s="283" t="s">
        <v>39</v>
      </c>
      <c r="B27" s="294">
        <v>108404858</v>
      </c>
      <c r="C27" s="294">
        <v>102867692</v>
      </c>
      <c r="D27" s="294">
        <v>4595427</v>
      </c>
      <c r="E27" s="294">
        <v>13761353</v>
      </c>
      <c r="F27" s="294">
        <v>22529124</v>
      </c>
      <c r="G27" s="294">
        <v>7168356</v>
      </c>
      <c r="H27" s="294">
        <v>16896848</v>
      </c>
      <c r="I27" s="280"/>
      <c r="J27" s="294">
        <f t="shared" si="1"/>
        <v>276223658</v>
      </c>
      <c r="K27" s="294">
        <v>157418513</v>
      </c>
      <c r="L27" s="294">
        <v>142317855</v>
      </c>
      <c r="M27" s="294">
        <v>78659844</v>
      </c>
      <c r="N27" s="294">
        <v>21929284</v>
      </c>
      <c r="O27" s="294">
        <v>111610550</v>
      </c>
      <c r="P27" s="294">
        <v>29366515</v>
      </c>
      <c r="Q27" s="294">
        <v>20383345</v>
      </c>
      <c r="R27" s="294">
        <v>-205149</v>
      </c>
      <c r="S27" s="294">
        <v>12213603</v>
      </c>
      <c r="T27" s="294">
        <v>29579761</v>
      </c>
      <c r="U27" s="294">
        <v>29111751</v>
      </c>
      <c r="V27" s="294">
        <v>2042183</v>
      </c>
      <c r="W27" s="294">
        <v>55247802</v>
      </c>
      <c r="X27" s="303">
        <v>6330786</v>
      </c>
      <c r="Y27" s="303">
        <v>85651090</v>
      </c>
      <c r="Z27" s="304">
        <v>619352510</v>
      </c>
      <c r="AA27" s="304">
        <v>6135219</v>
      </c>
      <c r="AB27" s="303">
        <v>5560276</v>
      </c>
      <c r="AC27" s="299">
        <v>13.48</v>
      </c>
      <c r="AD27" s="299">
        <v>86.65</v>
      </c>
      <c r="AE27" s="298">
        <f t="shared" si="2"/>
        <v>0.11695592454991824</v>
      </c>
    </row>
    <row r="28" spans="1:31" ht="15.4" x14ac:dyDescent="0.45">
      <c r="A28" s="283" t="s">
        <v>40</v>
      </c>
      <c r="B28" s="294">
        <v>43327849</v>
      </c>
      <c r="C28" s="294">
        <v>84550159</v>
      </c>
      <c r="D28" s="294">
        <v>10275837</v>
      </c>
      <c r="E28" s="294">
        <v>2807877</v>
      </c>
      <c r="F28" s="294">
        <v>10704294</v>
      </c>
      <c r="G28" s="294">
        <v>16164534</v>
      </c>
      <c r="H28" s="294">
        <v>24541055</v>
      </c>
      <c r="I28" s="295">
        <v>0</v>
      </c>
      <c r="J28" s="294">
        <f t="shared" si="1"/>
        <v>192371605</v>
      </c>
      <c r="K28" s="294">
        <v>119868986.98999999</v>
      </c>
      <c r="L28" s="294">
        <v>116384779.98999999</v>
      </c>
      <c r="M28" s="294">
        <v>62194232</v>
      </c>
      <c r="N28" s="294">
        <v>32446035</v>
      </c>
      <c r="O28" s="294">
        <v>53594613</v>
      </c>
      <c r="P28" s="294">
        <v>34889051</v>
      </c>
      <c r="Q28" s="294">
        <v>13610423</v>
      </c>
      <c r="R28" s="294">
        <v>9065503.9900000002</v>
      </c>
      <c r="S28" s="294">
        <v>14489552</v>
      </c>
      <c r="T28" s="294">
        <v>57009</v>
      </c>
      <c r="U28" s="294">
        <v>21574378.989999998</v>
      </c>
      <c r="V28" s="294">
        <v>698420</v>
      </c>
      <c r="W28" s="294">
        <v>21898819</v>
      </c>
      <c r="X28" s="303">
        <v>1182396</v>
      </c>
      <c r="Y28" s="303">
        <v>2578081</v>
      </c>
      <c r="Z28" s="304">
        <v>514746479</v>
      </c>
      <c r="AA28" s="304">
        <v>9066782</v>
      </c>
      <c r="AB28" s="303">
        <v>1597512</v>
      </c>
      <c r="AC28" s="299">
        <v>24.96</v>
      </c>
      <c r="AD28" s="299">
        <v>68.069999999999993</v>
      </c>
      <c r="AE28" s="298">
        <f t="shared" si="2"/>
        <v>8.1452106900729973E-2</v>
      </c>
    </row>
    <row r="29" spans="1:31" ht="15.4" x14ac:dyDescent="0.45">
      <c r="A29" s="283" t="s">
        <v>90</v>
      </c>
      <c r="B29" s="294">
        <v>8670356</v>
      </c>
      <c r="C29" s="294">
        <v>46843043</v>
      </c>
      <c r="D29" s="294">
        <v>4742206</v>
      </c>
      <c r="E29" s="280">
        <v>1244187</v>
      </c>
      <c r="F29" s="294"/>
      <c r="G29" s="280">
        <v>2496922</v>
      </c>
      <c r="H29" s="294">
        <v>2623338</v>
      </c>
      <c r="I29" s="280"/>
      <c r="J29" s="294">
        <f t="shared" si="1"/>
        <v>66620052</v>
      </c>
      <c r="K29" s="294">
        <v>51870079</v>
      </c>
      <c r="L29" s="294">
        <v>46508661</v>
      </c>
      <c r="M29" s="294">
        <v>27087753</v>
      </c>
      <c r="N29" s="294">
        <v>15450064</v>
      </c>
      <c r="O29" s="294">
        <v>26422840</v>
      </c>
      <c r="P29" s="294">
        <v>8081149</v>
      </c>
      <c r="Q29" s="294">
        <v>5016564</v>
      </c>
      <c r="R29" s="294">
        <v>1571172</v>
      </c>
      <c r="S29" s="294">
        <v>5845286</v>
      </c>
      <c r="T29" s="294">
        <v>1388841</v>
      </c>
      <c r="U29" s="294">
        <v>6385013</v>
      </c>
      <c r="V29" s="294">
        <v>20955171</v>
      </c>
      <c r="W29" s="294">
        <v>31314210</v>
      </c>
      <c r="X29" s="303">
        <v>3420934</v>
      </c>
      <c r="Y29" s="303">
        <v>11922066</v>
      </c>
      <c r="Z29" s="304">
        <v>107318880</v>
      </c>
      <c r="AA29" s="304">
        <v>3323464</v>
      </c>
      <c r="AB29" s="313">
        <v>5902579.8900000006</v>
      </c>
      <c r="AC29" s="299">
        <v>29.99</v>
      </c>
      <c r="AD29" s="299">
        <v>66.97</v>
      </c>
      <c r="AE29" s="298">
        <f t="shared" si="2"/>
        <v>2.820761201860425E-2</v>
      </c>
    </row>
    <row r="30" spans="1:31" ht="15.4" x14ac:dyDescent="0.45">
      <c r="A30" s="283" t="s">
        <v>41</v>
      </c>
      <c r="B30" s="294">
        <v>1629786</v>
      </c>
      <c r="C30" s="294">
        <v>19627512</v>
      </c>
      <c r="D30" s="294">
        <v>1180930</v>
      </c>
      <c r="E30" s="294">
        <v>617237</v>
      </c>
      <c r="F30" s="294">
        <v>127691</v>
      </c>
      <c r="G30" s="294">
        <v>826056</v>
      </c>
      <c r="H30" s="294">
        <v>139220</v>
      </c>
      <c r="I30" s="280"/>
      <c r="J30" s="294">
        <f t="shared" si="1"/>
        <v>24148432</v>
      </c>
      <c r="K30" s="294">
        <v>20793710</v>
      </c>
      <c r="L30" s="294">
        <v>18193204</v>
      </c>
      <c r="M30" s="294">
        <v>6366876</v>
      </c>
      <c r="N30" s="294">
        <v>5110789</v>
      </c>
      <c r="O30" s="294">
        <v>12636123</v>
      </c>
      <c r="P30" s="294">
        <v>1299064</v>
      </c>
      <c r="Q30" s="294">
        <v>1231074</v>
      </c>
      <c r="R30" s="294">
        <v>378302</v>
      </c>
      <c r="S30" s="294">
        <v>-451518</v>
      </c>
      <c r="T30" s="294">
        <v>18698</v>
      </c>
      <c r="U30" s="294">
        <v>-54518</v>
      </c>
      <c r="V30" s="294">
        <v>1580777</v>
      </c>
      <c r="W30" s="294">
        <v>2185787</v>
      </c>
      <c r="X30" s="303">
        <v>21533049</v>
      </c>
      <c r="Y30" s="303">
        <v>580470</v>
      </c>
      <c r="Z30" s="304">
        <v>70595480</v>
      </c>
      <c r="AA30" s="304">
        <v>1583733</v>
      </c>
      <c r="AB30" s="303">
        <v>1773394</v>
      </c>
      <c r="AC30" s="299">
        <v>26.31</v>
      </c>
      <c r="AD30" s="299">
        <v>71.739999999999995</v>
      </c>
      <c r="AE30" s="298">
        <f t="shared" si="2"/>
        <v>1.022469332076846E-2</v>
      </c>
    </row>
    <row r="31" spans="1:31" ht="15.4" x14ac:dyDescent="0.45">
      <c r="A31" s="283" t="s">
        <v>42</v>
      </c>
      <c r="B31" s="294">
        <v>19370305</v>
      </c>
      <c r="C31" s="294">
        <v>108785235</v>
      </c>
      <c r="D31" s="294">
        <v>9014533</v>
      </c>
      <c r="E31" s="294">
        <v>1721960</v>
      </c>
      <c r="F31" s="294">
        <v>7067551</v>
      </c>
      <c r="G31" s="294">
        <v>3887396</v>
      </c>
      <c r="H31" s="294">
        <v>12762641</v>
      </c>
      <c r="I31" s="280"/>
      <c r="J31" s="294">
        <f t="shared" si="1"/>
        <v>162609621</v>
      </c>
      <c r="K31" s="294">
        <v>113391083.87</v>
      </c>
      <c r="L31" s="294">
        <v>107077966.09999999</v>
      </c>
      <c r="M31" s="294">
        <v>67945379</v>
      </c>
      <c r="N31" s="294">
        <v>45833707.659999996</v>
      </c>
      <c r="O31" s="294">
        <v>48171389.100000001</v>
      </c>
      <c r="P31" s="294">
        <v>24199666.969999999</v>
      </c>
      <c r="Q31" s="294">
        <v>13169056.42</v>
      </c>
      <c r="R31" s="294">
        <v>2042258.79</v>
      </c>
      <c r="S31" s="294">
        <v>5197349.74</v>
      </c>
      <c r="T31" s="295">
        <v>-58961.73</v>
      </c>
      <c r="U31" s="294">
        <v>5930646.7999999998</v>
      </c>
      <c r="V31" s="294">
        <v>905105</v>
      </c>
      <c r="W31" s="305">
        <v>49624588</v>
      </c>
      <c r="X31" s="303">
        <v>10488564</v>
      </c>
      <c r="Y31" s="303">
        <v>7030966</v>
      </c>
      <c r="Z31" s="304">
        <v>186335275</v>
      </c>
      <c r="AA31" s="304">
        <v>8366239</v>
      </c>
      <c r="AB31" s="303">
        <v>7593849</v>
      </c>
      <c r="AC31" s="299">
        <v>38.119999999999997</v>
      </c>
      <c r="AD31" s="299">
        <v>60.19</v>
      </c>
      <c r="AE31" s="298">
        <f t="shared" si="2"/>
        <v>6.8850578196190573E-2</v>
      </c>
    </row>
    <row r="32" spans="1:31" ht="15.4" x14ac:dyDescent="0.45">
      <c r="A32" s="283" t="s">
        <v>44</v>
      </c>
      <c r="B32" s="157">
        <f>SUM(B6:B31)</f>
        <v>601717457</v>
      </c>
      <c r="C32" s="157">
        <f t="shared" ref="C32:Y32" si="3">SUM(C6:C31)</f>
        <v>1165232036</v>
      </c>
      <c r="D32" s="157">
        <f t="shared" si="3"/>
        <v>76589568</v>
      </c>
      <c r="E32" s="157">
        <f t="shared" si="3"/>
        <v>91085608</v>
      </c>
      <c r="F32" s="157">
        <f t="shared" si="3"/>
        <v>149943489</v>
      </c>
      <c r="G32" s="157">
        <f t="shared" si="3"/>
        <v>96894417</v>
      </c>
      <c r="H32" s="157">
        <f t="shared" si="3"/>
        <v>165850242</v>
      </c>
      <c r="I32" s="157">
        <f t="shared" si="3"/>
        <v>14462861</v>
      </c>
      <c r="J32" s="157">
        <f>SUM(J6:J31)</f>
        <v>2361775678</v>
      </c>
      <c r="K32" s="157">
        <f t="shared" si="3"/>
        <v>1433718167.0999999</v>
      </c>
      <c r="L32" s="157">
        <f t="shared" si="3"/>
        <v>1344334462.7699997</v>
      </c>
      <c r="M32" s="157">
        <f t="shared" si="3"/>
        <v>693328471.26999998</v>
      </c>
      <c r="N32" s="157">
        <f t="shared" si="3"/>
        <v>457959597.13999999</v>
      </c>
      <c r="O32" s="157">
        <f t="shared" si="3"/>
        <v>713161908.44999993</v>
      </c>
      <c r="P32" s="157">
        <f t="shared" si="3"/>
        <v>372263101.83000004</v>
      </c>
      <c r="Q32" s="157">
        <f t="shared" si="3"/>
        <v>199027673.20000002</v>
      </c>
      <c r="R32" s="157">
        <f t="shared" si="3"/>
        <v>45772310.550000004</v>
      </c>
      <c r="S32" s="157">
        <f t="shared" si="3"/>
        <v>178218821.18000001</v>
      </c>
      <c r="T32" s="157">
        <f t="shared" si="3"/>
        <v>71803516.819999993</v>
      </c>
      <c r="U32" s="157">
        <f t="shared" si="3"/>
        <v>227802908.15000001</v>
      </c>
      <c r="V32" s="157">
        <f t="shared" si="3"/>
        <v>217160080</v>
      </c>
      <c r="W32" s="157">
        <f>SUM(W6:W31)</f>
        <v>2576105007</v>
      </c>
      <c r="X32" s="157">
        <f>SUM(X6:X31)</f>
        <v>589139683</v>
      </c>
      <c r="Y32" s="157">
        <f t="shared" si="3"/>
        <v>352253434</v>
      </c>
      <c r="Z32" s="157">
        <f>SUM(Z6:Z31)</f>
        <v>3988591267</v>
      </c>
      <c r="AA32" s="157">
        <f t="shared" ref="AA32" si="4">SUM(AA6:AA31)</f>
        <v>980419117</v>
      </c>
      <c r="AB32" s="318">
        <f>SUM(AB6:AB31)</f>
        <v>579008277.88999999</v>
      </c>
    </row>
    <row r="33" spans="9:24" x14ac:dyDescent="0.35">
      <c r="V33" s="157"/>
      <c r="X33" s="157"/>
    </row>
    <row r="34" spans="9:24" x14ac:dyDescent="0.35">
      <c r="I34" s="297"/>
    </row>
  </sheetData>
  <mergeCells count="1">
    <mergeCell ref="B1:AE1"/>
  </mergeCells>
  <dataValidations count="1">
    <dataValidation type="list" allowBlank="1" showInputMessage="1" showErrorMessage="1" sqref="A3" xr:uid="{00000000-0002-0000-2600-000000000000}">
      <formula1>$A$6:$A$31</formula1>
    </dataValidation>
  </dataValidations>
  <pageMargins left="0.7" right="0.7" top="0.75" bottom="0.75" header="0.3" footer="0.3"/>
  <pageSetup orientation="portrait" r:id="rId1"/>
  <customProperties>
    <customPr name="LastActive" r:id="rId2"/>
  </customProperties>
  <legacyDrawing r:id="rId3"/>
</worksheet>
</file>

<file path=xl/worksheets/sheet4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700-000000000000}">
  <sheetPr>
    <tabColor rgb="FF00B0F0"/>
  </sheetPr>
  <dimension ref="A1:AH34"/>
  <sheetViews>
    <sheetView zoomScale="80" zoomScaleNormal="80" workbookViewId="0">
      <pane xSplit="1" ySplit="5" topLeftCell="Y6" activePane="bottomRight" state="frozen"/>
      <selection pane="topRight" activeCell="B1" sqref="B1"/>
      <selection pane="bottomLeft" activeCell="A6" sqref="A6"/>
      <selection pane="bottomRight"/>
    </sheetView>
  </sheetViews>
  <sheetFormatPr defaultRowHeight="12.75" x14ac:dyDescent="0.35"/>
  <cols>
    <col min="1" max="1" width="25.3984375" customWidth="1"/>
    <col min="2" max="3" width="15.3984375" bestFit="1" customWidth="1"/>
    <col min="4" max="4" width="20.73046875" customWidth="1"/>
    <col min="5" max="5" width="15.3984375" bestFit="1" customWidth="1"/>
    <col min="6" max="6" width="18.265625" customWidth="1"/>
    <col min="7" max="7" width="14.3984375" bestFit="1" customWidth="1"/>
    <col min="8" max="8" width="15.3984375" bestFit="1" customWidth="1"/>
    <col min="9" max="9" width="14.3984375" bestFit="1" customWidth="1"/>
    <col min="10" max="10" width="17.73046875" bestFit="1" customWidth="1"/>
    <col min="11" max="11" width="17.3984375" bestFit="1" customWidth="1"/>
    <col min="12" max="12" width="16.3984375" bestFit="1" customWidth="1"/>
    <col min="13" max="14" width="15.3984375" bestFit="1" customWidth="1"/>
    <col min="15" max="16" width="16.3984375" bestFit="1" customWidth="1"/>
    <col min="17" max="17" width="22.3984375" customWidth="1"/>
    <col min="18" max="18" width="16" bestFit="1" customWidth="1"/>
    <col min="19" max="19" width="17.73046875" bestFit="1" customWidth="1"/>
    <col min="20" max="20" width="14.73046875" bestFit="1" customWidth="1"/>
    <col min="21" max="22" width="15.3984375" bestFit="1" customWidth="1"/>
    <col min="23" max="23" width="17.3984375" bestFit="1" customWidth="1"/>
    <col min="24" max="25" width="15.3984375" bestFit="1" customWidth="1"/>
    <col min="26" max="26" width="17.73046875" bestFit="1" customWidth="1"/>
    <col min="27" max="27" width="17.3984375" bestFit="1" customWidth="1"/>
    <col min="28" max="28" width="15.3984375" bestFit="1" customWidth="1"/>
    <col min="29" max="29" width="10.265625" customWidth="1"/>
    <col min="30" max="30" width="12.3984375" customWidth="1"/>
    <col min="31" max="31" width="11.265625" customWidth="1"/>
  </cols>
  <sheetData>
    <row r="1" spans="1:31" ht="23.25" x14ac:dyDescent="0.7">
      <c r="A1" s="285" t="s">
        <v>142</v>
      </c>
      <c r="B1" s="416" t="s">
        <v>92</v>
      </c>
      <c r="C1" s="416"/>
      <c r="D1" s="416"/>
      <c r="E1" s="416"/>
      <c r="F1" s="416"/>
      <c r="G1" s="416"/>
      <c r="H1" s="416"/>
      <c r="I1" s="416"/>
      <c r="J1" s="416"/>
      <c r="K1" s="416"/>
      <c r="L1" s="416"/>
      <c r="M1" s="416"/>
      <c r="N1" s="416"/>
      <c r="O1" s="416"/>
      <c r="P1" s="416"/>
      <c r="Q1" s="416"/>
      <c r="R1" s="416"/>
      <c r="S1" s="416"/>
      <c r="T1" s="416"/>
      <c r="U1" s="416"/>
      <c r="V1" s="416"/>
      <c r="W1" s="416"/>
      <c r="X1" s="416"/>
      <c r="Y1" s="416"/>
      <c r="Z1" s="416"/>
      <c r="AA1" s="416"/>
      <c r="AB1" s="416"/>
      <c r="AC1" s="416"/>
      <c r="AD1" s="416"/>
      <c r="AE1" s="416"/>
    </row>
    <row r="2" spans="1:31" ht="27" customHeight="1" x14ac:dyDescent="0.35">
      <c r="A2" s="279"/>
      <c r="B2" s="246" t="s">
        <v>100</v>
      </c>
      <c r="C2" s="246" t="s">
        <v>101</v>
      </c>
      <c r="D2" s="246" t="s">
        <v>102</v>
      </c>
      <c r="E2" s="246" t="s">
        <v>103</v>
      </c>
      <c r="F2" s="246" t="s">
        <v>104</v>
      </c>
      <c r="G2" s="246" t="s">
        <v>105</v>
      </c>
      <c r="H2" s="246" t="s">
        <v>106</v>
      </c>
      <c r="I2" s="246" t="s">
        <v>107</v>
      </c>
      <c r="J2" s="246" t="s">
        <v>108</v>
      </c>
      <c r="K2" s="246" t="s">
        <v>109</v>
      </c>
      <c r="L2" s="246" t="s">
        <v>110</v>
      </c>
      <c r="M2" s="254" t="s">
        <v>93</v>
      </c>
      <c r="N2" s="246" t="s">
        <v>111</v>
      </c>
      <c r="O2" s="246" t="s">
        <v>112</v>
      </c>
      <c r="P2" s="246" t="s">
        <v>113</v>
      </c>
      <c r="Q2" s="246" t="s">
        <v>97</v>
      </c>
      <c r="R2" s="246" t="s">
        <v>131</v>
      </c>
      <c r="S2" s="246" t="s">
        <v>132</v>
      </c>
      <c r="T2" s="246" t="s">
        <v>133</v>
      </c>
      <c r="U2" s="246" t="s">
        <v>134</v>
      </c>
      <c r="V2" s="246" t="s">
        <v>118</v>
      </c>
      <c r="W2" s="246" t="s">
        <v>119</v>
      </c>
      <c r="X2" s="246" t="s">
        <v>120</v>
      </c>
      <c r="Y2" s="254" t="s">
        <v>121</v>
      </c>
      <c r="Z2" s="246" t="s">
        <v>135</v>
      </c>
      <c r="AA2" s="246" t="s">
        <v>124</v>
      </c>
      <c r="AB2" s="246" t="s">
        <v>125</v>
      </c>
      <c r="AC2" s="288" t="s">
        <v>79</v>
      </c>
      <c r="AD2" s="288" t="s">
        <v>80</v>
      </c>
      <c r="AE2" s="288" t="s">
        <v>19</v>
      </c>
    </row>
    <row r="3" spans="1:31" ht="15.4" x14ac:dyDescent="0.45">
      <c r="A3" s="282" t="s">
        <v>23</v>
      </c>
      <c r="B3" s="302">
        <f t="shared" ref="B3:AE3" si="0">INDEX(B6:B31,MATCH($A$3,$A$6:$A$31,0))</f>
        <v>28901598</v>
      </c>
      <c r="C3" s="302">
        <f t="shared" si="0"/>
        <v>64733596</v>
      </c>
      <c r="D3" s="302">
        <f t="shared" si="0"/>
        <v>1827432</v>
      </c>
      <c r="E3" s="302">
        <f t="shared" si="0"/>
        <v>11453828</v>
      </c>
      <c r="F3" s="302">
        <f t="shared" si="0"/>
        <v>3584206</v>
      </c>
      <c r="G3" s="302">
        <f t="shared" si="0"/>
        <v>10290678</v>
      </c>
      <c r="H3" s="302">
        <f t="shared" si="0"/>
        <v>10297122</v>
      </c>
      <c r="I3" s="302">
        <f t="shared" si="0"/>
        <v>2174299</v>
      </c>
      <c r="J3" s="302">
        <f t="shared" si="0"/>
        <v>133262759</v>
      </c>
      <c r="K3" s="302">
        <f t="shared" si="0"/>
        <v>79044902</v>
      </c>
      <c r="L3" s="302">
        <f t="shared" si="0"/>
        <v>51904339</v>
      </c>
      <c r="M3" s="302">
        <f t="shared" si="0"/>
        <v>30869865</v>
      </c>
      <c r="N3" s="302">
        <f t="shared" si="0"/>
        <v>27231960</v>
      </c>
      <c r="O3" s="302">
        <f t="shared" si="0"/>
        <v>18550208</v>
      </c>
      <c r="P3" s="302">
        <f t="shared" si="0"/>
        <v>14059977</v>
      </c>
      <c r="Q3" s="302">
        <f t="shared" si="0"/>
        <v>8495879</v>
      </c>
      <c r="R3" s="302">
        <f t="shared" si="0"/>
        <v>558073</v>
      </c>
      <c r="S3" s="302">
        <f t="shared" si="0"/>
        <v>9457564</v>
      </c>
      <c r="T3" s="302">
        <f t="shared" si="0"/>
        <v>330734</v>
      </c>
      <c r="U3" s="302">
        <f t="shared" si="0"/>
        <v>7242460</v>
      </c>
      <c r="V3" s="302">
        <f t="shared" si="0"/>
        <v>40772139</v>
      </c>
      <c r="W3" s="302">
        <f t="shared" si="0"/>
        <v>291009301</v>
      </c>
      <c r="X3" s="302">
        <f t="shared" si="0"/>
        <v>131387691</v>
      </c>
      <c r="Y3" s="302">
        <f t="shared" si="0"/>
        <v>19971369</v>
      </c>
      <c r="Z3" s="302">
        <f t="shared" si="0"/>
        <v>493205828</v>
      </c>
      <c r="AA3" s="302">
        <f t="shared" si="0"/>
        <v>265868441</v>
      </c>
      <c r="AB3" s="302">
        <f t="shared" si="0"/>
        <v>63212857</v>
      </c>
      <c r="AC3" s="302">
        <f t="shared" si="0"/>
        <v>45.09</v>
      </c>
      <c r="AD3" s="302">
        <f t="shared" si="0"/>
        <v>53.99</v>
      </c>
      <c r="AE3" s="302">
        <f t="shared" si="0"/>
        <v>0.15602795469439149</v>
      </c>
    </row>
    <row r="4" spans="1:31" ht="13.7" customHeight="1" x14ac:dyDescent="0.35"/>
    <row r="5" spans="1:31" ht="39.75" customHeight="1" x14ac:dyDescent="0.35">
      <c r="A5" s="281" t="s">
        <v>136</v>
      </c>
      <c r="B5" s="286" t="s">
        <v>100</v>
      </c>
      <c r="C5" s="286" t="s">
        <v>101</v>
      </c>
      <c r="D5" s="286" t="s">
        <v>102</v>
      </c>
      <c r="E5" s="286" t="s">
        <v>103</v>
      </c>
      <c r="F5" s="286" t="s">
        <v>104</v>
      </c>
      <c r="G5" s="293" t="s">
        <v>105</v>
      </c>
      <c r="H5" s="293" t="s">
        <v>106</v>
      </c>
      <c r="I5" s="293" t="s">
        <v>107</v>
      </c>
      <c r="J5" s="293" t="s">
        <v>137</v>
      </c>
      <c r="K5" s="286" t="s">
        <v>138</v>
      </c>
      <c r="L5" s="286" t="s">
        <v>110</v>
      </c>
      <c r="M5" s="286" t="s">
        <v>93</v>
      </c>
      <c r="N5" s="286" t="s">
        <v>111</v>
      </c>
      <c r="O5" s="286" t="s">
        <v>112</v>
      </c>
      <c r="P5" s="286" t="s">
        <v>139</v>
      </c>
      <c r="Q5" s="286" t="s">
        <v>140</v>
      </c>
      <c r="R5" s="286" t="s">
        <v>131</v>
      </c>
      <c r="S5" s="286" t="s">
        <v>132</v>
      </c>
      <c r="T5" s="286" t="s">
        <v>133</v>
      </c>
      <c r="U5" s="286" t="s">
        <v>134</v>
      </c>
      <c r="V5" s="286" t="s">
        <v>118</v>
      </c>
      <c r="W5" s="286" t="s">
        <v>119</v>
      </c>
      <c r="X5" s="286" t="s">
        <v>120</v>
      </c>
      <c r="Y5" s="286" t="s">
        <v>121</v>
      </c>
      <c r="Z5" s="286" t="s">
        <v>135</v>
      </c>
      <c r="AA5" s="286" t="s">
        <v>124</v>
      </c>
      <c r="AB5" s="286" t="s">
        <v>125</v>
      </c>
      <c r="AC5" s="287" t="s">
        <v>79</v>
      </c>
      <c r="AD5" s="287" t="s">
        <v>80</v>
      </c>
      <c r="AE5" s="287" t="s">
        <v>19</v>
      </c>
    </row>
    <row r="6" spans="1:31" ht="15.4" x14ac:dyDescent="0.45">
      <c r="A6" s="283" t="s">
        <v>20</v>
      </c>
      <c r="B6" s="309">
        <v>11222735</v>
      </c>
      <c r="C6" s="309">
        <v>7827298</v>
      </c>
      <c r="D6" s="309">
        <v>223880</v>
      </c>
      <c r="E6" s="309">
        <v>3606829</v>
      </c>
      <c r="F6" s="309">
        <v>2384100</v>
      </c>
      <c r="G6" s="309">
        <v>4951498</v>
      </c>
      <c r="H6" s="309">
        <v>1707626</v>
      </c>
      <c r="I6" s="309">
        <v>128850</v>
      </c>
      <c r="J6" s="310">
        <v>32052816</v>
      </c>
      <c r="K6" s="310">
        <v>12152298</v>
      </c>
      <c r="L6" s="310">
        <v>12757420</v>
      </c>
      <c r="M6" s="309">
        <v>5557839</v>
      </c>
      <c r="N6" s="309">
        <v>3064696</v>
      </c>
      <c r="O6" s="310">
        <v>6667305</v>
      </c>
      <c r="P6" s="310">
        <v>3499295</v>
      </c>
      <c r="Q6" s="310">
        <v>5656723</v>
      </c>
      <c r="R6" s="310">
        <v>5182847</v>
      </c>
      <c r="S6" s="310">
        <v>736238</v>
      </c>
      <c r="T6" s="311">
        <v>0</v>
      </c>
      <c r="U6" s="310">
        <v>5446856</v>
      </c>
      <c r="V6" s="309">
        <v>25724690</v>
      </c>
      <c r="W6" s="309">
        <v>75081910</v>
      </c>
      <c r="X6" s="309">
        <v>58377514</v>
      </c>
      <c r="Y6" s="309">
        <v>29938952</v>
      </c>
      <c r="Z6" s="310">
        <v>191750126</v>
      </c>
      <c r="AA6" s="309">
        <v>64801582</v>
      </c>
      <c r="AB6" s="309">
        <v>38535756</v>
      </c>
      <c r="AC6" s="311">
        <v>16.64</v>
      </c>
      <c r="AD6" s="311">
        <v>55.21</v>
      </c>
      <c r="AE6" s="307">
        <f>J6/$J$32</f>
        <v>3.7528378972520496E-2</v>
      </c>
    </row>
    <row r="7" spans="1:31" ht="15.4" x14ac:dyDescent="0.45">
      <c r="A7" s="283" t="s">
        <v>21</v>
      </c>
      <c r="B7" s="309">
        <v>3029177</v>
      </c>
      <c r="C7" s="309">
        <v>12409556</v>
      </c>
      <c r="D7" s="309">
        <v>79083</v>
      </c>
      <c r="E7" s="309">
        <v>1160025</v>
      </c>
      <c r="F7" s="312"/>
      <c r="G7" s="309">
        <v>492836</v>
      </c>
      <c r="H7" s="309">
        <v>514570</v>
      </c>
      <c r="I7" s="309">
        <v>39118</v>
      </c>
      <c r="J7" s="310">
        <v>17724365</v>
      </c>
      <c r="K7" s="310">
        <v>16253065</v>
      </c>
      <c r="L7" s="310">
        <v>11134087</v>
      </c>
      <c r="M7" s="309">
        <v>2417455</v>
      </c>
      <c r="N7" s="309">
        <v>2342639</v>
      </c>
      <c r="O7" s="310">
        <v>7563467</v>
      </c>
      <c r="P7" s="310">
        <v>4320461</v>
      </c>
      <c r="Q7" s="310">
        <v>461082</v>
      </c>
      <c r="R7" s="310">
        <v>-2631398</v>
      </c>
      <c r="S7" s="310">
        <v>2662678</v>
      </c>
      <c r="T7" s="311">
        <v>0</v>
      </c>
      <c r="U7" s="310">
        <v>31280</v>
      </c>
      <c r="V7" s="309">
        <v>4250673</v>
      </c>
      <c r="W7" s="309">
        <v>80648385</v>
      </c>
      <c r="X7" s="309">
        <v>7758528</v>
      </c>
      <c r="Y7" s="309">
        <v>9687215</v>
      </c>
      <c r="Z7" s="310">
        <v>103508716</v>
      </c>
      <c r="AA7" s="309">
        <v>25259850</v>
      </c>
      <c r="AB7" s="309">
        <v>27048718</v>
      </c>
      <c r="AC7" s="311">
        <v>20.2</v>
      </c>
      <c r="AD7" s="311">
        <v>102.49</v>
      </c>
      <c r="AE7" s="307">
        <f t="shared" ref="AE7:AE31" si="1">J7/$J$32</f>
        <v>2.0752207443092623E-2</v>
      </c>
    </row>
    <row r="8" spans="1:31" ht="15.4" x14ac:dyDescent="0.45">
      <c r="A8" s="283" t="s">
        <v>87</v>
      </c>
      <c r="B8" s="309">
        <v>55365</v>
      </c>
      <c r="C8" s="309">
        <v>646910</v>
      </c>
      <c r="D8" s="309">
        <v>45896</v>
      </c>
      <c r="E8" s="312"/>
      <c r="F8" s="309">
        <v>2313</v>
      </c>
      <c r="G8" s="309">
        <v>5041</v>
      </c>
      <c r="H8" s="309">
        <v>2309</v>
      </c>
      <c r="I8" s="312"/>
      <c r="J8" s="310">
        <v>757834</v>
      </c>
      <c r="K8" s="310">
        <v>650881</v>
      </c>
      <c r="L8" s="310">
        <v>737756</v>
      </c>
      <c r="M8" s="309">
        <v>119133</v>
      </c>
      <c r="N8" s="309">
        <v>33729</v>
      </c>
      <c r="O8" s="310">
        <v>770416</v>
      </c>
      <c r="P8" s="310">
        <v>71547</v>
      </c>
      <c r="Q8" s="310">
        <v>23533</v>
      </c>
      <c r="R8" s="310">
        <v>-114403</v>
      </c>
      <c r="S8" s="310">
        <v>52664</v>
      </c>
      <c r="T8" s="310">
        <v>74216</v>
      </c>
      <c r="U8" s="310">
        <v>12477</v>
      </c>
      <c r="V8" s="309">
        <v>160801</v>
      </c>
      <c r="W8" s="309">
        <v>2172801</v>
      </c>
      <c r="X8" s="309">
        <v>21796197</v>
      </c>
      <c r="Y8" s="309">
        <v>8144616</v>
      </c>
      <c r="Z8" s="310">
        <v>33649696</v>
      </c>
      <c r="AA8" s="309">
        <v>1828778</v>
      </c>
      <c r="AB8" s="309">
        <v>1916381</v>
      </c>
      <c r="AC8" s="311">
        <v>4.43</v>
      </c>
      <c r="AD8" s="311">
        <v>110.6</v>
      </c>
      <c r="AE8" s="307">
        <f t="shared" si="1"/>
        <v>8.8729431917186619E-4</v>
      </c>
    </row>
    <row r="9" spans="1:31" ht="15.4" x14ac:dyDescent="0.45">
      <c r="A9" s="283" t="s">
        <v>60</v>
      </c>
      <c r="B9" s="312"/>
      <c r="C9" s="312"/>
      <c r="D9" s="312"/>
      <c r="E9" s="312"/>
      <c r="F9" s="312"/>
      <c r="G9" s="312"/>
      <c r="H9" s="312"/>
      <c r="I9" s="312"/>
      <c r="J9" s="311"/>
      <c r="K9" s="311"/>
      <c r="L9" s="311"/>
      <c r="M9" s="312"/>
      <c r="N9" s="312"/>
      <c r="O9" s="311"/>
      <c r="P9" s="311"/>
      <c r="Q9" s="311"/>
      <c r="R9" s="311"/>
      <c r="S9" s="311"/>
      <c r="T9" s="311"/>
      <c r="U9" s="311"/>
      <c r="V9" s="312"/>
      <c r="W9" s="312"/>
      <c r="X9" s="312"/>
      <c r="Y9" s="312"/>
      <c r="Z9" s="311"/>
      <c r="AA9" s="312"/>
      <c r="AB9" s="312"/>
      <c r="AC9" s="311"/>
      <c r="AD9" s="311"/>
      <c r="AE9" s="307">
        <f t="shared" si="1"/>
        <v>0</v>
      </c>
    </row>
    <row r="10" spans="1:31" ht="15.4" x14ac:dyDescent="0.45">
      <c r="A10" s="283" t="s">
        <v>128</v>
      </c>
      <c r="B10" s="309">
        <v>2281526</v>
      </c>
      <c r="C10" s="309">
        <v>6446099</v>
      </c>
      <c r="D10" s="309">
        <v>3160643</v>
      </c>
      <c r="E10" s="309">
        <v>213680</v>
      </c>
      <c r="F10" s="312"/>
      <c r="G10" s="312"/>
      <c r="H10" s="309">
        <v>267399</v>
      </c>
      <c r="I10" s="312"/>
      <c r="J10" s="310">
        <v>12369347</v>
      </c>
      <c r="K10" s="310">
        <v>8289623</v>
      </c>
      <c r="L10" s="310">
        <v>5550366</v>
      </c>
      <c r="M10" s="309">
        <v>3351936</v>
      </c>
      <c r="N10" s="309">
        <v>1140494</v>
      </c>
      <c r="O10" s="310">
        <v>3220127</v>
      </c>
      <c r="P10" s="310">
        <v>1233977</v>
      </c>
      <c r="Q10" s="310">
        <v>1135569</v>
      </c>
      <c r="R10" s="310">
        <v>1091337</v>
      </c>
      <c r="S10" s="310">
        <v>6497649</v>
      </c>
      <c r="T10" s="311">
        <v>0</v>
      </c>
      <c r="U10" s="310">
        <v>5691739</v>
      </c>
      <c r="V10" s="309">
        <v>3864904</v>
      </c>
      <c r="W10" s="309">
        <v>63000694</v>
      </c>
      <c r="X10" s="309">
        <v>13812530</v>
      </c>
      <c r="Y10" s="309">
        <v>8055321</v>
      </c>
      <c r="Z10" s="310">
        <v>91041779</v>
      </c>
      <c r="AA10" s="309">
        <v>27240034</v>
      </c>
      <c r="AB10" s="309">
        <v>8340167</v>
      </c>
      <c r="AC10" s="311">
        <v>17.059999999999999</v>
      </c>
      <c r="AD10" s="311">
        <v>66.62</v>
      </c>
      <c r="AE10" s="307">
        <f t="shared" si="1"/>
        <v>1.4482394990150305E-2</v>
      </c>
    </row>
    <row r="11" spans="1:31" ht="15.4" x14ac:dyDescent="0.45">
      <c r="A11" s="283" t="s">
        <v>22</v>
      </c>
      <c r="B11" s="309">
        <v>1193198</v>
      </c>
      <c r="C11" s="309">
        <v>14628836</v>
      </c>
      <c r="D11" s="309">
        <v>908789</v>
      </c>
      <c r="E11" s="309">
        <v>424681</v>
      </c>
      <c r="F11" s="309">
        <v>836985</v>
      </c>
      <c r="G11" s="312"/>
      <c r="H11" s="309">
        <v>174096</v>
      </c>
      <c r="I11" s="312"/>
      <c r="J11" s="310">
        <v>18166585</v>
      </c>
      <c r="K11" s="310">
        <v>15562692</v>
      </c>
      <c r="L11" s="310">
        <v>9764731</v>
      </c>
      <c r="M11" s="309">
        <v>2829558</v>
      </c>
      <c r="N11" s="309">
        <v>2789558</v>
      </c>
      <c r="O11" s="310">
        <v>6031342</v>
      </c>
      <c r="P11" s="310">
        <v>1838966</v>
      </c>
      <c r="Q11" s="310">
        <v>785324</v>
      </c>
      <c r="R11" s="310">
        <v>-109810</v>
      </c>
      <c r="S11" s="310">
        <v>2500400</v>
      </c>
      <c r="T11" s="310">
        <v>453126</v>
      </c>
      <c r="U11" s="310">
        <v>1905289</v>
      </c>
      <c r="V11" s="309">
        <v>7612806</v>
      </c>
      <c r="W11" s="309">
        <v>64137407</v>
      </c>
      <c r="X11" s="309">
        <v>16895011</v>
      </c>
      <c r="Y11" s="309">
        <v>8178273</v>
      </c>
      <c r="Z11" s="310">
        <v>97163399</v>
      </c>
      <c r="AA11" s="309">
        <v>31595133</v>
      </c>
      <c r="AB11" s="309">
        <v>12242608</v>
      </c>
      <c r="AC11" s="311">
        <v>26.44</v>
      </c>
      <c r="AD11" s="311">
        <v>74.599999999999994</v>
      </c>
      <c r="AE11" s="307">
        <f t="shared" si="1"/>
        <v>2.1269971615489457E-2</v>
      </c>
    </row>
    <row r="12" spans="1:31" ht="15.4" x14ac:dyDescent="0.45">
      <c r="A12" s="283" t="s">
        <v>23</v>
      </c>
      <c r="B12" s="309">
        <v>28901598</v>
      </c>
      <c r="C12" s="309">
        <v>64733596</v>
      </c>
      <c r="D12" s="309">
        <v>1827432</v>
      </c>
      <c r="E12" s="309">
        <v>11453828</v>
      </c>
      <c r="F12" s="309">
        <v>3584206</v>
      </c>
      <c r="G12" s="309">
        <v>10290678</v>
      </c>
      <c r="H12" s="309">
        <v>10297122</v>
      </c>
      <c r="I12" s="309">
        <v>2174299</v>
      </c>
      <c r="J12" s="310">
        <v>133262759</v>
      </c>
      <c r="K12" s="310">
        <v>79044902</v>
      </c>
      <c r="L12" s="310">
        <v>51904339</v>
      </c>
      <c r="M12" s="309">
        <v>30869865</v>
      </c>
      <c r="N12" s="309">
        <v>27231960</v>
      </c>
      <c r="O12" s="310">
        <v>18550208</v>
      </c>
      <c r="P12" s="310">
        <v>14059977</v>
      </c>
      <c r="Q12" s="310">
        <v>8495879</v>
      </c>
      <c r="R12" s="310">
        <v>558073</v>
      </c>
      <c r="S12" s="310">
        <v>9457564</v>
      </c>
      <c r="T12" s="310">
        <v>330734</v>
      </c>
      <c r="U12" s="310">
        <v>7242460</v>
      </c>
      <c r="V12" s="309">
        <v>40772139</v>
      </c>
      <c r="W12" s="309">
        <v>291009301</v>
      </c>
      <c r="X12" s="309">
        <v>131387691</v>
      </c>
      <c r="Y12" s="309">
        <v>19971369</v>
      </c>
      <c r="Z12" s="310">
        <v>493205828</v>
      </c>
      <c r="AA12" s="309">
        <v>265868441</v>
      </c>
      <c r="AB12" s="309">
        <v>63212857</v>
      </c>
      <c r="AC12" s="311">
        <v>45.09</v>
      </c>
      <c r="AD12" s="311">
        <v>53.99</v>
      </c>
      <c r="AE12" s="307">
        <f t="shared" si="1"/>
        <v>0.15602795469439149</v>
      </c>
    </row>
    <row r="13" spans="1:31" ht="15.4" x14ac:dyDescent="0.45">
      <c r="A13" s="283" t="s">
        <v>25</v>
      </c>
      <c r="B13" s="309">
        <v>8203505</v>
      </c>
      <c r="C13" s="309">
        <v>13964021</v>
      </c>
      <c r="D13" s="309">
        <v>9038376</v>
      </c>
      <c r="E13" s="309">
        <v>133439</v>
      </c>
      <c r="F13" s="312"/>
      <c r="G13" s="309">
        <v>1585057</v>
      </c>
      <c r="H13" s="312"/>
      <c r="I13" s="309">
        <v>214343</v>
      </c>
      <c r="J13" s="310">
        <v>33138741</v>
      </c>
      <c r="K13" s="310">
        <v>17352535</v>
      </c>
      <c r="L13" s="310">
        <v>20199683</v>
      </c>
      <c r="M13" s="309">
        <v>11342701</v>
      </c>
      <c r="N13" s="309">
        <v>8300048</v>
      </c>
      <c r="O13" s="310">
        <v>4708369</v>
      </c>
      <c r="P13" s="310">
        <v>9338021</v>
      </c>
      <c r="Q13" s="310">
        <v>6276377</v>
      </c>
      <c r="R13" s="310">
        <v>4129622</v>
      </c>
      <c r="S13" s="310">
        <v>663656</v>
      </c>
      <c r="T13" s="311">
        <v>0</v>
      </c>
      <c r="U13" s="310">
        <v>3026701</v>
      </c>
      <c r="V13" s="309">
        <v>8067743</v>
      </c>
      <c r="W13" s="309">
        <v>131752289</v>
      </c>
      <c r="X13" s="309">
        <v>60342095</v>
      </c>
      <c r="Y13" s="309">
        <v>24603791</v>
      </c>
      <c r="Z13" s="310">
        <v>225129672</v>
      </c>
      <c r="AA13" s="309">
        <v>86145153</v>
      </c>
      <c r="AB13" s="309">
        <v>33377190</v>
      </c>
      <c r="AC13" s="311">
        <v>31.35</v>
      </c>
      <c r="AD13" s="311">
        <v>53.05</v>
      </c>
      <c r="AE13" s="307">
        <f t="shared" si="1"/>
        <v>3.8799811876753756E-2</v>
      </c>
    </row>
    <row r="14" spans="1:31" ht="15.4" x14ac:dyDescent="0.45">
      <c r="A14" s="283" t="s">
        <v>26</v>
      </c>
      <c r="B14" s="309">
        <v>45854081</v>
      </c>
      <c r="C14" s="309">
        <v>16164149</v>
      </c>
      <c r="D14" s="312"/>
      <c r="E14" s="309">
        <v>13337777</v>
      </c>
      <c r="F14" s="309">
        <v>5815509</v>
      </c>
      <c r="G14" s="309">
        <v>7113220</v>
      </c>
      <c r="H14" s="309">
        <v>2388327</v>
      </c>
      <c r="I14" s="312"/>
      <c r="J14" s="310">
        <v>90673063</v>
      </c>
      <c r="K14" s="310">
        <v>29989515</v>
      </c>
      <c r="L14" s="310">
        <v>20658413</v>
      </c>
      <c r="M14" s="309">
        <v>11710855</v>
      </c>
      <c r="N14" s="309">
        <v>7653140</v>
      </c>
      <c r="O14" s="310">
        <v>11691484</v>
      </c>
      <c r="P14" s="310">
        <v>14885721</v>
      </c>
      <c r="Q14" s="310">
        <v>17129811</v>
      </c>
      <c r="R14" s="310">
        <v>3557879</v>
      </c>
      <c r="S14" s="310">
        <v>1370404</v>
      </c>
      <c r="T14" s="311">
        <v>0</v>
      </c>
      <c r="U14" s="310">
        <v>3449798</v>
      </c>
      <c r="V14" s="309">
        <v>32437024</v>
      </c>
      <c r="W14" s="309">
        <v>120947953</v>
      </c>
      <c r="X14" s="309">
        <v>54612000</v>
      </c>
      <c r="Y14" s="309">
        <v>5557616</v>
      </c>
      <c r="Z14" s="310">
        <v>217690413</v>
      </c>
      <c r="AA14" s="309">
        <v>99176345</v>
      </c>
      <c r="AB14" s="309">
        <v>32220268</v>
      </c>
      <c r="AC14" s="311">
        <v>20.25</v>
      </c>
      <c r="AD14" s="311">
        <v>70.33</v>
      </c>
      <c r="AE14" s="307">
        <f>J14/J32</f>
        <v>0.10616268694966541</v>
      </c>
    </row>
    <row r="15" spans="1:31" ht="15.4" x14ac:dyDescent="0.45">
      <c r="A15" s="283" t="s">
        <v>28</v>
      </c>
      <c r="B15" s="309">
        <v>17227379</v>
      </c>
      <c r="C15" s="309">
        <v>41673871</v>
      </c>
      <c r="D15" s="309">
        <v>1635056</v>
      </c>
      <c r="E15" s="309">
        <v>1444973</v>
      </c>
      <c r="F15" s="309">
        <v>575161</v>
      </c>
      <c r="G15" s="309">
        <v>3611709</v>
      </c>
      <c r="H15" s="309">
        <v>2606280</v>
      </c>
      <c r="I15" s="309">
        <v>4304101</v>
      </c>
      <c r="J15" s="310">
        <v>73078531</v>
      </c>
      <c r="K15" s="310">
        <v>48295157</v>
      </c>
      <c r="L15" s="310">
        <v>28474827</v>
      </c>
      <c r="M15" s="309">
        <v>12545233</v>
      </c>
      <c r="N15" s="309">
        <v>10893407</v>
      </c>
      <c r="O15" s="310">
        <v>12575879</v>
      </c>
      <c r="P15" s="310">
        <v>8498813</v>
      </c>
      <c r="Q15" s="310">
        <v>5166351</v>
      </c>
      <c r="R15" s="310">
        <v>1673078</v>
      </c>
      <c r="S15" s="310">
        <v>6804415</v>
      </c>
      <c r="T15" s="310">
        <v>93259</v>
      </c>
      <c r="U15" s="310">
        <v>5559065</v>
      </c>
      <c r="V15" s="309">
        <v>12791708</v>
      </c>
      <c r="W15" s="309">
        <v>155012811</v>
      </c>
      <c r="X15" s="309">
        <v>72681889</v>
      </c>
      <c r="Y15" s="309">
        <v>10165650</v>
      </c>
      <c r="Z15" s="310">
        <v>259888805</v>
      </c>
      <c r="AA15" s="309">
        <v>127724156</v>
      </c>
      <c r="AB15" s="309">
        <v>40783997</v>
      </c>
      <c r="AC15" s="311">
        <v>32.380000000000003</v>
      </c>
      <c r="AD15" s="311">
        <v>62.65</v>
      </c>
      <c r="AE15" s="307">
        <f t="shared" si="1"/>
        <v>8.5562491798632831E-2</v>
      </c>
    </row>
    <row r="16" spans="1:31" ht="15.4" x14ac:dyDescent="0.45">
      <c r="A16" s="283" t="s">
        <v>46</v>
      </c>
      <c r="B16" s="309">
        <v>461115</v>
      </c>
      <c r="C16" s="309">
        <v>5783131</v>
      </c>
      <c r="D16" s="309">
        <v>446636</v>
      </c>
      <c r="E16" s="309">
        <v>1660</v>
      </c>
      <c r="F16" s="312">
        <v>0</v>
      </c>
      <c r="G16" s="309">
        <v>980664</v>
      </c>
      <c r="H16" s="309">
        <v>439029</v>
      </c>
      <c r="I16" s="312"/>
      <c r="J16" s="310">
        <v>8112235</v>
      </c>
      <c r="K16" s="310">
        <v>6598932</v>
      </c>
      <c r="L16" s="310">
        <v>5531068</v>
      </c>
      <c r="M16" s="309">
        <v>1317031</v>
      </c>
      <c r="N16" s="309">
        <v>1011987</v>
      </c>
      <c r="O16" s="310">
        <v>3633725</v>
      </c>
      <c r="P16" s="310">
        <v>1134568</v>
      </c>
      <c r="Q16" s="310">
        <v>356841</v>
      </c>
      <c r="R16" s="310">
        <v>107629</v>
      </c>
      <c r="S16" s="310">
        <v>2194644</v>
      </c>
      <c r="T16" s="311">
        <v>0</v>
      </c>
      <c r="U16" s="310">
        <v>2302273</v>
      </c>
      <c r="V16" s="309">
        <v>4925852</v>
      </c>
      <c r="W16" s="309">
        <v>52806434</v>
      </c>
      <c r="X16" s="309">
        <v>7053229</v>
      </c>
      <c r="Y16" s="309">
        <v>3990150</v>
      </c>
      <c r="Z16" s="310">
        <v>68775665</v>
      </c>
      <c r="AA16" s="309">
        <v>11894322</v>
      </c>
      <c r="AB16" s="309">
        <v>3165772</v>
      </c>
      <c r="AC16" s="311">
        <v>17.190000000000001</v>
      </c>
      <c r="AD16" s="311">
        <v>80.98</v>
      </c>
      <c r="AE16" s="307">
        <f t="shared" si="1"/>
        <v>9.4980431483506732E-3</v>
      </c>
    </row>
    <row r="17" spans="1:31" ht="15.4" x14ac:dyDescent="0.45">
      <c r="A17" s="283" t="s">
        <v>69</v>
      </c>
      <c r="B17" s="309">
        <v>257024</v>
      </c>
      <c r="C17" s="309">
        <v>9831806</v>
      </c>
      <c r="D17" s="312"/>
      <c r="E17" s="312"/>
      <c r="F17" s="309">
        <v>27125</v>
      </c>
      <c r="G17" s="309">
        <v>429670</v>
      </c>
      <c r="H17" s="309">
        <v>6146</v>
      </c>
      <c r="I17" s="312"/>
      <c r="J17" s="310">
        <v>10551771</v>
      </c>
      <c r="K17" s="310">
        <v>9254166</v>
      </c>
      <c r="L17" s="310">
        <v>7081484</v>
      </c>
      <c r="M17" s="309">
        <v>942617</v>
      </c>
      <c r="N17" s="309">
        <v>921445</v>
      </c>
      <c r="O17" s="310">
        <v>2991847</v>
      </c>
      <c r="P17" s="310">
        <v>1323293</v>
      </c>
      <c r="Q17" s="310">
        <v>422111</v>
      </c>
      <c r="R17" s="310">
        <v>2267010</v>
      </c>
      <c r="S17" s="310">
        <v>787238</v>
      </c>
      <c r="T17" s="310">
        <v>2047</v>
      </c>
      <c r="U17" s="310">
        <v>2292221</v>
      </c>
      <c r="V17" s="309">
        <v>4220961</v>
      </c>
      <c r="W17" s="309">
        <v>34988343</v>
      </c>
      <c r="X17" s="309">
        <v>2560911</v>
      </c>
      <c r="Y17" s="309">
        <v>20365127</v>
      </c>
      <c r="Z17" s="310">
        <v>62207058</v>
      </c>
      <c r="AA17" s="309">
        <v>5535590</v>
      </c>
      <c r="AB17" s="309">
        <v>3780083</v>
      </c>
      <c r="AC17" s="311">
        <v>12.28</v>
      </c>
      <c r="AD17" s="311">
        <v>57.51</v>
      </c>
      <c r="AE17" s="307">
        <f t="shared" si="1"/>
        <v>1.2354323592636964E-2</v>
      </c>
    </row>
    <row r="18" spans="1:31" ht="15.4" x14ac:dyDescent="0.45">
      <c r="A18" s="283" t="s">
        <v>29</v>
      </c>
      <c r="B18" s="309">
        <v>3394425</v>
      </c>
      <c r="C18" s="309">
        <v>15870439</v>
      </c>
      <c r="D18" s="309">
        <v>1075094</v>
      </c>
      <c r="E18" s="309">
        <v>48157</v>
      </c>
      <c r="F18" s="309">
        <v>4850968</v>
      </c>
      <c r="G18" s="309">
        <v>1188542</v>
      </c>
      <c r="H18" s="309">
        <v>219325</v>
      </c>
      <c r="I18" s="312"/>
      <c r="J18" s="310">
        <v>26646950</v>
      </c>
      <c r="K18" s="310">
        <v>19298040</v>
      </c>
      <c r="L18" s="310">
        <v>12167583</v>
      </c>
      <c r="M18" s="309">
        <v>4707835</v>
      </c>
      <c r="N18" s="309">
        <v>3138385</v>
      </c>
      <c r="O18" s="310">
        <v>4449257</v>
      </c>
      <c r="P18" s="310">
        <v>3459729</v>
      </c>
      <c r="Q18" s="310">
        <v>3765638</v>
      </c>
      <c r="R18" s="310">
        <v>4885850</v>
      </c>
      <c r="S18" s="310">
        <v>2391320</v>
      </c>
      <c r="T18" s="310">
        <v>210554</v>
      </c>
      <c r="U18" s="310">
        <v>5241408</v>
      </c>
      <c r="V18" s="309">
        <v>6992731</v>
      </c>
      <c r="W18" s="309">
        <v>70869766</v>
      </c>
      <c r="X18" s="309">
        <v>24014933</v>
      </c>
      <c r="Y18" s="309">
        <v>26268054</v>
      </c>
      <c r="Z18" s="310">
        <v>140990129</v>
      </c>
      <c r="AA18" s="309">
        <v>31459857</v>
      </c>
      <c r="AB18" s="309">
        <v>26826101</v>
      </c>
      <c r="AC18" s="311">
        <v>19.7</v>
      </c>
      <c r="AD18" s="311">
        <v>49.64</v>
      </c>
      <c r="AE18" s="307">
        <f t="shared" si="1"/>
        <v>3.1199032186807085E-2</v>
      </c>
    </row>
    <row r="19" spans="1:31" ht="15.4" x14ac:dyDescent="0.45">
      <c r="A19" s="283" t="s">
        <v>31</v>
      </c>
      <c r="B19" s="309">
        <v>4612117</v>
      </c>
      <c r="C19" s="309">
        <v>6059516</v>
      </c>
      <c r="D19" s="309">
        <v>66925</v>
      </c>
      <c r="E19" s="309">
        <v>230265</v>
      </c>
      <c r="F19" s="309">
        <v>50821</v>
      </c>
      <c r="G19" s="309">
        <v>656025</v>
      </c>
      <c r="H19" s="309">
        <v>28473</v>
      </c>
      <c r="I19" s="309">
        <v>23730</v>
      </c>
      <c r="J19" s="310">
        <v>11727872</v>
      </c>
      <c r="K19" s="310">
        <v>6480630</v>
      </c>
      <c r="L19" s="310">
        <v>4295648</v>
      </c>
      <c r="M19" s="309">
        <v>-580741</v>
      </c>
      <c r="N19" s="309">
        <v>991912</v>
      </c>
      <c r="O19" s="310">
        <v>2996653</v>
      </c>
      <c r="P19" s="310">
        <v>1942400</v>
      </c>
      <c r="Q19" s="310">
        <v>1304132</v>
      </c>
      <c r="R19" s="310">
        <v>-331185</v>
      </c>
      <c r="S19" s="310">
        <v>5805230</v>
      </c>
      <c r="T19" s="310">
        <v>6161</v>
      </c>
      <c r="U19" s="310">
        <v>3780064</v>
      </c>
      <c r="V19" s="309">
        <v>4665332</v>
      </c>
      <c r="W19" s="309">
        <v>64400495</v>
      </c>
      <c r="X19" s="309">
        <v>9286641</v>
      </c>
      <c r="Y19" s="309">
        <v>7968571</v>
      </c>
      <c r="Z19" s="310">
        <v>86330164</v>
      </c>
      <c r="AA19" s="309">
        <v>20346340</v>
      </c>
      <c r="AB19" s="309">
        <v>3385491</v>
      </c>
      <c r="AC19" s="311">
        <v>17.71</v>
      </c>
      <c r="AD19" s="311">
        <v>88.2</v>
      </c>
      <c r="AE19" s="307">
        <f t="shared" si="1"/>
        <v>1.3731337207851314E-2</v>
      </c>
    </row>
    <row r="20" spans="1:31" ht="15.4" x14ac:dyDescent="0.45">
      <c r="A20" s="283" t="s">
        <v>32</v>
      </c>
      <c r="B20" s="309">
        <v>3084651</v>
      </c>
      <c r="C20" s="309">
        <v>16988288</v>
      </c>
      <c r="D20" s="309">
        <v>548640</v>
      </c>
      <c r="E20" s="309">
        <v>181819</v>
      </c>
      <c r="F20" s="309">
        <v>4898297</v>
      </c>
      <c r="G20" s="309">
        <v>693952</v>
      </c>
      <c r="H20" s="309">
        <v>5719739</v>
      </c>
      <c r="I20" s="312"/>
      <c r="J20" s="310">
        <v>32115386</v>
      </c>
      <c r="K20" s="310">
        <v>21933773</v>
      </c>
      <c r="L20" s="310">
        <v>18159331</v>
      </c>
      <c r="M20" s="309">
        <v>4467728</v>
      </c>
      <c r="N20" s="309">
        <v>4278712</v>
      </c>
      <c r="O20" s="310">
        <v>7565062</v>
      </c>
      <c r="P20" s="310">
        <v>2996600</v>
      </c>
      <c r="Q20" s="310">
        <v>3309573</v>
      </c>
      <c r="R20" s="310">
        <v>6628530</v>
      </c>
      <c r="S20" s="310">
        <v>1877701</v>
      </c>
      <c r="T20" s="310">
        <v>7644</v>
      </c>
      <c r="U20" s="310">
        <v>7073094</v>
      </c>
      <c r="V20" s="309">
        <v>18204878</v>
      </c>
      <c r="W20" s="309">
        <v>85809807</v>
      </c>
      <c r="X20" s="309">
        <v>24443924</v>
      </c>
      <c r="Y20" s="309">
        <v>3402860</v>
      </c>
      <c r="Z20" s="310">
        <v>131861469</v>
      </c>
      <c r="AA20" s="309">
        <v>50388466</v>
      </c>
      <c r="AB20" s="309">
        <v>23141693</v>
      </c>
      <c r="AC20" s="311">
        <v>19.93</v>
      </c>
      <c r="AD20" s="311">
        <v>49.2</v>
      </c>
      <c r="AE20" s="307">
        <f t="shared" si="1"/>
        <v>3.7601637767389277E-2</v>
      </c>
    </row>
    <row r="21" spans="1:31" ht="15.4" x14ac:dyDescent="0.45">
      <c r="A21" s="283" t="s">
        <v>33</v>
      </c>
      <c r="B21" s="309">
        <v>737520</v>
      </c>
      <c r="C21" s="309">
        <v>19710872</v>
      </c>
      <c r="D21" s="309">
        <v>676385</v>
      </c>
      <c r="E21" s="309">
        <v>129646</v>
      </c>
      <c r="F21" s="309">
        <v>974810</v>
      </c>
      <c r="G21" s="309">
        <v>220828</v>
      </c>
      <c r="H21" s="309">
        <v>1089109</v>
      </c>
      <c r="I21" s="309">
        <v>53985</v>
      </c>
      <c r="J21" s="310">
        <v>23593155</v>
      </c>
      <c r="K21" s="310">
        <v>20622559</v>
      </c>
      <c r="L21" s="310">
        <v>11295757</v>
      </c>
      <c r="M21" s="309">
        <v>3810367</v>
      </c>
      <c r="N21" s="309">
        <v>3065612</v>
      </c>
      <c r="O21" s="310">
        <v>6339509</v>
      </c>
      <c r="P21" s="310">
        <v>2224334</v>
      </c>
      <c r="Q21" s="310">
        <v>1490301</v>
      </c>
      <c r="R21" s="310">
        <v>1156603</v>
      </c>
      <c r="S21" s="310">
        <v>971275</v>
      </c>
      <c r="T21" s="310">
        <v>34927</v>
      </c>
      <c r="U21" s="310">
        <v>2162805</v>
      </c>
      <c r="V21" s="309">
        <v>3561192</v>
      </c>
      <c r="W21" s="309">
        <v>73984824</v>
      </c>
      <c r="X21" s="309">
        <v>5525354</v>
      </c>
      <c r="Y21" s="309">
        <v>4182109</v>
      </c>
      <c r="Z21" s="310">
        <v>87253479</v>
      </c>
      <c r="AA21" s="309">
        <v>32867602</v>
      </c>
      <c r="AB21" s="309">
        <v>4365942</v>
      </c>
      <c r="AC21" s="311">
        <v>23.98</v>
      </c>
      <c r="AD21" s="311">
        <v>66.98</v>
      </c>
      <c r="AE21" s="307">
        <f t="shared" si="1"/>
        <v>2.7623559252872409E-2</v>
      </c>
    </row>
    <row r="22" spans="1:31" ht="15.4" x14ac:dyDescent="0.45">
      <c r="A22" s="283" t="s">
        <v>34</v>
      </c>
      <c r="B22" s="309">
        <v>310445</v>
      </c>
      <c r="C22" s="309">
        <v>15609031</v>
      </c>
      <c r="D22" s="309">
        <v>284894</v>
      </c>
      <c r="E22" s="312">
        <v>623</v>
      </c>
      <c r="F22" s="309">
        <v>261010</v>
      </c>
      <c r="G22" s="309">
        <v>218593</v>
      </c>
      <c r="H22" s="309">
        <v>522005</v>
      </c>
      <c r="I22" s="312">
        <v>0</v>
      </c>
      <c r="J22" s="310">
        <v>17206601</v>
      </c>
      <c r="K22" s="310">
        <v>16773134</v>
      </c>
      <c r="L22" s="310">
        <v>9858835</v>
      </c>
      <c r="M22" s="309">
        <v>996708</v>
      </c>
      <c r="N22" s="309">
        <v>945227</v>
      </c>
      <c r="O22" s="310">
        <v>6016296</v>
      </c>
      <c r="P22" s="310">
        <v>1644849</v>
      </c>
      <c r="Q22" s="310">
        <v>130957</v>
      </c>
      <c r="R22" s="310">
        <v>1383420</v>
      </c>
      <c r="S22" s="310">
        <v>1145288</v>
      </c>
      <c r="T22" s="311">
        <v>0</v>
      </c>
      <c r="U22" s="310">
        <v>1770096</v>
      </c>
      <c r="V22" s="309">
        <v>547785</v>
      </c>
      <c r="W22" s="309">
        <v>49390966</v>
      </c>
      <c r="X22" s="309">
        <v>18033526</v>
      </c>
      <c r="Y22" s="309">
        <v>13510024</v>
      </c>
      <c r="Z22" s="310">
        <v>81482301</v>
      </c>
      <c r="AA22" s="309">
        <v>14983654</v>
      </c>
      <c r="AB22" s="309">
        <v>6901689</v>
      </c>
      <c r="AC22" s="311">
        <v>9.4600000000000009</v>
      </c>
      <c r="AD22" s="311">
        <v>76.69</v>
      </c>
      <c r="AE22" s="307">
        <f>J22/$J$32</f>
        <v>2.0145994135334324E-2</v>
      </c>
    </row>
    <row r="23" spans="1:31" ht="15.4" x14ac:dyDescent="0.45">
      <c r="A23" s="283" t="s">
        <v>35</v>
      </c>
      <c r="B23" s="309">
        <v>966879</v>
      </c>
      <c r="C23" s="309">
        <v>15139844</v>
      </c>
      <c r="D23" s="309">
        <v>914481</v>
      </c>
      <c r="E23" s="309">
        <v>255254</v>
      </c>
      <c r="F23" s="309">
        <v>282510</v>
      </c>
      <c r="G23" s="309">
        <v>127298</v>
      </c>
      <c r="H23" s="309">
        <v>1317598</v>
      </c>
      <c r="I23" s="312"/>
      <c r="J23" s="310">
        <v>19003864</v>
      </c>
      <c r="K23" s="310">
        <v>15717407</v>
      </c>
      <c r="L23" s="310">
        <v>10817406</v>
      </c>
      <c r="M23" s="309">
        <v>5702541</v>
      </c>
      <c r="N23" s="309">
        <v>2512784</v>
      </c>
      <c r="O23" s="310">
        <v>5999056</v>
      </c>
      <c r="P23" s="310">
        <v>3228880</v>
      </c>
      <c r="Q23" s="310">
        <v>827039</v>
      </c>
      <c r="R23" s="310">
        <v>-96275</v>
      </c>
      <c r="S23" s="310">
        <v>1586386</v>
      </c>
      <c r="T23" s="310">
        <v>27321</v>
      </c>
      <c r="U23" s="310">
        <v>1517432</v>
      </c>
      <c r="V23" s="309">
        <v>9595927</v>
      </c>
      <c r="W23" s="309">
        <v>54290915</v>
      </c>
      <c r="X23" s="309">
        <v>19490442</v>
      </c>
      <c r="Y23" s="309">
        <v>24848323</v>
      </c>
      <c r="Z23" s="310">
        <v>111505479</v>
      </c>
      <c r="AA23" s="309">
        <v>31044008</v>
      </c>
      <c r="AB23" s="309">
        <v>14403091</v>
      </c>
      <c r="AC23" s="311">
        <v>21.58</v>
      </c>
      <c r="AD23" s="311">
        <v>79.25</v>
      </c>
      <c r="AE23" s="307">
        <f t="shared" si="1"/>
        <v>2.2250282475469216E-2</v>
      </c>
    </row>
    <row r="24" spans="1:31" ht="15.4" x14ac:dyDescent="0.45">
      <c r="A24" s="283" t="s">
        <v>36</v>
      </c>
      <c r="B24" s="309">
        <v>982520</v>
      </c>
      <c r="C24" s="309">
        <v>20726787</v>
      </c>
      <c r="D24" s="309">
        <v>1777264</v>
      </c>
      <c r="E24" s="309">
        <v>190456</v>
      </c>
      <c r="F24" s="309">
        <v>130780</v>
      </c>
      <c r="G24" s="309">
        <v>242624</v>
      </c>
      <c r="H24" s="309">
        <v>119286</v>
      </c>
      <c r="I24" s="309">
        <v>43230</v>
      </c>
      <c r="J24" s="310">
        <v>24212947</v>
      </c>
      <c r="K24" s="310">
        <v>20344008</v>
      </c>
      <c r="L24" s="310">
        <v>17657302</v>
      </c>
      <c r="M24" s="309">
        <v>8986584</v>
      </c>
      <c r="N24" s="309">
        <v>7059351</v>
      </c>
      <c r="O24" s="310">
        <v>5189601</v>
      </c>
      <c r="P24" s="310">
        <v>2932499</v>
      </c>
      <c r="Q24" s="310">
        <v>1261770</v>
      </c>
      <c r="R24" s="310">
        <v>3737621</v>
      </c>
      <c r="S24" s="310">
        <v>1321470</v>
      </c>
      <c r="T24" s="310">
        <v>102459</v>
      </c>
      <c r="U24" s="310">
        <v>3613085</v>
      </c>
      <c r="V24" s="309">
        <v>12274973</v>
      </c>
      <c r="W24" s="309">
        <v>46053635</v>
      </c>
      <c r="X24" s="309">
        <v>37629750</v>
      </c>
      <c r="Y24" s="309">
        <v>16404712</v>
      </c>
      <c r="Z24" s="310">
        <v>119086770</v>
      </c>
      <c r="AA24" s="309">
        <v>49892239</v>
      </c>
      <c r="AB24" s="309">
        <v>11147927</v>
      </c>
      <c r="AC24" s="311">
        <v>37.31</v>
      </c>
      <c r="AD24" s="311">
        <v>42.93</v>
      </c>
      <c r="AE24" s="307">
        <f t="shared" si="1"/>
        <v>2.8349229941530045E-2</v>
      </c>
    </row>
    <row r="25" spans="1:31" ht="15.4" x14ac:dyDescent="0.45">
      <c r="A25" s="283" t="s">
        <v>38</v>
      </c>
      <c r="B25" s="309">
        <v>1223179</v>
      </c>
      <c r="C25" s="309">
        <v>7293329</v>
      </c>
      <c r="D25" s="309">
        <v>992108</v>
      </c>
      <c r="E25" s="309">
        <v>2121606</v>
      </c>
      <c r="F25" s="309">
        <v>2018107</v>
      </c>
      <c r="G25" s="309">
        <v>782174</v>
      </c>
      <c r="H25" s="309">
        <v>509318</v>
      </c>
      <c r="I25" s="312"/>
      <c r="J25" s="310">
        <v>14939821</v>
      </c>
      <c r="K25" s="310">
        <v>7959689</v>
      </c>
      <c r="L25" s="310">
        <v>4691225</v>
      </c>
      <c r="M25" s="309">
        <v>1830937</v>
      </c>
      <c r="N25" s="309">
        <v>1710706</v>
      </c>
      <c r="O25" s="310">
        <v>3475987</v>
      </c>
      <c r="P25" s="310">
        <v>1580519</v>
      </c>
      <c r="Q25" s="310">
        <v>1816429</v>
      </c>
      <c r="R25" s="310">
        <v>-259558</v>
      </c>
      <c r="S25" s="310">
        <v>8227343</v>
      </c>
      <c r="T25" s="310">
        <v>2230</v>
      </c>
      <c r="U25" s="310">
        <v>7571513</v>
      </c>
      <c r="V25" s="309">
        <v>8798545</v>
      </c>
      <c r="W25" s="309">
        <v>76510376</v>
      </c>
      <c r="X25" s="309">
        <v>18464711</v>
      </c>
      <c r="Y25" s="309">
        <v>3589229</v>
      </c>
      <c r="Z25" s="310">
        <v>109997884</v>
      </c>
      <c r="AA25" s="309">
        <v>33604675</v>
      </c>
      <c r="AB25" s="309">
        <v>13107579</v>
      </c>
      <c r="AC25" s="311">
        <v>26.29</v>
      </c>
      <c r="AD25" s="311">
        <v>77.7</v>
      </c>
      <c r="AE25" s="307">
        <f t="shared" si="1"/>
        <v>1.749198149297148E-2</v>
      </c>
    </row>
    <row r="26" spans="1:31" ht="15.4" x14ac:dyDescent="0.45">
      <c r="A26" s="283" t="s">
        <v>77</v>
      </c>
      <c r="B26" s="309">
        <v>7656369</v>
      </c>
      <c r="C26" s="309">
        <v>10890548</v>
      </c>
      <c r="D26" s="309">
        <v>1139195</v>
      </c>
      <c r="E26" s="312"/>
      <c r="F26" s="309">
        <v>349053</v>
      </c>
      <c r="G26" s="312"/>
      <c r="H26" s="309">
        <v>650170</v>
      </c>
      <c r="I26" s="312"/>
      <c r="J26" s="310">
        <v>20685335</v>
      </c>
      <c r="K26" s="310">
        <v>11768713</v>
      </c>
      <c r="L26" s="310">
        <v>8525069</v>
      </c>
      <c r="M26" s="309">
        <v>2115919</v>
      </c>
      <c r="N26" s="309">
        <v>1537038</v>
      </c>
      <c r="O26" s="310">
        <v>6067787</v>
      </c>
      <c r="P26" s="310">
        <v>2320110</v>
      </c>
      <c r="Q26" s="310">
        <v>1866357</v>
      </c>
      <c r="R26" s="310">
        <v>466492</v>
      </c>
      <c r="S26" s="310">
        <v>1778768</v>
      </c>
      <c r="T26" s="311">
        <v>0</v>
      </c>
      <c r="U26" s="310">
        <v>1589342</v>
      </c>
      <c r="V26" s="309">
        <v>1170981</v>
      </c>
      <c r="W26" s="309">
        <v>45662523</v>
      </c>
      <c r="X26" s="309">
        <v>29100325</v>
      </c>
      <c r="Y26" s="309">
        <v>3361260</v>
      </c>
      <c r="Z26" s="310">
        <v>79295090</v>
      </c>
      <c r="AA26" s="309">
        <v>18716077</v>
      </c>
      <c r="AB26" s="309">
        <v>4057505</v>
      </c>
      <c r="AC26" s="311">
        <v>14.79</v>
      </c>
      <c r="AD26" s="311">
        <v>80.72</v>
      </c>
      <c r="AE26" s="307">
        <f t="shared" si="1"/>
        <v>2.4218998138994786E-2</v>
      </c>
    </row>
    <row r="27" spans="1:31" ht="15.4" x14ac:dyDescent="0.45">
      <c r="A27" s="283" t="s">
        <v>39</v>
      </c>
      <c r="B27" s="312">
        <v>5997263</v>
      </c>
      <c r="C27" s="312">
        <v>34488975</v>
      </c>
      <c r="D27" s="312">
        <v>1439696</v>
      </c>
      <c r="E27" s="312">
        <v>5582177</v>
      </c>
      <c r="F27" s="312">
        <v>2245767</v>
      </c>
      <c r="G27" s="312">
        <v>7058127</v>
      </c>
      <c r="H27" s="312">
        <v>5293596</v>
      </c>
      <c r="I27" s="312"/>
      <c r="J27" s="311">
        <v>62105601</v>
      </c>
      <c r="K27" s="311">
        <v>41417762</v>
      </c>
      <c r="L27" s="311">
        <v>36793188</v>
      </c>
      <c r="M27" s="312">
        <v>13780959</v>
      </c>
      <c r="N27" s="312">
        <v>11899063</v>
      </c>
      <c r="O27" s="311">
        <v>33744575</v>
      </c>
      <c r="P27" s="311">
        <v>7380388</v>
      </c>
      <c r="Q27" s="311">
        <v>8059036</v>
      </c>
      <c r="R27" s="311">
        <v>-8171802</v>
      </c>
      <c r="S27" s="311">
        <v>14194694</v>
      </c>
      <c r="T27" s="311">
        <v>2706348</v>
      </c>
      <c r="U27" s="311">
        <v>6110469</v>
      </c>
      <c r="V27" s="312">
        <v>45550093</v>
      </c>
      <c r="W27" s="312">
        <v>402715598</v>
      </c>
      <c r="X27" s="312">
        <v>91845880</v>
      </c>
      <c r="Y27" s="312">
        <v>141962101</v>
      </c>
      <c r="Z27" s="311">
        <v>685450085</v>
      </c>
      <c r="AA27" s="312">
        <v>157090446</v>
      </c>
      <c r="AB27" s="312">
        <v>141046725</v>
      </c>
      <c r="AC27" s="311">
        <v>26.53</v>
      </c>
      <c r="AD27" s="311">
        <v>91.69</v>
      </c>
      <c r="AE27" s="307">
        <f t="shared" si="1"/>
        <v>7.2715062871360439E-2</v>
      </c>
    </row>
    <row r="28" spans="1:31" ht="15.4" x14ac:dyDescent="0.45">
      <c r="A28" s="283" t="s">
        <v>40</v>
      </c>
      <c r="B28" s="309">
        <v>7150053</v>
      </c>
      <c r="C28" s="309">
        <v>33654568</v>
      </c>
      <c r="D28" s="309">
        <v>6666994</v>
      </c>
      <c r="E28" s="309">
        <v>345924</v>
      </c>
      <c r="F28" s="309">
        <v>5835781</v>
      </c>
      <c r="G28" s="309">
        <v>3766365</v>
      </c>
      <c r="H28" s="309">
        <v>7043957</v>
      </c>
      <c r="I28" s="312"/>
      <c r="J28" s="310">
        <v>64463642</v>
      </c>
      <c r="K28" s="310">
        <v>45890630</v>
      </c>
      <c r="L28" s="310">
        <v>41871540</v>
      </c>
      <c r="M28" s="309">
        <v>24816957</v>
      </c>
      <c r="N28" s="309">
        <v>18994905</v>
      </c>
      <c r="O28" s="310">
        <v>13894014</v>
      </c>
      <c r="P28" s="310">
        <v>11820944</v>
      </c>
      <c r="Q28" s="310">
        <v>5482404</v>
      </c>
      <c r="R28" s="310">
        <v>2644081</v>
      </c>
      <c r="S28" s="310">
        <v>3466650</v>
      </c>
      <c r="T28" s="310">
        <v>17500</v>
      </c>
      <c r="U28" s="310">
        <v>2469283</v>
      </c>
      <c r="V28" s="309">
        <v>8411975</v>
      </c>
      <c r="W28" s="309">
        <v>514838938</v>
      </c>
      <c r="X28" s="309">
        <v>78127565</v>
      </c>
      <c r="Y28" s="309">
        <v>2994152</v>
      </c>
      <c r="Z28" s="310">
        <v>604372630</v>
      </c>
      <c r="AA28" s="309">
        <v>161825229</v>
      </c>
      <c r="AB28" s="309">
        <v>84758211</v>
      </c>
      <c r="AC28" s="311">
        <v>40.11</v>
      </c>
      <c r="AD28" s="311">
        <v>54.3</v>
      </c>
      <c r="AE28" s="307">
        <f t="shared" si="1"/>
        <v>7.5475926574591429E-2</v>
      </c>
    </row>
    <row r="29" spans="1:31" ht="15.4" x14ac:dyDescent="0.45">
      <c r="A29" s="283" t="s">
        <v>90</v>
      </c>
      <c r="B29" s="309">
        <v>2298109</v>
      </c>
      <c r="C29" s="309">
        <v>16702779</v>
      </c>
      <c r="D29" s="309">
        <v>1447092</v>
      </c>
      <c r="E29" s="309">
        <v>319717</v>
      </c>
      <c r="F29" s="309">
        <v>319967</v>
      </c>
      <c r="G29" s="312"/>
      <c r="H29" s="309">
        <v>549497</v>
      </c>
      <c r="I29" s="312"/>
      <c r="J29" s="310">
        <v>21637161</v>
      </c>
      <c r="K29" s="310">
        <v>18350586</v>
      </c>
      <c r="L29" s="310">
        <v>11229444</v>
      </c>
      <c r="M29" s="309">
        <v>15047026</v>
      </c>
      <c r="N29" s="309">
        <v>3099650</v>
      </c>
      <c r="O29" s="310">
        <v>6497825</v>
      </c>
      <c r="P29" s="310">
        <v>2134030</v>
      </c>
      <c r="Q29" s="310">
        <v>851952</v>
      </c>
      <c r="R29" s="310">
        <v>349891</v>
      </c>
      <c r="S29" s="310">
        <v>3151264</v>
      </c>
      <c r="T29" s="310">
        <v>11851</v>
      </c>
      <c r="U29" s="310">
        <v>3062129</v>
      </c>
      <c r="V29" s="309">
        <v>4267473</v>
      </c>
      <c r="W29" s="309">
        <v>75700466</v>
      </c>
      <c r="X29" s="309">
        <v>21477166</v>
      </c>
      <c r="Y29" s="309">
        <v>13667859</v>
      </c>
      <c r="Z29" s="310">
        <v>119001263</v>
      </c>
      <c r="AA29" s="309">
        <v>50192746</v>
      </c>
      <c r="AB29" s="309">
        <v>5702180</v>
      </c>
      <c r="AC29" s="311">
        <v>25.66</v>
      </c>
      <c r="AD29" s="311">
        <v>71.45</v>
      </c>
      <c r="AE29" s="307">
        <f t="shared" si="1"/>
        <v>2.533342399299458E-2</v>
      </c>
    </row>
    <row r="30" spans="1:31" ht="15.4" x14ac:dyDescent="0.45">
      <c r="A30" s="283" t="s">
        <v>41</v>
      </c>
      <c r="B30" s="309">
        <v>679086</v>
      </c>
      <c r="C30" s="309">
        <v>8082181</v>
      </c>
      <c r="D30" s="309">
        <v>457477</v>
      </c>
      <c r="E30" s="309">
        <v>114240</v>
      </c>
      <c r="F30" s="309">
        <v>150778</v>
      </c>
      <c r="G30" s="309">
        <v>89945</v>
      </c>
      <c r="H30" s="309">
        <v>72586</v>
      </c>
      <c r="I30" s="312"/>
      <c r="J30" s="310">
        <v>9646293</v>
      </c>
      <c r="K30" s="310">
        <v>8767558</v>
      </c>
      <c r="L30" s="310">
        <v>7608213</v>
      </c>
      <c r="M30" s="309">
        <v>1931075</v>
      </c>
      <c r="N30" s="309">
        <v>1718115</v>
      </c>
      <c r="O30" s="310">
        <v>3810221</v>
      </c>
      <c r="P30" s="310">
        <v>581045</v>
      </c>
      <c r="Q30" s="310">
        <v>388087</v>
      </c>
      <c r="R30" s="310">
        <v>1886919</v>
      </c>
      <c r="S30" s="310">
        <v>2194294</v>
      </c>
      <c r="T30" s="310">
        <v>17241</v>
      </c>
      <c r="U30" s="310">
        <v>3073840</v>
      </c>
      <c r="V30" s="309">
        <v>1900393</v>
      </c>
      <c r="W30" s="309">
        <v>63370859</v>
      </c>
      <c r="X30" s="309">
        <v>9356175</v>
      </c>
      <c r="Y30" s="309">
        <v>1994014</v>
      </c>
      <c r="Z30" s="310">
        <v>77540021</v>
      </c>
      <c r="AA30" s="309">
        <v>15619028</v>
      </c>
      <c r="AB30" s="309">
        <v>3712447</v>
      </c>
      <c r="AC30" s="311">
        <v>21.49</v>
      </c>
      <c r="AD30" s="311">
        <v>54.92</v>
      </c>
      <c r="AE30" s="307">
        <f t="shared" si="1"/>
        <v>1.1294163339157835E-2</v>
      </c>
    </row>
    <row r="31" spans="1:31" ht="15.4" x14ac:dyDescent="0.45">
      <c r="A31" s="283" t="s">
        <v>42</v>
      </c>
      <c r="B31" s="309">
        <v>9702255</v>
      </c>
      <c r="C31" s="309">
        <v>49340823</v>
      </c>
      <c r="D31" s="309">
        <v>4497951</v>
      </c>
      <c r="E31" s="309">
        <v>549689</v>
      </c>
      <c r="F31" s="309">
        <v>2609768</v>
      </c>
      <c r="G31" s="309">
        <v>6521629</v>
      </c>
      <c r="H31" s="309">
        <v>3000614</v>
      </c>
      <c r="I31" s="312"/>
      <c r="J31" s="310">
        <v>76222729</v>
      </c>
      <c r="K31" s="310">
        <v>51035746</v>
      </c>
      <c r="L31" s="310">
        <v>48517866</v>
      </c>
      <c r="M31" s="309">
        <v>17603919</v>
      </c>
      <c r="N31" s="309">
        <v>15403933</v>
      </c>
      <c r="O31" s="310">
        <v>15041745</v>
      </c>
      <c r="P31" s="310">
        <v>16377089</v>
      </c>
      <c r="Q31" s="310">
        <v>6394866</v>
      </c>
      <c r="R31" s="310">
        <v>8089964</v>
      </c>
      <c r="S31" s="310">
        <v>475421</v>
      </c>
      <c r="T31" s="310">
        <v>85000</v>
      </c>
      <c r="U31" s="310">
        <v>7652886</v>
      </c>
      <c r="V31" s="309">
        <v>5831201</v>
      </c>
      <c r="W31" s="309">
        <v>140232692</v>
      </c>
      <c r="X31" s="309">
        <v>57355306</v>
      </c>
      <c r="Y31" s="309">
        <v>8221065</v>
      </c>
      <c r="Z31" s="310">
        <v>217778227</v>
      </c>
      <c r="AA31" s="309">
        <v>74037465</v>
      </c>
      <c r="AB31" s="309">
        <v>48306894</v>
      </c>
      <c r="AC31" s="311">
        <v>28.05</v>
      </c>
      <c r="AD31" s="311">
        <v>57.22</v>
      </c>
      <c r="AE31" s="307">
        <f t="shared" si="1"/>
        <v>8.9243811221819902E-2</v>
      </c>
    </row>
    <row r="32" spans="1:31" ht="15.4" x14ac:dyDescent="0.45">
      <c r="A32" s="283" t="s">
        <v>44</v>
      </c>
      <c r="B32" s="308">
        <f>SUM(B6:B31)</f>
        <v>167481574</v>
      </c>
      <c r="C32" s="308">
        <f t="shared" ref="C32:AB32" si="2">SUM(C6:C31)</f>
        <v>464667253</v>
      </c>
      <c r="D32" s="308">
        <f t="shared" si="2"/>
        <v>39349987</v>
      </c>
      <c r="E32" s="308">
        <f t="shared" si="2"/>
        <v>41846465</v>
      </c>
      <c r="F32" s="308">
        <f t="shared" si="2"/>
        <v>38203816</v>
      </c>
      <c r="G32" s="308">
        <f t="shared" si="2"/>
        <v>51026475</v>
      </c>
      <c r="H32" s="308">
        <f t="shared" si="2"/>
        <v>44538177</v>
      </c>
      <c r="I32" s="308">
        <f t="shared" si="2"/>
        <v>6981656</v>
      </c>
      <c r="J32" s="308">
        <f t="shared" si="2"/>
        <v>854095404</v>
      </c>
      <c r="K32" s="308">
        <f t="shared" si="2"/>
        <v>549804001</v>
      </c>
      <c r="L32" s="308">
        <f t="shared" si="2"/>
        <v>417282581</v>
      </c>
      <c r="M32" s="308">
        <f t="shared" si="2"/>
        <v>188222037</v>
      </c>
      <c r="N32" s="308">
        <f t="shared" si="2"/>
        <v>141738496</v>
      </c>
      <c r="O32" s="308">
        <f t="shared" si="2"/>
        <v>199491757</v>
      </c>
      <c r="P32" s="308">
        <f t="shared" si="2"/>
        <v>120828055</v>
      </c>
      <c r="Q32" s="308">
        <f t="shared" si="2"/>
        <v>82858142</v>
      </c>
      <c r="R32" s="308">
        <f t="shared" si="2"/>
        <v>38082415</v>
      </c>
      <c r="S32" s="308">
        <f t="shared" si="2"/>
        <v>82314654</v>
      </c>
      <c r="T32" s="308">
        <f t="shared" si="2"/>
        <v>4182618</v>
      </c>
      <c r="U32" s="308">
        <f t="shared" si="2"/>
        <v>93647605</v>
      </c>
      <c r="V32" s="308">
        <f t="shared" si="2"/>
        <v>276602780</v>
      </c>
      <c r="W32" s="308">
        <f t="shared" si="2"/>
        <v>2835390188</v>
      </c>
      <c r="X32" s="308">
        <f t="shared" si="2"/>
        <v>891429293</v>
      </c>
      <c r="Y32" s="308">
        <f t="shared" si="2"/>
        <v>421032413</v>
      </c>
      <c r="Z32" s="308">
        <f t="shared" si="2"/>
        <v>4495956148</v>
      </c>
      <c r="AA32" s="308">
        <f t="shared" si="2"/>
        <v>1489137216</v>
      </c>
      <c r="AB32" s="308">
        <f t="shared" si="2"/>
        <v>655487272</v>
      </c>
      <c r="AC32" s="308">
        <f>AVERAGE(AC6:AC31)</f>
        <v>23.035999999999998</v>
      </c>
      <c r="AD32" s="308">
        <f>AVERAGE(AD6:AD31)</f>
        <v>69.156800000000018</v>
      </c>
      <c r="AE32" s="352">
        <f>SUM(AE6:AE31)</f>
        <v>0.99999999999999989</v>
      </c>
    </row>
    <row r="33" spans="9:34" x14ac:dyDescent="0.35">
      <c r="V33" s="157"/>
      <c r="W33" s="308"/>
      <c r="X33" s="157"/>
      <c r="AH33" s="322"/>
    </row>
    <row r="34" spans="9:34" x14ac:dyDescent="0.35">
      <c r="I34" s="297"/>
    </row>
  </sheetData>
  <mergeCells count="1">
    <mergeCell ref="B1:AE1"/>
  </mergeCells>
  <dataValidations count="1">
    <dataValidation type="list" allowBlank="1" showInputMessage="1" showErrorMessage="1" sqref="A3" xr:uid="{00000000-0002-0000-2700-000000000000}">
      <formula1>$A$6:$A$31</formula1>
    </dataValidation>
  </dataValidations>
  <pageMargins left="0.7" right="0.7" top="0.75" bottom="0.75" header="0.3" footer="0.3"/>
  <pageSetup orientation="portrait" r:id="rId1"/>
  <customProperties>
    <customPr name="LastActive" r:id="rId2"/>
  </customProperties>
  <legacyDrawing r:id="rId3"/>
</worksheet>
</file>

<file path=xl/worksheets/sheet4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800-000000000000}">
  <sheetPr>
    <tabColor rgb="FF00B0F0"/>
  </sheetPr>
  <dimension ref="A1:AJ33"/>
  <sheetViews>
    <sheetView topLeftCell="AA5" zoomScale="70" zoomScaleNormal="70" workbookViewId="0">
      <pane ySplit="1" topLeftCell="A12" activePane="bottomLeft" state="frozen"/>
      <selection activeCell="P5" sqref="P5"/>
      <selection pane="bottomLeft" activeCell="M31" sqref="M31"/>
    </sheetView>
  </sheetViews>
  <sheetFormatPr defaultRowHeight="12.75" x14ac:dyDescent="0.35"/>
  <cols>
    <col min="1" max="1" width="50.73046875" bestFit="1" customWidth="1"/>
    <col min="2" max="3" width="15.3984375" bestFit="1" customWidth="1"/>
    <col min="4" max="4" width="20.73046875" customWidth="1"/>
    <col min="5" max="5" width="15.3984375" bestFit="1" customWidth="1"/>
    <col min="6" max="6" width="18.265625" customWidth="1"/>
    <col min="7" max="7" width="14.3984375" bestFit="1" customWidth="1"/>
    <col min="8" max="8" width="15.3984375" bestFit="1" customWidth="1"/>
    <col min="9" max="9" width="14.3984375" bestFit="1" customWidth="1"/>
    <col min="10" max="10" width="17.73046875" bestFit="1" customWidth="1"/>
    <col min="11" max="11" width="17.3984375" bestFit="1" customWidth="1"/>
    <col min="12" max="12" width="16.3984375" bestFit="1" customWidth="1"/>
    <col min="13" max="14" width="15.3984375" bestFit="1" customWidth="1"/>
    <col min="15" max="16" width="16.3984375" bestFit="1" customWidth="1"/>
    <col min="17" max="17" width="22.3984375" customWidth="1"/>
    <col min="18" max="18" width="16" bestFit="1" customWidth="1"/>
    <col min="19" max="19" width="17.73046875" bestFit="1" customWidth="1"/>
    <col min="20" max="20" width="14.73046875" bestFit="1" customWidth="1"/>
    <col min="21" max="22" width="15.3984375" bestFit="1" customWidth="1"/>
    <col min="23" max="23" width="17.3984375" bestFit="1" customWidth="1"/>
    <col min="24" max="25" width="15.3984375" bestFit="1" customWidth="1"/>
    <col min="26" max="26" width="17.73046875" bestFit="1" customWidth="1"/>
    <col min="27" max="27" width="17.3984375" bestFit="1" customWidth="1"/>
    <col min="28" max="28" width="15.3984375" bestFit="1" customWidth="1"/>
    <col min="29" max="29" width="10.265625" customWidth="1"/>
    <col min="30" max="30" width="12.3984375" customWidth="1"/>
    <col min="31" max="31" width="8.265625" bestFit="1" customWidth="1"/>
    <col min="36" max="36" width="11.3984375" bestFit="1" customWidth="1"/>
  </cols>
  <sheetData>
    <row r="1" spans="1:31" ht="23.25" x14ac:dyDescent="0.7">
      <c r="A1" s="285" t="s">
        <v>143</v>
      </c>
      <c r="B1" s="416" t="s">
        <v>92</v>
      </c>
      <c r="C1" s="416"/>
      <c r="D1" s="416"/>
      <c r="E1" s="416"/>
      <c r="F1" s="416"/>
      <c r="G1" s="416"/>
      <c r="H1" s="416"/>
      <c r="I1" s="416"/>
      <c r="J1" s="416"/>
      <c r="K1" s="416"/>
      <c r="L1" s="416"/>
      <c r="M1" s="416"/>
      <c r="N1" s="416"/>
      <c r="O1" s="416"/>
      <c r="P1" s="416"/>
      <c r="Q1" s="416"/>
      <c r="R1" s="416"/>
      <c r="S1" s="416"/>
      <c r="T1" s="416"/>
      <c r="U1" s="416"/>
      <c r="V1" s="416"/>
      <c r="W1" s="416"/>
      <c r="X1" s="416"/>
      <c r="Y1" s="416"/>
      <c r="Z1" s="416"/>
      <c r="AA1" s="416"/>
      <c r="AB1" s="416"/>
      <c r="AC1" s="416"/>
      <c r="AD1" s="416"/>
      <c r="AE1" s="416"/>
    </row>
    <row r="2" spans="1:31" ht="25.5" x14ac:dyDescent="0.35">
      <c r="A2" s="279"/>
      <c r="B2" s="246" t="s">
        <v>100</v>
      </c>
      <c r="C2" s="246" t="s">
        <v>101</v>
      </c>
      <c r="D2" s="246" t="s">
        <v>102</v>
      </c>
      <c r="E2" s="246" t="s">
        <v>103</v>
      </c>
      <c r="F2" s="246" t="s">
        <v>104</v>
      </c>
      <c r="G2" s="246" t="s">
        <v>105</v>
      </c>
      <c r="H2" s="246" t="s">
        <v>106</v>
      </c>
      <c r="I2" s="246" t="s">
        <v>107</v>
      </c>
      <c r="J2" s="246" t="s">
        <v>108</v>
      </c>
      <c r="K2" s="246" t="s">
        <v>109</v>
      </c>
      <c r="L2" s="246" t="s">
        <v>110</v>
      </c>
      <c r="M2" s="254" t="s">
        <v>93</v>
      </c>
      <c r="N2" s="246" t="s">
        <v>111</v>
      </c>
      <c r="O2" s="246" t="s">
        <v>112</v>
      </c>
      <c r="P2" s="246" t="s">
        <v>113</v>
      </c>
      <c r="Q2" s="246" t="s">
        <v>97</v>
      </c>
      <c r="R2" s="246" t="s">
        <v>131</v>
      </c>
      <c r="S2" s="246" t="s">
        <v>132</v>
      </c>
      <c r="T2" s="246" t="s">
        <v>133</v>
      </c>
      <c r="U2" s="246" t="s">
        <v>134</v>
      </c>
      <c r="V2" s="246" t="s">
        <v>118</v>
      </c>
      <c r="W2" s="246" t="s">
        <v>119</v>
      </c>
      <c r="X2" s="246" t="s">
        <v>120</v>
      </c>
      <c r="Y2" s="254" t="s">
        <v>121</v>
      </c>
      <c r="Z2" s="246" t="s">
        <v>135</v>
      </c>
      <c r="AA2" s="246" t="s">
        <v>124</v>
      </c>
      <c r="AB2" s="246" t="s">
        <v>125</v>
      </c>
      <c r="AC2" s="288" t="s">
        <v>79</v>
      </c>
      <c r="AD2" s="288" t="s">
        <v>80</v>
      </c>
      <c r="AE2" s="288" t="s">
        <v>19</v>
      </c>
    </row>
    <row r="3" spans="1:31" ht="15.4" x14ac:dyDescent="0.45">
      <c r="A3" s="282" t="s">
        <v>23</v>
      </c>
      <c r="B3" s="302">
        <f t="shared" ref="B3:J3" si="0">INDEX(B6:B30,MATCH($A$3,$A$6:$A$30,0))</f>
        <v>48529683</v>
      </c>
      <c r="C3" s="302">
        <f t="shared" si="0"/>
        <v>106802638</v>
      </c>
      <c r="D3" s="302">
        <f t="shared" si="0"/>
        <v>3141234</v>
      </c>
      <c r="E3" s="302">
        <f t="shared" si="0"/>
        <v>15991667</v>
      </c>
      <c r="F3" s="302">
        <f t="shared" si="0"/>
        <v>5574973</v>
      </c>
      <c r="G3" s="302">
        <f t="shared" si="0"/>
        <v>17085650</v>
      </c>
      <c r="H3" s="302">
        <f t="shared" si="0"/>
        <v>38437733</v>
      </c>
      <c r="I3" s="302">
        <f t="shared" si="0"/>
        <v>2866575</v>
      </c>
      <c r="J3" s="302">
        <f t="shared" si="0"/>
        <v>238430153</v>
      </c>
      <c r="K3" s="302">
        <f>INDEX(L6:L30,MATCH($A$3,$A$6:$A$30,0))</f>
        <v>106111515</v>
      </c>
      <c r="L3" s="302" t="e">
        <f>INDEX(#REF!,MATCH($A$3,$A$6:$A$30,0))</f>
        <v>#REF!</v>
      </c>
      <c r="M3" s="302">
        <f t="shared" ref="M3:AE3" si="1">INDEX(M6:M30,MATCH($A$3,$A$6:$A$30,0))</f>
        <v>64006489</v>
      </c>
      <c r="N3" s="302">
        <f t="shared" si="1"/>
        <v>53755149</v>
      </c>
      <c r="O3" s="302">
        <f t="shared" si="1"/>
        <v>36164570</v>
      </c>
      <c r="P3" s="302">
        <f t="shared" si="1"/>
        <v>29911156</v>
      </c>
      <c r="Q3" s="302">
        <f t="shared" si="1"/>
        <v>18948136</v>
      </c>
      <c r="R3" s="302">
        <f t="shared" si="1"/>
        <v>5228776</v>
      </c>
      <c r="S3" s="302">
        <f t="shared" si="1"/>
        <v>19731057</v>
      </c>
      <c r="T3" s="302">
        <f t="shared" si="1"/>
        <v>-772464</v>
      </c>
      <c r="U3" s="302">
        <f t="shared" si="1"/>
        <v>16931067</v>
      </c>
      <c r="V3" s="302">
        <f t="shared" si="1"/>
        <v>35631109</v>
      </c>
      <c r="W3" s="302">
        <f t="shared" si="1"/>
        <v>288866086</v>
      </c>
      <c r="X3" s="302">
        <f t="shared" si="1"/>
        <v>143471707</v>
      </c>
      <c r="Y3" s="302">
        <f t="shared" si="1"/>
        <v>19572238</v>
      </c>
      <c r="Z3" s="302">
        <f t="shared" si="1"/>
        <v>496674617</v>
      </c>
      <c r="AA3" s="302">
        <f t="shared" si="1"/>
        <v>275668486</v>
      </c>
      <c r="AB3" s="302">
        <f t="shared" si="1"/>
        <v>51323437</v>
      </c>
      <c r="AC3" s="302">
        <f t="shared" si="1"/>
        <v>30.37</v>
      </c>
      <c r="AD3" s="302">
        <f t="shared" si="1"/>
        <v>30.37</v>
      </c>
      <c r="AE3" s="302">
        <f t="shared" si="1"/>
        <v>0.14961483914200038</v>
      </c>
    </row>
    <row r="4" spans="1:31" ht="13.7" customHeight="1" x14ac:dyDescent="0.35"/>
    <row r="5" spans="1:31" ht="38.25" x14ac:dyDescent="0.35">
      <c r="A5" s="281" t="s">
        <v>136</v>
      </c>
      <c r="B5" s="286" t="s">
        <v>100</v>
      </c>
      <c r="C5" s="286" t="s">
        <v>101</v>
      </c>
      <c r="D5" s="286" t="s">
        <v>102</v>
      </c>
      <c r="E5" s="286" t="s">
        <v>103</v>
      </c>
      <c r="F5" s="286" t="s">
        <v>104</v>
      </c>
      <c r="G5" s="293" t="s">
        <v>105</v>
      </c>
      <c r="H5" s="293" t="s">
        <v>106</v>
      </c>
      <c r="I5" s="293" t="s">
        <v>107</v>
      </c>
      <c r="J5" s="293" t="s">
        <v>137</v>
      </c>
      <c r="K5" s="286" t="s">
        <v>138</v>
      </c>
      <c r="L5" s="286" t="s">
        <v>110</v>
      </c>
      <c r="M5" s="286" t="s">
        <v>93</v>
      </c>
      <c r="N5" s="286" t="s">
        <v>111</v>
      </c>
      <c r="O5" s="286" t="s">
        <v>112</v>
      </c>
      <c r="P5" s="286" t="s">
        <v>139</v>
      </c>
      <c r="Q5" s="286" t="s">
        <v>140</v>
      </c>
      <c r="R5" s="286" t="s">
        <v>131</v>
      </c>
      <c r="S5" s="286" t="s">
        <v>132</v>
      </c>
      <c r="T5" s="286" t="s">
        <v>133</v>
      </c>
      <c r="U5" s="286" t="s">
        <v>134</v>
      </c>
      <c r="V5" s="286" t="s">
        <v>118</v>
      </c>
      <c r="W5" s="286" t="s">
        <v>119</v>
      </c>
      <c r="X5" s="286" t="s">
        <v>120</v>
      </c>
      <c r="Y5" s="286" t="s">
        <v>121</v>
      </c>
      <c r="Z5" s="286" t="s">
        <v>135</v>
      </c>
      <c r="AA5" s="286" t="s">
        <v>124</v>
      </c>
      <c r="AB5" s="286" t="s">
        <v>125</v>
      </c>
      <c r="AC5" s="287" t="s">
        <v>79</v>
      </c>
      <c r="AD5" s="287" t="s">
        <v>80</v>
      </c>
      <c r="AE5" s="287" t="s">
        <v>19</v>
      </c>
    </row>
    <row r="6" spans="1:31" ht="15.4" x14ac:dyDescent="0.45">
      <c r="A6" s="283" t="s">
        <v>20</v>
      </c>
      <c r="B6" s="309">
        <v>25160393</v>
      </c>
      <c r="C6" s="309">
        <v>11737705</v>
      </c>
      <c r="D6" s="309">
        <v>719114</v>
      </c>
      <c r="E6" s="309">
        <v>6534913</v>
      </c>
      <c r="F6" s="309">
        <v>3797724</v>
      </c>
      <c r="G6" s="309">
        <v>6943277</v>
      </c>
      <c r="H6" s="309">
        <v>4847337</v>
      </c>
      <c r="I6" s="309">
        <v>345113</v>
      </c>
      <c r="J6" s="310">
        <v>60085576</v>
      </c>
      <c r="K6" s="353">
        <v>19941823</v>
      </c>
      <c r="L6" s="353">
        <v>21182661</v>
      </c>
      <c r="M6" s="310">
        <v>10053063</v>
      </c>
      <c r="N6" s="310">
        <v>4510650</v>
      </c>
      <c r="O6" s="402">
        <v>12978680</v>
      </c>
      <c r="P6" s="402">
        <v>6280231</v>
      </c>
      <c r="Q6" s="402">
        <v>10607082</v>
      </c>
      <c r="R6" s="310">
        <v>8020182</v>
      </c>
      <c r="S6" s="310">
        <v>1954746</v>
      </c>
      <c r="T6" s="311">
        <v>0</v>
      </c>
      <c r="U6" s="310">
        <v>9974928</v>
      </c>
      <c r="V6" s="309">
        <v>17010373</v>
      </c>
      <c r="W6" s="309">
        <v>65511130</v>
      </c>
      <c r="X6" s="309">
        <v>55836555</v>
      </c>
      <c r="Y6" s="309">
        <v>33886217</v>
      </c>
      <c r="Z6" s="402">
        <v>174171846</v>
      </c>
      <c r="AA6" s="309">
        <v>62077401</v>
      </c>
      <c r="AB6" s="309">
        <v>32236329</v>
      </c>
      <c r="AC6" s="403">
        <v>14.19</v>
      </c>
      <c r="AD6" s="403">
        <v>14.19</v>
      </c>
      <c r="AE6" s="320">
        <f t="shared" ref="AE6:AE30" si="2">J6/$J$31</f>
        <v>3.770367830948982E-2</v>
      </c>
    </row>
    <row r="7" spans="1:31" ht="15.4" x14ac:dyDescent="0.45">
      <c r="A7" s="283" t="s">
        <v>21</v>
      </c>
      <c r="B7" s="309">
        <v>4371427</v>
      </c>
      <c r="C7" s="309">
        <v>18733568</v>
      </c>
      <c r="D7" s="309">
        <v>751910</v>
      </c>
      <c r="E7" s="309">
        <v>4735513</v>
      </c>
      <c r="F7" s="312"/>
      <c r="G7" s="309">
        <v>2041677</v>
      </c>
      <c r="H7" s="309">
        <v>1365354</v>
      </c>
      <c r="I7" s="309">
        <v>287779</v>
      </c>
      <c r="J7" s="310">
        <v>32287228</v>
      </c>
      <c r="K7" s="353">
        <v>25177777</v>
      </c>
      <c r="L7" s="353">
        <v>21655159</v>
      </c>
      <c r="M7" s="310">
        <v>6615841</v>
      </c>
      <c r="N7" s="310">
        <v>6614648</v>
      </c>
      <c r="O7" s="402">
        <v>15943459</v>
      </c>
      <c r="P7" s="402">
        <v>4740351</v>
      </c>
      <c r="Q7" s="403"/>
      <c r="R7" s="310">
        <v>-5643299</v>
      </c>
      <c r="S7" s="310">
        <v>5577351</v>
      </c>
      <c r="T7" s="311">
        <v>0</v>
      </c>
      <c r="U7" s="310">
        <v>-65948</v>
      </c>
      <c r="V7" s="309">
        <v>12608767</v>
      </c>
      <c r="W7" s="309">
        <v>77073657</v>
      </c>
      <c r="X7" s="309">
        <v>7440468</v>
      </c>
      <c r="Y7" s="309">
        <v>12432964</v>
      </c>
      <c r="Z7" s="402">
        <v>112072661</v>
      </c>
      <c r="AA7" s="309">
        <v>27790927</v>
      </c>
      <c r="AB7" s="309">
        <v>9237857</v>
      </c>
      <c r="AC7" s="403">
        <v>30.55</v>
      </c>
      <c r="AD7" s="403">
        <v>30.55</v>
      </c>
      <c r="AE7" s="320">
        <f t="shared" si="2"/>
        <v>2.0260224484111668E-2</v>
      </c>
    </row>
    <row r="8" spans="1:31" ht="15.4" x14ac:dyDescent="0.45">
      <c r="A8" s="283" t="s">
        <v>87</v>
      </c>
      <c r="B8" s="309">
        <v>41404</v>
      </c>
      <c r="C8" s="309">
        <v>1032543</v>
      </c>
      <c r="D8" s="309">
        <v>50462</v>
      </c>
      <c r="E8" s="312"/>
      <c r="F8" s="309">
        <v>7725</v>
      </c>
      <c r="G8" s="309">
        <v>5041</v>
      </c>
      <c r="H8" s="309">
        <v>2309</v>
      </c>
      <c r="I8" s="312"/>
      <c r="J8" s="310">
        <v>1139484</v>
      </c>
      <c r="K8" s="353">
        <v>1042396</v>
      </c>
      <c r="L8" s="353">
        <v>1442784</v>
      </c>
      <c r="M8" s="310">
        <v>327038</v>
      </c>
      <c r="N8" s="310">
        <v>199209</v>
      </c>
      <c r="O8" s="402">
        <v>1340877</v>
      </c>
      <c r="P8" s="402">
        <v>108104</v>
      </c>
      <c r="Q8" s="402">
        <v>20503</v>
      </c>
      <c r="R8" s="310">
        <v>-184903</v>
      </c>
      <c r="S8" s="310">
        <v>144499</v>
      </c>
      <c r="T8" s="310">
        <v>74592</v>
      </c>
      <c r="U8" s="310">
        <v>34188</v>
      </c>
      <c r="V8" s="309">
        <v>152001</v>
      </c>
      <c r="W8" s="309">
        <v>2304100</v>
      </c>
      <c r="X8" s="309">
        <v>21726362</v>
      </c>
      <c r="Y8" s="309">
        <v>8007313</v>
      </c>
      <c r="Z8" s="402">
        <v>33565057</v>
      </c>
      <c r="AA8" s="309">
        <v>1648480</v>
      </c>
      <c r="AB8" s="309">
        <v>2013064</v>
      </c>
      <c r="AC8" s="403">
        <v>13.61</v>
      </c>
      <c r="AD8" s="403">
        <v>13.61</v>
      </c>
      <c r="AE8" s="320">
        <f t="shared" si="2"/>
        <v>7.1502581875574765E-4</v>
      </c>
    </row>
    <row r="9" spans="1:31" ht="15.4" x14ac:dyDescent="0.45">
      <c r="A9" s="283" t="s">
        <v>128</v>
      </c>
      <c r="B9" s="309">
        <v>2889719</v>
      </c>
      <c r="C9" s="309">
        <v>11176930</v>
      </c>
      <c r="D9" s="309">
        <v>3634517</v>
      </c>
      <c r="E9" s="309">
        <v>355435</v>
      </c>
      <c r="F9" s="312"/>
      <c r="G9" s="312"/>
      <c r="H9" s="309">
        <v>442909</v>
      </c>
      <c r="I9" s="312"/>
      <c r="J9" s="310">
        <v>18499510</v>
      </c>
      <c r="K9" s="353">
        <v>13059298</v>
      </c>
      <c r="L9" s="353">
        <v>10705340</v>
      </c>
      <c r="M9" s="310">
        <v>10273390</v>
      </c>
      <c r="N9" s="310">
        <v>4783703</v>
      </c>
      <c r="O9" s="402">
        <v>6574357</v>
      </c>
      <c r="P9" s="402">
        <v>2699855</v>
      </c>
      <c r="Q9" s="402">
        <v>1546346</v>
      </c>
      <c r="R9" s="310">
        <v>-1806229</v>
      </c>
      <c r="S9" s="310">
        <v>9044937</v>
      </c>
      <c r="T9" s="311">
        <v>23264</v>
      </c>
      <c r="U9" s="310">
        <v>5446479</v>
      </c>
      <c r="V9" s="309">
        <v>3525079</v>
      </c>
      <c r="W9" s="309">
        <v>61220995</v>
      </c>
      <c r="X9" s="309">
        <v>15580679</v>
      </c>
      <c r="Y9" s="309">
        <v>8082457</v>
      </c>
      <c r="Z9" s="402">
        <v>90530445</v>
      </c>
      <c r="AA9" s="309">
        <v>28430337</v>
      </c>
      <c r="AB9" s="309">
        <v>6766618</v>
      </c>
      <c r="AC9" s="403"/>
      <c r="AD9" s="403"/>
      <c r="AE9" s="320">
        <f t="shared" si="2"/>
        <v>1.1608436173153937E-2</v>
      </c>
    </row>
    <row r="10" spans="1:31" ht="15.4" x14ac:dyDescent="0.45">
      <c r="A10" s="283" t="s">
        <v>22</v>
      </c>
      <c r="B10" s="309">
        <v>3203095</v>
      </c>
      <c r="C10" s="309">
        <v>25652446</v>
      </c>
      <c r="D10" s="309">
        <v>1622731</v>
      </c>
      <c r="E10" s="309">
        <v>747043</v>
      </c>
      <c r="F10" s="309">
        <v>1412931</v>
      </c>
      <c r="G10" s="312"/>
      <c r="H10" s="309">
        <v>512429</v>
      </c>
      <c r="I10" s="312"/>
      <c r="J10" s="310">
        <v>33150675</v>
      </c>
      <c r="K10" s="353">
        <v>27513653</v>
      </c>
      <c r="L10" s="353">
        <v>20490282</v>
      </c>
      <c r="M10" s="310">
        <v>7121523</v>
      </c>
      <c r="N10" s="310">
        <v>6737697</v>
      </c>
      <c r="O10" s="402">
        <v>12043455</v>
      </c>
      <c r="P10" s="402">
        <v>3634429</v>
      </c>
      <c r="Q10" s="402">
        <v>1693578</v>
      </c>
      <c r="R10" s="310">
        <v>-231721</v>
      </c>
      <c r="S10" s="310">
        <v>4884762</v>
      </c>
      <c r="T10" s="310">
        <v>501042</v>
      </c>
      <c r="U10" s="310">
        <v>3453236</v>
      </c>
      <c r="V10" s="309">
        <v>4895503</v>
      </c>
      <c r="W10" s="309">
        <v>62897926</v>
      </c>
      <c r="X10" s="309">
        <v>16096878</v>
      </c>
      <c r="Y10" s="309">
        <v>8840391</v>
      </c>
      <c r="Z10" s="402">
        <v>92915114</v>
      </c>
      <c r="AA10" s="309">
        <v>32004837</v>
      </c>
      <c r="AB10" s="309">
        <v>10064785</v>
      </c>
      <c r="AC10" s="403">
        <v>39.049999999999997</v>
      </c>
      <c r="AD10" s="403">
        <v>39.049999999999997</v>
      </c>
      <c r="AE10" s="320">
        <f t="shared" si="2"/>
        <v>2.0802037180145307E-2</v>
      </c>
    </row>
    <row r="11" spans="1:31" ht="15.4" x14ac:dyDescent="0.45">
      <c r="A11" s="283" t="s">
        <v>23</v>
      </c>
      <c r="B11" s="309">
        <v>48529683</v>
      </c>
      <c r="C11" s="309">
        <v>106802638</v>
      </c>
      <c r="D11" s="309">
        <v>3141234</v>
      </c>
      <c r="E11" s="309">
        <v>15991667</v>
      </c>
      <c r="F11" s="309">
        <v>5574973</v>
      </c>
      <c r="G11" s="309">
        <v>17085650</v>
      </c>
      <c r="H11" s="309">
        <v>38437733</v>
      </c>
      <c r="I11" s="309">
        <v>2866575</v>
      </c>
      <c r="J11" s="310">
        <v>238430153</v>
      </c>
      <c r="K11" s="353">
        <v>131178161</v>
      </c>
      <c r="L11" s="353">
        <v>106111515</v>
      </c>
      <c r="M11" s="310">
        <v>64006489</v>
      </c>
      <c r="N11" s="310">
        <v>53755149</v>
      </c>
      <c r="O11" s="402">
        <v>36164570</v>
      </c>
      <c r="P11" s="402">
        <v>29911156</v>
      </c>
      <c r="Q11" s="402">
        <v>18948136</v>
      </c>
      <c r="R11" s="310">
        <v>5228776</v>
      </c>
      <c r="S11" s="310">
        <v>19731057</v>
      </c>
      <c r="T11" s="310">
        <v>-772464</v>
      </c>
      <c r="U11" s="310">
        <v>16931067</v>
      </c>
      <c r="V11" s="309">
        <v>35631109</v>
      </c>
      <c r="W11" s="309">
        <v>288866086</v>
      </c>
      <c r="X11" s="309">
        <v>143471707</v>
      </c>
      <c r="Y11" s="309">
        <v>19572238</v>
      </c>
      <c r="Z11" s="402">
        <v>496674617</v>
      </c>
      <c r="AA11" s="309">
        <v>275668486</v>
      </c>
      <c r="AB11" s="309">
        <v>51323437</v>
      </c>
      <c r="AC11" s="403">
        <v>30.37</v>
      </c>
      <c r="AD11" s="403">
        <v>30.37</v>
      </c>
      <c r="AE11" s="320">
        <f t="shared" si="2"/>
        <v>0.14961483914200038</v>
      </c>
    </row>
    <row r="12" spans="1:31" ht="15.4" x14ac:dyDescent="0.45">
      <c r="A12" s="283" t="s">
        <v>25</v>
      </c>
      <c r="B12" s="309">
        <v>21990331</v>
      </c>
      <c r="C12" s="309">
        <v>34226963</v>
      </c>
      <c r="D12" s="309">
        <v>17287295</v>
      </c>
      <c r="E12" s="309">
        <v>659974</v>
      </c>
      <c r="F12" s="312"/>
      <c r="G12" s="309">
        <v>5609345</v>
      </c>
      <c r="H12" s="312"/>
      <c r="I12" s="309">
        <v>2654465</v>
      </c>
      <c r="J12" s="310">
        <v>82428373</v>
      </c>
      <c r="K12" s="353">
        <v>40446142</v>
      </c>
      <c r="L12" s="353">
        <v>35049936</v>
      </c>
      <c r="M12" s="310">
        <v>20728520</v>
      </c>
      <c r="N12" s="310">
        <v>15054746</v>
      </c>
      <c r="O12" s="402">
        <v>8652246</v>
      </c>
      <c r="P12" s="402">
        <v>13745392</v>
      </c>
      <c r="Q12" s="402">
        <v>9260804</v>
      </c>
      <c r="R12" s="310">
        <v>6858356</v>
      </c>
      <c r="S12" s="310">
        <v>1867066</v>
      </c>
      <c r="T12" s="311">
        <v>0</v>
      </c>
      <c r="U12" s="310">
        <v>5911737</v>
      </c>
      <c r="V12" s="309">
        <v>10729570</v>
      </c>
      <c r="W12" s="309">
        <v>135100470</v>
      </c>
      <c r="X12" s="309">
        <v>85248470</v>
      </c>
      <c r="Y12" s="309">
        <v>24426544</v>
      </c>
      <c r="Z12" s="402">
        <v>256012273</v>
      </c>
      <c r="AA12" s="309">
        <v>116704514</v>
      </c>
      <c r="AB12" s="309">
        <v>31668968</v>
      </c>
      <c r="AC12" s="403">
        <v>42.98</v>
      </c>
      <c r="AD12" s="403">
        <v>42.98</v>
      </c>
      <c r="AE12" s="320">
        <f t="shared" si="2"/>
        <v>5.1723775755543003E-2</v>
      </c>
    </row>
    <row r="13" spans="1:31" ht="15.4" x14ac:dyDescent="0.45">
      <c r="A13" s="283" t="s">
        <v>26</v>
      </c>
      <c r="B13" s="309">
        <v>54683810</v>
      </c>
      <c r="C13" s="309">
        <v>43857221</v>
      </c>
      <c r="D13" s="312">
        <v>678838</v>
      </c>
      <c r="E13" s="309">
        <v>27119019</v>
      </c>
      <c r="F13" s="309">
        <v>8725476</v>
      </c>
      <c r="G13" s="309">
        <v>9603294</v>
      </c>
      <c r="H13" s="309">
        <v>4392230</v>
      </c>
      <c r="I13" s="312"/>
      <c r="J13" s="310">
        <v>149059888</v>
      </c>
      <c r="K13" s="353">
        <v>67728647</v>
      </c>
      <c r="L13" s="353">
        <v>56647442</v>
      </c>
      <c r="M13" s="310">
        <v>27301441</v>
      </c>
      <c r="N13" s="310">
        <v>20965597</v>
      </c>
      <c r="O13" s="402">
        <v>30792426</v>
      </c>
      <c r="P13" s="402">
        <v>24059513</v>
      </c>
      <c r="Q13" s="402">
        <v>23474557</v>
      </c>
      <c r="R13" s="310">
        <v>4304463</v>
      </c>
      <c r="S13" s="310">
        <v>2890024</v>
      </c>
      <c r="T13" s="311">
        <v>0</v>
      </c>
      <c r="U13" s="310">
        <v>5036141</v>
      </c>
      <c r="V13" s="309">
        <v>41101357</v>
      </c>
      <c r="W13" s="309">
        <v>123163519</v>
      </c>
      <c r="X13" s="309">
        <v>42887232</v>
      </c>
      <c r="Y13" s="309">
        <v>5658380</v>
      </c>
      <c r="Z13" s="402">
        <v>216926965</v>
      </c>
      <c r="AA13" s="309">
        <v>92482227</v>
      </c>
      <c r="AB13" s="309">
        <v>36537181</v>
      </c>
      <c r="AC13" s="403">
        <v>33.979999999999997</v>
      </c>
      <c r="AD13" s="403">
        <v>33.979999999999997</v>
      </c>
      <c r="AE13" s="320">
        <f t="shared" si="2"/>
        <v>9.3535028539970755E-2</v>
      </c>
    </row>
    <row r="14" spans="1:31" ht="15.4" x14ac:dyDescent="0.45">
      <c r="A14" s="283" t="s">
        <v>28</v>
      </c>
      <c r="B14" s="309">
        <v>83512404</v>
      </c>
      <c r="C14" s="309">
        <v>67044174</v>
      </c>
      <c r="D14" s="309">
        <v>2237971</v>
      </c>
      <c r="E14" s="309">
        <v>3219912</v>
      </c>
      <c r="F14" s="309">
        <v>809955</v>
      </c>
      <c r="G14" s="309">
        <v>9337243</v>
      </c>
      <c r="H14" s="309">
        <v>3381404</v>
      </c>
      <c r="I14" s="309">
        <v>6446000</v>
      </c>
      <c r="J14" s="310">
        <v>175989063</v>
      </c>
      <c r="K14" s="353">
        <v>78309640</v>
      </c>
      <c r="L14" s="353">
        <v>56795733</v>
      </c>
      <c r="M14" s="310">
        <v>41104799</v>
      </c>
      <c r="N14" s="310">
        <v>25600254</v>
      </c>
      <c r="O14" s="402">
        <v>25939060</v>
      </c>
      <c r="P14" s="402">
        <v>17959839</v>
      </c>
      <c r="Q14" s="402">
        <v>13566933</v>
      </c>
      <c r="R14" s="310">
        <v>863512</v>
      </c>
      <c r="S14" s="310">
        <v>9367046</v>
      </c>
      <c r="T14" s="310">
        <v>2756064</v>
      </c>
      <c r="U14" s="310">
        <v>8875908</v>
      </c>
      <c r="V14" s="309">
        <v>63151131</v>
      </c>
      <c r="W14" s="309">
        <v>162510009</v>
      </c>
      <c r="X14" s="309">
        <v>112364901</v>
      </c>
      <c r="Y14" s="309">
        <v>8569690</v>
      </c>
      <c r="Z14" s="402">
        <v>360102919</v>
      </c>
      <c r="AA14" s="309">
        <v>181141066</v>
      </c>
      <c r="AB14" s="309">
        <v>87142336</v>
      </c>
      <c r="AC14" s="403">
        <v>26.17</v>
      </c>
      <c r="AD14" s="403">
        <v>26.17</v>
      </c>
      <c r="AE14" s="320">
        <f t="shared" si="2"/>
        <v>0.11043307660628131</v>
      </c>
    </row>
    <row r="15" spans="1:31" ht="15.4" x14ac:dyDescent="0.45">
      <c r="A15" s="283" t="s">
        <v>46</v>
      </c>
      <c r="B15" s="309">
        <v>1286690</v>
      </c>
      <c r="C15" s="309">
        <v>11803394</v>
      </c>
      <c r="D15" s="309">
        <v>1015167</v>
      </c>
      <c r="E15" s="309">
        <v>64583</v>
      </c>
      <c r="F15" s="309">
        <v>1687916</v>
      </c>
      <c r="G15" s="309"/>
      <c r="H15" s="309">
        <v>752779</v>
      </c>
      <c r="I15" s="309"/>
      <c r="J15" s="310">
        <v>16610529</v>
      </c>
      <c r="K15" s="353">
        <v>13878586</v>
      </c>
      <c r="L15" s="353">
        <v>11653939</v>
      </c>
      <c r="M15" s="310">
        <v>8995820</v>
      </c>
      <c r="N15" s="310">
        <v>2562404</v>
      </c>
      <c r="O15" s="402">
        <v>7785927</v>
      </c>
      <c r="P15" s="402">
        <v>2359089</v>
      </c>
      <c r="Q15" s="402">
        <v>756563</v>
      </c>
      <c r="R15" s="310">
        <v>-296918</v>
      </c>
      <c r="S15" s="310">
        <v>3961842</v>
      </c>
      <c r="T15" s="311">
        <v>2793</v>
      </c>
      <c r="U15" s="310">
        <v>3017529</v>
      </c>
      <c r="V15" s="309">
        <v>1665280</v>
      </c>
      <c r="W15" s="309">
        <v>47990520</v>
      </c>
      <c r="X15" s="309">
        <v>17824805</v>
      </c>
      <c r="Y15" s="309">
        <v>4264260</v>
      </c>
      <c r="Z15" s="402">
        <v>71744864</v>
      </c>
      <c r="AA15" s="309">
        <v>12939901</v>
      </c>
      <c r="AB15" s="309">
        <v>4374135</v>
      </c>
      <c r="AC15" s="403">
        <v>36.380000000000003</v>
      </c>
      <c r="AD15" s="403">
        <v>36.380000000000003</v>
      </c>
      <c r="AE15" s="320">
        <f t="shared" si="2"/>
        <v>1.0423101244239577E-2</v>
      </c>
    </row>
    <row r="16" spans="1:31" ht="15.4" x14ac:dyDescent="0.45">
      <c r="A16" s="283" t="s">
        <v>69</v>
      </c>
      <c r="B16" s="309">
        <v>390441</v>
      </c>
      <c r="C16" s="309">
        <v>15446726</v>
      </c>
      <c r="D16" s="312"/>
      <c r="E16" s="312"/>
      <c r="F16" s="309">
        <v>99225</v>
      </c>
      <c r="G16" s="309">
        <v>569899</v>
      </c>
      <c r="H16" s="309"/>
      <c r="I16" s="312">
        <v>13146</v>
      </c>
      <c r="J16" s="310">
        <v>16519437</v>
      </c>
      <c r="K16" s="353">
        <v>14499367</v>
      </c>
      <c r="L16" s="353">
        <v>11911723</v>
      </c>
      <c r="M16" s="310">
        <v>2146856</v>
      </c>
      <c r="N16" s="310">
        <v>1812456</v>
      </c>
      <c r="O16" s="402">
        <v>7540812</v>
      </c>
      <c r="P16" s="402">
        <v>2605224</v>
      </c>
      <c r="Q16" s="402">
        <v>578070</v>
      </c>
      <c r="R16" s="310">
        <v>531301</v>
      </c>
      <c r="S16" s="310">
        <v>1628231</v>
      </c>
      <c r="T16" s="310">
        <v>8701</v>
      </c>
      <c r="U16" s="310">
        <v>1626174</v>
      </c>
      <c r="V16" s="309">
        <v>2786460</v>
      </c>
      <c r="W16" s="309">
        <v>37190183</v>
      </c>
      <c r="X16" s="309">
        <v>2214633</v>
      </c>
      <c r="Y16" s="309">
        <v>20098936</v>
      </c>
      <c r="Z16" s="402">
        <v>62405056</v>
      </c>
      <c r="AA16" s="309">
        <v>8391265</v>
      </c>
      <c r="AB16" s="309">
        <v>2261007</v>
      </c>
      <c r="AC16" s="403">
        <v>20.65</v>
      </c>
      <c r="AD16" s="403">
        <v>20.65</v>
      </c>
      <c r="AE16" s="320">
        <f t="shared" si="2"/>
        <v>1.0365941045516209E-2</v>
      </c>
    </row>
    <row r="17" spans="1:36" ht="15.4" x14ac:dyDescent="0.45">
      <c r="A17" s="283" t="s">
        <v>29</v>
      </c>
      <c r="B17" s="309">
        <v>3985588</v>
      </c>
      <c r="C17" s="309">
        <v>23402419</v>
      </c>
      <c r="D17" s="309">
        <v>633231</v>
      </c>
      <c r="E17" s="309">
        <v>1817210</v>
      </c>
      <c r="F17" s="309">
        <v>5099916</v>
      </c>
      <c r="G17" s="309">
        <v>903350</v>
      </c>
      <c r="H17" s="309">
        <v>272990</v>
      </c>
      <c r="I17" s="312">
        <v>74906</v>
      </c>
      <c r="J17" s="310">
        <v>36189610</v>
      </c>
      <c r="K17" s="353">
        <v>26584631</v>
      </c>
      <c r="L17" s="353">
        <v>18677813</v>
      </c>
      <c r="M17" s="310">
        <v>11083023</v>
      </c>
      <c r="N17" s="310">
        <v>7165574</v>
      </c>
      <c r="O17" s="402">
        <v>8740764</v>
      </c>
      <c r="P17" s="402">
        <v>4806570</v>
      </c>
      <c r="Q17" s="402">
        <v>2765024</v>
      </c>
      <c r="R17" s="310">
        <v>729929</v>
      </c>
      <c r="S17" s="310">
        <v>5613100</v>
      </c>
      <c r="T17" s="310">
        <v>396106</v>
      </c>
      <c r="U17" s="310">
        <v>4717395</v>
      </c>
      <c r="V17" s="309">
        <v>5668983</v>
      </c>
      <c r="W17" s="309">
        <v>73904421</v>
      </c>
      <c r="X17" s="309">
        <v>16534879</v>
      </c>
      <c r="Y17" s="309">
        <v>26755439</v>
      </c>
      <c r="Z17" s="402">
        <v>127275020</v>
      </c>
      <c r="AA17" s="309">
        <v>34882315</v>
      </c>
      <c r="AB17" s="309">
        <v>11396076</v>
      </c>
      <c r="AC17" s="403">
        <v>14.51</v>
      </c>
      <c r="AD17" s="403">
        <v>14.51</v>
      </c>
      <c r="AE17" s="320">
        <f t="shared" si="2"/>
        <v>2.2708967849220517E-2</v>
      </c>
    </row>
    <row r="18" spans="1:36" ht="15.4" x14ac:dyDescent="0.45">
      <c r="A18" s="283" t="s">
        <v>31</v>
      </c>
      <c r="B18" s="309">
        <v>1645439</v>
      </c>
      <c r="C18" s="309">
        <v>10132667</v>
      </c>
      <c r="D18" s="309">
        <v>4026622</v>
      </c>
      <c r="E18" s="309">
        <v>1197174</v>
      </c>
      <c r="F18" s="309">
        <v>163288</v>
      </c>
      <c r="G18" s="309">
        <v>754832</v>
      </c>
      <c r="H18" s="309">
        <v>35374</v>
      </c>
      <c r="I18" s="309">
        <v>66656</v>
      </c>
      <c r="J18" s="310">
        <v>18022052</v>
      </c>
      <c r="K18" s="353">
        <v>11539739</v>
      </c>
      <c r="L18" s="353">
        <v>8041029</v>
      </c>
      <c r="M18" s="310">
        <v>14295970</v>
      </c>
      <c r="N18" s="310">
        <v>4139731</v>
      </c>
      <c r="O18" s="402">
        <v>7314369</v>
      </c>
      <c r="P18" s="402">
        <v>2891873</v>
      </c>
      <c r="Q18" s="402">
        <v>1669124</v>
      </c>
      <c r="R18" s="310">
        <v>-4635820</v>
      </c>
      <c r="S18" s="310">
        <v>9570038</v>
      </c>
      <c r="T18" s="310">
        <v>19454</v>
      </c>
      <c r="U18" s="310">
        <v>3283850</v>
      </c>
      <c r="V18" s="309">
        <v>6371321</v>
      </c>
      <c r="W18" s="309">
        <v>62332786</v>
      </c>
      <c r="X18" s="309">
        <v>19438776</v>
      </c>
      <c r="Y18" s="309">
        <v>9389989</v>
      </c>
      <c r="Z18" s="402">
        <v>97541255</v>
      </c>
      <c r="AA18" s="309">
        <v>32564173</v>
      </c>
      <c r="AB18" s="309">
        <v>2870913</v>
      </c>
      <c r="AC18" s="403">
        <v>33.42</v>
      </c>
      <c r="AD18" s="403">
        <v>33.42</v>
      </c>
      <c r="AE18" s="320">
        <f t="shared" si="2"/>
        <v>1.1308831442090156E-2</v>
      </c>
      <c r="AJ18" s="319"/>
    </row>
    <row r="19" spans="1:36" ht="15.4" x14ac:dyDescent="0.45">
      <c r="A19" s="283" t="s">
        <v>32</v>
      </c>
      <c r="B19" s="309">
        <v>4116686</v>
      </c>
      <c r="C19" s="309">
        <v>24756475</v>
      </c>
      <c r="D19" s="309">
        <v>809619</v>
      </c>
      <c r="E19" s="309">
        <v>128906</v>
      </c>
      <c r="F19" s="309">
        <v>7300997</v>
      </c>
      <c r="G19" s="309">
        <v>1739109</v>
      </c>
      <c r="H19" s="309">
        <v>7684984</v>
      </c>
      <c r="I19" s="312"/>
      <c r="J19" s="310">
        <v>46536776</v>
      </c>
      <c r="K19" s="353">
        <v>26954948</v>
      </c>
      <c r="L19" s="353">
        <v>26116805</v>
      </c>
      <c r="M19" s="310">
        <v>14354807</v>
      </c>
      <c r="N19" s="310">
        <v>8823711</v>
      </c>
      <c r="O19" s="402">
        <v>15789821</v>
      </c>
      <c r="P19" s="402">
        <v>7237985</v>
      </c>
      <c r="Q19" s="402">
        <v>7373660</v>
      </c>
      <c r="R19" s="310">
        <v>1638948</v>
      </c>
      <c r="S19" s="310">
        <v>4437809</v>
      </c>
      <c r="T19" s="310">
        <v>72216</v>
      </c>
      <c r="U19" s="310">
        <v>4154827</v>
      </c>
      <c r="V19" s="309">
        <v>7970444</v>
      </c>
      <c r="W19" s="309">
        <v>89960808</v>
      </c>
      <c r="X19" s="309">
        <v>27743644</v>
      </c>
      <c r="Y19" s="309">
        <v>5067321</v>
      </c>
      <c r="Z19" s="402">
        <v>130742217</v>
      </c>
      <c r="AA19" s="309">
        <v>50602835</v>
      </c>
      <c r="AB19" s="309">
        <v>24726786</v>
      </c>
      <c r="AC19" s="403">
        <v>42.63</v>
      </c>
      <c r="AD19" s="403">
        <v>42.63</v>
      </c>
      <c r="AE19" s="320">
        <f t="shared" si="2"/>
        <v>2.9201810961499087E-2</v>
      </c>
    </row>
    <row r="20" spans="1:36" ht="15.4" x14ac:dyDescent="0.45">
      <c r="A20" s="283" t="s">
        <v>33</v>
      </c>
      <c r="B20" s="309">
        <v>1886297</v>
      </c>
      <c r="C20" s="309">
        <v>29149300</v>
      </c>
      <c r="D20" s="309">
        <v>1344065</v>
      </c>
      <c r="E20" s="309">
        <v>360679</v>
      </c>
      <c r="F20" s="309">
        <v>2460938</v>
      </c>
      <c r="G20" s="309">
        <v>396682</v>
      </c>
      <c r="H20" s="309">
        <v>1470966</v>
      </c>
      <c r="I20" s="309">
        <v>281815</v>
      </c>
      <c r="J20" s="310">
        <v>37350742</v>
      </c>
      <c r="K20" s="353">
        <v>32599600</v>
      </c>
      <c r="L20" s="353">
        <v>29335275</v>
      </c>
      <c r="M20" s="310">
        <v>12411634</v>
      </c>
      <c r="N20" s="310">
        <v>11666879</v>
      </c>
      <c r="O20" s="402">
        <v>14380917</v>
      </c>
      <c r="P20" s="402">
        <v>5387419</v>
      </c>
      <c r="Q20" s="402">
        <v>2389351</v>
      </c>
      <c r="R20" s="310">
        <v>289411</v>
      </c>
      <c r="S20" s="310">
        <v>2454200</v>
      </c>
      <c r="T20" s="310">
        <v>357588</v>
      </c>
      <c r="U20" s="310">
        <v>3101199</v>
      </c>
      <c r="V20" s="309">
        <v>716394</v>
      </c>
      <c r="W20" s="309">
        <v>75079718</v>
      </c>
      <c r="X20" s="309">
        <v>6306576</v>
      </c>
      <c r="Y20" s="309">
        <v>5220798</v>
      </c>
      <c r="Z20" s="402">
        <v>87323486</v>
      </c>
      <c r="AA20" s="309">
        <v>27398349</v>
      </c>
      <c r="AB20" s="309">
        <v>8966808</v>
      </c>
      <c r="AC20" s="403">
        <v>26.35</v>
      </c>
      <c r="AD20" s="403">
        <v>26.35</v>
      </c>
      <c r="AE20" s="320">
        <f t="shared" si="2"/>
        <v>2.3437577780543378E-2</v>
      </c>
    </row>
    <row r="21" spans="1:36" ht="15.4" x14ac:dyDescent="0.45">
      <c r="A21" s="283" t="s">
        <v>34</v>
      </c>
      <c r="B21" s="309">
        <v>734803</v>
      </c>
      <c r="C21" s="309">
        <v>23429661</v>
      </c>
      <c r="D21" s="309">
        <v>493270</v>
      </c>
      <c r="E21" s="312">
        <v>1789</v>
      </c>
      <c r="F21" s="309">
        <v>821863</v>
      </c>
      <c r="G21" s="309">
        <v>227077</v>
      </c>
      <c r="H21" s="309">
        <v>568708</v>
      </c>
      <c r="I21" s="312">
        <v>0</v>
      </c>
      <c r="J21" s="310">
        <v>26277171</v>
      </c>
      <c r="K21" s="353">
        <v>25438365</v>
      </c>
      <c r="L21" s="353">
        <v>19634768</v>
      </c>
      <c r="M21" s="310">
        <v>3120124</v>
      </c>
      <c r="N21" s="310">
        <v>3050624</v>
      </c>
      <c r="O21" s="402">
        <v>11724849</v>
      </c>
      <c r="P21" s="402">
        <v>3054547</v>
      </c>
      <c r="Q21" s="402">
        <v>269218</v>
      </c>
      <c r="R21" s="310">
        <v>2073966</v>
      </c>
      <c r="S21" s="310">
        <v>2552160</v>
      </c>
      <c r="T21" s="311">
        <v>0</v>
      </c>
      <c r="U21" s="310">
        <v>3515856</v>
      </c>
      <c r="V21" s="309">
        <v>2245469</v>
      </c>
      <c r="W21" s="309">
        <v>47805375</v>
      </c>
      <c r="X21" s="309">
        <v>17699950</v>
      </c>
      <c r="Y21" s="309">
        <v>13848197</v>
      </c>
      <c r="Z21" s="402">
        <v>81598991</v>
      </c>
      <c r="AA21" s="309">
        <v>14166043</v>
      </c>
      <c r="AB21" s="309">
        <v>6090230</v>
      </c>
      <c r="AC21" s="403">
        <v>36.78</v>
      </c>
      <c r="AD21" s="403">
        <v>36.78</v>
      </c>
      <c r="AE21" s="320">
        <f t="shared" si="2"/>
        <v>1.6488915780177509E-2</v>
      </c>
    </row>
    <row r="22" spans="1:36" ht="15.4" x14ac:dyDescent="0.45">
      <c r="A22" s="283" t="s">
        <v>35</v>
      </c>
      <c r="B22" s="309">
        <v>2032869</v>
      </c>
      <c r="C22" s="309">
        <v>23918780</v>
      </c>
      <c r="D22" s="309">
        <v>1306923</v>
      </c>
      <c r="E22" s="309">
        <v>674092</v>
      </c>
      <c r="F22" s="309">
        <v>820878</v>
      </c>
      <c r="G22" s="309">
        <v>461954</v>
      </c>
      <c r="H22" s="309">
        <v>2694048</v>
      </c>
      <c r="I22" s="312"/>
      <c r="J22" s="310">
        <v>31909544</v>
      </c>
      <c r="K22" s="353">
        <v>25349986</v>
      </c>
      <c r="L22" s="353">
        <v>21994023</v>
      </c>
      <c r="M22" s="310">
        <v>10769537</v>
      </c>
      <c r="N22" s="310">
        <v>7939142</v>
      </c>
      <c r="O22" s="402">
        <v>10599828</v>
      </c>
      <c r="P22" s="402">
        <v>5131030</v>
      </c>
      <c r="Q22" s="402">
        <v>1753727</v>
      </c>
      <c r="R22" s="310">
        <v>77750</v>
      </c>
      <c r="S22" s="310">
        <v>3558668</v>
      </c>
      <c r="T22" s="310">
        <v>0</v>
      </c>
      <c r="U22" s="310">
        <v>3636418</v>
      </c>
      <c r="V22" s="309">
        <v>5219496</v>
      </c>
      <c r="W22" s="309">
        <v>57357177</v>
      </c>
      <c r="X22" s="309">
        <v>21701064</v>
      </c>
      <c r="Y22" s="309">
        <v>27367660</v>
      </c>
      <c r="Z22" s="402">
        <v>113337284</v>
      </c>
      <c r="AA22" s="309">
        <v>34157801</v>
      </c>
      <c r="AB22" s="309">
        <v>11002118</v>
      </c>
      <c r="AC22" s="403">
        <v>15.33</v>
      </c>
      <c r="AD22" s="403">
        <v>15.33</v>
      </c>
      <c r="AE22" s="320">
        <f t="shared" si="2"/>
        <v>2.0023227903790273E-2</v>
      </c>
    </row>
    <row r="23" spans="1:36" ht="15.4" x14ac:dyDescent="0.45">
      <c r="A23" s="283" t="s">
        <v>36</v>
      </c>
      <c r="B23" s="309">
        <v>1789136</v>
      </c>
      <c r="C23" s="309">
        <v>29575378</v>
      </c>
      <c r="D23" s="309">
        <v>2169007</v>
      </c>
      <c r="E23" s="309">
        <v>275744</v>
      </c>
      <c r="F23" s="309">
        <v>285939</v>
      </c>
      <c r="G23" s="309">
        <v>1132871</v>
      </c>
      <c r="H23" s="309">
        <v>8836264</v>
      </c>
      <c r="I23" s="309">
        <v>90650</v>
      </c>
      <c r="J23" s="310">
        <v>44154989</v>
      </c>
      <c r="K23" s="353">
        <v>31719536</v>
      </c>
      <c r="L23" s="353">
        <v>25721168</v>
      </c>
      <c r="M23" s="310">
        <v>11697807</v>
      </c>
      <c r="N23" s="310">
        <v>10752930</v>
      </c>
      <c r="O23" s="402">
        <v>10859066</v>
      </c>
      <c r="P23" s="402">
        <v>4680549</v>
      </c>
      <c r="Q23" s="402">
        <v>3515716</v>
      </c>
      <c r="R23" s="310">
        <v>2944339</v>
      </c>
      <c r="S23" s="310">
        <v>2855485</v>
      </c>
      <c r="T23" s="310">
        <v>51392</v>
      </c>
      <c r="U23" s="310">
        <v>4329900</v>
      </c>
      <c r="V23" s="309">
        <v>14424884</v>
      </c>
      <c r="W23" s="309">
        <v>47604759</v>
      </c>
      <c r="X23" s="309">
        <v>37188408</v>
      </c>
      <c r="Y23" s="309">
        <v>15782818</v>
      </c>
      <c r="Z23" s="402">
        <v>115000869</v>
      </c>
      <c r="AA23" s="309">
        <v>47824467</v>
      </c>
      <c r="AB23" s="309">
        <v>10363973</v>
      </c>
      <c r="AC23" s="403">
        <v>33.43</v>
      </c>
      <c r="AD23" s="403">
        <v>33.43</v>
      </c>
      <c r="AE23" s="320">
        <f t="shared" si="2"/>
        <v>2.7707240436790712E-2</v>
      </c>
    </row>
    <row r="24" spans="1:36" ht="15.4" x14ac:dyDescent="0.45">
      <c r="A24" s="283" t="s">
        <v>38</v>
      </c>
      <c r="B24" s="309">
        <v>7240351</v>
      </c>
      <c r="C24" s="309">
        <v>12309250</v>
      </c>
      <c r="D24" s="309">
        <v>1344793</v>
      </c>
      <c r="E24" s="309">
        <v>2835158</v>
      </c>
      <c r="F24" s="309">
        <v>20966288</v>
      </c>
      <c r="G24" s="309">
        <v>4079280</v>
      </c>
      <c r="H24" s="309">
        <v>539989</v>
      </c>
      <c r="I24" s="312"/>
      <c r="J24" s="310">
        <v>49315109</v>
      </c>
      <c r="K24" s="353">
        <v>12697032</v>
      </c>
      <c r="L24" s="353">
        <v>9211027</v>
      </c>
      <c r="M24" s="310">
        <v>8719635</v>
      </c>
      <c r="N24" s="310">
        <v>3005172</v>
      </c>
      <c r="O24" s="402">
        <v>6783963</v>
      </c>
      <c r="P24" s="402">
        <v>3618426</v>
      </c>
      <c r="Q24" s="402">
        <v>4089232</v>
      </c>
      <c r="R24" s="310">
        <v>-107302</v>
      </c>
      <c r="S24" s="310">
        <v>12098521</v>
      </c>
      <c r="T24" s="310">
        <v>32353</v>
      </c>
      <c r="U24" s="310">
        <v>8416500</v>
      </c>
      <c r="V24" s="309">
        <v>13163826</v>
      </c>
      <c r="W24" s="309">
        <v>88656833</v>
      </c>
      <c r="X24" s="309">
        <v>39395640</v>
      </c>
      <c r="Y24" s="309">
        <v>3268031</v>
      </c>
      <c r="Z24" s="402">
        <v>147199459</v>
      </c>
      <c r="AA24" s="309">
        <v>57316858</v>
      </c>
      <c r="AB24" s="309">
        <v>25751984</v>
      </c>
      <c r="AC24" s="403">
        <v>36.78</v>
      </c>
      <c r="AD24" s="403">
        <v>36.78</v>
      </c>
      <c r="AE24" s="320">
        <f t="shared" si="2"/>
        <v>3.0945213965052547E-2</v>
      </c>
    </row>
    <row r="25" spans="1:36" ht="15.4" x14ac:dyDescent="0.45">
      <c r="A25" s="283" t="s">
        <v>77</v>
      </c>
      <c r="B25" s="309">
        <v>7796468</v>
      </c>
      <c r="C25" s="309">
        <v>18035695</v>
      </c>
      <c r="D25" s="309">
        <v>1337582</v>
      </c>
      <c r="E25" s="312">
        <v>0</v>
      </c>
      <c r="F25" s="309">
        <v>385379</v>
      </c>
      <c r="G25" s="312">
        <v>0</v>
      </c>
      <c r="H25" s="309">
        <v>677199</v>
      </c>
      <c r="I25" s="312">
        <v>0</v>
      </c>
      <c r="J25" s="310">
        <v>28232323</v>
      </c>
      <c r="K25" s="353">
        <v>17792679</v>
      </c>
      <c r="L25" s="353">
        <v>14061885</v>
      </c>
      <c r="M25" s="310">
        <v>9645133</v>
      </c>
      <c r="N25" s="310">
        <v>3485228</v>
      </c>
      <c r="O25" s="402">
        <v>10581550</v>
      </c>
      <c r="P25" s="402">
        <v>3271320</v>
      </c>
      <c r="Q25" s="402">
        <v>2237575</v>
      </c>
      <c r="R25" s="310">
        <v>-1038638</v>
      </c>
      <c r="S25" s="310">
        <v>3766090</v>
      </c>
      <c r="T25" s="311">
        <v>75100</v>
      </c>
      <c r="U25" s="310">
        <v>1912598</v>
      </c>
      <c r="V25" s="309">
        <v>998225</v>
      </c>
      <c r="W25" s="309">
        <v>53223646</v>
      </c>
      <c r="X25" s="309">
        <v>24874812</v>
      </c>
      <c r="Y25" s="309">
        <v>3008413</v>
      </c>
      <c r="Z25" s="402">
        <v>82105096</v>
      </c>
      <c r="AA25" s="309">
        <v>18385909</v>
      </c>
      <c r="AB25" s="309">
        <v>6874422</v>
      </c>
      <c r="AC25" s="403">
        <v>22.59</v>
      </c>
      <c r="AD25" s="403">
        <v>22.59</v>
      </c>
      <c r="AE25" s="320">
        <f t="shared" si="2"/>
        <v>1.7715772988871916E-2</v>
      </c>
    </row>
    <row r="26" spans="1:36" ht="15.4" x14ac:dyDescent="0.45">
      <c r="A26" s="283" t="s">
        <v>39</v>
      </c>
      <c r="B26" s="312">
        <v>39574596</v>
      </c>
      <c r="C26" s="312">
        <v>58178950</v>
      </c>
      <c r="D26" s="312">
        <v>2910299</v>
      </c>
      <c r="E26" s="312">
        <v>9147262</v>
      </c>
      <c r="F26" s="312">
        <v>4539744</v>
      </c>
      <c r="G26" s="312">
        <v>14267768</v>
      </c>
      <c r="H26" s="312">
        <v>10700829</v>
      </c>
      <c r="I26" s="312"/>
      <c r="J26" s="311">
        <v>139319448</v>
      </c>
      <c r="K26" s="353">
        <v>93173569</v>
      </c>
      <c r="L26" s="353">
        <v>84395200</v>
      </c>
      <c r="M26" s="310">
        <v>40251630</v>
      </c>
      <c r="N26" s="310">
        <v>33493943</v>
      </c>
      <c r="O26" s="402">
        <v>63642262</v>
      </c>
      <c r="P26" s="402">
        <v>17773963</v>
      </c>
      <c r="Q26" s="402">
        <v>9374585</v>
      </c>
      <c r="R26" s="311">
        <v>-21140383</v>
      </c>
      <c r="S26" s="311">
        <v>27213247</v>
      </c>
      <c r="T26" s="311">
        <v>9640518</v>
      </c>
      <c r="U26" s="311">
        <v>10999368</v>
      </c>
      <c r="V26" s="312">
        <v>66899668</v>
      </c>
      <c r="W26" s="312">
        <v>411809344</v>
      </c>
      <c r="X26" s="312">
        <v>63856601</v>
      </c>
      <c r="Y26" s="312">
        <v>140881507</v>
      </c>
      <c r="Z26" s="402">
        <v>686805142</v>
      </c>
      <c r="AA26" s="312">
        <v>164532602</v>
      </c>
      <c r="AB26" s="312">
        <v>131071514</v>
      </c>
      <c r="AC26" s="403">
        <v>21.38</v>
      </c>
      <c r="AD26" s="403">
        <v>21.38</v>
      </c>
      <c r="AE26" s="320">
        <f t="shared" si="2"/>
        <v>8.7422905784371521E-2</v>
      </c>
    </row>
    <row r="27" spans="1:36" ht="15.4" x14ac:dyDescent="0.45">
      <c r="A27" s="283" t="s">
        <v>40</v>
      </c>
      <c r="B27" s="309">
        <v>36268944</v>
      </c>
      <c r="C27" s="309">
        <v>56580407</v>
      </c>
      <c r="D27" s="309">
        <v>11880611</v>
      </c>
      <c r="E27" s="309">
        <v>1581470</v>
      </c>
      <c r="F27" s="309">
        <v>8772662</v>
      </c>
      <c r="G27" s="309">
        <v>6798874</v>
      </c>
      <c r="H27" s="309">
        <v>11895020</v>
      </c>
      <c r="I27" s="312"/>
      <c r="J27" s="310">
        <v>133777988</v>
      </c>
      <c r="K27" s="353">
        <v>79786266</v>
      </c>
      <c r="L27" s="353">
        <v>74050079</v>
      </c>
      <c r="M27" s="310">
        <v>35178916</v>
      </c>
      <c r="N27" s="310">
        <v>29240881</v>
      </c>
      <c r="O27" s="402">
        <v>29444849</v>
      </c>
      <c r="P27" s="402">
        <v>21105980</v>
      </c>
      <c r="Q27" s="402">
        <v>12167357</v>
      </c>
      <c r="R27" s="310">
        <v>6425726</v>
      </c>
      <c r="S27" s="310">
        <v>6845297</v>
      </c>
      <c r="T27" s="310">
        <v>40568</v>
      </c>
      <c r="U27" s="310">
        <v>10989452</v>
      </c>
      <c r="V27" s="309">
        <v>5913718</v>
      </c>
      <c r="W27" s="309">
        <v>519278548</v>
      </c>
      <c r="X27" s="309">
        <v>80136850</v>
      </c>
      <c r="Y27" s="309">
        <v>3228264</v>
      </c>
      <c r="Z27" s="402">
        <v>608557380</v>
      </c>
      <c r="AA27" s="309">
        <v>167885138</v>
      </c>
      <c r="AB27" s="309">
        <v>74369090</v>
      </c>
      <c r="AC27" s="403">
        <v>35.72</v>
      </c>
      <c r="AD27" s="403">
        <v>35.72</v>
      </c>
      <c r="AE27" s="320">
        <f t="shared" si="2"/>
        <v>8.3945641537043592E-2</v>
      </c>
    </row>
    <row r="28" spans="1:36" ht="15.4" x14ac:dyDescent="0.45">
      <c r="A28" s="283" t="s">
        <v>90</v>
      </c>
      <c r="B28" s="309">
        <v>7968574</v>
      </c>
      <c r="C28" s="309">
        <v>29093589</v>
      </c>
      <c r="D28" s="309">
        <v>2547134</v>
      </c>
      <c r="E28" s="309">
        <v>1132218</v>
      </c>
      <c r="F28" s="309">
        <v>1889851</v>
      </c>
      <c r="G28" s="312"/>
      <c r="H28" s="309">
        <v>1736201</v>
      </c>
      <c r="I28" s="312"/>
      <c r="J28" s="310">
        <v>44367567</v>
      </c>
      <c r="K28" s="353">
        <v>34030701</v>
      </c>
      <c r="L28" s="353">
        <v>26377015</v>
      </c>
      <c r="M28" s="310">
        <v>25865882</v>
      </c>
      <c r="N28" s="310">
        <v>8663803</v>
      </c>
      <c r="O28" s="402">
        <v>13671877</v>
      </c>
      <c r="P28" s="402">
        <v>5202997</v>
      </c>
      <c r="Q28" s="402">
        <v>2869581</v>
      </c>
      <c r="R28" s="310">
        <v>1707919</v>
      </c>
      <c r="S28" s="310">
        <v>6089460</v>
      </c>
      <c r="T28" s="310">
        <v>194417</v>
      </c>
      <c r="U28" s="310">
        <v>5823203</v>
      </c>
      <c r="V28" s="309">
        <v>4832053</v>
      </c>
      <c r="W28" s="309">
        <v>76520534</v>
      </c>
      <c r="X28" s="309">
        <v>24318367</v>
      </c>
      <c r="Y28" s="309">
        <v>14166826</v>
      </c>
      <c r="Z28" s="402">
        <v>123888917</v>
      </c>
      <c r="AA28" s="309">
        <v>53047357</v>
      </c>
      <c r="AB28" s="309">
        <v>4974150</v>
      </c>
      <c r="AC28" s="403">
        <v>33.92</v>
      </c>
      <c r="AD28" s="403">
        <v>33.92</v>
      </c>
      <c r="AE28" s="320">
        <f t="shared" si="2"/>
        <v>2.7840633058801606E-2</v>
      </c>
    </row>
    <row r="29" spans="1:36" ht="15.4" x14ac:dyDescent="0.45">
      <c r="A29" s="283" t="s">
        <v>41</v>
      </c>
      <c r="B29" s="309">
        <v>964503</v>
      </c>
      <c r="C29" s="309">
        <v>14184672</v>
      </c>
      <c r="D29" s="309">
        <v>965740</v>
      </c>
      <c r="E29" s="309">
        <v>83358</v>
      </c>
      <c r="F29" s="309">
        <v>259749</v>
      </c>
      <c r="G29" s="309">
        <v>136715</v>
      </c>
      <c r="H29" s="309">
        <v>73536</v>
      </c>
      <c r="I29" s="312"/>
      <c r="J29" s="310">
        <v>16668273</v>
      </c>
      <c r="K29" s="353">
        <v>14481799</v>
      </c>
      <c r="L29" s="353">
        <v>12674479</v>
      </c>
      <c r="M29" s="310">
        <v>4381817</v>
      </c>
      <c r="N29" s="310">
        <v>2954725</v>
      </c>
      <c r="O29" s="402">
        <v>8120455</v>
      </c>
      <c r="P29" s="402">
        <v>947323</v>
      </c>
      <c r="Q29" s="402">
        <v>814326</v>
      </c>
      <c r="R29" s="310">
        <v>1466302</v>
      </c>
      <c r="S29" s="310">
        <v>6285596</v>
      </c>
      <c r="T29" s="310">
        <v>23598</v>
      </c>
      <c r="U29" s="310">
        <v>5442847</v>
      </c>
      <c r="V29" s="309">
        <v>2257611</v>
      </c>
      <c r="W29" s="309">
        <v>64636916</v>
      </c>
      <c r="X29" s="309">
        <v>11522871</v>
      </c>
      <c r="Y29" s="309">
        <v>1884398</v>
      </c>
      <c r="Z29" s="402">
        <v>81156919</v>
      </c>
      <c r="AA29" s="309">
        <v>15654575</v>
      </c>
      <c r="AB29" s="309">
        <v>4924797</v>
      </c>
      <c r="AC29" s="403">
        <v>29.62</v>
      </c>
      <c r="AD29" s="403">
        <v>29.62</v>
      </c>
      <c r="AE29" s="320">
        <f t="shared" si="2"/>
        <v>1.0459335584413051E-2</v>
      </c>
    </row>
    <row r="30" spans="1:36" ht="15.4" x14ac:dyDescent="0.45">
      <c r="A30" s="283" t="s">
        <v>42</v>
      </c>
      <c r="B30" s="309">
        <v>13346573</v>
      </c>
      <c r="C30" s="309">
        <v>78016766</v>
      </c>
      <c r="D30" s="309">
        <v>6656936</v>
      </c>
      <c r="E30" s="309">
        <v>581451</v>
      </c>
      <c r="F30" s="309">
        <v>4355463</v>
      </c>
      <c r="G30" s="309">
        <v>8161084</v>
      </c>
      <c r="H30" s="309">
        <v>6186590</v>
      </c>
      <c r="I30" s="312"/>
      <c r="J30" s="310">
        <v>117304862</v>
      </c>
      <c r="K30" s="353">
        <v>82044814</v>
      </c>
      <c r="L30" s="353">
        <v>78969773</v>
      </c>
      <c r="M30" s="310">
        <v>35208735</v>
      </c>
      <c r="N30" s="310">
        <v>27269055</v>
      </c>
      <c r="O30" s="402">
        <v>27896599</v>
      </c>
      <c r="P30" s="402">
        <v>22949561</v>
      </c>
      <c r="Q30" s="402">
        <v>8813612</v>
      </c>
      <c r="R30" s="310">
        <v>9668170</v>
      </c>
      <c r="S30" s="310">
        <v>5990593</v>
      </c>
      <c r="T30" s="310">
        <v>0</v>
      </c>
      <c r="U30" s="310">
        <v>13663763</v>
      </c>
      <c r="V30" s="309">
        <v>7360719</v>
      </c>
      <c r="W30" s="309">
        <v>145301072</v>
      </c>
      <c r="X30" s="309">
        <v>58648135</v>
      </c>
      <c r="Y30" s="309">
        <v>8502325</v>
      </c>
      <c r="Z30" s="402">
        <v>228385684</v>
      </c>
      <c r="AA30" s="309">
        <v>79815285</v>
      </c>
      <c r="AB30" s="309">
        <v>49437656</v>
      </c>
      <c r="AC30" s="403">
        <v>21.91</v>
      </c>
      <c r="AD30" s="403">
        <v>21.91</v>
      </c>
      <c r="AE30" s="320">
        <f t="shared" si="2"/>
        <v>7.3608760628126407E-2</v>
      </c>
    </row>
    <row r="31" spans="1:36" ht="15.4" x14ac:dyDescent="0.45">
      <c r="A31" s="283" t="s">
        <v>44</v>
      </c>
      <c r="B31" s="308">
        <f>SUM(B6:B30)</f>
        <v>375410224</v>
      </c>
      <c r="C31" s="308">
        <f t="shared" ref="C31:AB31" si="3">SUM(C6:C30)</f>
        <v>778278317</v>
      </c>
      <c r="D31" s="308">
        <f t="shared" si="3"/>
        <v>69565071</v>
      </c>
      <c r="E31" s="308">
        <f t="shared" si="3"/>
        <v>79244570</v>
      </c>
      <c r="F31" s="308">
        <f t="shared" si="3"/>
        <v>80238880</v>
      </c>
      <c r="G31" s="308">
        <f t="shared" si="3"/>
        <v>90255022</v>
      </c>
      <c r="H31" s="308">
        <f t="shared" si="3"/>
        <v>107507182</v>
      </c>
      <c r="I31" s="308">
        <f t="shared" si="3"/>
        <v>13127105</v>
      </c>
      <c r="J31" s="308">
        <f>SUM(J6:J30)</f>
        <v>1593626370</v>
      </c>
      <c r="K31" s="308">
        <f>SUM(K6:K30)</f>
        <v>946969155</v>
      </c>
      <c r="L31" s="308">
        <f>SUM(L6:L30)</f>
        <v>802906853</v>
      </c>
      <c r="M31" s="308">
        <f t="shared" si="3"/>
        <v>435659430</v>
      </c>
      <c r="N31" s="308">
        <f t="shared" si="3"/>
        <v>304247911</v>
      </c>
      <c r="O31" s="308">
        <f t="shared" si="3"/>
        <v>405307038</v>
      </c>
      <c r="P31" s="308">
        <f t="shared" si="3"/>
        <v>216162726</v>
      </c>
      <c r="Q31" s="308">
        <f t="shared" si="3"/>
        <v>140554660</v>
      </c>
      <c r="R31" s="308">
        <f t="shared" si="3"/>
        <v>17743837</v>
      </c>
      <c r="S31" s="308">
        <f t="shared" si="3"/>
        <v>160381825</v>
      </c>
      <c r="T31" s="308">
        <f t="shared" si="3"/>
        <v>13497302</v>
      </c>
      <c r="U31" s="308">
        <f t="shared" si="3"/>
        <v>144228615</v>
      </c>
      <c r="V31" s="308">
        <f t="shared" si="3"/>
        <v>337299441</v>
      </c>
      <c r="W31" s="308">
        <f t="shared" si="3"/>
        <v>2877300532</v>
      </c>
      <c r="X31" s="308">
        <f t="shared" si="3"/>
        <v>970059263</v>
      </c>
      <c r="Y31" s="308">
        <f t="shared" si="3"/>
        <v>432211376</v>
      </c>
      <c r="Z31" s="308">
        <f t="shared" si="3"/>
        <v>4678039536</v>
      </c>
      <c r="AA31" s="308">
        <f t="shared" si="3"/>
        <v>1637513148</v>
      </c>
      <c r="AB31" s="308">
        <f t="shared" si="3"/>
        <v>646446234</v>
      </c>
      <c r="AC31" s="195">
        <v>31.06</v>
      </c>
      <c r="AD31" s="195">
        <v>31.06</v>
      </c>
      <c r="AE31" s="321">
        <f>SUM(AE6:AE30)</f>
        <v>1</v>
      </c>
    </row>
    <row r="32" spans="1:36" x14ac:dyDescent="0.35">
      <c r="V32" s="157"/>
      <c r="X32" s="157"/>
    </row>
    <row r="33" spans="9:9" x14ac:dyDescent="0.35">
      <c r="I33" s="297"/>
    </row>
  </sheetData>
  <mergeCells count="1">
    <mergeCell ref="B1:AE1"/>
  </mergeCells>
  <dataValidations count="1">
    <dataValidation type="list" allowBlank="1" showInputMessage="1" showErrorMessage="1" sqref="A3" xr:uid="{00000000-0002-0000-2800-000000000000}">
      <formula1>$A$6:$A$30</formula1>
    </dataValidation>
  </dataValidations>
  <pageMargins left="0.7" right="0.7" top="0.75" bottom="0.75" header="0.3" footer="0.3"/>
  <pageSetup orientation="portrait" r:id="rId1"/>
  <customProperties>
    <customPr name="LastActive" r:id="rId2"/>
  </customProperties>
  <legacyDrawing r:id="rId3"/>
</worksheet>
</file>

<file path=xl/worksheets/sheet4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900-000000000000}">
  <sheetPr>
    <tabColor rgb="FF00B0F0"/>
  </sheetPr>
  <dimension ref="A1:AJ34"/>
  <sheetViews>
    <sheetView topLeftCell="J5" zoomScale="80" zoomScaleNormal="80" workbookViewId="0">
      <pane ySplit="1" topLeftCell="A15" activePane="bottomLeft" state="frozen"/>
      <selection activeCell="J5" sqref="J5"/>
      <selection pane="bottomLeft" activeCell="Q31" sqref="Q31"/>
    </sheetView>
  </sheetViews>
  <sheetFormatPr defaultRowHeight="12.75" x14ac:dyDescent="0.35"/>
  <cols>
    <col min="1" max="1" width="50.73046875" bestFit="1" customWidth="1"/>
    <col min="2" max="3" width="15.3984375" bestFit="1" customWidth="1"/>
    <col min="4" max="4" width="20.73046875" customWidth="1"/>
    <col min="5" max="5" width="15.3984375" bestFit="1" customWidth="1"/>
    <col min="6" max="6" width="18.265625" customWidth="1"/>
    <col min="7" max="7" width="14.3984375" bestFit="1" customWidth="1"/>
    <col min="8" max="8" width="15.3984375" bestFit="1" customWidth="1"/>
    <col min="9" max="9" width="14.3984375" bestFit="1" customWidth="1"/>
    <col min="10" max="10" width="17.73046875" bestFit="1" customWidth="1"/>
    <col min="11" max="11" width="17.3984375" bestFit="1" customWidth="1"/>
    <col min="12" max="12" width="16.3984375" bestFit="1" customWidth="1"/>
    <col min="13" max="14" width="15.3984375" bestFit="1" customWidth="1"/>
    <col min="15" max="16" width="16.3984375" bestFit="1" customWidth="1"/>
    <col min="17" max="17" width="22.3984375" customWidth="1"/>
    <col min="18" max="18" width="16" bestFit="1" customWidth="1"/>
    <col min="19" max="19" width="17.73046875" bestFit="1" customWidth="1"/>
    <col min="20" max="20" width="14.73046875" bestFit="1" customWidth="1"/>
    <col min="21" max="22" width="15.3984375" bestFit="1" customWidth="1"/>
    <col min="23" max="23" width="17.3984375" bestFit="1" customWidth="1"/>
    <col min="24" max="25" width="15.3984375" bestFit="1" customWidth="1"/>
    <col min="26" max="26" width="17.73046875" bestFit="1" customWidth="1"/>
    <col min="27" max="27" width="17.3984375" bestFit="1" customWidth="1"/>
    <col min="28" max="28" width="15.3984375" bestFit="1" customWidth="1"/>
    <col min="29" max="29" width="10.265625" customWidth="1"/>
    <col min="30" max="30" width="12.3984375" customWidth="1"/>
    <col min="31" max="31" width="8.265625" bestFit="1" customWidth="1"/>
    <col min="36" max="36" width="11.3984375" bestFit="1" customWidth="1"/>
  </cols>
  <sheetData>
    <row r="1" spans="1:31" ht="23.25" x14ac:dyDescent="0.7">
      <c r="A1" s="285" t="s">
        <v>144</v>
      </c>
      <c r="B1" s="416" t="s">
        <v>92</v>
      </c>
      <c r="C1" s="416"/>
      <c r="D1" s="416"/>
      <c r="E1" s="416"/>
      <c r="F1" s="416"/>
      <c r="G1" s="416"/>
      <c r="H1" s="416"/>
      <c r="I1" s="416"/>
      <c r="J1" s="416"/>
      <c r="K1" s="416"/>
      <c r="L1" s="416"/>
      <c r="M1" s="416"/>
      <c r="N1" s="416"/>
      <c r="O1" s="416"/>
      <c r="P1" s="416"/>
      <c r="Q1" s="416"/>
      <c r="R1" s="416"/>
      <c r="S1" s="416"/>
      <c r="T1" s="416"/>
      <c r="U1" s="416"/>
      <c r="V1" s="416"/>
      <c r="W1" s="416"/>
      <c r="X1" s="416"/>
      <c r="Y1" s="416"/>
      <c r="Z1" s="416"/>
      <c r="AA1" s="416"/>
      <c r="AB1" s="416"/>
      <c r="AC1" s="416"/>
      <c r="AD1" s="416"/>
      <c r="AE1" s="416"/>
    </row>
    <row r="2" spans="1:31" ht="25.5" x14ac:dyDescent="0.35">
      <c r="A2" s="279"/>
      <c r="B2" s="246" t="s">
        <v>100</v>
      </c>
      <c r="C2" s="246" t="s">
        <v>101</v>
      </c>
      <c r="D2" s="246" t="s">
        <v>102</v>
      </c>
      <c r="E2" s="246" t="s">
        <v>103</v>
      </c>
      <c r="F2" s="246" t="s">
        <v>104</v>
      </c>
      <c r="G2" s="246" t="s">
        <v>105</v>
      </c>
      <c r="H2" s="246" t="s">
        <v>106</v>
      </c>
      <c r="I2" s="246" t="s">
        <v>107</v>
      </c>
      <c r="J2" s="246" t="s">
        <v>108</v>
      </c>
      <c r="K2" s="246" t="s">
        <v>109</v>
      </c>
      <c r="L2" s="246" t="s">
        <v>110</v>
      </c>
      <c r="M2" s="254" t="s">
        <v>93</v>
      </c>
      <c r="N2" s="246" t="s">
        <v>111</v>
      </c>
      <c r="O2" s="246" t="s">
        <v>112</v>
      </c>
      <c r="P2" s="246" t="s">
        <v>113</v>
      </c>
      <c r="Q2" s="246" t="s">
        <v>97</v>
      </c>
      <c r="R2" s="246" t="s">
        <v>131</v>
      </c>
      <c r="S2" s="246" t="s">
        <v>132</v>
      </c>
      <c r="T2" s="246" t="s">
        <v>133</v>
      </c>
      <c r="U2" s="246" t="s">
        <v>134</v>
      </c>
      <c r="V2" s="246" t="s">
        <v>118</v>
      </c>
      <c r="W2" s="246" t="s">
        <v>119</v>
      </c>
      <c r="X2" s="246" t="s">
        <v>120</v>
      </c>
      <c r="Y2" s="254" t="s">
        <v>121</v>
      </c>
      <c r="Z2" s="246" t="s">
        <v>135</v>
      </c>
      <c r="AA2" s="246" t="s">
        <v>124</v>
      </c>
      <c r="AB2" s="246" t="s">
        <v>125</v>
      </c>
      <c r="AC2" s="288" t="s">
        <v>79</v>
      </c>
      <c r="AD2" s="288" t="s">
        <v>80</v>
      </c>
      <c r="AE2" s="288" t="s">
        <v>19</v>
      </c>
    </row>
    <row r="3" spans="1:31" ht="15.4" x14ac:dyDescent="0.45">
      <c r="A3" s="282" t="s">
        <v>23</v>
      </c>
      <c r="B3" s="302">
        <f t="shared" ref="B3:AE3" si="0">INDEX(B6:B31,MATCH($A$3,$A$6:$A$31,0))</f>
        <v>75393820</v>
      </c>
      <c r="C3" s="302">
        <f t="shared" si="0"/>
        <v>155721143</v>
      </c>
      <c r="D3" s="302">
        <f t="shared" si="0"/>
        <v>4198239</v>
      </c>
      <c r="E3" s="302">
        <f t="shared" si="0"/>
        <v>21665110</v>
      </c>
      <c r="F3" s="302">
        <f t="shared" si="0"/>
        <v>6732268</v>
      </c>
      <c r="G3" s="302">
        <f t="shared" si="0"/>
        <v>29413929</v>
      </c>
      <c r="H3" s="302">
        <f t="shared" si="0"/>
        <v>49743232</v>
      </c>
      <c r="I3" s="302">
        <f t="shared" si="0"/>
        <v>3590870</v>
      </c>
      <c r="J3" s="302">
        <f t="shared" si="0"/>
        <v>346458611</v>
      </c>
      <c r="K3" s="302">
        <f t="shared" si="0"/>
        <v>185784030</v>
      </c>
      <c r="L3" s="302">
        <f t="shared" si="0"/>
        <v>162627242</v>
      </c>
      <c r="M3" s="302">
        <f t="shared" si="0"/>
        <v>101053245</v>
      </c>
      <c r="N3" s="302">
        <f t="shared" si="0"/>
        <v>83052886</v>
      </c>
      <c r="O3" s="302">
        <f t="shared" si="0"/>
        <v>55378001</v>
      </c>
      <c r="P3" s="302">
        <f t="shared" si="0"/>
        <v>47643606</v>
      </c>
      <c r="Q3" s="302">
        <f t="shared" si="0"/>
        <v>31023072</v>
      </c>
      <c r="R3" s="302">
        <f t="shared" si="0"/>
        <v>7575821</v>
      </c>
      <c r="S3" s="302">
        <f t="shared" si="0"/>
        <v>53665511</v>
      </c>
      <c r="T3" s="302">
        <f t="shared" si="0"/>
        <v>-9485913</v>
      </c>
      <c r="U3" s="302">
        <f t="shared" si="0"/>
        <v>36228792</v>
      </c>
      <c r="V3" s="302">
        <f t="shared" si="0"/>
        <v>50731753</v>
      </c>
      <c r="W3" s="302">
        <f t="shared" si="0"/>
        <v>312960467</v>
      </c>
      <c r="X3" s="302">
        <f t="shared" si="0"/>
        <v>156725339</v>
      </c>
      <c r="Y3" s="302">
        <f t="shared" si="0"/>
        <v>19189322</v>
      </c>
      <c r="Z3" s="302">
        <f t="shared" si="0"/>
        <v>548226430</v>
      </c>
      <c r="AA3" s="302">
        <f t="shared" si="0"/>
        <v>287797939</v>
      </c>
      <c r="AB3" s="302">
        <f t="shared" si="0"/>
        <v>71448071</v>
      </c>
      <c r="AC3" s="302">
        <f t="shared" si="0"/>
        <v>42.89</v>
      </c>
      <c r="AD3" s="302">
        <f t="shared" si="0"/>
        <v>53.2</v>
      </c>
      <c r="AE3" s="302">
        <f t="shared" si="0"/>
        <v>0.14606684093838129</v>
      </c>
    </row>
    <row r="4" spans="1:31" ht="13.7" customHeight="1" x14ac:dyDescent="0.35"/>
    <row r="5" spans="1:31" ht="38.25" x14ac:dyDescent="0.35">
      <c r="A5" s="281" t="s">
        <v>136</v>
      </c>
      <c r="B5" s="286" t="s">
        <v>100</v>
      </c>
      <c r="C5" s="286" t="s">
        <v>101</v>
      </c>
      <c r="D5" s="286" t="s">
        <v>102</v>
      </c>
      <c r="E5" s="286" t="s">
        <v>103</v>
      </c>
      <c r="F5" s="286" t="s">
        <v>104</v>
      </c>
      <c r="G5" s="293" t="s">
        <v>105</v>
      </c>
      <c r="H5" s="293" t="s">
        <v>106</v>
      </c>
      <c r="I5" s="293" t="s">
        <v>107</v>
      </c>
      <c r="J5" s="293" t="s">
        <v>137</v>
      </c>
      <c r="K5" s="286" t="s">
        <v>138</v>
      </c>
      <c r="L5" s="286" t="s">
        <v>110</v>
      </c>
      <c r="M5" s="286" t="s">
        <v>93</v>
      </c>
      <c r="N5" s="286" t="s">
        <v>111</v>
      </c>
      <c r="O5" s="286" t="s">
        <v>112</v>
      </c>
      <c r="P5" s="286" t="s">
        <v>139</v>
      </c>
      <c r="Q5" s="286" t="s">
        <v>140</v>
      </c>
      <c r="R5" s="286" t="s">
        <v>131</v>
      </c>
      <c r="S5" s="286" t="s">
        <v>132</v>
      </c>
      <c r="T5" s="286" t="s">
        <v>133</v>
      </c>
      <c r="U5" s="286" t="s">
        <v>134</v>
      </c>
      <c r="V5" s="286" t="s">
        <v>118</v>
      </c>
      <c r="W5" s="286" t="s">
        <v>119</v>
      </c>
      <c r="X5" s="286" t="s">
        <v>120</v>
      </c>
      <c r="Y5" s="286" t="s">
        <v>121</v>
      </c>
      <c r="Z5" s="286" t="s">
        <v>135</v>
      </c>
      <c r="AA5" s="286" t="s">
        <v>124</v>
      </c>
      <c r="AB5" s="286" t="s">
        <v>125</v>
      </c>
      <c r="AC5" s="287" t="s">
        <v>79</v>
      </c>
      <c r="AD5" s="287" t="s">
        <v>80</v>
      </c>
      <c r="AE5" s="287" t="s">
        <v>19</v>
      </c>
    </row>
    <row r="6" spans="1:31" ht="15.4" x14ac:dyDescent="0.45">
      <c r="A6" s="283" t="s">
        <v>20</v>
      </c>
      <c r="B6" s="325">
        <v>101047428</v>
      </c>
      <c r="C6" s="325">
        <v>15872138</v>
      </c>
      <c r="D6" s="325">
        <v>1116383</v>
      </c>
      <c r="E6" s="325">
        <v>6789629</v>
      </c>
      <c r="F6" s="325">
        <v>997621</v>
      </c>
      <c r="G6" s="325">
        <v>9569436</v>
      </c>
      <c r="H6" s="325">
        <v>5696459</v>
      </c>
      <c r="I6" s="325">
        <v>6383414</v>
      </c>
      <c r="J6" s="326">
        <v>147472508</v>
      </c>
      <c r="K6" s="326">
        <v>26496163</v>
      </c>
      <c r="L6" s="326">
        <v>28917627</v>
      </c>
      <c r="M6" s="326">
        <v>15751949</v>
      </c>
      <c r="N6" s="326">
        <v>7481205</v>
      </c>
      <c r="O6" s="326">
        <v>21039597</v>
      </c>
      <c r="P6" s="326">
        <v>14078758</v>
      </c>
      <c r="Q6" s="326">
        <v>24409852</v>
      </c>
      <c r="R6" s="326">
        <v>10727919</v>
      </c>
      <c r="S6" s="326">
        <v>4332853</v>
      </c>
      <c r="T6" s="326">
        <v>311613</v>
      </c>
      <c r="U6" s="326">
        <v>15372385</v>
      </c>
      <c r="V6" s="325">
        <v>38933100</v>
      </c>
      <c r="W6" s="325">
        <v>62670322</v>
      </c>
      <c r="X6" s="325">
        <v>77416315</v>
      </c>
      <c r="Y6" s="325">
        <v>40256982</v>
      </c>
      <c r="Z6" s="326">
        <v>220328603</v>
      </c>
      <c r="AA6" s="325">
        <v>77812114</v>
      </c>
      <c r="AB6" s="325">
        <v>58473121</v>
      </c>
      <c r="AC6" s="323">
        <v>14.03</v>
      </c>
      <c r="AD6" s="323">
        <v>65.849999999999994</v>
      </c>
      <c r="AE6" s="324">
        <f>J6/$J$32</f>
        <v>6.2174362780725238E-2</v>
      </c>
    </row>
    <row r="7" spans="1:31" ht="15.4" x14ac:dyDescent="0.45">
      <c r="A7" s="283" t="s">
        <v>21</v>
      </c>
      <c r="B7" s="325">
        <v>7157537</v>
      </c>
      <c r="C7" s="325">
        <v>31419537</v>
      </c>
      <c r="D7" s="325">
        <v>1939851</v>
      </c>
      <c r="E7" s="325">
        <v>6094439</v>
      </c>
      <c r="F7" s="325"/>
      <c r="G7" s="325">
        <v>3492466</v>
      </c>
      <c r="H7" s="325">
        <v>3158576</v>
      </c>
      <c r="I7" s="325">
        <v>678732</v>
      </c>
      <c r="J7" s="326">
        <v>53941138</v>
      </c>
      <c r="K7" s="326">
        <v>40803667</v>
      </c>
      <c r="L7" s="326">
        <v>32242821</v>
      </c>
      <c r="M7" s="326">
        <v>11219639</v>
      </c>
      <c r="N7" s="326">
        <v>11365370</v>
      </c>
      <c r="O7" s="326">
        <v>25242838</v>
      </c>
      <c r="P7" s="326">
        <v>6150101</v>
      </c>
      <c r="Q7" s="326"/>
      <c r="R7" s="326">
        <v>-10515488</v>
      </c>
      <c r="S7" s="326">
        <v>10277138</v>
      </c>
      <c r="T7" s="326">
        <v>0</v>
      </c>
      <c r="U7" s="326">
        <v>-238350</v>
      </c>
      <c r="V7" s="325">
        <v>4968276</v>
      </c>
      <c r="W7" s="325">
        <v>90434244</v>
      </c>
      <c r="X7" s="325">
        <v>8350327</v>
      </c>
      <c r="Y7" s="325">
        <v>8216863</v>
      </c>
      <c r="Z7" s="326">
        <v>114766443</v>
      </c>
      <c r="AA7" s="325">
        <v>34457658</v>
      </c>
      <c r="AB7" s="325">
        <v>5437311</v>
      </c>
      <c r="AC7" s="323">
        <v>35.25</v>
      </c>
      <c r="AD7" s="323">
        <v>97.36</v>
      </c>
      <c r="AE7" s="324">
        <f>J7/$J$32</f>
        <v>2.2741566738779296E-2</v>
      </c>
    </row>
    <row r="8" spans="1:31" ht="15.4" x14ac:dyDescent="0.45">
      <c r="A8" s="283" t="s">
        <v>87</v>
      </c>
      <c r="B8" s="325">
        <v>43657</v>
      </c>
      <c r="C8" s="325">
        <v>1447982</v>
      </c>
      <c r="D8" s="325">
        <v>54962</v>
      </c>
      <c r="E8" s="325"/>
      <c r="F8" s="325">
        <v>40650</v>
      </c>
      <c r="G8" s="325">
        <v>5041</v>
      </c>
      <c r="H8" s="325">
        <v>2309</v>
      </c>
      <c r="I8" s="325"/>
      <c r="J8" s="326">
        <v>1594601</v>
      </c>
      <c r="K8" s="326">
        <v>1461479</v>
      </c>
      <c r="L8" s="326">
        <v>2023379</v>
      </c>
      <c r="M8" s="326">
        <v>386907</v>
      </c>
      <c r="N8" s="326">
        <v>267617</v>
      </c>
      <c r="O8" s="326">
        <v>2026968</v>
      </c>
      <c r="P8" s="326">
        <v>143712</v>
      </c>
      <c r="Q8" s="326">
        <v>21781</v>
      </c>
      <c r="R8" s="326">
        <v>-393137</v>
      </c>
      <c r="S8" s="326">
        <v>286586</v>
      </c>
      <c r="T8" s="326">
        <v>0</v>
      </c>
      <c r="U8" s="326">
        <v>-106551</v>
      </c>
      <c r="V8" s="325">
        <v>3391969</v>
      </c>
      <c r="W8" s="325">
        <v>19981301</v>
      </c>
      <c r="X8" s="325">
        <v>1228457</v>
      </c>
      <c r="Y8" s="325">
        <v>7870588</v>
      </c>
      <c r="Z8" s="326">
        <v>33711146</v>
      </c>
      <c r="AA8" s="325">
        <v>1433178</v>
      </c>
      <c r="AB8" s="325">
        <v>2515194</v>
      </c>
      <c r="AC8" s="323">
        <v>13.09</v>
      </c>
      <c r="AD8" s="323">
        <v>106.14</v>
      </c>
      <c r="AE8" s="324">
        <f>J8/$J$32</f>
        <v>6.722832778059708E-4</v>
      </c>
    </row>
    <row r="9" spans="1:31" ht="15.4" x14ac:dyDescent="0.45">
      <c r="A9" s="283" t="s">
        <v>60</v>
      </c>
      <c r="B9" s="325"/>
      <c r="C9" s="325"/>
      <c r="D9" s="325"/>
      <c r="E9" s="325"/>
      <c r="F9" s="325"/>
      <c r="G9" s="325"/>
      <c r="H9" s="325"/>
      <c r="I9" s="325"/>
      <c r="J9" s="326"/>
      <c r="K9" s="326"/>
      <c r="L9" s="326"/>
      <c r="M9" s="326"/>
      <c r="N9" s="326"/>
      <c r="O9" s="326"/>
      <c r="P9" s="326"/>
      <c r="Q9" s="326"/>
      <c r="R9" s="326"/>
      <c r="S9" s="326"/>
      <c r="T9" s="326"/>
      <c r="U9" s="326"/>
      <c r="V9" s="325"/>
      <c r="W9" s="325"/>
      <c r="X9" s="325"/>
      <c r="Y9" s="325"/>
      <c r="Z9" s="326"/>
      <c r="AA9" s="325"/>
      <c r="AB9" s="325"/>
      <c r="AC9" s="323"/>
      <c r="AD9" s="323"/>
      <c r="AE9" s="324">
        <f t="shared" ref="AE9" si="1">J9/$J$32</f>
        <v>0</v>
      </c>
    </row>
    <row r="10" spans="1:31" ht="15.4" x14ac:dyDescent="0.45">
      <c r="A10" s="283" t="s">
        <v>128</v>
      </c>
      <c r="B10" s="325">
        <v>3773994</v>
      </c>
      <c r="C10" s="325">
        <v>14625240</v>
      </c>
      <c r="D10" s="325">
        <v>4404816</v>
      </c>
      <c r="E10" s="325">
        <v>417355</v>
      </c>
      <c r="F10" s="325"/>
      <c r="G10" s="325"/>
      <c r="H10" s="325">
        <v>691022</v>
      </c>
      <c r="I10" s="325"/>
      <c r="J10" s="326">
        <v>23912427</v>
      </c>
      <c r="K10" s="326">
        <v>17776642</v>
      </c>
      <c r="L10" s="326">
        <v>16300528</v>
      </c>
      <c r="M10" s="326">
        <v>12899261</v>
      </c>
      <c r="N10" s="326">
        <v>6820298</v>
      </c>
      <c r="O10" s="326">
        <v>10206290</v>
      </c>
      <c r="P10" s="326">
        <v>4053770</v>
      </c>
      <c r="Q10" s="326">
        <v>2034515</v>
      </c>
      <c r="R10" s="326">
        <v>-2745315</v>
      </c>
      <c r="S10" s="326">
        <v>20618233</v>
      </c>
      <c r="T10" s="326">
        <v>22649</v>
      </c>
      <c r="U10" s="326">
        <v>13421674</v>
      </c>
      <c r="V10" s="325">
        <v>3954469</v>
      </c>
      <c r="W10" s="325">
        <v>70672832</v>
      </c>
      <c r="X10" s="325">
        <v>12739207</v>
      </c>
      <c r="Y10" s="325">
        <v>7828171</v>
      </c>
      <c r="Z10" s="326">
        <v>96948280</v>
      </c>
      <c r="AA10" s="325">
        <v>24281863</v>
      </c>
      <c r="AB10" s="325">
        <v>8939261</v>
      </c>
      <c r="AC10" s="323">
        <v>37.200000000000003</v>
      </c>
      <c r="AD10" s="323">
        <v>77.77</v>
      </c>
      <c r="AE10" s="324">
        <f t="shared" ref="AE10:AE31" si="2">J10/$J$32</f>
        <v>1.0081471668370957E-2</v>
      </c>
    </row>
    <row r="11" spans="1:31" ht="15.4" x14ac:dyDescent="0.45">
      <c r="A11" s="283" t="s">
        <v>22</v>
      </c>
      <c r="B11" s="325">
        <v>5081166</v>
      </c>
      <c r="C11" s="325">
        <v>37183157</v>
      </c>
      <c r="D11" s="325">
        <v>2049706</v>
      </c>
      <c r="E11" s="325">
        <v>947711</v>
      </c>
      <c r="F11" s="325"/>
      <c r="G11" s="325">
        <v>1833697</v>
      </c>
      <c r="H11" s="325">
        <v>792782</v>
      </c>
      <c r="I11" s="325"/>
      <c r="J11" s="326">
        <v>47888219</v>
      </c>
      <c r="K11" s="326">
        <v>39852988</v>
      </c>
      <c r="L11" s="326">
        <v>32639248</v>
      </c>
      <c r="M11" s="326">
        <v>14003158</v>
      </c>
      <c r="N11" s="326">
        <v>11963418</v>
      </c>
      <c r="O11" s="326">
        <v>21122053</v>
      </c>
      <c r="P11" s="326">
        <v>5381299</v>
      </c>
      <c r="Q11" s="326">
        <v>2443034</v>
      </c>
      <c r="R11" s="326">
        <v>-3384488</v>
      </c>
      <c r="S11" s="326">
        <v>7764070</v>
      </c>
      <c r="T11" s="326">
        <v>1892994</v>
      </c>
      <c r="U11" s="326">
        <v>3864789</v>
      </c>
      <c r="V11" s="325">
        <v>5985421</v>
      </c>
      <c r="W11" s="325">
        <v>62033949</v>
      </c>
      <c r="X11" s="325">
        <v>18229298</v>
      </c>
      <c r="Y11" s="325">
        <v>12176673</v>
      </c>
      <c r="Z11" s="326">
        <v>98505348</v>
      </c>
      <c r="AA11" s="325">
        <v>34799754</v>
      </c>
      <c r="AB11" s="325">
        <v>12448549</v>
      </c>
      <c r="AC11" s="323">
        <v>34.1</v>
      </c>
      <c r="AD11" s="323">
        <v>75.55</v>
      </c>
      <c r="AE11" s="324">
        <f t="shared" si="2"/>
        <v>2.0189658000722543E-2</v>
      </c>
    </row>
    <row r="12" spans="1:31" ht="15.4" x14ac:dyDescent="0.45">
      <c r="A12" s="283" t="s">
        <v>23</v>
      </c>
      <c r="B12" s="325">
        <v>75393820</v>
      </c>
      <c r="C12" s="325">
        <v>155721143</v>
      </c>
      <c r="D12" s="325">
        <v>4198239</v>
      </c>
      <c r="E12" s="325">
        <v>21665110</v>
      </c>
      <c r="F12" s="325">
        <v>6732268</v>
      </c>
      <c r="G12" s="325">
        <v>29413929</v>
      </c>
      <c r="H12" s="325">
        <v>49743232</v>
      </c>
      <c r="I12" s="325">
        <v>3590870</v>
      </c>
      <c r="J12" s="326">
        <v>346458611</v>
      </c>
      <c r="K12" s="326">
        <v>185784030</v>
      </c>
      <c r="L12" s="326">
        <v>162627242</v>
      </c>
      <c r="M12" s="326">
        <v>101053245</v>
      </c>
      <c r="N12" s="326">
        <v>83052886</v>
      </c>
      <c r="O12" s="326">
        <v>55378001</v>
      </c>
      <c r="P12" s="326">
        <v>47643606</v>
      </c>
      <c r="Q12" s="326">
        <v>31023072</v>
      </c>
      <c r="R12" s="326">
        <v>7575821</v>
      </c>
      <c r="S12" s="326">
        <v>53665511</v>
      </c>
      <c r="T12" s="326">
        <v>-9485913</v>
      </c>
      <c r="U12" s="326">
        <v>36228792</v>
      </c>
      <c r="V12" s="325">
        <v>50731753</v>
      </c>
      <c r="W12" s="325">
        <v>312960467</v>
      </c>
      <c r="X12" s="325">
        <v>156725339</v>
      </c>
      <c r="Y12" s="325">
        <v>19189322</v>
      </c>
      <c r="Z12" s="326">
        <v>548226430</v>
      </c>
      <c r="AA12" s="325">
        <v>287797939</v>
      </c>
      <c r="AB12" s="325">
        <v>71448071</v>
      </c>
      <c r="AC12" s="323">
        <v>42.89</v>
      </c>
      <c r="AD12" s="323">
        <v>53.2</v>
      </c>
      <c r="AE12" s="324">
        <f t="shared" si="2"/>
        <v>0.14606684093838129</v>
      </c>
    </row>
    <row r="13" spans="1:31" ht="15.4" x14ac:dyDescent="0.45">
      <c r="A13" s="283" t="s">
        <v>25</v>
      </c>
      <c r="B13" s="325">
        <v>70352654</v>
      </c>
      <c r="C13" s="325">
        <v>50156408</v>
      </c>
      <c r="D13" s="325">
        <v>20304634</v>
      </c>
      <c r="E13" s="325">
        <v>905297</v>
      </c>
      <c r="F13" s="325"/>
      <c r="G13" s="325">
        <v>22901354</v>
      </c>
      <c r="H13" s="325"/>
      <c r="I13" s="325">
        <v>4071133</v>
      </c>
      <c r="J13" s="326">
        <v>168691480</v>
      </c>
      <c r="K13" s="326">
        <v>60639522</v>
      </c>
      <c r="L13" s="326">
        <v>49433360</v>
      </c>
      <c r="M13" s="326">
        <v>29549545</v>
      </c>
      <c r="N13" s="326">
        <v>22548277</v>
      </c>
      <c r="O13" s="326">
        <v>14326053</v>
      </c>
      <c r="P13" s="326">
        <v>18989078</v>
      </c>
      <c r="Q13" s="326">
        <v>16532690</v>
      </c>
      <c r="R13" s="326">
        <v>10102642</v>
      </c>
      <c r="S13" s="326">
        <v>5272395</v>
      </c>
      <c r="T13" s="326">
        <v>0</v>
      </c>
      <c r="U13" s="326">
        <v>10785435</v>
      </c>
      <c r="V13" s="325">
        <v>10586398</v>
      </c>
      <c r="W13" s="325">
        <v>149722176</v>
      </c>
      <c r="X13" s="325">
        <v>133342826</v>
      </c>
      <c r="Y13" s="325">
        <v>24140709</v>
      </c>
      <c r="Z13" s="326">
        <v>318139313</v>
      </c>
      <c r="AA13" s="325">
        <v>171104159</v>
      </c>
      <c r="AB13" s="325">
        <v>33656884</v>
      </c>
      <c r="AC13" s="323">
        <v>34.18</v>
      </c>
      <c r="AD13" s="323">
        <v>50.5</v>
      </c>
      <c r="AE13" s="324">
        <f t="shared" si="2"/>
        <v>7.1120274672059253E-2</v>
      </c>
    </row>
    <row r="14" spans="1:31" ht="15.4" x14ac:dyDescent="0.45">
      <c r="A14" s="283" t="s">
        <v>26</v>
      </c>
      <c r="B14" s="325">
        <v>72711361</v>
      </c>
      <c r="C14" s="325">
        <v>53482393</v>
      </c>
      <c r="D14" s="325">
        <v>900813</v>
      </c>
      <c r="E14" s="325">
        <v>32136883</v>
      </c>
      <c r="F14" s="325">
        <v>11213561</v>
      </c>
      <c r="G14" s="325">
        <v>12282061</v>
      </c>
      <c r="H14" s="325">
        <v>6747649</v>
      </c>
      <c r="I14" s="325"/>
      <c r="J14" s="326">
        <v>189474721</v>
      </c>
      <c r="K14" s="326">
        <v>86534023</v>
      </c>
      <c r="L14" s="326">
        <v>76367913</v>
      </c>
      <c r="M14" s="326">
        <v>41077845</v>
      </c>
      <c r="N14" s="326">
        <v>31076585</v>
      </c>
      <c r="O14" s="326">
        <v>49628516</v>
      </c>
      <c r="P14" s="326">
        <v>28493363</v>
      </c>
      <c r="Q14" s="326">
        <v>30166401</v>
      </c>
      <c r="R14" s="326">
        <v>-2664150</v>
      </c>
      <c r="S14" s="326">
        <v>5575859</v>
      </c>
      <c r="T14" s="326">
        <v>120000</v>
      </c>
      <c r="U14" s="326">
        <v>2158196</v>
      </c>
      <c r="V14" s="325">
        <v>15303886</v>
      </c>
      <c r="W14" s="325">
        <v>132595233</v>
      </c>
      <c r="X14" s="325">
        <v>36739707</v>
      </c>
      <c r="Y14" s="325">
        <v>5763983</v>
      </c>
      <c r="Z14" s="326">
        <v>194604526</v>
      </c>
      <c r="AA14" s="325">
        <v>83989095</v>
      </c>
      <c r="AB14" s="325">
        <v>25572117</v>
      </c>
      <c r="AC14" s="323">
        <v>29.17</v>
      </c>
      <c r="AD14" s="323">
        <v>73.33</v>
      </c>
      <c r="AE14" s="324">
        <f t="shared" si="2"/>
        <v>7.9882482511456979E-2</v>
      </c>
    </row>
    <row r="15" spans="1:31" ht="15.4" x14ac:dyDescent="0.45">
      <c r="A15" s="283" t="s">
        <v>28</v>
      </c>
      <c r="B15" s="325">
        <v>97159083</v>
      </c>
      <c r="C15" s="325">
        <v>92641190</v>
      </c>
      <c r="D15" s="325">
        <v>6398469</v>
      </c>
      <c r="E15" s="325">
        <v>6447097</v>
      </c>
      <c r="F15" s="325">
        <v>1344349</v>
      </c>
      <c r="G15" s="325">
        <v>13857994</v>
      </c>
      <c r="H15" s="325">
        <v>4332227</v>
      </c>
      <c r="I15" s="325">
        <v>5401514</v>
      </c>
      <c r="J15" s="326">
        <v>227581921</v>
      </c>
      <c r="K15" s="326">
        <v>108687534</v>
      </c>
      <c r="L15" s="326">
        <v>88816854</v>
      </c>
      <c r="M15" s="326">
        <v>91137704</v>
      </c>
      <c r="N15" s="326">
        <v>44192208</v>
      </c>
      <c r="O15" s="326">
        <v>41070710</v>
      </c>
      <c r="P15" s="326">
        <v>26112168</v>
      </c>
      <c r="Q15" s="326">
        <v>19732510</v>
      </c>
      <c r="R15" s="326">
        <v>-2825722</v>
      </c>
      <c r="S15" s="326">
        <v>27327371</v>
      </c>
      <c r="T15" s="326">
        <v>0</v>
      </c>
      <c r="U15" s="326">
        <v>15050217</v>
      </c>
      <c r="V15" s="325">
        <v>51888096</v>
      </c>
      <c r="W15" s="325">
        <v>141986810</v>
      </c>
      <c r="X15" s="325">
        <v>122150640</v>
      </c>
      <c r="Y15" s="325">
        <v>7124105</v>
      </c>
      <c r="Z15" s="326">
        <v>335552239</v>
      </c>
      <c r="AA15" s="325">
        <v>192783175</v>
      </c>
      <c r="AB15" s="325">
        <v>43216561</v>
      </c>
      <c r="AC15" s="323">
        <v>40.71</v>
      </c>
      <c r="AD15" s="323">
        <v>61.89</v>
      </c>
      <c r="AE15" s="324">
        <f t="shared" si="2"/>
        <v>9.5948465991968837E-2</v>
      </c>
    </row>
    <row r="16" spans="1:31" ht="15.4" x14ac:dyDescent="0.45">
      <c r="A16" s="283" t="s">
        <v>46</v>
      </c>
      <c r="B16" s="325">
        <v>2088024</v>
      </c>
      <c r="C16" s="325">
        <v>17902415</v>
      </c>
      <c r="D16" s="325">
        <v>1076433</v>
      </c>
      <c r="E16" s="325">
        <v>81911</v>
      </c>
      <c r="F16" s="325"/>
      <c r="G16" s="325">
        <v>2781452</v>
      </c>
      <c r="H16" s="325">
        <v>1535712</v>
      </c>
      <c r="I16" s="325"/>
      <c r="J16" s="326">
        <v>25465948</v>
      </c>
      <c r="K16" s="326">
        <v>21483837</v>
      </c>
      <c r="L16" s="326">
        <v>19138083</v>
      </c>
      <c r="M16" s="326">
        <v>11443933</v>
      </c>
      <c r="N16" s="326">
        <v>4675443</v>
      </c>
      <c r="O16" s="326">
        <v>13624598</v>
      </c>
      <c r="P16" s="326">
        <v>3640668</v>
      </c>
      <c r="Q16" s="326">
        <v>1157084</v>
      </c>
      <c r="R16" s="326">
        <v>-1645542</v>
      </c>
      <c r="S16" s="326">
        <v>5123256</v>
      </c>
      <c r="T16" s="326">
        <v>450650</v>
      </c>
      <c r="U16" s="326">
        <v>3928364</v>
      </c>
      <c r="V16" s="325">
        <v>7790684</v>
      </c>
      <c r="W16" s="325">
        <v>46148137</v>
      </c>
      <c r="X16" s="325">
        <v>14501667</v>
      </c>
      <c r="Y16" s="325">
        <v>5140887</v>
      </c>
      <c r="Z16" s="326">
        <v>73581375</v>
      </c>
      <c r="AA16" s="325">
        <v>13587946</v>
      </c>
      <c r="AB16" s="325">
        <v>4651766</v>
      </c>
      <c r="AC16" s="323">
        <v>23.04</v>
      </c>
      <c r="AD16" s="323">
        <v>85.07</v>
      </c>
      <c r="AE16" s="324">
        <f t="shared" si="2"/>
        <v>1.0736435631155634E-2</v>
      </c>
    </row>
    <row r="17" spans="1:36" ht="15.4" x14ac:dyDescent="0.45">
      <c r="A17" s="283" t="s">
        <v>69</v>
      </c>
      <c r="B17" s="325">
        <v>1021303</v>
      </c>
      <c r="C17" s="325">
        <v>21367169</v>
      </c>
      <c r="D17" s="325"/>
      <c r="E17" s="325">
        <v>500</v>
      </c>
      <c r="F17" s="325">
        <v>243801</v>
      </c>
      <c r="G17" s="325">
        <v>740507</v>
      </c>
      <c r="H17" s="325">
        <v>258511</v>
      </c>
      <c r="I17" s="325">
        <v>266082</v>
      </c>
      <c r="J17" s="326">
        <v>23897873</v>
      </c>
      <c r="K17" s="326">
        <v>19740643</v>
      </c>
      <c r="L17" s="326">
        <v>16771045</v>
      </c>
      <c r="M17" s="326">
        <v>4846064</v>
      </c>
      <c r="N17" s="326">
        <v>4347657</v>
      </c>
      <c r="O17" s="326">
        <v>11330358</v>
      </c>
      <c r="P17" s="326">
        <v>4007142</v>
      </c>
      <c r="Q17" s="326">
        <v>1400743</v>
      </c>
      <c r="R17" s="326">
        <v>-1513368</v>
      </c>
      <c r="S17" s="326">
        <v>1833519</v>
      </c>
      <c r="T17" s="326">
        <v>1822661</v>
      </c>
      <c r="U17" s="326">
        <v>1607108</v>
      </c>
      <c r="V17" s="325">
        <v>12967684</v>
      </c>
      <c r="W17" s="325">
        <v>29445166</v>
      </c>
      <c r="X17" s="325">
        <v>2839065</v>
      </c>
      <c r="Y17" s="325">
        <v>20168444</v>
      </c>
      <c r="Z17" s="326">
        <v>65547994</v>
      </c>
      <c r="AA17" s="325">
        <v>9863380</v>
      </c>
      <c r="AB17" s="325">
        <v>3950895</v>
      </c>
      <c r="AC17" s="323">
        <v>23.93</v>
      </c>
      <c r="AD17" s="323">
        <v>84.4</v>
      </c>
      <c r="AE17" s="324">
        <f t="shared" si="2"/>
        <v>1.0075335706569108E-2</v>
      </c>
    </row>
    <row r="18" spans="1:36" ht="15.4" x14ac:dyDescent="0.45">
      <c r="A18" s="283" t="s">
        <v>29</v>
      </c>
      <c r="B18" s="325">
        <v>4801399</v>
      </c>
      <c r="C18" s="325">
        <v>29262765</v>
      </c>
      <c r="D18" s="325">
        <v>935244</v>
      </c>
      <c r="E18" s="325">
        <v>1982863</v>
      </c>
      <c r="F18" s="325">
        <v>6309444</v>
      </c>
      <c r="G18" s="325">
        <v>1341689</v>
      </c>
      <c r="H18" s="325">
        <v>502633</v>
      </c>
      <c r="I18" s="325">
        <v>118528</v>
      </c>
      <c r="J18" s="326">
        <v>45254565</v>
      </c>
      <c r="K18" s="326">
        <v>34142759</v>
      </c>
      <c r="L18" s="326">
        <v>23578613</v>
      </c>
      <c r="M18" s="326">
        <v>14671542</v>
      </c>
      <c r="N18" s="326">
        <v>8496506</v>
      </c>
      <c r="O18" s="326">
        <v>12174269</v>
      </c>
      <c r="P18" s="326">
        <v>6246874</v>
      </c>
      <c r="Q18" s="326">
        <v>2683873</v>
      </c>
      <c r="R18" s="326">
        <v>-655163</v>
      </c>
      <c r="S18" s="326">
        <v>8827282</v>
      </c>
      <c r="T18" s="326">
        <v>564884</v>
      </c>
      <c r="U18" s="326">
        <v>6115902</v>
      </c>
      <c r="V18" s="325">
        <v>5416386</v>
      </c>
      <c r="W18" s="325">
        <v>76894674</v>
      </c>
      <c r="X18" s="325">
        <v>16798596</v>
      </c>
      <c r="Y18" s="325">
        <v>26977114</v>
      </c>
      <c r="Z18" s="326">
        <v>130012214</v>
      </c>
      <c r="AA18" s="325">
        <v>37118747</v>
      </c>
      <c r="AB18" s="325">
        <v>10498331</v>
      </c>
      <c r="AC18" s="323">
        <v>32.35</v>
      </c>
      <c r="AD18" s="323">
        <v>70.14</v>
      </c>
      <c r="AE18" s="324">
        <f t="shared" si="2"/>
        <v>1.9079310306392233E-2</v>
      </c>
    </row>
    <row r="19" spans="1:36" ht="15.4" x14ac:dyDescent="0.45">
      <c r="A19" s="283" t="s">
        <v>31</v>
      </c>
      <c r="B19" s="325">
        <v>2336361</v>
      </c>
      <c r="C19" s="325">
        <v>13961673</v>
      </c>
      <c r="D19" s="325">
        <v>4150330</v>
      </c>
      <c r="E19" s="325">
        <v>1307420</v>
      </c>
      <c r="F19" s="325">
        <v>171117</v>
      </c>
      <c r="G19" s="325">
        <v>875306</v>
      </c>
      <c r="H19" s="325">
        <v>171376</v>
      </c>
      <c r="I19" s="325">
        <v>132805</v>
      </c>
      <c r="J19" s="326">
        <v>23106388</v>
      </c>
      <c r="K19" s="326">
        <v>15470355</v>
      </c>
      <c r="L19" s="326">
        <v>13193869</v>
      </c>
      <c r="M19" s="326">
        <v>17313200</v>
      </c>
      <c r="N19" s="326">
        <v>6076692</v>
      </c>
      <c r="O19" s="326">
        <v>10628619</v>
      </c>
      <c r="P19" s="326">
        <v>3555656</v>
      </c>
      <c r="Q19" s="326">
        <v>1973432</v>
      </c>
      <c r="R19" s="326">
        <v>-5093665</v>
      </c>
      <c r="S19" s="326">
        <v>20084429</v>
      </c>
      <c r="T19" s="326">
        <v>120506</v>
      </c>
      <c r="U19" s="326">
        <v>10395940</v>
      </c>
      <c r="V19" s="325">
        <v>10165619</v>
      </c>
      <c r="W19" s="325">
        <v>68080495</v>
      </c>
      <c r="X19" s="325">
        <v>17572193</v>
      </c>
      <c r="Y19" s="325">
        <v>9211132</v>
      </c>
      <c r="Z19" s="326">
        <v>105037081</v>
      </c>
      <c r="AA19" s="325">
        <v>29748629</v>
      </c>
      <c r="AB19" s="325">
        <v>6122852</v>
      </c>
      <c r="AC19" s="323">
        <v>40.06</v>
      </c>
      <c r="AD19" s="323">
        <v>93.52</v>
      </c>
      <c r="AE19" s="324">
        <f t="shared" si="2"/>
        <v>9.7416458806287905E-3</v>
      </c>
      <c r="AJ19" s="319"/>
    </row>
    <row r="20" spans="1:36" ht="15.4" x14ac:dyDescent="0.45">
      <c r="A20" s="283" t="s">
        <v>32</v>
      </c>
      <c r="B20" s="325">
        <v>6031268</v>
      </c>
      <c r="C20" s="325">
        <v>42827465</v>
      </c>
      <c r="D20" s="325">
        <v>1150855</v>
      </c>
      <c r="E20" s="325">
        <v>308274</v>
      </c>
      <c r="F20" s="325">
        <v>13280937</v>
      </c>
      <c r="G20" s="325">
        <v>2239066</v>
      </c>
      <c r="H20" s="325">
        <v>10386174</v>
      </c>
      <c r="I20" s="325"/>
      <c r="J20" s="326">
        <v>76224039</v>
      </c>
      <c r="K20" s="326">
        <v>46507455</v>
      </c>
      <c r="L20" s="326">
        <v>40343059</v>
      </c>
      <c r="M20" s="326">
        <v>24029469</v>
      </c>
      <c r="N20" s="326">
        <v>17164115</v>
      </c>
      <c r="O20" s="326">
        <v>25650414</v>
      </c>
      <c r="P20" s="326">
        <v>11274304</v>
      </c>
      <c r="Q20" s="326">
        <v>10259772</v>
      </c>
      <c r="R20" s="326">
        <v>-3486002</v>
      </c>
      <c r="S20" s="326">
        <v>7508245</v>
      </c>
      <c r="T20" s="326">
        <v>66115</v>
      </c>
      <c r="U20" s="326">
        <v>2343319</v>
      </c>
      <c r="V20" s="325">
        <v>8680319</v>
      </c>
      <c r="W20" s="325">
        <v>98384994</v>
      </c>
      <c r="X20" s="325">
        <v>28060837</v>
      </c>
      <c r="Y20" s="325">
        <v>2683346</v>
      </c>
      <c r="Z20" s="326">
        <v>137809496</v>
      </c>
      <c r="AA20" s="325">
        <v>59602733</v>
      </c>
      <c r="AB20" s="325">
        <v>24575212</v>
      </c>
      <c r="AC20" s="323">
        <v>33.92</v>
      </c>
      <c r="AD20" s="323">
        <v>72.97</v>
      </c>
      <c r="AE20" s="324">
        <f t="shared" si="2"/>
        <v>3.2136030760378395E-2</v>
      </c>
    </row>
    <row r="21" spans="1:36" ht="15.4" x14ac:dyDescent="0.45">
      <c r="A21" s="283" t="s">
        <v>33</v>
      </c>
      <c r="B21" s="325">
        <v>4755946</v>
      </c>
      <c r="C21" s="325">
        <v>43174622</v>
      </c>
      <c r="D21" s="325">
        <v>2399164</v>
      </c>
      <c r="E21" s="325">
        <v>522586</v>
      </c>
      <c r="F21" s="325">
        <v>3637854</v>
      </c>
      <c r="G21" s="325">
        <v>496307</v>
      </c>
      <c r="H21" s="325">
        <v>2736805</v>
      </c>
      <c r="I21" s="325">
        <v>474835</v>
      </c>
      <c r="J21" s="326">
        <v>58198119</v>
      </c>
      <c r="K21" s="326">
        <v>50474200</v>
      </c>
      <c r="L21" s="326">
        <v>44415947</v>
      </c>
      <c r="M21" s="326">
        <v>20623005</v>
      </c>
      <c r="N21" s="326">
        <v>19642803</v>
      </c>
      <c r="O21" s="326">
        <v>20963111</v>
      </c>
      <c r="P21" s="326">
        <v>8286424</v>
      </c>
      <c r="Q21" s="326">
        <v>3333916</v>
      </c>
      <c r="R21" s="326">
        <v>-1142475</v>
      </c>
      <c r="S21" s="326">
        <v>3337644</v>
      </c>
      <c r="T21" s="326">
        <v>792777</v>
      </c>
      <c r="U21" s="326">
        <v>2987946</v>
      </c>
      <c r="V21" s="325">
        <v>307313</v>
      </c>
      <c r="W21" s="325">
        <v>74790133</v>
      </c>
      <c r="X21" s="325">
        <v>17119432</v>
      </c>
      <c r="Y21" s="325">
        <v>5257845</v>
      </c>
      <c r="Z21" s="326">
        <v>97474723</v>
      </c>
      <c r="AA21" s="325">
        <v>35408974</v>
      </c>
      <c r="AB21" s="325">
        <v>11220673</v>
      </c>
      <c r="AC21" s="323">
        <v>41.14</v>
      </c>
      <c r="AD21" s="323">
        <v>61.26</v>
      </c>
      <c r="AE21" s="324">
        <f t="shared" si="2"/>
        <v>2.4536308583439959E-2</v>
      </c>
    </row>
    <row r="22" spans="1:36" ht="15.4" x14ac:dyDescent="0.45">
      <c r="A22" s="283" t="s">
        <v>34</v>
      </c>
      <c r="B22" s="325">
        <v>1202675</v>
      </c>
      <c r="C22" s="325">
        <v>33725307</v>
      </c>
      <c r="D22" s="325">
        <v>790104</v>
      </c>
      <c r="E22" s="325">
        <v>1789</v>
      </c>
      <c r="F22" s="325">
        <v>1530832</v>
      </c>
      <c r="G22" s="325">
        <v>239634</v>
      </c>
      <c r="H22" s="325">
        <v>637653</v>
      </c>
      <c r="I22" s="325">
        <v>0</v>
      </c>
      <c r="J22" s="326">
        <v>38127994</v>
      </c>
      <c r="K22" s="326">
        <v>36271736</v>
      </c>
      <c r="L22" s="326">
        <v>29099323</v>
      </c>
      <c r="M22" s="326">
        <v>5103737</v>
      </c>
      <c r="N22" s="326">
        <v>4928612</v>
      </c>
      <c r="O22" s="326">
        <v>17957538</v>
      </c>
      <c r="P22" s="326">
        <v>4703307</v>
      </c>
      <c r="Q22" s="326">
        <v>596882</v>
      </c>
      <c r="R22" s="326">
        <v>2106748</v>
      </c>
      <c r="S22" s="326">
        <v>3870632</v>
      </c>
      <c r="T22" s="326">
        <v>0</v>
      </c>
      <c r="U22" s="326">
        <v>4483035</v>
      </c>
      <c r="V22" s="325">
        <v>1541212</v>
      </c>
      <c r="W22" s="325">
        <v>45158461</v>
      </c>
      <c r="X22" s="325">
        <v>19461040</v>
      </c>
      <c r="Y22" s="325">
        <v>16559320</v>
      </c>
      <c r="Z22" s="326">
        <v>82720033</v>
      </c>
      <c r="AA22" s="325">
        <v>15907097</v>
      </c>
      <c r="AB22" s="325">
        <v>8198001</v>
      </c>
      <c r="AC22" s="323">
        <v>16.600000000000001</v>
      </c>
      <c r="AD22" s="323">
        <v>76.31</v>
      </c>
      <c r="AE22" s="324">
        <f t="shared" si="2"/>
        <v>1.6074750224342255E-2</v>
      </c>
    </row>
    <row r="23" spans="1:36" ht="15.4" x14ac:dyDescent="0.45">
      <c r="A23" s="283" t="s">
        <v>35</v>
      </c>
      <c r="B23" s="325">
        <v>3070413</v>
      </c>
      <c r="C23" s="325">
        <v>35285794</v>
      </c>
      <c r="D23" s="325">
        <v>1539302</v>
      </c>
      <c r="E23" s="325">
        <v>1266747</v>
      </c>
      <c r="F23" s="325">
        <v>1071970</v>
      </c>
      <c r="G23" s="325">
        <v>700637</v>
      </c>
      <c r="H23" s="325">
        <v>3330994</v>
      </c>
      <c r="I23" s="325"/>
      <c r="J23" s="326">
        <v>46265857</v>
      </c>
      <c r="K23" s="326">
        <v>36626107</v>
      </c>
      <c r="L23" s="326">
        <v>34264097</v>
      </c>
      <c r="M23" s="326">
        <v>18688668</v>
      </c>
      <c r="N23" s="326">
        <v>13073827</v>
      </c>
      <c r="O23" s="326">
        <v>17038163</v>
      </c>
      <c r="P23" s="326">
        <v>7305026</v>
      </c>
      <c r="Q23" s="326">
        <v>2555298</v>
      </c>
      <c r="R23" s="326">
        <v>-597621</v>
      </c>
      <c r="S23" s="326">
        <v>6432390</v>
      </c>
      <c r="T23" s="326">
        <v>19682</v>
      </c>
      <c r="U23" s="326">
        <v>5854451</v>
      </c>
      <c r="V23" s="325">
        <v>6021564</v>
      </c>
      <c r="W23" s="325">
        <v>55591902</v>
      </c>
      <c r="X23" s="325">
        <v>26809415</v>
      </c>
      <c r="Y23" s="325">
        <v>27762630</v>
      </c>
      <c r="Z23" s="326">
        <v>117524782</v>
      </c>
      <c r="AA23" s="325">
        <v>36915199</v>
      </c>
      <c r="AB23" s="325">
        <v>10214185</v>
      </c>
      <c r="AC23" s="323">
        <v>35.51</v>
      </c>
      <c r="AD23" s="323">
        <v>66.12</v>
      </c>
      <c r="AE23" s="324">
        <f t="shared" si="2"/>
        <v>1.9505670694087308E-2</v>
      </c>
    </row>
    <row r="24" spans="1:36" ht="15.4" x14ac:dyDescent="0.45">
      <c r="A24" s="283" t="s">
        <v>36</v>
      </c>
      <c r="B24" s="325">
        <v>3983515</v>
      </c>
      <c r="C24" s="325">
        <v>40828734</v>
      </c>
      <c r="D24" s="325">
        <v>2271323</v>
      </c>
      <c r="E24" s="325">
        <v>275744</v>
      </c>
      <c r="F24" s="325">
        <v>346174</v>
      </c>
      <c r="G24" s="325">
        <v>1499505</v>
      </c>
      <c r="H24" s="325">
        <v>8880994</v>
      </c>
      <c r="I24" s="325">
        <v>153257</v>
      </c>
      <c r="J24" s="326">
        <v>58239246</v>
      </c>
      <c r="K24" s="326">
        <v>42295664</v>
      </c>
      <c r="L24" s="326">
        <v>37190078</v>
      </c>
      <c r="M24" s="326">
        <v>17702277</v>
      </c>
      <c r="N24" s="326">
        <v>13274971</v>
      </c>
      <c r="O24" s="326">
        <v>16124395</v>
      </c>
      <c r="P24" s="326">
        <v>7598818</v>
      </c>
      <c r="Q24" s="326">
        <v>4362302</v>
      </c>
      <c r="R24" s="326">
        <v>4554196</v>
      </c>
      <c r="S24" s="326">
        <v>1561458</v>
      </c>
      <c r="T24" s="326">
        <v>92491</v>
      </c>
      <c r="U24" s="326">
        <v>4594027</v>
      </c>
      <c r="V24" s="325">
        <v>17679608</v>
      </c>
      <c r="W24" s="325">
        <v>41531172</v>
      </c>
      <c r="X24" s="325">
        <v>33114387</v>
      </c>
      <c r="Y24" s="325">
        <v>18321761</v>
      </c>
      <c r="Z24" s="326">
        <v>116006351</v>
      </c>
      <c r="AA24" s="325">
        <v>46443188</v>
      </c>
      <c r="AB24" s="325">
        <v>12520607</v>
      </c>
      <c r="AC24" s="323">
        <v>31.95</v>
      </c>
      <c r="AD24" s="323">
        <v>57.09</v>
      </c>
      <c r="AE24" s="324">
        <f t="shared" si="2"/>
        <v>2.4553647713646404E-2</v>
      </c>
    </row>
    <row r="25" spans="1:36" ht="15.4" x14ac:dyDescent="0.45">
      <c r="A25" s="283" t="s">
        <v>38</v>
      </c>
      <c r="B25" s="325">
        <v>15695338</v>
      </c>
      <c r="C25" s="325">
        <v>17824238</v>
      </c>
      <c r="D25" s="325">
        <v>1751014</v>
      </c>
      <c r="E25" s="325">
        <v>4370626</v>
      </c>
      <c r="F25" s="325">
        <v>20971163</v>
      </c>
      <c r="G25" s="325">
        <v>16081260</v>
      </c>
      <c r="H25" s="325">
        <v>743329</v>
      </c>
      <c r="I25" s="325"/>
      <c r="J25" s="326">
        <v>77436968</v>
      </c>
      <c r="K25" s="326">
        <v>21998200</v>
      </c>
      <c r="L25" s="326">
        <v>15352897</v>
      </c>
      <c r="M25" s="326">
        <v>10768622</v>
      </c>
      <c r="N25" s="326">
        <v>4818829</v>
      </c>
      <c r="O25" s="326">
        <v>11021045</v>
      </c>
      <c r="P25" s="326">
        <v>5185786</v>
      </c>
      <c r="Q25" s="326">
        <v>6093093</v>
      </c>
      <c r="R25" s="326">
        <v>420330</v>
      </c>
      <c r="S25" s="326">
        <v>25314037</v>
      </c>
      <c r="T25" s="326">
        <v>72191</v>
      </c>
      <c r="U25" s="326">
        <v>18064591</v>
      </c>
      <c r="V25" s="325">
        <v>19365566</v>
      </c>
      <c r="W25" s="325">
        <v>98783817</v>
      </c>
      <c r="X25" s="325">
        <v>47112933</v>
      </c>
      <c r="Y25" s="325">
        <v>2953910</v>
      </c>
      <c r="Z25" s="326">
        <v>170812581</v>
      </c>
      <c r="AA25" s="325">
        <v>69376610</v>
      </c>
      <c r="AB25" s="325">
        <v>27657262</v>
      </c>
      <c r="AC25" s="323">
        <v>22.47</v>
      </c>
      <c r="AD25" s="323">
        <v>75.569999999999993</v>
      </c>
      <c r="AE25" s="324">
        <f t="shared" si="2"/>
        <v>3.264740124356881E-2</v>
      </c>
    </row>
    <row r="26" spans="1:36" ht="15.4" x14ac:dyDescent="0.45">
      <c r="A26" s="283" t="s">
        <v>77</v>
      </c>
      <c r="B26" s="325">
        <v>13022461</v>
      </c>
      <c r="C26" s="325">
        <v>28185344</v>
      </c>
      <c r="D26" s="325">
        <v>1783805</v>
      </c>
      <c r="E26" s="325"/>
      <c r="F26" s="325">
        <v>449162</v>
      </c>
      <c r="G26" s="325"/>
      <c r="H26" s="325">
        <v>1265958</v>
      </c>
      <c r="I26" s="325"/>
      <c r="J26" s="326">
        <v>44706730</v>
      </c>
      <c r="K26" s="326">
        <v>30937134</v>
      </c>
      <c r="L26" s="326">
        <v>22763206</v>
      </c>
      <c r="M26" s="326">
        <v>13677183</v>
      </c>
      <c r="N26" s="326">
        <v>4882736</v>
      </c>
      <c r="O26" s="326">
        <v>17910018</v>
      </c>
      <c r="P26" s="326">
        <v>3085591</v>
      </c>
      <c r="Q26" s="326">
        <v>1163940</v>
      </c>
      <c r="R26" s="326">
        <v>-1951199</v>
      </c>
      <c r="S26" s="326">
        <v>5611078</v>
      </c>
      <c r="T26" s="326">
        <v>0</v>
      </c>
      <c r="U26" s="326">
        <v>3119909</v>
      </c>
      <c r="V26" s="325">
        <v>677127</v>
      </c>
      <c r="W26" s="325">
        <v>51269644</v>
      </c>
      <c r="X26" s="325">
        <v>35289220</v>
      </c>
      <c r="Y26" s="325">
        <v>6576599</v>
      </c>
      <c r="Z26" s="326">
        <v>95134986</v>
      </c>
      <c r="AA26" s="325">
        <v>31930849</v>
      </c>
      <c r="AB26" s="325">
        <v>7024977</v>
      </c>
      <c r="AC26" s="323">
        <v>20.41</v>
      </c>
      <c r="AD26" s="323">
        <v>87.75</v>
      </c>
      <c r="AE26" s="324">
        <f t="shared" si="2"/>
        <v>1.8848343243473776E-2</v>
      </c>
    </row>
    <row r="27" spans="1:36" ht="15.4" x14ac:dyDescent="0.45">
      <c r="A27" s="283" t="s">
        <v>39</v>
      </c>
      <c r="B27" s="325">
        <v>76234485</v>
      </c>
      <c r="C27" s="325">
        <v>81055497</v>
      </c>
      <c r="D27" s="325">
        <v>4372825</v>
      </c>
      <c r="E27" s="325">
        <v>10263731</v>
      </c>
      <c r="F27" s="325">
        <v>6821121</v>
      </c>
      <c r="G27" s="325">
        <v>21437811</v>
      </c>
      <c r="H27" s="325">
        <v>16078362</v>
      </c>
      <c r="I27" s="325"/>
      <c r="J27" s="326">
        <v>216263832</v>
      </c>
      <c r="K27" s="326">
        <v>138386329</v>
      </c>
      <c r="L27" s="326">
        <v>128355237</v>
      </c>
      <c r="M27" s="326">
        <v>63606172</v>
      </c>
      <c r="N27" s="326">
        <v>55346424</v>
      </c>
      <c r="O27" s="326">
        <v>101610365</v>
      </c>
      <c r="P27" s="326">
        <v>22082659</v>
      </c>
      <c r="Q27" s="326">
        <v>16078666</v>
      </c>
      <c r="R27" s="326">
        <v>-34605545</v>
      </c>
      <c r="S27" s="326">
        <v>31066849</v>
      </c>
      <c r="T27" s="326">
        <v>29395183</v>
      </c>
      <c r="U27" s="326">
        <v>18099541</v>
      </c>
      <c r="V27" s="325">
        <v>126800271</v>
      </c>
      <c r="W27" s="325">
        <v>391463051</v>
      </c>
      <c r="X27" s="325">
        <v>57726444</v>
      </c>
      <c r="Y27" s="325">
        <v>138222974</v>
      </c>
      <c r="Z27" s="326">
        <v>717552374</v>
      </c>
      <c r="AA27" s="325">
        <v>187867907</v>
      </c>
      <c r="AB27" s="325">
        <v>133048708</v>
      </c>
      <c r="AC27" s="323">
        <v>38.32</v>
      </c>
      <c r="AD27" s="323">
        <v>85.64</v>
      </c>
      <c r="AE27" s="324">
        <f t="shared" si="2"/>
        <v>9.1176763245375977E-2</v>
      </c>
    </row>
    <row r="28" spans="1:36" ht="15.4" x14ac:dyDescent="0.45">
      <c r="A28" s="283" t="s">
        <v>40</v>
      </c>
      <c r="B28" s="325">
        <v>42335704</v>
      </c>
      <c r="C28" s="325">
        <v>80331718</v>
      </c>
      <c r="D28" s="325">
        <v>12851104</v>
      </c>
      <c r="E28" s="325">
        <v>3676857</v>
      </c>
      <c r="F28" s="325">
        <v>11013057</v>
      </c>
      <c r="G28" s="325">
        <v>8090832</v>
      </c>
      <c r="H28" s="325">
        <v>17609330</v>
      </c>
      <c r="I28" s="325">
        <v>0</v>
      </c>
      <c r="J28" s="326">
        <v>175908602</v>
      </c>
      <c r="K28" s="326">
        <v>105492674</v>
      </c>
      <c r="L28" s="326">
        <v>117800492</v>
      </c>
      <c r="M28" s="326">
        <v>56826215</v>
      </c>
      <c r="N28" s="326">
        <v>50292152</v>
      </c>
      <c r="O28" s="326">
        <v>51457013</v>
      </c>
      <c r="P28" s="326">
        <v>28152898</v>
      </c>
      <c r="Q28" s="326">
        <v>16551175</v>
      </c>
      <c r="R28" s="326">
        <v>4449604</v>
      </c>
      <c r="S28" s="326">
        <v>24287999</v>
      </c>
      <c r="T28" s="326">
        <v>58008</v>
      </c>
      <c r="U28" s="326">
        <v>24069304</v>
      </c>
      <c r="V28" s="325">
        <v>4812292</v>
      </c>
      <c r="W28" s="325">
        <v>520408313</v>
      </c>
      <c r="X28" s="325">
        <v>60911783</v>
      </c>
      <c r="Y28" s="325">
        <v>2816971</v>
      </c>
      <c r="Z28" s="326">
        <v>588949359</v>
      </c>
      <c r="AA28" s="325">
        <v>147483657</v>
      </c>
      <c r="AB28" s="325">
        <v>70715128</v>
      </c>
      <c r="AC28" s="323">
        <v>37.43</v>
      </c>
      <c r="AD28" s="323">
        <v>59.25</v>
      </c>
      <c r="AE28" s="324">
        <f t="shared" si="2"/>
        <v>7.4163011027100781E-2</v>
      </c>
    </row>
    <row r="29" spans="1:36" ht="15.4" x14ac:dyDescent="0.45">
      <c r="A29" s="283" t="s">
        <v>90</v>
      </c>
      <c r="B29" s="325">
        <v>9053535</v>
      </c>
      <c r="C29" s="325">
        <v>46570758</v>
      </c>
      <c r="D29" s="325">
        <v>4379720</v>
      </c>
      <c r="E29" s="325">
        <v>1139918</v>
      </c>
      <c r="F29" s="325">
        <v>2686907</v>
      </c>
      <c r="G29" s="325"/>
      <c r="H29" s="325">
        <v>2365592</v>
      </c>
      <c r="I29" s="325"/>
      <c r="J29" s="326">
        <v>66196430</v>
      </c>
      <c r="K29" s="326">
        <v>53001047</v>
      </c>
      <c r="L29" s="326">
        <v>42709400</v>
      </c>
      <c r="M29" s="326">
        <v>39660754</v>
      </c>
      <c r="N29" s="326">
        <v>12504282</v>
      </c>
      <c r="O29" s="326">
        <v>21837803</v>
      </c>
      <c r="P29" s="326">
        <v>8274948</v>
      </c>
      <c r="Q29" s="326">
        <v>4096720</v>
      </c>
      <c r="R29" s="326">
        <v>4189087</v>
      </c>
      <c r="S29" s="326">
        <v>9987874</v>
      </c>
      <c r="T29" s="326">
        <v>207321</v>
      </c>
      <c r="U29" s="326">
        <v>10214172</v>
      </c>
      <c r="V29" s="325">
        <v>9688113</v>
      </c>
      <c r="W29" s="325">
        <v>81551559</v>
      </c>
      <c r="X29" s="325">
        <v>29706250</v>
      </c>
      <c r="Y29" s="325">
        <v>14088348</v>
      </c>
      <c r="Z29" s="326">
        <v>138803126</v>
      </c>
      <c r="AA29" s="325">
        <v>63026514</v>
      </c>
      <c r="AB29" s="325">
        <v>10018233</v>
      </c>
      <c r="AC29" s="323">
        <v>26.72</v>
      </c>
      <c r="AD29" s="323">
        <v>64.34</v>
      </c>
      <c r="AE29" s="324">
        <f t="shared" si="2"/>
        <v>2.7908393974074703E-2</v>
      </c>
    </row>
    <row r="30" spans="1:36" ht="15.4" x14ac:dyDescent="0.45">
      <c r="A30" s="283" t="s">
        <v>41</v>
      </c>
      <c r="B30" s="325">
        <v>1293249</v>
      </c>
      <c r="C30" s="325">
        <v>20074858</v>
      </c>
      <c r="D30" s="325">
        <v>1303914</v>
      </c>
      <c r="E30" s="325">
        <v>116152</v>
      </c>
      <c r="F30" s="325">
        <v>279912</v>
      </c>
      <c r="G30" s="325">
        <v>168044</v>
      </c>
      <c r="H30" s="325">
        <v>128131</v>
      </c>
      <c r="I30" s="325"/>
      <c r="J30" s="326">
        <v>23364260</v>
      </c>
      <c r="K30" s="326">
        <v>20652411</v>
      </c>
      <c r="L30" s="326">
        <v>18126917</v>
      </c>
      <c r="M30" s="326">
        <v>7003906</v>
      </c>
      <c r="N30" s="326">
        <v>5421087</v>
      </c>
      <c r="O30" s="326">
        <v>11958726</v>
      </c>
      <c r="P30" s="326">
        <v>1328647</v>
      </c>
      <c r="Q30" s="326">
        <v>1039171</v>
      </c>
      <c r="R30" s="326">
        <v>457628</v>
      </c>
      <c r="S30" s="326">
        <v>8857202</v>
      </c>
      <c r="T30" s="326">
        <v>72340</v>
      </c>
      <c r="U30" s="326">
        <v>6571019</v>
      </c>
      <c r="V30" s="325">
        <v>3295759</v>
      </c>
      <c r="W30" s="325">
        <v>65682454</v>
      </c>
      <c r="X30" s="325">
        <v>10977461</v>
      </c>
      <c r="Y30" s="325">
        <v>1866224</v>
      </c>
      <c r="Z30" s="326">
        <v>82612867</v>
      </c>
      <c r="AA30" s="325">
        <v>17046315</v>
      </c>
      <c r="AB30" s="325">
        <v>3860832</v>
      </c>
      <c r="AC30" s="323">
        <v>28.28</v>
      </c>
      <c r="AD30" s="323">
        <v>69.33</v>
      </c>
      <c r="AE30" s="324">
        <f t="shared" si="2"/>
        <v>9.8503646343573916E-3</v>
      </c>
    </row>
    <row r="31" spans="1:36" ht="15.4" x14ac:dyDescent="0.45">
      <c r="A31" s="283" t="s">
        <v>42</v>
      </c>
      <c r="B31" s="325">
        <v>19201121</v>
      </c>
      <c r="C31" s="325">
        <v>111527504</v>
      </c>
      <c r="D31" s="325">
        <v>9031025</v>
      </c>
      <c r="E31" s="325">
        <v>787374</v>
      </c>
      <c r="F31" s="325">
        <v>5168430</v>
      </c>
      <c r="G31" s="325">
        <v>9857776</v>
      </c>
      <c r="H31" s="325">
        <v>10672579</v>
      </c>
      <c r="I31" s="325"/>
      <c r="J31" s="326">
        <v>166245809</v>
      </c>
      <c r="K31" s="326">
        <v>117378397</v>
      </c>
      <c r="L31" s="326">
        <v>112303355</v>
      </c>
      <c r="M31" s="326">
        <v>55696513</v>
      </c>
      <c r="N31" s="326">
        <v>38618277</v>
      </c>
      <c r="O31" s="326">
        <v>41919003</v>
      </c>
      <c r="P31" s="326">
        <v>30941721</v>
      </c>
      <c r="Q31" s="326">
        <v>11997097</v>
      </c>
      <c r="R31" s="326">
        <v>12821451</v>
      </c>
      <c r="S31" s="326">
        <v>6804949</v>
      </c>
      <c r="T31" s="326">
        <v>0</v>
      </c>
      <c r="U31" s="326">
        <v>16633901</v>
      </c>
      <c r="V31" s="325">
        <v>58638266</v>
      </c>
      <c r="W31" s="325">
        <v>106199917</v>
      </c>
      <c r="X31" s="325">
        <v>69436582</v>
      </c>
      <c r="Y31" s="325">
        <v>8504658</v>
      </c>
      <c r="Z31" s="326">
        <v>249352857</v>
      </c>
      <c r="AA31" s="325">
        <v>81764057</v>
      </c>
      <c r="AB31" s="325">
        <v>65556230</v>
      </c>
      <c r="AC31" s="323">
        <v>31.07</v>
      </c>
      <c r="AD31" s="323">
        <v>58.62</v>
      </c>
      <c r="AE31" s="324">
        <f t="shared" si="2"/>
        <v>7.0089180551138094E-2</v>
      </c>
    </row>
    <row r="32" spans="1:36" ht="15.4" x14ac:dyDescent="0.45">
      <c r="A32" s="283" t="s">
        <v>44</v>
      </c>
      <c r="B32" s="327">
        <f>SUM(B6:B31)</f>
        <v>638847497</v>
      </c>
      <c r="C32" s="327">
        <f t="shared" ref="C32:AB32" si="3">SUM(C6:C31)</f>
        <v>1116455049</v>
      </c>
      <c r="D32" s="327">
        <f t="shared" si="3"/>
        <v>91154035</v>
      </c>
      <c r="E32" s="327">
        <f t="shared" si="3"/>
        <v>101506013</v>
      </c>
      <c r="F32" s="327">
        <f t="shared" si="3"/>
        <v>94310330</v>
      </c>
      <c r="G32" s="327">
        <f t="shared" si="3"/>
        <v>159905804</v>
      </c>
      <c r="H32" s="327">
        <f t="shared" si="3"/>
        <v>148468389</v>
      </c>
      <c r="I32" s="327">
        <f t="shared" si="3"/>
        <v>21271170</v>
      </c>
      <c r="J32" s="327">
        <f t="shared" si="3"/>
        <v>2371918286</v>
      </c>
      <c r="K32" s="327">
        <f t="shared" si="3"/>
        <v>1358894996</v>
      </c>
      <c r="L32" s="327">
        <f t="shared" si="3"/>
        <v>1204774590</v>
      </c>
      <c r="M32" s="327">
        <f t="shared" si="3"/>
        <v>698740513</v>
      </c>
      <c r="N32" s="327">
        <f t="shared" si="3"/>
        <v>482332277</v>
      </c>
      <c r="O32" s="327">
        <f t="shared" si="3"/>
        <v>643246464</v>
      </c>
      <c r="P32" s="327">
        <f t="shared" si="3"/>
        <v>306716324</v>
      </c>
      <c r="Q32" s="327">
        <f t="shared" si="3"/>
        <v>211707019</v>
      </c>
      <c r="R32" s="327">
        <f t="shared" si="3"/>
        <v>-15813454</v>
      </c>
      <c r="S32" s="327">
        <f t="shared" si="3"/>
        <v>305628859</v>
      </c>
      <c r="T32" s="327">
        <f t="shared" si="3"/>
        <v>26596152</v>
      </c>
      <c r="U32" s="327">
        <f t="shared" si="3"/>
        <v>235619116</v>
      </c>
      <c r="V32" s="327">
        <f t="shared" si="3"/>
        <v>479591151</v>
      </c>
      <c r="W32" s="327">
        <f t="shared" si="3"/>
        <v>2894441223</v>
      </c>
      <c r="X32" s="327">
        <f t="shared" si="3"/>
        <v>1054359421</v>
      </c>
      <c r="Y32" s="327">
        <f t="shared" si="3"/>
        <v>439679559</v>
      </c>
      <c r="Z32" s="327">
        <f t="shared" si="3"/>
        <v>4929714527</v>
      </c>
      <c r="AA32" s="327">
        <f t="shared" si="3"/>
        <v>1791550737</v>
      </c>
      <c r="AB32" s="327">
        <f t="shared" si="3"/>
        <v>671540961</v>
      </c>
      <c r="AC32" s="328"/>
      <c r="AD32" s="328"/>
      <c r="AE32" s="329">
        <f>SUM(AE6:AE31)</f>
        <v>0.99999999999999989</v>
      </c>
    </row>
    <row r="33" spans="9:24" x14ac:dyDescent="0.35">
      <c r="V33" s="157"/>
      <c r="X33" s="157"/>
    </row>
    <row r="34" spans="9:24" x14ac:dyDescent="0.35">
      <c r="I34" s="297"/>
    </row>
  </sheetData>
  <mergeCells count="1">
    <mergeCell ref="B1:AE1"/>
  </mergeCells>
  <dataValidations count="1">
    <dataValidation type="list" allowBlank="1" showInputMessage="1" showErrorMessage="1" sqref="A3" xr:uid="{00000000-0002-0000-2900-000000000000}">
      <formula1>$A$6:$A$31</formula1>
    </dataValidation>
  </dataValidations>
  <pageMargins left="0.7" right="0.7" top="0.75" bottom="0.75" header="0.3" footer="0.3"/>
  <customProperties>
    <customPr name="LastActive" r:id="rId1"/>
  </customProperties>
  <legacyDrawing r:id="rId2"/>
</worksheet>
</file>

<file path=xl/worksheets/sheet4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A00-000000000000}">
  <sheetPr>
    <tabColor theme="4"/>
  </sheetPr>
  <dimension ref="A1:AE42"/>
  <sheetViews>
    <sheetView topLeftCell="A5" zoomScale="60" zoomScaleNormal="60" workbookViewId="0">
      <pane xSplit="1" topLeftCell="N1" activePane="topRight" state="frozen"/>
      <selection activeCell="A5" sqref="A5"/>
      <selection pane="topRight" activeCell="AE14" sqref="AE14"/>
    </sheetView>
  </sheetViews>
  <sheetFormatPr defaultColWidth="8.73046875" defaultRowHeight="14.25" x14ac:dyDescent="0.45"/>
  <cols>
    <col min="1" max="1" width="50.73046875" style="330" bestFit="1" customWidth="1"/>
    <col min="2" max="2" width="12.73046875" style="330" bestFit="1" customWidth="1"/>
    <col min="3" max="3" width="13.73046875" style="330" bestFit="1" customWidth="1"/>
    <col min="4" max="4" width="16" style="330" bestFit="1" customWidth="1"/>
    <col min="5" max="8" width="12.3984375" style="330" bestFit="1" customWidth="1"/>
    <col min="9" max="9" width="11.3984375" style="330" bestFit="1" customWidth="1"/>
    <col min="10" max="10" width="14.73046875" style="330" bestFit="1" customWidth="1"/>
    <col min="11" max="11" width="15" style="330" bestFit="1" customWidth="1"/>
    <col min="12" max="12" width="14.3984375" style="330" bestFit="1" customWidth="1"/>
    <col min="13" max="14" width="13.73046875" style="330" bestFit="1" customWidth="1"/>
    <col min="15" max="15" width="14.3984375" style="330" bestFit="1" customWidth="1"/>
    <col min="16" max="16" width="13.3984375" style="330" bestFit="1" customWidth="1"/>
    <col min="17" max="17" width="18.265625" style="330" bestFit="1" customWidth="1"/>
    <col min="18" max="18" width="14.265625" style="330" bestFit="1" customWidth="1"/>
    <col min="19" max="19" width="15.265625" style="330" bestFit="1" customWidth="1"/>
    <col min="20" max="21" width="13.3984375" style="330" bestFit="1" customWidth="1"/>
    <col min="22" max="22" width="12.3984375" style="330" bestFit="1" customWidth="1"/>
    <col min="23" max="24" width="13.73046875" style="330" bestFit="1" customWidth="1"/>
    <col min="25" max="25" width="13" style="330" bestFit="1" customWidth="1"/>
    <col min="26" max="26" width="14.3984375" style="330" bestFit="1" customWidth="1"/>
    <col min="27" max="27" width="13.73046875" style="330" bestFit="1" customWidth="1"/>
    <col min="28" max="28" width="12.3984375" style="330" bestFit="1" customWidth="1"/>
    <col min="29" max="30" width="8.3984375" style="330" bestFit="1" customWidth="1"/>
    <col min="31" max="31" width="8.265625" style="330" bestFit="1" customWidth="1"/>
    <col min="32" max="16384" width="8.73046875" style="330"/>
  </cols>
  <sheetData>
    <row r="1" spans="1:31" ht="23.25" x14ac:dyDescent="0.7">
      <c r="A1" s="351" t="s">
        <v>145</v>
      </c>
      <c r="B1" s="413" t="s">
        <v>92</v>
      </c>
      <c r="C1" s="413"/>
      <c r="D1" s="413"/>
      <c r="E1" s="413"/>
      <c r="F1" s="413"/>
      <c r="G1" s="413"/>
      <c r="H1" s="413"/>
      <c r="I1" s="413"/>
      <c r="J1" s="413"/>
      <c r="K1" s="413"/>
      <c r="L1" s="413"/>
      <c r="M1" s="413"/>
      <c r="N1" s="413"/>
      <c r="O1" s="413"/>
      <c r="P1" s="413"/>
      <c r="Q1" s="413"/>
      <c r="R1" s="413"/>
      <c r="S1" s="413"/>
      <c r="T1" s="413"/>
      <c r="U1" s="413"/>
      <c r="V1" s="413"/>
      <c r="W1" s="413"/>
      <c r="X1" s="413"/>
      <c r="Y1" s="413"/>
      <c r="Z1" s="413"/>
      <c r="AA1" s="413"/>
      <c r="AB1" s="413"/>
      <c r="AC1" s="413"/>
      <c r="AD1" s="413"/>
      <c r="AE1" s="413"/>
    </row>
    <row r="2" spans="1:31" ht="42" customHeight="1" x14ac:dyDescent="0.45">
      <c r="A2" s="350"/>
      <c r="B2" s="348" t="s">
        <v>100</v>
      </c>
      <c r="C2" s="348" t="s">
        <v>101</v>
      </c>
      <c r="D2" s="348" t="s">
        <v>102</v>
      </c>
      <c r="E2" s="348" t="s">
        <v>103</v>
      </c>
      <c r="F2" s="348" t="s">
        <v>104</v>
      </c>
      <c r="G2" s="348" t="s">
        <v>105</v>
      </c>
      <c r="H2" s="348" t="s">
        <v>106</v>
      </c>
      <c r="I2" s="348" t="s">
        <v>107</v>
      </c>
      <c r="J2" s="348" t="s">
        <v>108</v>
      </c>
      <c r="K2" s="348" t="s">
        <v>109</v>
      </c>
      <c r="L2" s="348" t="s">
        <v>110</v>
      </c>
      <c r="M2" s="349" t="s">
        <v>93</v>
      </c>
      <c r="N2" s="348" t="s">
        <v>111</v>
      </c>
      <c r="O2" s="348" t="s">
        <v>112</v>
      </c>
      <c r="P2" s="348" t="s">
        <v>113</v>
      </c>
      <c r="Q2" s="348" t="s">
        <v>97</v>
      </c>
      <c r="R2" s="348" t="s">
        <v>131</v>
      </c>
      <c r="S2" s="348" t="s">
        <v>132</v>
      </c>
      <c r="T2" s="348" t="s">
        <v>133</v>
      </c>
      <c r="U2" s="348" t="s">
        <v>134</v>
      </c>
      <c r="V2" s="348" t="s">
        <v>118</v>
      </c>
      <c r="W2" s="348" t="s">
        <v>119</v>
      </c>
      <c r="X2" s="348" t="s">
        <v>120</v>
      </c>
      <c r="Y2" s="349" t="s">
        <v>121</v>
      </c>
      <c r="Z2" s="348" t="s">
        <v>135</v>
      </c>
      <c r="AA2" s="348" t="s">
        <v>124</v>
      </c>
      <c r="AB2" s="348" t="s">
        <v>125</v>
      </c>
      <c r="AC2" s="347" t="s">
        <v>79</v>
      </c>
      <c r="AD2" s="347" t="s">
        <v>80</v>
      </c>
      <c r="AE2" s="347" t="s">
        <v>19</v>
      </c>
    </row>
    <row r="3" spans="1:31" ht="15.4" x14ac:dyDescent="0.45">
      <c r="A3" s="346" t="s">
        <v>87</v>
      </c>
      <c r="B3" s="345">
        <f t="shared" ref="B3:AE3" si="0">INDEX(B6:B31,MATCH($A$3,$A$6:$A$31,0))</f>
        <v>43657</v>
      </c>
      <c r="C3" s="345">
        <f t="shared" si="0"/>
        <v>1816418</v>
      </c>
      <c r="D3" s="345">
        <f t="shared" si="0"/>
        <v>54962</v>
      </c>
      <c r="E3" s="345">
        <f t="shared" si="0"/>
        <v>0</v>
      </c>
      <c r="F3" s="345">
        <f t="shared" si="0"/>
        <v>41450</v>
      </c>
      <c r="G3" s="345">
        <f t="shared" si="0"/>
        <v>13041</v>
      </c>
      <c r="H3" s="345">
        <f t="shared" si="0"/>
        <v>24719</v>
      </c>
      <c r="I3" s="345">
        <f t="shared" si="0"/>
        <v>0</v>
      </c>
      <c r="J3" s="345">
        <f t="shared" si="0"/>
        <v>1994247</v>
      </c>
      <c r="K3" s="345">
        <f t="shared" si="0"/>
        <v>1815223</v>
      </c>
      <c r="L3" s="345">
        <f t="shared" si="0"/>
        <v>2508683</v>
      </c>
      <c r="M3" s="345">
        <f t="shared" si="0"/>
        <v>489929.58</v>
      </c>
      <c r="N3" s="345">
        <f t="shared" si="0"/>
        <v>441930</v>
      </c>
      <c r="O3" s="345">
        <f t="shared" si="0"/>
        <v>5036379</v>
      </c>
      <c r="P3" s="345">
        <f t="shared" si="0"/>
        <v>250330</v>
      </c>
      <c r="Q3" s="345">
        <f t="shared" si="0"/>
        <v>37625</v>
      </c>
      <c r="R3" s="345">
        <f t="shared" si="0"/>
        <v>-3182330.58</v>
      </c>
      <c r="S3" s="345">
        <f t="shared" si="0"/>
        <v>1784776</v>
      </c>
      <c r="T3" s="345">
        <f t="shared" si="0"/>
        <v>73795</v>
      </c>
      <c r="U3" s="345">
        <f t="shared" si="0"/>
        <v>-1323759.58</v>
      </c>
      <c r="V3" s="345">
        <f t="shared" si="0"/>
        <v>8014060</v>
      </c>
      <c r="W3" s="345">
        <f t="shared" si="0"/>
        <v>16992311</v>
      </c>
      <c r="X3" s="345">
        <f t="shared" si="0"/>
        <v>506731</v>
      </c>
      <c r="Y3" s="345">
        <f t="shared" si="0"/>
        <v>7733855</v>
      </c>
      <c r="Z3" s="345">
        <f t="shared" si="0"/>
        <v>34544773</v>
      </c>
      <c r="AA3" s="345">
        <f t="shared" si="0"/>
        <v>1351119</v>
      </c>
      <c r="AB3" s="345">
        <f t="shared" si="0"/>
        <v>4328768</v>
      </c>
      <c r="AC3" s="345">
        <f t="shared" si="0"/>
        <v>17.36</v>
      </c>
      <c r="AD3" s="345">
        <f t="shared" si="0"/>
        <v>207.62</v>
      </c>
      <c r="AE3" s="345">
        <f t="shared" si="0"/>
        <v>6.4495097633007498E-4</v>
      </c>
    </row>
    <row r="5" spans="1:31" ht="39" x14ac:dyDescent="0.45">
      <c r="A5" s="344" t="s">
        <v>136</v>
      </c>
      <c r="B5" s="342" t="s">
        <v>100</v>
      </c>
      <c r="C5" s="342" t="s">
        <v>101</v>
      </c>
      <c r="D5" s="342" t="s">
        <v>102</v>
      </c>
      <c r="E5" s="342" t="s">
        <v>103</v>
      </c>
      <c r="F5" s="342" t="s">
        <v>104</v>
      </c>
      <c r="G5" s="343" t="s">
        <v>105</v>
      </c>
      <c r="H5" s="343" t="s">
        <v>106</v>
      </c>
      <c r="I5" s="343" t="s">
        <v>107</v>
      </c>
      <c r="J5" s="343" t="s">
        <v>137</v>
      </c>
      <c r="K5" s="342" t="s">
        <v>138</v>
      </c>
      <c r="L5" s="342" t="s">
        <v>110</v>
      </c>
      <c r="M5" s="342" t="s">
        <v>93</v>
      </c>
      <c r="N5" s="342" t="s">
        <v>111</v>
      </c>
      <c r="O5" s="342" t="s">
        <v>112</v>
      </c>
      <c r="P5" s="342" t="s">
        <v>139</v>
      </c>
      <c r="Q5" s="342" t="s">
        <v>140</v>
      </c>
      <c r="R5" s="342" t="s">
        <v>131</v>
      </c>
      <c r="S5" s="342" t="s">
        <v>132</v>
      </c>
      <c r="T5" s="342" t="s">
        <v>133</v>
      </c>
      <c r="U5" s="342" t="s">
        <v>134</v>
      </c>
      <c r="V5" s="342" t="s">
        <v>118</v>
      </c>
      <c r="W5" s="342" t="s">
        <v>119</v>
      </c>
      <c r="X5" s="342" t="s">
        <v>120</v>
      </c>
      <c r="Y5" s="342" t="s">
        <v>121</v>
      </c>
      <c r="Z5" s="342" t="s">
        <v>135</v>
      </c>
      <c r="AA5" s="342" t="s">
        <v>124</v>
      </c>
      <c r="AB5" s="342" t="s">
        <v>125</v>
      </c>
      <c r="AC5" s="341" t="s">
        <v>79</v>
      </c>
      <c r="AD5" s="341" t="s">
        <v>80</v>
      </c>
      <c r="AE5" s="341" t="s">
        <v>19</v>
      </c>
    </row>
    <row r="6" spans="1:31" ht="15.4" x14ac:dyDescent="0.45">
      <c r="A6" s="334" t="s">
        <v>20</v>
      </c>
      <c r="B6" s="336">
        <v>102924697</v>
      </c>
      <c r="C6" s="336">
        <v>19916328</v>
      </c>
      <c r="D6" s="336">
        <v>1251506</v>
      </c>
      <c r="E6" s="336">
        <v>8641216</v>
      </c>
      <c r="F6" s="336">
        <v>2705378</v>
      </c>
      <c r="G6" s="336">
        <v>13509437</v>
      </c>
      <c r="H6" s="336">
        <v>8584917</v>
      </c>
      <c r="I6" s="336">
        <v>7041937</v>
      </c>
      <c r="J6" s="337">
        <v>164575416</v>
      </c>
      <c r="K6" s="337">
        <v>34070423</v>
      </c>
      <c r="L6" s="337">
        <v>31310984</v>
      </c>
      <c r="M6" s="339">
        <v>17855764</v>
      </c>
      <c r="N6" s="339">
        <v>9371652</v>
      </c>
      <c r="O6" s="337">
        <v>29527001</v>
      </c>
      <c r="P6" s="337">
        <v>11793060</v>
      </c>
      <c r="Q6" s="337">
        <v>21460037</v>
      </c>
      <c r="R6" s="337">
        <v>2079308</v>
      </c>
      <c r="S6" s="337">
        <v>7812469</v>
      </c>
      <c r="T6" s="337">
        <v>-13894</v>
      </c>
      <c r="U6" s="337">
        <v>9877883</v>
      </c>
      <c r="V6" s="336">
        <v>34335147</v>
      </c>
      <c r="W6" s="336">
        <v>62738735</v>
      </c>
      <c r="X6" s="336">
        <v>78925132</v>
      </c>
      <c r="Y6" s="338">
        <v>49463049</v>
      </c>
      <c r="Z6" s="337">
        <v>231303333</v>
      </c>
      <c r="AA6" s="336">
        <v>94256165</v>
      </c>
      <c r="AB6" s="336">
        <v>52770432</v>
      </c>
      <c r="AC6" s="335">
        <v>17.760000000000002</v>
      </c>
      <c r="AD6" s="335">
        <v>78.3</v>
      </c>
      <c r="AE6" s="331">
        <f t="shared" ref="AE6:AE32" si="1">J6/$J$32</f>
        <v>5.3224638286595516E-2</v>
      </c>
    </row>
    <row r="7" spans="1:31" ht="15.4" x14ac:dyDescent="0.45">
      <c r="A7" s="334" t="s">
        <v>21</v>
      </c>
      <c r="B7" s="336">
        <v>9680895</v>
      </c>
      <c r="C7" s="336">
        <v>38082463</v>
      </c>
      <c r="D7" s="336">
        <v>2673725</v>
      </c>
      <c r="E7" s="336">
        <v>7487288</v>
      </c>
      <c r="F7" s="338"/>
      <c r="G7" s="336">
        <v>3969699</v>
      </c>
      <c r="H7" s="336">
        <v>3902850</v>
      </c>
      <c r="I7" s="336">
        <v>778289</v>
      </c>
      <c r="J7" s="337">
        <v>66575209</v>
      </c>
      <c r="K7" s="337">
        <v>47844041</v>
      </c>
      <c r="L7" s="337">
        <v>41418226.539999999</v>
      </c>
      <c r="M7" s="339">
        <v>15627905</v>
      </c>
      <c r="N7" s="339">
        <v>15714482</v>
      </c>
      <c r="O7" s="337">
        <v>13467051</v>
      </c>
      <c r="P7" s="337">
        <v>7999592</v>
      </c>
      <c r="Q7" s="339"/>
      <c r="R7" s="337">
        <v>4237101.54</v>
      </c>
      <c r="S7" s="337">
        <v>4995319</v>
      </c>
      <c r="T7" s="337">
        <v>-1945265</v>
      </c>
      <c r="U7" s="337">
        <v>7287155.54</v>
      </c>
      <c r="V7" s="336">
        <v>6995537</v>
      </c>
      <c r="W7" s="336">
        <v>90463953</v>
      </c>
      <c r="X7" s="336">
        <v>6723120</v>
      </c>
      <c r="Y7" s="338">
        <v>7789011</v>
      </c>
      <c r="Z7" s="337">
        <v>114632686</v>
      </c>
      <c r="AA7" s="336">
        <v>31436660</v>
      </c>
      <c r="AB7" s="336">
        <v>25447883</v>
      </c>
      <c r="AC7" s="335">
        <v>37.94</v>
      </c>
      <c r="AD7" s="335">
        <v>51.83</v>
      </c>
      <c r="AE7" s="331">
        <f t="shared" si="1"/>
        <v>2.1530806386535265E-2</v>
      </c>
    </row>
    <row r="8" spans="1:31" ht="15.4" x14ac:dyDescent="0.45">
      <c r="A8" s="334" t="s">
        <v>87</v>
      </c>
      <c r="B8" s="336">
        <v>43657</v>
      </c>
      <c r="C8" s="336">
        <v>1816418</v>
      </c>
      <c r="D8" s="336">
        <v>54962</v>
      </c>
      <c r="E8" s="338"/>
      <c r="F8" s="336">
        <v>41450</v>
      </c>
      <c r="G8" s="336">
        <v>13041</v>
      </c>
      <c r="H8" s="336">
        <v>24719</v>
      </c>
      <c r="I8" s="338"/>
      <c r="J8" s="337">
        <v>1994247</v>
      </c>
      <c r="K8" s="337">
        <v>1815223</v>
      </c>
      <c r="L8" s="337">
        <v>2508683</v>
      </c>
      <c r="M8" s="339">
        <v>489929.58</v>
      </c>
      <c r="N8" s="339">
        <v>441930</v>
      </c>
      <c r="O8" s="337">
        <v>5036379</v>
      </c>
      <c r="P8" s="337">
        <v>250330</v>
      </c>
      <c r="Q8" s="337">
        <v>37625</v>
      </c>
      <c r="R8" s="337">
        <v>-3182330.58</v>
      </c>
      <c r="S8" s="337">
        <v>1784776</v>
      </c>
      <c r="T8" s="337">
        <v>73795</v>
      </c>
      <c r="U8" s="337">
        <v>-1323759.58</v>
      </c>
      <c r="V8" s="336">
        <v>8014060</v>
      </c>
      <c r="W8" s="336">
        <v>16992311</v>
      </c>
      <c r="X8" s="336">
        <v>506731</v>
      </c>
      <c r="Y8" s="338">
        <v>7733855</v>
      </c>
      <c r="Z8" s="337">
        <v>34544773</v>
      </c>
      <c r="AA8" s="336">
        <v>1351119</v>
      </c>
      <c r="AB8" s="336">
        <v>4328768</v>
      </c>
      <c r="AC8" s="335">
        <v>17.36</v>
      </c>
      <c r="AD8" s="335">
        <v>207.62</v>
      </c>
      <c r="AE8" s="331">
        <f t="shared" si="1"/>
        <v>6.4495097633007498E-4</v>
      </c>
    </row>
    <row r="9" spans="1:31" ht="15.4" x14ac:dyDescent="0.45">
      <c r="A9" s="334" t="s">
        <v>60</v>
      </c>
      <c r="B9" s="336">
        <v>1098803</v>
      </c>
      <c r="C9" s="336">
        <v>5864654</v>
      </c>
      <c r="D9" s="336">
        <v>1282490</v>
      </c>
      <c r="E9" s="338">
        <v>37958</v>
      </c>
      <c r="F9" s="338">
        <v>147511</v>
      </c>
      <c r="G9" s="335"/>
      <c r="H9" s="335">
        <v>394231</v>
      </c>
      <c r="I9" s="335"/>
      <c r="J9" s="335">
        <v>8825647</v>
      </c>
      <c r="K9" s="335">
        <v>7858851</v>
      </c>
      <c r="L9" s="335">
        <v>10658851</v>
      </c>
      <c r="M9" s="335">
        <v>3953998</v>
      </c>
      <c r="N9" s="335">
        <v>3608303</v>
      </c>
      <c r="O9" s="335">
        <v>9051249</v>
      </c>
      <c r="P9" s="335">
        <v>963630</v>
      </c>
      <c r="Q9" s="335"/>
      <c r="R9" s="335">
        <v>-2964331</v>
      </c>
      <c r="S9" s="335">
        <v>9592928</v>
      </c>
      <c r="T9" s="335"/>
      <c r="U9" s="335">
        <v>6628597</v>
      </c>
      <c r="V9" s="335">
        <v>214439</v>
      </c>
      <c r="W9" s="335">
        <v>31451239</v>
      </c>
      <c r="X9" s="335">
        <v>2389104</v>
      </c>
      <c r="Y9" s="335">
        <v>1286213</v>
      </c>
      <c r="Z9" s="335">
        <v>36258876</v>
      </c>
      <c r="AA9" s="335">
        <v>8362764</v>
      </c>
      <c r="AB9" s="335">
        <v>6392047</v>
      </c>
      <c r="AC9" s="335">
        <v>33.85</v>
      </c>
      <c r="AD9" s="335">
        <v>93.96</v>
      </c>
      <c r="AE9" s="331">
        <f t="shared" si="1"/>
        <v>2.8542651183101177E-3</v>
      </c>
    </row>
    <row r="10" spans="1:31" ht="15.4" x14ac:dyDescent="0.45">
      <c r="A10" s="334" t="s">
        <v>128</v>
      </c>
      <c r="B10" s="336">
        <v>7544621</v>
      </c>
      <c r="C10" s="336">
        <v>18060288</v>
      </c>
      <c r="D10" s="336">
        <v>5131054</v>
      </c>
      <c r="E10" s="336">
        <v>479686</v>
      </c>
      <c r="F10" s="338"/>
      <c r="G10" s="338"/>
      <c r="H10" s="336">
        <v>983836</v>
      </c>
      <c r="I10" s="338"/>
      <c r="J10" s="337">
        <v>32199485</v>
      </c>
      <c r="K10" s="337">
        <v>23759718.920000002</v>
      </c>
      <c r="L10" s="337">
        <v>22087737.800000001</v>
      </c>
      <c r="M10" s="339">
        <v>17119627</v>
      </c>
      <c r="N10" s="339">
        <v>8958111</v>
      </c>
      <c r="O10" s="337">
        <v>14492208</v>
      </c>
      <c r="P10" s="337">
        <v>6413961.5800000001</v>
      </c>
      <c r="Q10" s="337">
        <v>2776071.09</v>
      </c>
      <c r="R10" s="337">
        <v>-5000471.6900000004</v>
      </c>
      <c r="S10" s="337">
        <v>17807808.84</v>
      </c>
      <c r="T10" s="337">
        <v>26160.01</v>
      </c>
      <c r="U10" s="337">
        <v>9625123.0399999991</v>
      </c>
      <c r="V10" s="336">
        <v>3369678</v>
      </c>
      <c r="W10" s="336">
        <v>65339944</v>
      </c>
      <c r="X10" s="336">
        <v>12848607</v>
      </c>
      <c r="Y10" s="338">
        <v>10720874</v>
      </c>
      <c r="Z10" s="337">
        <v>94174531</v>
      </c>
      <c r="AA10" s="336">
        <v>25712238</v>
      </c>
      <c r="AB10" s="336">
        <v>8531687</v>
      </c>
      <c r="AC10" s="335">
        <v>36.03</v>
      </c>
      <c r="AD10" s="335">
        <v>84.08</v>
      </c>
      <c r="AE10" s="331">
        <f t="shared" si="1"/>
        <v>1.041349907412452E-2</v>
      </c>
    </row>
    <row r="11" spans="1:31" ht="15.4" x14ac:dyDescent="0.45">
      <c r="A11" s="334" t="s">
        <v>22</v>
      </c>
      <c r="B11" s="336">
        <v>7231363</v>
      </c>
      <c r="C11" s="336">
        <v>47892756</v>
      </c>
      <c r="D11" s="336">
        <v>2574414</v>
      </c>
      <c r="E11" s="336">
        <v>1248404</v>
      </c>
      <c r="F11" s="336">
        <v>2466104</v>
      </c>
      <c r="G11" s="340">
        <v>0</v>
      </c>
      <c r="H11" s="336">
        <v>1675070</v>
      </c>
      <c r="I11" s="336">
        <v>88152</v>
      </c>
      <c r="J11" s="337">
        <v>63176263</v>
      </c>
      <c r="K11" s="337">
        <v>52807471.149999999</v>
      </c>
      <c r="L11" s="337">
        <v>46696507.710000001</v>
      </c>
      <c r="M11" s="339">
        <v>17984857</v>
      </c>
      <c r="N11" s="339">
        <v>15494440</v>
      </c>
      <c r="O11" s="337">
        <v>29361667.800000001</v>
      </c>
      <c r="P11" s="337">
        <v>7768829</v>
      </c>
      <c r="Q11" s="337">
        <v>3137652</v>
      </c>
      <c r="R11" s="337">
        <v>-2790777.09</v>
      </c>
      <c r="S11" s="337">
        <v>8829815</v>
      </c>
      <c r="T11" s="337">
        <v>2019804</v>
      </c>
      <c r="U11" s="337">
        <v>5609031.9100000001</v>
      </c>
      <c r="V11" s="336">
        <v>5939265</v>
      </c>
      <c r="W11" s="336">
        <v>58187757</v>
      </c>
      <c r="X11" s="336">
        <v>15924058</v>
      </c>
      <c r="Y11" s="338">
        <v>11893836</v>
      </c>
      <c r="Z11" s="337">
        <v>92231079</v>
      </c>
      <c r="AA11" s="336">
        <v>31679441</v>
      </c>
      <c r="AB11" s="336">
        <v>10550352</v>
      </c>
      <c r="AC11" s="335">
        <v>31.09</v>
      </c>
      <c r="AD11" s="335">
        <v>74.510000000000005</v>
      </c>
      <c r="AE11" s="331">
        <f t="shared" si="1"/>
        <v>2.0431567655729503E-2</v>
      </c>
    </row>
    <row r="12" spans="1:31" ht="15.4" x14ac:dyDescent="0.45">
      <c r="A12" s="334" t="s">
        <v>23</v>
      </c>
      <c r="B12" s="336">
        <v>90996184</v>
      </c>
      <c r="C12" s="336">
        <v>192394827</v>
      </c>
      <c r="D12" s="336">
        <v>7183394</v>
      </c>
      <c r="E12" s="336">
        <v>29168351</v>
      </c>
      <c r="F12" s="336">
        <v>10289624</v>
      </c>
      <c r="G12" s="336">
        <v>37744957</v>
      </c>
      <c r="H12" s="336">
        <v>60293365</v>
      </c>
      <c r="I12" s="336">
        <v>4311780</v>
      </c>
      <c r="J12" s="337">
        <v>432382482</v>
      </c>
      <c r="K12" s="337">
        <v>234710387</v>
      </c>
      <c r="L12" s="337">
        <v>223541334</v>
      </c>
      <c r="M12" s="339">
        <v>136233365</v>
      </c>
      <c r="N12" s="339">
        <v>107371518</v>
      </c>
      <c r="O12" s="337">
        <v>81800348</v>
      </c>
      <c r="P12" s="337">
        <v>66757315</v>
      </c>
      <c r="Q12" s="337">
        <v>44317543</v>
      </c>
      <c r="R12" s="337">
        <v>11929696</v>
      </c>
      <c r="S12" s="337">
        <v>47317915.490000002</v>
      </c>
      <c r="T12" s="337">
        <v>4739909.59</v>
      </c>
      <c r="U12" s="337">
        <v>44791264.079999998</v>
      </c>
      <c r="V12" s="336">
        <v>35847978</v>
      </c>
      <c r="W12" s="336">
        <v>317028499</v>
      </c>
      <c r="X12" s="336">
        <v>147504725</v>
      </c>
      <c r="Y12" s="338">
        <v>22235764</v>
      </c>
      <c r="Z12" s="337">
        <v>530340606</v>
      </c>
      <c r="AA12" s="336">
        <v>270162846</v>
      </c>
      <c r="AB12" s="336">
        <v>68642788</v>
      </c>
      <c r="AC12" s="335">
        <v>40.090000000000003</v>
      </c>
      <c r="AD12" s="335">
        <v>55.46</v>
      </c>
      <c r="AE12" s="331">
        <f t="shared" si="1"/>
        <v>0.13983498729792301</v>
      </c>
    </row>
    <row r="13" spans="1:31" ht="15.4" x14ac:dyDescent="0.45">
      <c r="A13" s="334" t="s">
        <v>25</v>
      </c>
      <c r="B13" s="336">
        <v>78633499</v>
      </c>
      <c r="C13" s="336">
        <v>61392269</v>
      </c>
      <c r="D13" s="336">
        <v>21576353</v>
      </c>
      <c r="E13" s="336">
        <v>2730478</v>
      </c>
      <c r="F13" s="338"/>
      <c r="G13" s="336">
        <v>23843809</v>
      </c>
      <c r="H13" s="338"/>
      <c r="I13" s="336">
        <v>4253393</v>
      </c>
      <c r="J13" s="337">
        <v>192429801</v>
      </c>
      <c r="K13" s="337">
        <v>71074906</v>
      </c>
      <c r="L13" s="337">
        <v>65876610</v>
      </c>
      <c r="M13" s="339">
        <v>42530466</v>
      </c>
      <c r="N13" s="339">
        <v>32379651</v>
      </c>
      <c r="O13" s="337">
        <v>19368059</v>
      </c>
      <c r="P13" s="337">
        <v>23926226</v>
      </c>
      <c r="Q13" s="337">
        <v>18112460</v>
      </c>
      <c r="R13" s="337">
        <v>8315134</v>
      </c>
      <c r="S13" s="337">
        <v>21234896</v>
      </c>
      <c r="T13" s="337">
        <v>-2135896</v>
      </c>
      <c r="U13" s="337">
        <v>18163201</v>
      </c>
      <c r="V13" s="336">
        <v>22703132</v>
      </c>
      <c r="W13" s="336">
        <v>155327782</v>
      </c>
      <c r="X13" s="336">
        <v>113317895</v>
      </c>
      <c r="Y13" s="338">
        <v>50290297</v>
      </c>
      <c r="Z13" s="337">
        <v>342105370</v>
      </c>
      <c r="AA13" s="336">
        <v>146686749</v>
      </c>
      <c r="AB13" s="336">
        <v>55510855</v>
      </c>
      <c r="AC13" s="335">
        <v>38.549999999999997</v>
      </c>
      <c r="AD13" s="335">
        <v>51.55</v>
      </c>
      <c r="AE13" s="331">
        <f t="shared" si="1"/>
        <v>6.2232906971880636E-2</v>
      </c>
    </row>
    <row r="14" spans="1:31" ht="15.4" x14ac:dyDescent="0.45">
      <c r="A14" s="334" t="s">
        <v>26</v>
      </c>
      <c r="B14" s="336">
        <v>80245590</v>
      </c>
      <c r="C14" s="336">
        <v>67043844</v>
      </c>
      <c r="D14" s="336">
        <v>964506</v>
      </c>
      <c r="E14" s="336">
        <v>41022209</v>
      </c>
      <c r="F14" s="336">
        <v>17610857</v>
      </c>
      <c r="G14" s="336">
        <v>35547891</v>
      </c>
      <c r="H14" s="336">
        <v>9709645</v>
      </c>
      <c r="I14" s="338"/>
      <c r="J14" s="337">
        <v>252144542</v>
      </c>
      <c r="K14" s="337">
        <v>124072264</v>
      </c>
      <c r="L14" s="337">
        <v>110891887</v>
      </c>
      <c r="M14" s="339">
        <v>57559586</v>
      </c>
      <c r="N14" s="339">
        <v>40700628</v>
      </c>
      <c r="O14" s="337">
        <v>70327133</v>
      </c>
      <c r="P14" s="337">
        <v>36909219</v>
      </c>
      <c r="Q14" s="337">
        <v>40246156</v>
      </c>
      <c r="R14" s="337">
        <v>3201063</v>
      </c>
      <c r="S14" s="337">
        <v>6233307</v>
      </c>
      <c r="T14" s="337">
        <v>454696</v>
      </c>
      <c r="U14" s="337">
        <v>7066785</v>
      </c>
      <c r="V14" s="336">
        <v>33575607</v>
      </c>
      <c r="W14" s="336">
        <v>122812975</v>
      </c>
      <c r="X14" s="336">
        <v>44598913</v>
      </c>
      <c r="Y14" s="338">
        <v>6366932</v>
      </c>
      <c r="Z14" s="337">
        <v>211363976</v>
      </c>
      <c r="AA14" s="336">
        <v>96213544</v>
      </c>
      <c r="AB14" s="336">
        <v>25099301</v>
      </c>
      <c r="AC14" s="335">
        <v>26.93</v>
      </c>
      <c r="AD14" s="335">
        <v>70.95</v>
      </c>
      <c r="AE14" s="331">
        <f t="shared" si="1"/>
        <v>8.1544998457663262E-2</v>
      </c>
    </row>
    <row r="15" spans="1:31" ht="15.4" x14ac:dyDescent="0.45">
      <c r="A15" s="334" t="s">
        <v>28</v>
      </c>
      <c r="B15" s="336">
        <v>109783244</v>
      </c>
      <c r="C15" s="336">
        <v>113176684</v>
      </c>
      <c r="D15" s="336">
        <v>8246413</v>
      </c>
      <c r="E15" s="336">
        <v>8487937</v>
      </c>
      <c r="F15" s="336">
        <v>2291797</v>
      </c>
      <c r="G15" s="336">
        <v>19833748</v>
      </c>
      <c r="H15" s="336">
        <v>4819734</v>
      </c>
      <c r="I15" s="336">
        <v>5897756</v>
      </c>
      <c r="J15" s="337">
        <v>272537312.70999998</v>
      </c>
      <c r="K15" s="337">
        <v>133670575.45</v>
      </c>
      <c r="L15" s="337">
        <v>123803165.14</v>
      </c>
      <c r="M15" s="339">
        <v>158780338.34999999</v>
      </c>
      <c r="N15" s="339">
        <v>56823931</v>
      </c>
      <c r="O15" s="337">
        <v>56102736.479999997</v>
      </c>
      <c r="P15" s="337">
        <v>41463985.770000003</v>
      </c>
      <c r="Q15" s="337">
        <v>27857714.399999999</v>
      </c>
      <c r="R15" s="337">
        <v>-2729773.6</v>
      </c>
      <c r="S15" s="337">
        <v>24226820.82</v>
      </c>
      <c r="T15" s="337">
        <v>910307.92</v>
      </c>
      <c r="U15" s="337">
        <v>11659518.25</v>
      </c>
      <c r="V15" s="336">
        <v>58004469</v>
      </c>
      <c r="W15" s="336">
        <v>136375523</v>
      </c>
      <c r="X15" s="336">
        <v>160549379</v>
      </c>
      <c r="Y15" s="338">
        <v>16881272</v>
      </c>
      <c r="Z15" s="337">
        <v>381712864</v>
      </c>
      <c r="AA15" s="336">
        <v>220535339</v>
      </c>
      <c r="AB15" s="336">
        <v>47858236</v>
      </c>
      <c r="AC15" s="335">
        <v>37.47</v>
      </c>
      <c r="AD15" s="335">
        <v>64.33</v>
      </c>
      <c r="AE15" s="331">
        <f t="shared" si="1"/>
        <v>8.8140138066492985E-2</v>
      </c>
    </row>
    <row r="16" spans="1:31" ht="15.4" x14ac:dyDescent="0.45">
      <c r="A16" s="334" t="s">
        <v>46</v>
      </c>
      <c r="B16" s="336">
        <v>4380171</v>
      </c>
      <c r="C16" s="336">
        <v>26333875</v>
      </c>
      <c r="D16" s="336">
        <v>1407866</v>
      </c>
      <c r="E16" s="336">
        <v>258511</v>
      </c>
      <c r="F16" s="338"/>
      <c r="G16" s="336">
        <v>4217471</v>
      </c>
      <c r="H16" s="336">
        <v>2188710</v>
      </c>
      <c r="I16" s="338"/>
      <c r="J16" s="337">
        <v>38786604.140000001</v>
      </c>
      <c r="K16" s="337">
        <v>31715446.879999999</v>
      </c>
      <c r="L16" s="337">
        <v>26729398.07</v>
      </c>
      <c r="M16" s="339">
        <v>12830493.75</v>
      </c>
      <c r="N16" s="339">
        <v>5438834</v>
      </c>
      <c r="O16" s="337">
        <v>20443114</v>
      </c>
      <c r="P16" s="337">
        <v>5715466</v>
      </c>
      <c r="Q16" s="337">
        <v>2038898.36</v>
      </c>
      <c r="R16" s="337">
        <v>-2829117.28</v>
      </c>
      <c r="S16" s="337">
        <v>7329773</v>
      </c>
      <c r="T16" s="337">
        <v>450650</v>
      </c>
      <c r="U16" s="337">
        <v>3465931.72</v>
      </c>
      <c r="V16" s="336">
        <v>2761608</v>
      </c>
      <c r="W16" s="336">
        <v>50718057</v>
      </c>
      <c r="X16" s="336">
        <v>17398185</v>
      </c>
      <c r="Y16" s="338">
        <v>4919358</v>
      </c>
      <c r="Z16" s="337">
        <v>75797208</v>
      </c>
      <c r="AA16" s="336">
        <v>15214378</v>
      </c>
      <c r="AB16" s="336">
        <v>5703600</v>
      </c>
      <c r="AC16" s="335">
        <v>18.91</v>
      </c>
      <c r="AD16" s="335">
        <v>90.93</v>
      </c>
      <c r="AE16" s="331">
        <f t="shared" si="1"/>
        <v>1.2543811377738629E-2</v>
      </c>
    </row>
    <row r="17" spans="1:31" ht="15.4" x14ac:dyDescent="0.45">
      <c r="A17" s="334" t="s">
        <v>69</v>
      </c>
      <c r="B17" s="336">
        <v>1038392</v>
      </c>
      <c r="C17" s="336">
        <v>26967216</v>
      </c>
      <c r="D17" s="338"/>
      <c r="E17" s="336">
        <v>2387</v>
      </c>
      <c r="F17" s="336">
        <v>1534726</v>
      </c>
      <c r="G17" s="336">
        <v>266282</v>
      </c>
      <c r="H17" s="336">
        <v>546704</v>
      </c>
      <c r="I17" s="338"/>
      <c r="J17" s="337">
        <v>30355707</v>
      </c>
      <c r="K17" s="337">
        <v>24706537</v>
      </c>
      <c r="L17" s="337">
        <v>22027178</v>
      </c>
      <c r="M17" s="339">
        <v>7830060</v>
      </c>
      <c r="N17" s="339">
        <v>7165912</v>
      </c>
      <c r="O17" s="337">
        <v>13759031</v>
      </c>
      <c r="P17" s="337">
        <v>5458836</v>
      </c>
      <c r="Q17" s="337">
        <v>1891160</v>
      </c>
      <c r="R17" s="337">
        <v>-2465441</v>
      </c>
      <c r="S17" s="337">
        <v>3044788</v>
      </c>
      <c r="T17" s="335">
        <v>0</v>
      </c>
      <c r="U17" s="337">
        <v>434510</v>
      </c>
      <c r="V17" s="336">
        <v>12608894</v>
      </c>
      <c r="W17" s="336">
        <v>28813453</v>
      </c>
      <c r="X17" s="336">
        <v>3673849</v>
      </c>
      <c r="Y17" s="338">
        <v>20536284</v>
      </c>
      <c r="Z17" s="337">
        <v>65776598</v>
      </c>
      <c r="AA17" s="336">
        <v>10760603</v>
      </c>
      <c r="AB17" s="336">
        <v>4454875</v>
      </c>
      <c r="AC17" s="335">
        <v>29.96</v>
      </c>
      <c r="AD17" s="335">
        <v>80.349999999999994</v>
      </c>
      <c r="AE17" s="331">
        <f t="shared" si="1"/>
        <v>9.8172106398253037E-3</v>
      </c>
    </row>
    <row r="18" spans="1:31" ht="15.4" x14ac:dyDescent="0.45">
      <c r="A18" s="334" t="s">
        <v>29</v>
      </c>
      <c r="B18" s="336">
        <v>3842394</v>
      </c>
      <c r="C18" s="336">
        <v>25810787</v>
      </c>
      <c r="D18" s="336">
        <v>778137</v>
      </c>
      <c r="E18" s="336">
        <v>1488615</v>
      </c>
      <c r="F18" s="336">
        <v>4995863</v>
      </c>
      <c r="G18" s="336">
        <v>1173877</v>
      </c>
      <c r="H18" s="336">
        <v>439483</v>
      </c>
      <c r="I18" s="336">
        <v>119763</v>
      </c>
      <c r="J18" s="337">
        <v>38648919</v>
      </c>
      <c r="K18" s="337">
        <v>30598979</v>
      </c>
      <c r="L18" s="337">
        <v>24430765</v>
      </c>
      <c r="M18" s="339">
        <v>21346844</v>
      </c>
      <c r="N18" s="339">
        <v>11551602</v>
      </c>
      <c r="O18" s="337">
        <v>16016788</v>
      </c>
      <c r="P18" s="337">
        <v>6546189</v>
      </c>
      <c r="Q18" s="337">
        <v>2086592</v>
      </c>
      <c r="R18" s="337">
        <v>-7597222</v>
      </c>
      <c r="S18" s="337">
        <v>13194756</v>
      </c>
      <c r="T18" s="337">
        <v>729178</v>
      </c>
      <c r="U18" s="337">
        <v>4428706</v>
      </c>
      <c r="V18" s="336">
        <v>6945174</v>
      </c>
      <c r="W18" s="336">
        <v>76707509</v>
      </c>
      <c r="X18" s="336">
        <v>25146561</v>
      </c>
      <c r="Y18" s="338">
        <v>26378427</v>
      </c>
      <c r="Z18" s="337">
        <v>135561585</v>
      </c>
      <c r="AA18" s="336">
        <v>36076271</v>
      </c>
      <c r="AB18" s="336">
        <v>18777373</v>
      </c>
      <c r="AC18" s="335">
        <v>43.56</v>
      </c>
      <c r="AD18" s="335">
        <v>85.09</v>
      </c>
      <c r="AE18" s="331">
        <f t="shared" si="1"/>
        <v>1.2499283209728778E-2</v>
      </c>
    </row>
    <row r="19" spans="1:31" ht="15.4" x14ac:dyDescent="0.45">
      <c r="A19" s="334" t="s">
        <v>31</v>
      </c>
      <c r="B19" s="336">
        <v>4719347</v>
      </c>
      <c r="C19" s="336">
        <v>16905206</v>
      </c>
      <c r="D19" s="336">
        <v>4033128</v>
      </c>
      <c r="E19" s="336">
        <v>1685935</v>
      </c>
      <c r="F19" s="336">
        <v>95399</v>
      </c>
      <c r="G19" s="336">
        <v>957271</v>
      </c>
      <c r="H19" s="336">
        <v>478131</v>
      </c>
      <c r="I19" s="336">
        <v>182374</v>
      </c>
      <c r="J19" s="337">
        <v>29056791</v>
      </c>
      <c r="K19" s="337">
        <v>19460398.800000001</v>
      </c>
      <c r="L19" s="337">
        <v>18777815.879999999</v>
      </c>
      <c r="M19" s="339">
        <v>17726391.07</v>
      </c>
      <c r="N19" s="339">
        <v>7722075</v>
      </c>
      <c r="O19" s="337">
        <v>14959476</v>
      </c>
      <c r="P19" s="337">
        <v>4806141.5199999996</v>
      </c>
      <c r="Q19" s="337">
        <v>2420275</v>
      </c>
      <c r="R19" s="337">
        <v>-6289601.75</v>
      </c>
      <c r="S19" s="337">
        <v>21628793.280000001</v>
      </c>
      <c r="T19" s="337">
        <v>5535655.6100000003</v>
      </c>
      <c r="U19" s="337">
        <v>19633851.140000001</v>
      </c>
      <c r="V19" s="336">
        <v>15757030</v>
      </c>
      <c r="W19" s="336">
        <v>72674926</v>
      </c>
      <c r="X19" s="336">
        <v>13741904</v>
      </c>
      <c r="Y19" s="338">
        <v>11511314</v>
      </c>
      <c r="Z19" s="337">
        <v>113692075</v>
      </c>
      <c r="AA19" s="336">
        <v>25382235</v>
      </c>
      <c r="AB19" s="336">
        <v>7912590</v>
      </c>
      <c r="AC19" s="335">
        <v>36.43</v>
      </c>
      <c r="AD19" s="335">
        <v>93.24</v>
      </c>
      <c r="AE19" s="331">
        <f t="shared" si="1"/>
        <v>9.3971337173724898E-3</v>
      </c>
    </row>
    <row r="20" spans="1:31" ht="15.4" x14ac:dyDescent="0.45">
      <c r="A20" s="334" t="s">
        <v>32</v>
      </c>
      <c r="B20" s="336">
        <v>8548353</v>
      </c>
      <c r="C20" s="336">
        <v>53721363</v>
      </c>
      <c r="D20" s="336">
        <v>1717538</v>
      </c>
      <c r="E20" s="336">
        <v>600220</v>
      </c>
      <c r="F20" s="336">
        <v>19890604</v>
      </c>
      <c r="G20" s="336">
        <v>2682046</v>
      </c>
      <c r="H20" s="336">
        <v>11869724</v>
      </c>
      <c r="I20" s="338"/>
      <c r="J20" s="337">
        <v>99029848</v>
      </c>
      <c r="K20" s="337">
        <v>59644455</v>
      </c>
      <c r="L20" s="337">
        <v>58066481</v>
      </c>
      <c r="M20" s="339">
        <v>26006202</v>
      </c>
      <c r="N20" s="339">
        <v>18628519</v>
      </c>
      <c r="O20" s="337">
        <v>38839089</v>
      </c>
      <c r="P20" s="337">
        <v>16381408</v>
      </c>
      <c r="Q20" s="337">
        <v>13564049</v>
      </c>
      <c r="R20" s="337">
        <v>-2218486</v>
      </c>
      <c r="S20" s="337">
        <v>9938749</v>
      </c>
      <c r="T20" s="337">
        <v>96153</v>
      </c>
      <c r="U20" s="337">
        <v>7816416</v>
      </c>
      <c r="V20" s="336">
        <v>7679709</v>
      </c>
      <c r="W20" s="336">
        <v>100067027</v>
      </c>
      <c r="X20" s="336">
        <v>14543527</v>
      </c>
      <c r="Y20" s="338">
        <v>2540566</v>
      </c>
      <c r="Z20" s="337">
        <v>124830829</v>
      </c>
      <c r="AA20" s="336">
        <v>53285405</v>
      </c>
      <c r="AB20" s="336">
        <v>34277948</v>
      </c>
      <c r="AC20" s="335">
        <v>26.01</v>
      </c>
      <c r="AD20" s="335">
        <v>77.09</v>
      </c>
      <c r="AE20" s="331">
        <f t="shared" si="1"/>
        <v>3.2026823735183715E-2</v>
      </c>
    </row>
    <row r="21" spans="1:31" ht="15.4" x14ac:dyDescent="0.45">
      <c r="A21" s="334" t="s">
        <v>33</v>
      </c>
      <c r="B21" s="336">
        <v>12200331</v>
      </c>
      <c r="C21" s="336">
        <v>55215184</v>
      </c>
      <c r="D21" s="336">
        <v>2699127</v>
      </c>
      <c r="E21" s="336">
        <v>847219</v>
      </c>
      <c r="F21" s="336">
        <v>8976751</v>
      </c>
      <c r="G21" s="336">
        <v>1862037</v>
      </c>
      <c r="H21" s="336">
        <v>4155785</v>
      </c>
      <c r="I21" s="336">
        <v>727856</v>
      </c>
      <c r="J21" s="337">
        <v>86684290</v>
      </c>
      <c r="K21" s="337">
        <v>75542035</v>
      </c>
      <c r="L21" s="337">
        <v>68604951</v>
      </c>
      <c r="M21" s="339">
        <v>27557962</v>
      </c>
      <c r="N21" s="339">
        <v>24912632</v>
      </c>
      <c r="O21" s="337">
        <v>36030665</v>
      </c>
      <c r="P21" s="337">
        <v>14598573</v>
      </c>
      <c r="Q21" s="337">
        <v>3406044</v>
      </c>
      <c r="R21" s="337">
        <v>-3530875</v>
      </c>
      <c r="S21" s="337">
        <v>3948705</v>
      </c>
      <c r="T21" s="337">
        <v>1794239</v>
      </c>
      <c r="U21" s="337">
        <v>2212069</v>
      </c>
      <c r="V21" s="336">
        <v>3351265</v>
      </c>
      <c r="W21" s="336">
        <v>75697992</v>
      </c>
      <c r="X21" s="336">
        <v>11369918</v>
      </c>
      <c r="Y21" s="338">
        <v>5790327</v>
      </c>
      <c r="Z21" s="337">
        <v>96209502</v>
      </c>
      <c r="AA21" s="336">
        <v>35411591</v>
      </c>
      <c r="AB21" s="336">
        <v>10728714</v>
      </c>
      <c r="AC21" s="335">
        <v>34.6</v>
      </c>
      <c r="AD21" s="335">
        <v>70.31</v>
      </c>
      <c r="AE21" s="331">
        <f t="shared" si="1"/>
        <v>2.8034199107723042E-2</v>
      </c>
    </row>
    <row r="22" spans="1:31" ht="15.4" x14ac:dyDescent="0.45">
      <c r="A22" s="334" t="s">
        <v>34</v>
      </c>
      <c r="B22" s="336">
        <v>1435839</v>
      </c>
      <c r="C22" s="336">
        <v>42706334</v>
      </c>
      <c r="D22" s="336">
        <v>877565</v>
      </c>
      <c r="E22" s="336">
        <v>1789</v>
      </c>
      <c r="F22" s="336">
        <v>2219057</v>
      </c>
      <c r="G22" s="336">
        <v>246831</v>
      </c>
      <c r="H22" s="336">
        <v>713456</v>
      </c>
      <c r="I22" s="340">
        <v>0</v>
      </c>
      <c r="J22" s="337">
        <v>48200871</v>
      </c>
      <c r="K22" s="337">
        <v>46304618</v>
      </c>
      <c r="L22" s="337">
        <v>37226916</v>
      </c>
      <c r="M22" s="339">
        <v>7478204</v>
      </c>
      <c r="N22" s="339">
        <v>7303079</v>
      </c>
      <c r="O22" s="337">
        <v>23991014</v>
      </c>
      <c r="P22" s="337">
        <v>5994645</v>
      </c>
      <c r="Q22" s="337">
        <v>607363</v>
      </c>
      <c r="R22" s="337">
        <v>545541</v>
      </c>
      <c r="S22" s="337">
        <v>4546742</v>
      </c>
      <c r="T22" s="337">
        <v>3400</v>
      </c>
      <c r="U22" s="337">
        <v>3566978</v>
      </c>
      <c r="V22" s="336">
        <v>1522131</v>
      </c>
      <c r="W22" s="336">
        <v>45871584</v>
      </c>
      <c r="X22" s="336">
        <v>18632749</v>
      </c>
      <c r="Y22" s="338">
        <v>16374145</v>
      </c>
      <c r="Z22" s="337">
        <v>82400609</v>
      </c>
      <c r="AA22" s="336">
        <v>18362849</v>
      </c>
      <c r="AB22" s="336">
        <v>6338883</v>
      </c>
      <c r="AC22" s="335">
        <v>19.3</v>
      </c>
      <c r="AD22" s="335">
        <v>79.260000000000005</v>
      </c>
      <c r="AE22" s="331">
        <f t="shared" si="1"/>
        <v>1.5588439552076547E-2</v>
      </c>
    </row>
    <row r="23" spans="1:31" ht="15.4" x14ac:dyDescent="0.45">
      <c r="A23" s="334" t="s">
        <v>35</v>
      </c>
      <c r="B23" s="336">
        <v>13139613</v>
      </c>
      <c r="C23" s="336">
        <v>47959260</v>
      </c>
      <c r="D23" s="336">
        <v>1616637</v>
      </c>
      <c r="E23" s="336">
        <v>1888052</v>
      </c>
      <c r="F23" s="336">
        <v>1329697</v>
      </c>
      <c r="G23" s="336">
        <v>814687</v>
      </c>
      <c r="H23" s="336">
        <v>3365044</v>
      </c>
      <c r="I23" s="338"/>
      <c r="J23" s="337">
        <v>70112990</v>
      </c>
      <c r="K23" s="337">
        <v>55285203</v>
      </c>
      <c r="L23" s="337">
        <v>53043307</v>
      </c>
      <c r="M23" s="339">
        <v>21344222</v>
      </c>
      <c r="N23" s="339">
        <v>14204693</v>
      </c>
      <c r="O23" s="337">
        <v>24963509</v>
      </c>
      <c r="P23" s="337">
        <v>13367686</v>
      </c>
      <c r="Q23" s="337">
        <v>4167264</v>
      </c>
      <c r="R23" s="337">
        <v>4674683</v>
      </c>
      <c r="S23" s="337">
        <v>8608087</v>
      </c>
      <c r="T23" s="337">
        <v>252048</v>
      </c>
      <c r="U23" s="337">
        <v>11129710</v>
      </c>
      <c r="V23" s="336">
        <v>1732667</v>
      </c>
      <c r="W23" s="336">
        <v>62945528</v>
      </c>
      <c r="X23" s="336">
        <v>23671706</v>
      </c>
      <c r="Y23" s="338">
        <v>28894343</v>
      </c>
      <c r="Z23" s="337">
        <v>121759073</v>
      </c>
      <c r="AA23" s="336">
        <v>32648883</v>
      </c>
      <c r="AB23" s="336">
        <v>13440091</v>
      </c>
      <c r="AC23" s="335">
        <v>24.83</v>
      </c>
      <c r="AD23" s="335">
        <v>67</v>
      </c>
      <c r="AE23" s="331">
        <f t="shared" si="1"/>
        <v>2.2674945156703648E-2</v>
      </c>
    </row>
    <row r="24" spans="1:31" ht="15.4" x14ac:dyDescent="0.45">
      <c r="A24" s="334" t="s">
        <v>36</v>
      </c>
      <c r="B24" s="336">
        <v>5247492</v>
      </c>
      <c r="C24" s="336">
        <v>51066829</v>
      </c>
      <c r="D24" s="336">
        <v>2485262</v>
      </c>
      <c r="E24" s="336">
        <v>7834372</v>
      </c>
      <c r="F24" s="336">
        <v>1251386</v>
      </c>
      <c r="G24" s="336">
        <v>1797031</v>
      </c>
      <c r="H24" s="336">
        <v>15588992</v>
      </c>
      <c r="I24" s="336">
        <v>231431</v>
      </c>
      <c r="J24" s="337">
        <v>85502795</v>
      </c>
      <c r="K24" s="337">
        <v>60104478</v>
      </c>
      <c r="L24" s="337">
        <v>54804023.109999999</v>
      </c>
      <c r="M24" s="339">
        <v>21313860</v>
      </c>
      <c r="N24" s="339">
        <v>16535365</v>
      </c>
      <c r="O24" s="337">
        <v>23463049</v>
      </c>
      <c r="P24" s="337">
        <v>12710701</v>
      </c>
      <c r="Q24" s="337">
        <v>7145782</v>
      </c>
      <c r="R24" s="337">
        <v>9240690.1099999994</v>
      </c>
      <c r="S24" s="337">
        <v>3650007</v>
      </c>
      <c r="T24" s="337">
        <v>92490</v>
      </c>
      <c r="U24" s="337">
        <v>9088231.1099999994</v>
      </c>
      <c r="V24" s="336">
        <v>26098180</v>
      </c>
      <c r="W24" s="336">
        <v>43700626</v>
      </c>
      <c r="X24" s="336">
        <v>36454410</v>
      </c>
      <c r="Y24" s="338">
        <v>18021563</v>
      </c>
      <c r="Z24" s="337">
        <v>131074625</v>
      </c>
      <c r="AA24" s="336">
        <v>55243323</v>
      </c>
      <c r="AB24" s="336">
        <v>14294538</v>
      </c>
      <c r="AC24" s="335">
        <v>26.69</v>
      </c>
      <c r="AD24" s="335">
        <v>58.39</v>
      </c>
      <c r="AE24" s="331">
        <f t="shared" si="1"/>
        <v>2.7652096813584402E-2</v>
      </c>
    </row>
    <row r="25" spans="1:31" ht="15.4" x14ac:dyDescent="0.45">
      <c r="A25" s="334" t="s">
        <v>146</v>
      </c>
      <c r="B25" s="336">
        <v>16468583</v>
      </c>
      <c r="C25" s="336">
        <v>22277149</v>
      </c>
      <c r="D25" s="336">
        <v>1982703</v>
      </c>
      <c r="E25" s="336">
        <v>5278649</v>
      </c>
      <c r="F25" s="336">
        <v>23723338</v>
      </c>
      <c r="G25" s="336">
        <v>17111596</v>
      </c>
      <c r="H25" s="336">
        <v>749829</v>
      </c>
      <c r="I25" s="338"/>
      <c r="J25" s="337">
        <v>87591847</v>
      </c>
      <c r="K25" s="337">
        <v>26051751</v>
      </c>
      <c r="L25" s="337">
        <v>21836578</v>
      </c>
      <c r="M25" s="339">
        <v>12758670</v>
      </c>
      <c r="N25" s="339">
        <v>6186904</v>
      </c>
      <c r="O25" s="337">
        <v>16149325</v>
      </c>
      <c r="P25" s="337">
        <v>7137183</v>
      </c>
      <c r="Q25" s="337">
        <v>8458716</v>
      </c>
      <c r="R25" s="337">
        <v>821882</v>
      </c>
      <c r="S25" s="337">
        <v>13753920</v>
      </c>
      <c r="T25" s="337">
        <v>114466.43</v>
      </c>
      <c r="U25" s="337">
        <v>6051414.4299999997</v>
      </c>
      <c r="V25" s="336">
        <v>23431519</v>
      </c>
      <c r="W25" s="336">
        <v>76241266</v>
      </c>
      <c r="X25" s="336">
        <v>40817078</v>
      </c>
      <c r="Y25" s="338">
        <v>2551334</v>
      </c>
      <c r="Z25" s="337">
        <v>146217863</v>
      </c>
      <c r="AA25" s="336">
        <v>55344779</v>
      </c>
      <c r="AB25" s="336">
        <v>29107554</v>
      </c>
      <c r="AC25" s="335">
        <v>20.420000000000002</v>
      </c>
      <c r="AD25" s="335">
        <v>76.87</v>
      </c>
      <c r="AE25" s="331">
        <f t="shared" si="1"/>
        <v>2.8327708273450856E-2</v>
      </c>
    </row>
    <row r="26" spans="1:31" ht="15.4" x14ac:dyDescent="0.45">
      <c r="A26" s="334" t="s">
        <v>77</v>
      </c>
      <c r="B26" s="336">
        <v>15205805</v>
      </c>
      <c r="C26" s="336">
        <v>37915852</v>
      </c>
      <c r="D26" s="336">
        <v>1937211</v>
      </c>
      <c r="E26" s="336">
        <v>3373000</v>
      </c>
      <c r="F26" s="336">
        <v>450344</v>
      </c>
      <c r="G26" s="340">
        <v>0</v>
      </c>
      <c r="H26" s="336">
        <v>1543904</v>
      </c>
      <c r="I26" s="338"/>
      <c r="J26" s="337">
        <v>60426116</v>
      </c>
      <c r="K26" s="337">
        <v>44410987</v>
      </c>
      <c r="L26" s="337">
        <v>37801036</v>
      </c>
      <c r="M26" s="339">
        <v>18501359.719999999</v>
      </c>
      <c r="N26" s="339">
        <v>7579840</v>
      </c>
      <c r="O26" s="337">
        <v>28991649</v>
      </c>
      <c r="P26" s="337">
        <v>3624067</v>
      </c>
      <c r="Q26" s="337">
        <v>2755232</v>
      </c>
      <c r="R26" s="337">
        <v>360712.28</v>
      </c>
      <c r="S26" s="337">
        <v>8257658</v>
      </c>
      <c r="T26" s="335">
        <v>0</v>
      </c>
      <c r="U26" s="337">
        <v>8554295.2799999993</v>
      </c>
      <c r="V26" s="336">
        <v>636844</v>
      </c>
      <c r="W26" s="336">
        <v>42342861</v>
      </c>
      <c r="X26" s="336">
        <v>39635704</v>
      </c>
      <c r="Y26" s="338">
        <v>6120442</v>
      </c>
      <c r="Z26" s="337">
        <v>90616004</v>
      </c>
      <c r="AA26" s="336">
        <v>23386803</v>
      </c>
      <c r="AB26" s="336">
        <v>4981953</v>
      </c>
      <c r="AC26" s="335">
        <v>18.690000000000001</v>
      </c>
      <c r="AD26" s="335">
        <v>80.42</v>
      </c>
      <c r="AE26" s="331">
        <f t="shared" si="1"/>
        <v>1.9542154261751109E-2</v>
      </c>
    </row>
    <row r="27" spans="1:31" ht="15.4" x14ac:dyDescent="0.45">
      <c r="A27" s="334" t="s">
        <v>39</v>
      </c>
      <c r="B27" s="336">
        <v>174699298</v>
      </c>
      <c r="C27" s="336">
        <v>112936160</v>
      </c>
      <c r="D27" s="336">
        <v>5966783</v>
      </c>
      <c r="E27" s="336">
        <v>16422393</v>
      </c>
      <c r="F27" s="336">
        <v>9307517</v>
      </c>
      <c r="G27" s="336">
        <v>29252202</v>
      </c>
      <c r="H27" s="336">
        <v>21939157</v>
      </c>
      <c r="I27" s="338"/>
      <c r="J27" s="337">
        <v>370523510</v>
      </c>
      <c r="K27" s="337">
        <v>175309791</v>
      </c>
      <c r="L27" s="337">
        <v>167602343</v>
      </c>
      <c r="M27" s="339">
        <v>83444655</v>
      </c>
      <c r="N27" s="339">
        <v>64927388</v>
      </c>
      <c r="O27" s="337">
        <v>141359086</v>
      </c>
      <c r="P27" s="337">
        <v>35666619</v>
      </c>
      <c r="Q27" s="337">
        <v>31531170</v>
      </c>
      <c r="R27" s="337">
        <v>-42819580</v>
      </c>
      <c r="S27" s="337">
        <v>41438136</v>
      </c>
      <c r="T27" s="337">
        <v>18042506</v>
      </c>
      <c r="U27" s="337">
        <v>11662743</v>
      </c>
      <c r="V27" s="336">
        <v>94552698</v>
      </c>
      <c r="W27" s="336">
        <v>383906085</v>
      </c>
      <c r="X27" s="336">
        <v>113446614</v>
      </c>
      <c r="Y27" s="338">
        <v>135828757</v>
      </c>
      <c r="Z27" s="337">
        <v>731052999</v>
      </c>
      <c r="AA27" s="336">
        <v>210771968</v>
      </c>
      <c r="AB27" s="336">
        <v>141084225</v>
      </c>
      <c r="AC27" s="335">
        <v>32.6</v>
      </c>
      <c r="AD27" s="335">
        <v>88.9</v>
      </c>
      <c r="AE27" s="331">
        <f t="shared" si="1"/>
        <v>0.11982943914557539</v>
      </c>
    </row>
    <row r="28" spans="1:31" ht="15.4" x14ac:dyDescent="0.45">
      <c r="A28" s="334" t="s">
        <v>40</v>
      </c>
      <c r="B28" s="336">
        <v>57840796</v>
      </c>
      <c r="C28" s="336">
        <v>100715690</v>
      </c>
      <c r="D28" s="336">
        <v>14950508</v>
      </c>
      <c r="E28" s="336">
        <v>5431065</v>
      </c>
      <c r="F28" s="336">
        <v>17390052</v>
      </c>
      <c r="G28" s="336">
        <v>11727564</v>
      </c>
      <c r="H28" s="336">
        <v>23176235</v>
      </c>
      <c r="I28" s="338"/>
      <c r="J28" s="337">
        <v>231231910</v>
      </c>
      <c r="K28" s="337">
        <v>135647892</v>
      </c>
      <c r="L28" s="337">
        <v>134169104</v>
      </c>
      <c r="M28" s="339">
        <v>76790317</v>
      </c>
      <c r="N28" s="339">
        <v>65422454</v>
      </c>
      <c r="O28" s="337">
        <v>72298226</v>
      </c>
      <c r="P28" s="337">
        <v>38280211</v>
      </c>
      <c r="Q28" s="337">
        <v>21987009</v>
      </c>
      <c r="R28" s="337">
        <v>-19844778</v>
      </c>
      <c r="S28" s="337">
        <v>24910651</v>
      </c>
      <c r="T28" s="337">
        <v>61773</v>
      </c>
      <c r="U28" s="337">
        <v>2009880</v>
      </c>
      <c r="V28" s="336">
        <v>19570923</v>
      </c>
      <c r="W28" s="336">
        <v>506630147</v>
      </c>
      <c r="X28" s="336">
        <v>72974606</v>
      </c>
      <c r="Y28" s="338">
        <v>3872739</v>
      </c>
      <c r="Z28" s="337">
        <v>603048415</v>
      </c>
      <c r="AA28" s="336">
        <v>178074369</v>
      </c>
      <c r="AB28" s="336">
        <v>77222048</v>
      </c>
      <c r="AC28" s="335">
        <v>41.9</v>
      </c>
      <c r="AD28" s="335">
        <v>70.81</v>
      </c>
      <c r="AE28" s="331">
        <f t="shared" si="1"/>
        <v>7.4781732710726412E-2</v>
      </c>
    </row>
    <row r="29" spans="1:31" ht="15.4" x14ac:dyDescent="0.45">
      <c r="A29" s="334" t="s">
        <v>90</v>
      </c>
      <c r="B29" s="336">
        <v>11697590</v>
      </c>
      <c r="C29" s="336">
        <v>58001056</v>
      </c>
      <c r="D29" s="336">
        <v>5688271</v>
      </c>
      <c r="E29" s="336">
        <v>1325409</v>
      </c>
      <c r="F29" s="336">
        <v>3315306</v>
      </c>
      <c r="G29" s="338"/>
      <c r="H29" s="336">
        <v>3712533</v>
      </c>
      <c r="I29" s="338"/>
      <c r="J29" s="337">
        <v>83740165</v>
      </c>
      <c r="K29" s="337">
        <v>65707776.539999999</v>
      </c>
      <c r="L29" s="337">
        <v>58593818.539999999</v>
      </c>
      <c r="M29" s="339">
        <v>38713712</v>
      </c>
      <c r="N29" s="339">
        <v>17082781</v>
      </c>
      <c r="O29" s="337">
        <v>32231971</v>
      </c>
      <c r="P29" s="337">
        <v>10280472</v>
      </c>
      <c r="Q29" s="337">
        <v>5119432</v>
      </c>
      <c r="R29" s="337">
        <v>4118026.54</v>
      </c>
      <c r="S29" s="337">
        <v>15083198</v>
      </c>
      <c r="T29" s="337">
        <v>286238</v>
      </c>
      <c r="U29" s="337">
        <v>14474666.539999999</v>
      </c>
      <c r="V29" s="336">
        <v>5132360</v>
      </c>
      <c r="W29" s="336">
        <v>85873528</v>
      </c>
      <c r="X29" s="336">
        <v>28493833</v>
      </c>
      <c r="Y29" s="338">
        <v>13608871</v>
      </c>
      <c r="Z29" s="337">
        <v>138296817</v>
      </c>
      <c r="AA29" s="336">
        <v>54444201</v>
      </c>
      <c r="AB29" s="336">
        <v>13833743</v>
      </c>
      <c r="AC29" s="335">
        <v>26.81</v>
      </c>
      <c r="AD29" s="335">
        <v>66.72</v>
      </c>
      <c r="AE29" s="331">
        <f t="shared" si="1"/>
        <v>2.7082052110291039E-2</v>
      </c>
    </row>
    <row r="30" spans="1:31" ht="15.4" x14ac:dyDescent="0.45">
      <c r="A30" s="334" t="s">
        <v>41</v>
      </c>
      <c r="B30" s="336">
        <v>2595064</v>
      </c>
      <c r="C30" s="336">
        <v>26270378</v>
      </c>
      <c r="D30" s="336">
        <v>1938750</v>
      </c>
      <c r="E30" s="336">
        <v>288309</v>
      </c>
      <c r="F30" s="336">
        <v>526031</v>
      </c>
      <c r="G30" s="336">
        <v>260366</v>
      </c>
      <c r="H30" s="336">
        <v>128131</v>
      </c>
      <c r="I30" s="338"/>
      <c r="J30" s="337">
        <v>32007029</v>
      </c>
      <c r="K30" s="337">
        <v>27865370</v>
      </c>
      <c r="L30" s="337">
        <v>24587881</v>
      </c>
      <c r="M30" s="339">
        <v>8550192</v>
      </c>
      <c r="N30" s="339">
        <v>6833079</v>
      </c>
      <c r="O30" s="337">
        <v>17017392</v>
      </c>
      <c r="P30" s="337">
        <v>1903622</v>
      </c>
      <c r="Q30" s="337">
        <v>1519930</v>
      </c>
      <c r="R30" s="337">
        <v>353718</v>
      </c>
      <c r="S30" s="337">
        <v>8748096.3499999996</v>
      </c>
      <c r="T30" s="337">
        <v>110150</v>
      </c>
      <c r="U30" s="337">
        <v>6448375.04</v>
      </c>
      <c r="V30" s="336">
        <v>3660700</v>
      </c>
      <c r="W30" s="336">
        <v>65246709</v>
      </c>
      <c r="X30" s="336">
        <v>11604481</v>
      </c>
      <c r="Y30" s="338">
        <v>3271006</v>
      </c>
      <c r="Z30" s="337">
        <v>84509710</v>
      </c>
      <c r="AA30" s="336">
        <v>17980203</v>
      </c>
      <c r="AB30" s="336">
        <v>4946431</v>
      </c>
      <c r="AC30" s="335">
        <v>26.17</v>
      </c>
      <c r="AD30" s="335">
        <v>72.47</v>
      </c>
      <c r="AE30" s="331">
        <f t="shared" si="1"/>
        <v>1.0351257694245008E-2</v>
      </c>
    </row>
    <row r="31" spans="1:31" ht="15.4" x14ac:dyDescent="0.45">
      <c r="A31" s="334" t="s">
        <v>42</v>
      </c>
      <c r="B31" s="336">
        <v>25268463</v>
      </c>
      <c r="C31" s="336">
        <v>145639060</v>
      </c>
      <c r="D31" s="336">
        <v>10497538</v>
      </c>
      <c r="E31" s="336">
        <v>985431</v>
      </c>
      <c r="F31" s="336">
        <v>6402997</v>
      </c>
      <c r="G31" s="336">
        <v>10625690</v>
      </c>
      <c r="H31" s="336">
        <v>13931855</v>
      </c>
      <c r="I31" s="338"/>
      <c r="J31" s="337">
        <v>213351033.59999999</v>
      </c>
      <c r="K31" s="337">
        <v>152028746.37</v>
      </c>
      <c r="L31" s="337">
        <v>142953703.37</v>
      </c>
      <c r="M31" s="339">
        <v>77873407.599999994</v>
      </c>
      <c r="N31" s="339">
        <v>56466189</v>
      </c>
      <c r="O31" s="337">
        <v>61458320.619999997</v>
      </c>
      <c r="P31" s="337">
        <v>38889239.240000002</v>
      </c>
      <c r="Q31" s="337">
        <v>14591476.939999999</v>
      </c>
      <c r="R31" s="337">
        <v>731431.36</v>
      </c>
      <c r="S31" s="337">
        <v>29261107.18</v>
      </c>
      <c r="T31" s="337">
        <v>193187.94</v>
      </c>
      <c r="U31" s="337">
        <v>26195726.48</v>
      </c>
      <c r="V31" s="336">
        <v>72405288</v>
      </c>
      <c r="W31" s="336">
        <v>119151450</v>
      </c>
      <c r="X31" s="336">
        <v>67965478</v>
      </c>
      <c r="Y31" s="338">
        <v>9402178</v>
      </c>
      <c r="Z31" s="337">
        <v>277497827</v>
      </c>
      <c r="AA31" s="336">
        <v>87592518</v>
      </c>
      <c r="AB31" s="336">
        <v>78346432</v>
      </c>
      <c r="AC31" s="335">
        <v>35.840000000000003</v>
      </c>
      <c r="AD31" s="335">
        <v>63.69</v>
      </c>
      <c r="AE31" s="331">
        <f t="shared" si="1"/>
        <v>6.8998954202438623E-2</v>
      </c>
    </row>
    <row r="32" spans="1:31" ht="15.4" x14ac:dyDescent="0.45">
      <c r="A32" s="334" t="s">
        <v>44</v>
      </c>
      <c r="B32" s="333">
        <f t="shared" ref="B32:AB32" si="2">SUM(B6:B31)</f>
        <v>846510084</v>
      </c>
      <c r="C32" s="333">
        <f t="shared" si="2"/>
        <v>1416081930</v>
      </c>
      <c r="D32" s="333">
        <f t="shared" si="2"/>
        <v>109515841</v>
      </c>
      <c r="E32" s="333">
        <f t="shared" si="2"/>
        <v>147014883</v>
      </c>
      <c r="F32" s="333">
        <f t="shared" si="2"/>
        <v>136961789</v>
      </c>
      <c r="G32" s="333">
        <f t="shared" si="2"/>
        <v>217457533</v>
      </c>
      <c r="H32" s="333">
        <f t="shared" si="2"/>
        <v>194916040</v>
      </c>
      <c r="I32" s="333">
        <f t="shared" si="2"/>
        <v>23632731</v>
      </c>
      <c r="J32" s="333">
        <f t="shared" si="2"/>
        <v>3092090830.4500003</v>
      </c>
      <c r="K32" s="333">
        <f t="shared" si="2"/>
        <v>1762068325.1099997</v>
      </c>
      <c r="L32" s="333">
        <f t="shared" si="2"/>
        <v>1630049285.1599998</v>
      </c>
      <c r="M32" s="333">
        <f t="shared" si="2"/>
        <v>948202388.07000005</v>
      </c>
      <c r="N32" s="333">
        <f t="shared" si="2"/>
        <v>628825992</v>
      </c>
      <c r="O32" s="333">
        <f t="shared" si="2"/>
        <v>910505536.89999998</v>
      </c>
      <c r="P32" s="333">
        <f t="shared" si="2"/>
        <v>425607207.11000001</v>
      </c>
      <c r="Q32" s="333">
        <f t="shared" si="2"/>
        <v>281235651.79000002</v>
      </c>
      <c r="R32" s="333">
        <f t="shared" si="2"/>
        <v>-53653798.160000004</v>
      </c>
      <c r="S32" s="333">
        <f t="shared" si="2"/>
        <v>367179221.96000004</v>
      </c>
      <c r="T32" s="333">
        <f t="shared" si="2"/>
        <v>31891752.5</v>
      </c>
      <c r="U32" s="333">
        <f t="shared" si="2"/>
        <v>256558302.97999996</v>
      </c>
      <c r="V32" s="333">
        <f t="shared" si="2"/>
        <v>506846302</v>
      </c>
      <c r="W32" s="333">
        <f t="shared" si="2"/>
        <v>2893307466</v>
      </c>
      <c r="X32" s="333">
        <f t="shared" si="2"/>
        <v>1122858267</v>
      </c>
      <c r="Y32" s="333">
        <f t="shared" si="2"/>
        <v>494282757</v>
      </c>
      <c r="Z32" s="333">
        <f t="shared" si="2"/>
        <v>5087009833</v>
      </c>
      <c r="AA32" s="333">
        <f t="shared" si="2"/>
        <v>1836377244</v>
      </c>
      <c r="AB32" s="333">
        <f t="shared" si="2"/>
        <v>770583347</v>
      </c>
      <c r="AC32" s="332">
        <f>AVERAGE(AC6:AC27)</f>
        <v>29.503181818181826</v>
      </c>
      <c r="AD32" s="332">
        <f>AVERAGE(AD6:AD27)</f>
        <v>80.929090909090917</v>
      </c>
      <c r="AE32" s="331">
        <f t="shared" si="1"/>
        <v>1</v>
      </c>
    </row>
    <row r="36" spans="2:2" x14ac:dyDescent="0.45">
      <c r="B36" s="354">
        <v>1098803</v>
      </c>
    </row>
    <row r="37" spans="2:2" x14ac:dyDescent="0.45">
      <c r="B37" s="354">
        <v>5864654</v>
      </c>
    </row>
    <row r="38" spans="2:2" x14ac:dyDescent="0.45">
      <c r="B38" s="354">
        <v>1282490</v>
      </c>
    </row>
    <row r="39" spans="2:2" x14ac:dyDescent="0.45">
      <c r="B39" s="354">
        <v>37958</v>
      </c>
    </row>
    <row r="41" spans="2:2" x14ac:dyDescent="0.45">
      <c r="B41" s="354">
        <v>147511</v>
      </c>
    </row>
    <row r="42" spans="2:2" x14ac:dyDescent="0.45">
      <c r="B42" s="354">
        <v>394231</v>
      </c>
    </row>
  </sheetData>
  <mergeCells count="1">
    <mergeCell ref="B1:AE1"/>
  </mergeCells>
  <dataValidations count="1">
    <dataValidation type="list" allowBlank="1" showInputMessage="1" showErrorMessage="1" sqref="A3" xr:uid="{00000000-0002-0000-2A00-000000000000}">
      <formula1>$A$6:$A$31</formula1>
    </dataValidation>
  </dataValidations>
  <pageMargins left="0.7" right="0.7" top="0.75" bottom="0.75" header="0.3" footer="0.3"/>
  <pageSetup orientation="portrait" r:id="rId1"/>
  <customProperties>
    <customPr name="LastActive" r:id="rId2"/>
  </customProperties>
  <legacyDrawing r:id="rId3"/>
</worksheet>
</file>

<file path=xl/worksheets/sheet4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B00-000000000000}">
  <dimension ref="A1:AE32"/>
  <sheetViews>
    <sheetView zoomScale="60" zoomScaleNormal="60" workbookViewId="0">
      <pane xSplit="1" topLeftCell="I1" activePane="topRight" state="frozen"/>
      <selection pane="topRight" activeCell="B1" sqref="B1:AE1"/>
    </sheetView>
  </sheetViews>
  <sheetFormatPr defaultRowHeight="12.75" x14ac:dyDescent="0.35"/>
  <cols>
    <col min="1" max="1" width="67.265625" bestFit="1" customWidth="1"/>
    <col min="2" max="3" width="18.3984375" customWidth="1"/>
    <col min="4" max="4" width="16.3984375" customWidth="1"/>
    <col min="5" max="5" width="16.265625" customWidth="1"/>
    <col min="6" max="7" width="17" customWidth="1"/>
    <col min="8" max="8" width="16.3984375" customWidth="1"/>
    <col min="9" max="9" width="14.73046875" customWidth="1"/>
    <col min="10" max="10" width="20" customWidth="1"/>
    <col min="11" max="12" width="18.3984375" customWidth="1"/>
    <col min="13" max="13" width="17.73046875" customWidth="1"/>
    <col min="14" max="14" width="18" customWidth="1"/>
    <col min="15" max="16" width="17.73046875" customWidth="1"/>
    <col min="17" max="17" width="17" customWidth="1"/>
    <col min="18" max="18" width="16.265625" customWidth="1"/>
    <col min="19" max="19" width="17" customWidth="1"/>
    <col min="20" max="20" width="16.265625" bestFit="1" customWidth="1"/>
    <col min="21" max="21" width="17" customWidth="1"/>
    <col min="22" max="22" width="18.3984375" customWidth="1"/>
    <col min="23" max="23" width="20.3984375" customWidth="1"/>
    <col min="24" max="24" width="20.265625" customWidth="1"/>
    <col min="25" max="25" width="17.73046875" customWidth="1"/>
    <col min="26" max="26" width="20.265625" customWidth="1"/>
    <col min="27" max="27" width="20" customWidth="1"/>
    <col min="28" max="28" width="18" customWidth="1"/>
    <col min="29" max="29" width="12" bestFit="1" customWidth="1"/>
    <col min="30" max="30" width="12.73046875" bestFit="1" customWidth="1"/>
    <col min="31" max="31" width="9" bestFit="1" customWidth="1"/>
  </cols>
  <sheetData>
    <row r="1" spans="1:31" ht="23.25" x14ac:dyDescent="0.7">
      <c r="A1" s="351" t="s">
        <v>147</v>
      </c>
      <c r="B1" s="413" t="s">
        <v>92</v>
      </c>
      <c r="C1" s="413"/>
      <c r="D1" s="413"/>
      <c r="E1" s="413"/>
      <c r="F1" s="413"/>
      <c r="G1" s="413"/>
      <c r="H1" s="413"/>
      <c r="I1" s="413"/>
      <c r="J1" s="413"/>
      <c r="K1" s="413"/>
      <c r="L1" s="413"/>
      <c r="M1" s="413"/>
      <c r="N1" s="413"/>
      <c r="O1" s="413"/>
      <c r="P1" s="413"/>
      <c r="Q1" s="413"/>
      <c r="R1" s="413"/>
      <c r="S1" s="413"/>
      <c r="T1" s="413"/>
      <c r="U1" s="413"/>
      <c r="V1" s="413"/>
      <c r="W1" s="413"/>
      <c r="X1" s="413"/>
      <c r="Y1" s="413"/>
      <c r="Z1" s="413"/>
      <c r="AA1" s="413"/>
      <c r="AB1" s="413"/>
      <c r="AC1" s="413"/>
      <c r="AD1" s="413"/>
      <c r="AE1" s="413"/>
    </row>
    <row r="2" spans="1:31" ht="28.5" x14ac:dyDescent="0.45">
      <c r="A2" s="350"/>
      <c r="B2" s="348" t="s">
        <v>100</v>
      </c>
      <c r="C2" s="348" t="s">
        <v>101</v>
      </c>
      <c r="D2" s="348" t="s">
        <v>102</v>
      </c>
      <c r="E2" s="348" t="s">
        <v>103</v>
      </c>
      <c r="F2" s="348" t="s">
        <v>104</v>
      </c>
      <c r="G2" s="348" t="s">
        <v>105</v>
      </c>
      <c r="H2" s="348" t="s">
        <v>106</v>
      </c>
      <c r="I2" s="348" t="s">
        <v>107</v>
      </c>
      <c r="J2" s="348" t="s">
        <v>108</v>
      </c>
      <c r="K2" s="348" t="s">
        <v>109</v>
      </c>
      <c r="L2" s="348" t="s">
        <v>110</v>
      </c>
      <c r="M2" s="349" t="s">
        <v>93</v>
      </c>
      <c r="N2" s="348" t="s">
        <v>111</v>
      </c>
      <c r="O2" s="348" t="s">
        <v>112</v>
      </c>
      <c r="P2" s="348" t="s">
        <v>113</v>
      </c>
      <c r="Q2" s="348" t="s">
        <v>97</v>
      </c>
      <c r="R2" s="348" t="s">
        <v>131</v>
      </c>
      <c r="S2" s="348" t="s">
        <v>132</v>
      </c>
      <c r="T2" s="348" t="s">
        <v>133</v>
      </c>
      <c r="U2" s="348" t="s">
        <v>134</v>
      </c>
      <c r="V2" s="348" t="s">
        <v>118</v>
      </c>
      <c r="W2" s="348" t="s">
        <v>119</v>
      </c>
      <c r="X2" s="348" t="s">
        <v>120</v>
      </c>
      <c r="Y2" s="349" t="s">
        <v>121</v>
      </c>
      <c r="Z2" s="348" t="s">
        <v>135</v>
      </c>
      <c r="AA2" s="348" t="s">
        <v>124</v>
      </c>
      <c r="AB2" s="348" t="s">
        <v>125</v>
      </c>
      <c r="AC2" s="347" t="s">
        <v>79</v>
      </c>
      <c r="AD2" s="347" t="s">
        <v>80</v>
      </c>
      <c r="AE2" s="347" t="s">
        <v>19</v>
      </c>
    </row>
    <row r="3" spans="1:31" ht="15.4" x14ac:dyDescent="0.45">
      <c r="A3" s="346" t="s">
        <v>25</v>
      </c>
      <c r="B3" s="345">
        <f t="shared" ref="B3:AE3" si="0">INDEX(B6:B31,MATCH($A$3,$A$6:$A$31,0))</f>
        <v>18907488</v>
      </c>
      <c r="C3" s="345">
        <f t="shared" si="0"/>
        <v>19959513</v>
      </c>
      <c r="D3" s="345">
        <f t="shared" si="0"/>
        <v>13456367</v>
      </c>
      <c r="E3" s="345">
        <f t="shared" si="0"/>
        <v>63728</v>
      </c>
      <c r="F3" s="345">
        <f t="shared" si="0"/>
        <v>0</v>
      </c>
      <c r="G3" s="345">
        <f t="shared" si="0"/>
        <v>3327735</v>
      </c>
      <c r="H3" s="345">
        <f t="shared" si="0"/>
        <v>0</v>
      </c>
      <c r="I3" s="345">
        <f t="shared" si="0"/>
        <v>328786</v>
      </c>
      <c r="J3" s="345">
        <f t="shared" si="0"/>
        <v>56043617</v>
      </c>
      <c r="K3" s="345">
        <f t="shared" si="0"/>
        <v>25231343</v>
      </c>
      <c r="L3" s="345">
        <f t="shared" si="0"/>
        <v>28138173</v>
      </c>
      <c r="M3" s="345">
        <f t="shared" si="0"/>
        <v>13463224</v>
      </c>
      <c r="N3" s="345">
        <f t="shared" si="0"/>
        <v>10355916</v>
      </c>
      <c r="O3" s="345">
        <f t="shared" si="0"/>
        <v>6138824</v>
      </c>
      <c r="P3" s="345">
        <f t="shared" si="0"/>
        <v>13984520</v>
      </c>
      <c r="Q3" s="345">
        <f t="shared" si="0"/>
        <v>9664060</v>
      </c>
      <c r="R3" s="345">
        <f t="shared" si="0"/>
        <v>7322973</v>
      </c>
      <c r="S3" s="345">
        <f t="shared" si="0"/>
        <v>526528</v>
      </c>
      <c r="T3" s="345">
        <f t="shared" si="0"/>
        <v>0</v>
      </c>
      <c r="U3" s="345">
        <f t="shared" si="0"/>
        <v>5147313</v>
      </c>
      <c r="V3" s="345">
        <f t="shared" si="0"/>
        <v>11353416</v>
      </c>
      <c r="W3" s="345">
        <f t="shared" si="0"/>
        <v>157845514</v>
      </c>
      <c r="X3" s="345">
        <f t="shared" si="0"/>
        <v>135182600</v>
      </c>
      <c r="Y3" s="345">
        <f t="shared" si="0"/>
        <v>50208851</v>
      </c>
      <c r="Z3" s="345">
        <f t="shared" si="0"/>
        <v>355117919</v>
      </c>
      <c r="AA3" s="345">
        <f t="shared" si="0"/>
        <v>173034220</v>
      </c>
      <c r="AB3" s="345">
        <f t="shared" si="0"/>
        <v>41509373</v>
      </c>
      <c r="AC3" s="345">
        <f t="shared" si="0"/>
        <v>27.39</v>
      </c>
      <c r="AD3" s="345">
        <f t="shared" si="0"/>
        <v>53.23</v>
      </c>
      <c r="AE3" s="345">
        <f t="shared" si="0"/>
        <v>4.7906326419020033E-2</v>
      </c>
    </row>
    <row r="4" spans="1:31" ht="14.25" x14ac:dyDescent="0.45">
      <c r="A4" s="330"/>
      <c r="B4" s="330"/>
      <c r="C4" s="330"/>
      <c r="D4" s="330"/>
      <c r="E4" s="330"/>
      <c r="F4" s="330"/>
      <c r="G4" s="330"/>
      <c r="H4" s="330"/>
      <c r="I4" s="330"/>
      <c r="J4" s="330"/>
      <c r="K4" s="330"/>
      <c r="L4" s="330"/>
      <c r="M4" s="330"/>
      <c r="N4" s="330"/>
      <c r="O4" s="330"/>
      <c r="P4" s="330"/>
      <c r="Q4" s="330"/>
      <c r="R4" s="330"/>
      <c r="S4" s="330"/>
      <c r="T4" s="330"/>
      <c r="U4" s="330"/>
      <c r="V4" s="330"/>
      <c r="W4" s="330"/>
      <c r="X4" s="330"/>
      <c r="Y4" s="330"/>
      <c r="Z4" s="330"/>
      <c r="AA4" s="330"/>
      <c r="AB4" s="330"/>
      <c r="AC4" s="330"/>
      <c r="AD4" s="330"/>
      <c r="AE4" s="330"/>
    </row>
    <row r="5" spans="1:31" ht="38.25" x14ac:dyDescent="0.35">
      <c r="A5" s="344" t="s">
        <v>136</v>
      </c>
      <c r="B5" s="342" t="s">
        <v>100</v>
      </c>
      <c r="C5" s="342" t="s">
        <v>101</v>
      </c>
      <c r="D5" s="342" t="s">
        <v>102</v>
      </c>
      <c r="E5" s="342" t="s">
        <v>103</v>
      </c>
      <c r="F5" s="342" t="s">
        <v>104</v>
      </c>
      <c r="G5" s="343" t="s">
        <v>105</v>
      </c>
      <c r="H5" s="343" t="s">
        <v>106</v>
      </c>
      <c r="I5" s="343" t="s">
        <v>107</v>
      </c>
      <c r="J5" s="343" t="s">
        <v>137</v>
      </c>
      <c r="K5" s="342" t="s">
        <v>138</v>
      </c>
      <c r="L5" s="342" t="s">
        <v>110</v>
      </c>
      <c r="M5" s="342" t="s">
        <v>93</v>
      </c>
      <c r="N5" s="342" t="s">
        <v>111</v>
      </c>
      <c r="O5" s="342" t="s">
        <v>112</v>
      </c>
      <c r="P5" s="342" t="s">
        <v>139</v>
      </c>
      <c r="Q5" s="342" t="s">
        <v>140</v>
      </c>
      <c r="R5" s="342" t="s">
        <v>131</v>
      </c>
      <c r="S5" s="342" t="s">
        <v>132</v>
      </c>
      <c r="T5" s="342" t="s">
        <v>133</v>
      </c>
      <c r="U5" s="342" t="s">
        <v>134</v>
      </c>
      <c r="V5" s="342" t="s">
        <v>118</v>
      </c>
      <c r="W5" s="342" t="s">
        <v>119</v>
      </c>
      <c r="X5" s="342" t="s">
        <v>120</v>
      </c>
      <c r="Y5" s="342" t="s">
        <v>121</v>
      </c>
      <c r="Z5" s="342" t="s">
        <v>135</v>
      </c>
      <c r="AA5" s="342" t="s">
        <v>124</v>
      </c>
      <c r="AB5" s="342" t="s">
        <v>125</v>
      </c>
      <c r="AC5" s="341" t="s">
        <v>79</v>
      </c>
      <c r="AD5" s="341" t="s">
        <v>80</v>
      </c>
      <c r="AE5" s="341" t="s">
        <v>19</v>
      </c>
    </row>
    <row r="6" spans="1:31" ht="15.4" x14ac:dyDescent="0.45">
      <c r="A6" s="334" t="s">
        <v>20</v>
      </c>
      <c r="B6" s="355">
        <v>23226323</v>
      </c>
      <c r="C6" s="355">
        <v>9502201</v>
      </c>
      <c r="D6" s="355">
        <v>366899</v>
      </c>
      <c r="E6" s="355">
        <v>6307846</v>
      </c>
      <c r="F6" s="355">
        <v>686103</v>
      </c>
      <c r="G6" s="355">
        <v>5634617</v>
      </c>
      <c r="H6" s="355">
        <v>917919</v>
      </c>
      <c r="I6" s="355">
        <v>2138439</v>
      </c>
      <c r="J6" s="355">
        <v>48780347</v>
      </c>
      <c r="K6" s="355">
        <v>16689001</v>
      </c>
      <c r="L6" s="355">
        <v>10117500.24</v>
      </c>
      <c r="M6" s="355">
        <v>3620012</v>
      </c>
      <c r="N6" s="355">
        <v>2226122</v>
      </c>
      <c r="O6" s="355">
        <v>7850609</v>
      </c>
      <c r="P6" s="355">
        <v>5387937</v>
      </c>
      <c r="Q6" s="355">
        <v>8783059</v>
      </c>
      <c r="R6" s="355">
        <v>3435891.23999999</v>
      </c>
      <c r="S6" s="355">
        <v>1134847</v>
      </c>
      <c r="T6" s="355">
        <v>235728</v>
      </c>
      <c r="U6" s="355">
        <v>4806466.24</v>
      </c>
      <c r="V6" s="355">
        <v>46616085</v>
      </c>
      <c r="W6" s="355">
        <v>59579040</v>
      </c>
      <c r="X6" s="355">
        <v>74149600.579999998</v>
      </c>
      <c r="Y6" s="355">
        <v>50741337</v>
      </c>
      <c r="Z6" s="355">
        <v>235467015</v>
      </c>
      <c r="AA6" s="355">
        <v>92213884.760000005</v>
      </c>
      <c r="AB6" s="355">
        <v>55544303</v>
      </c>
      <c r="AC6" s="335">
        <v>11.78</v>
      </c>
      <c r="AD6" s="335">
        <v>70.040000000000006</v>
      </c>
      <c r="AE6" s="357">
        <f>J6/$J$32</f>
        <v>4.1697651781023783E-2</v>
      </c>
    </row>
    <row r="7" spans="1:31" ht="15.4" x14ac:dyDescent="0.45">
      <c r="A7" s="334" t="s">
        <v>21</v>
      </c>
      <c r="B7" s="355">
        <v>3943920</v>
      </c>
      <c r="C7" s="355">
        <v>15059058</v>
      </c>
      <c r="D7" s="355">
        <v>402486</v>
      </c>
      <c r="E7" s="355">
        <v>1527198</v>
      </c>
      <c r="F7" s="355"/>
      <c r="G7" s="355">
        <v>1250300</v>
      </c>
      <c r="H7" s="355">
        <v>556790</v>
      </c>
      <c r="I7" s="355">
        <v>270892</v>
      </c>
      <c r="J7" s="355">
        <v>23010644</v>
      </c>
      <c r="K7" s="355">
        <v>19463793</v>
      </c>
      <c r="L7" s="355">
        <v>12533009</v>
      </c>
      <c r="M7" s="355">
        <v>6888741</v>
      </c>
      <c r="N7" s="355">
        <v>6434628</v>
      </c>
      <c r="O7" s="355">
        <v>6520458</v>
      </c>
      <c r="P7" s="355">
        <v>2639881</v>
      </c>
      <c r="Q7" s="355">
        <v>802394</v>
      </c>
      <c r="R7" s="355">
        <v>-2259564</v>
      </c>
      <c r="S7" s="355">
        <v>3328649</v>
      </c>
      <c r="T7" s="355">
        <v>0</v>
      </c>
      <c r="U7" s="355">
        <v>748359.5</v>
      </c>
      <c r="V7" s="355">
        <v>14865085</v>
      </c>
      <c r="W7" s="355">
        <v>84442023.174549997</v>
      </c>
      <c r="X7" s="355">
        <v>8442366</v>
      </c>
      <c r="Y7" s="355">
        <v>9253389</v>
      </c>
      <c r="Z7" s="355">
        <v>120804233</v>
      </c>
      <c r="AA7" s="355">
        <v>39517203</v>
      </c>
      <c r="AB7" s="355">
        <v>23987225</v>
      </c>
      <c r="AC7" s="335">
        <v>48.25</v>
      </c>
      <c r="AD7" s="335">
        <v>68.69</v>
      </c>
      <c r="AE7" s="357">
        <f t="shared" ref="AE7:AE31" si="1">J7/$J$32</f>
        <v>1.9669598102061557E-2</v>
      </c>
    </row>
    <row r="8" spans="1:31" ht="15.4" x14ac:dyDescent="0.45">
      <c r="A8" s="334" t="s">
        <v>87</v>
      </c>
      <c r="B8" s="355">
        <v>9000</v>
      </c>
      <c r="C8" s="355">
        <v>1237888</v>
      </c>
      <c r="D8" s="355">
        <v>3240</v>
      </c>
      <c r="E8" s="355"/>
      <c r="F8" s="355">
        <v>51306</v>
      </c>
      <c r="G8" s="355"/>
      <c r="H8" s="355"/>
      <c r="I8" s="355"/>
      <c r="J8" s="355">
        <v>1301434</v>
      </c>
      <c r="K8" s="355">
        <v>1068159</v>
      </c>
      <c r="L8" s="355">
        <v>689725</v>
      </c>
      <c r="M8" s="355">
        <v>-27160</v>
      </c>
      <c r="N8" s="355">
        <v>-27160</v>
      </c>
      <c r="O8" s="355">
        <v>1278738</v>
      </c>
      <c r="P8" s="355">
        <v>100982</v>
      </c>
      <c r="Q8" s="355">
        <v>50106</v>
      </c>
      <c r="R8" s="355">
        <v>-612729</v>
      </c>
      <c r="S8" s="355">
        <v>1382856</v>
      </c>
      <c r="T8" s="355">
        <v>0</v>
      </c>
      <c r="U8" s="355">
        <v>770127</v>
      </c>
      <c r="V8" s="355">
        <v>5706230.1009459915</v>
      </c>
      <c r="W8" s="355">
        <v>17849073.302307699</v>
      </c>
      <c r="X8" s="355">
        <v>32498190.563999999</v>
      </c>
      <c r="Y8" s="355">
        <v>7700026</v>
      </c>
      <c r="Z8" s="355">
        <v>65051336</v>
      </c>
      <c r="AA8" s="355">
        <v>1687594</v>
      </c>
      <c r="AB8" s="355">
        <v>2164346.366722222</v>
      </c>
      <c r="AC8" s="335">
        <v>-3.67</v>
      </c>
      <c r="AD8" s="335">
        <v>186.49</v>
      </c>
      <c r="AE8" s="357">
        <f t="shared" si="1"/>
        <v>1.1124714169824356E-3</v>
      </c>
    </row>
    <row r="9" spans="1:31" ht="15.4" x14ac:dyDescent="0.45">
      <c r="A9" s="334" t="s">
        <v>60</v>
      </c>
      <c r="B9" s="355"/>
      <c r="C9" s="355"/>
      <c r="D9" s="355"/>
      <c r="E9" s="355"/>
      <c r="F9" s="355"/>
      <c r="G9" s="355"/>
      <c r="H9" s="355"/>
      <c r="I9" s="355"/>
      <c r="J9" s="355"/>
      <c r="K9" s="355"/>
      <c r="L9" s="355"/>
      <c r="M9" s="355"/>
      <c r="N9" s="355"/>
      <c r="O9" s="355"/>
      <c r="P9" s="355"/>
      <c r="Q9" s="355"/>
      <c r="R9" s="355"/>
      <c r="S9" s="355"/>
      <c r="T9" s="355"/>
      <c r="U9" s="355"/>
      <c r="V9" s="355"/>
      <c r="W9" s="355"/>
      <c r="X9" s="355"/>
      <c r="Y9" s="355"/>
      <c r="Z9" s="355"/>
      <c r="AA9" s="355"/>
      <c r="AB9" s="355"/>
      <c r="AC9" s="335"/>
      <c r="AD9" s="335"/>
      <c r="AE9" s="357">
        <f t="shared" si="1"/>
        <v>0</v>
      </c>
    </row>
    <row r="10" spans="1:31" ht="15.4" x14ac:dyDescent="0.45">
      <c r="A10" s="334" t="s">
        <v>128</v>
      </c>
      <c r="B10" s="355">
        <v>5248458</v>
      </c>
      <c r="C10" s="355">
        <v>11207165</v>
      </c>
      <c r="D10" s="355">
        <v>5345177</v>
      </c>
      <c r="E10" s="355">
        <v>269359</v>
      </c>
      <c r="F10" s="355"/>
      <c r="G10" s="355"/>
      <c r="H10" s="355">
        <v>205926</v>
      </c>
      <c r="I10" s="355"/>
      <c r="J10" s="355">
        <v>22276085</v>
      </c>
      <c r="K10" s="355">
        <v>14140010</v>
      </c>
      <c r="L10" s="355">
        <v>7603194</v>
      </c>
      <c r="M10" s="355">
        <v>12981067</v>
      </c>
      <c r="N10" s="355">
        <v>1402888.08</v>
      </c>
      <c r="O10" s="355">
        <v>4996382</v>
      </c>
      <c r="P10" s="355">
        <v>2723937</v>
      </c>
      <c r="Q10" s="355">
        <v>2265473.1765000001</v>
      </c>
      <c r="R10" s="355">
        <v>745460.09649999999</v>
      </c>
      <c r="S10" s="355">
        <v>11847817.718599999</v>
      </c>
      <c r="T10" s="355">
        <v>0</v>
      </c>
      <c r="U10" s="355">
        <v>9444958.2573151402</v>
      </c>
      <c r="V10" s="355">
        <v>7684976.478600001</v>
      </c>
      <c r="W10" s="355">
        <v>68770620.591699988</v>
      </c>
      <c r="X10" s="355">
        <v>28704229.23</v>
      </c>
      <c r="Y10" s="355">
        <v>10670427.0559</v>
      </c>
      <c r="Z10" s="355">
        <v>119145249</v>
      </c>
      <c r="AA10" s="355">
        <v>46794789.950000003</v>
      </c>
      <c r="AB10" s="355">
        <v>13137557.063284861</v>
      </c>
      <c r="AC10" s="335">
        <v>14.22</v>
      </c>
      <c r="AD10" s="335">
        <v>78.23</v>
      </c>
      <c r="AE10" s="357">
        <f t="shared" si="1"/>
        <v>1.9041693889026396E-2</v>
      </c>
    </row>
    <row r="11" spans="1:31" ht="15.4" x14ac:dyDescent="0.45">
      <c r="A11" s="334" t="s">
        <v>22</v>
      </c>
      <c r="B11" s="355">
        <v>2233548</v>
      </c>
      <c r="C11" s="355">
        <v>18672764</v>
      </c>
      <c r="D11" s="355">
        <v>1358927</v>
      </c>
      <c r="E11" s="355">
        <v>334018</v>
      </c>
      <c r="F11" s="355">
        <v>2263742</v>
      </c>
      <c r="G11" s="355">
        <v>0</v>
      </c>
      <c r="H11" s="355">
        <v>487574</v>
      </c>
      <c r="I11" s="355">
        <v>57929</v>
      </c>
      <c r="J11" s="355">
        <v>25408502</v>
      </c>
      <c r="K11" s="355">
        <v>19537920.969999999</v>
      </c>
      <c r="L11" s="355">
        <v>12602859.35</v>
      </c>
      <c r="M11" s="355">
        <v>5023286.38</v>
      </c>
      <c r="N11" s="355">
        <v>4268276.38</v>
      </c>
      <c r="O11" s="355">
        <v>8359821</v>
      </c>
      <c r="P11" s="355">
        <v>3074579</v>
      </c>
      <c r="Q11" s="355">
        <v>1635434</v>
      </c>
      <c r="R11" s="355">
        <v>-1464383.030000001</v>
      </c>
      <c r="S11" s="355">
        <v>2776819</v>
      </c>
      <c r="T11" s="355">
        <v>573917</v>
      </c>
      <c r="U11" s="355">
        <v>1320446.97</v>
      </c>
      <c r="V11" s="355">
        <v>13717252</v>
      </c>
      <c r="W11" s="355">
        <v>59678235.18</v>
      </c>
      <c r="X11" s="355">
        <v>21272092.460000001</v>
      </c>
      <c r="Y11" s="355">
        <v>11582975</v>
      </c>
      <c r="Z11" s="355">
        <v>107466299</v>
      </c>
      <c r="AA11" s="355">
        <v>44063389.280000001</v>
      </c>
      <c r="AB11" s="355">
        <v>11857365</v>
      </c>
      <c r="AC11" s="335">
        <v>29.98</v>
      </c>
      <c r="AD11" s="335">
        <v>80.31</v>
      </c>
      <c r="AE11" s="357">
        <f t="shared" si="1"/>
        <v>2.1719297500557885E-2</v>
      </c>
    </row>
    <row r="12" spans="1:31" ht="15.4" x14ac:dyDescent="0.45">
      <c r="A12" s="334" t="s">
        <v>23</v>
      </c>
      <c r="B12" s="355">
        <v>54007857</v>
      </c>
      <c r="C12" s="355">
        <v>80085798</v>
      </c>
      <c r="D12" s="355">
        <v>3455998</v>
      </c>
      <c r="E12" s="355">
        <v>20395323</v>
      </c>
      <c r="F12" s="355">
        <v>3391125</v>
      </c>
      <c r="G12" s="355">
        <v>15432208</v>
      </c>
      <c r="H12" s="355">
        <v>6355483</v>
      </c>
      <c r="I12" s="355">
        <v>2604084</v>
      </c>
      <c r="J12" s="355">
        <v>185727876</v>
      </c>
      <c r="K12" s="355">
        <v>96442796</v>
      </c>
      <c r="L12" s="355">
        <v>60586183</v>
      </c>
      <c r="M12" s="355">
        <v>45172639</v>
      </c>
      <c r="N12" s="355">
        <v>27539726</v>
      </c>
      <c r="O12" s="355">
        <v>25572924</v>
      </c>
      <c r="P12" s="355">
        <v>20115174</v>
      </c>
      <c r="Q12" s="355">
        <v>13923907</v>
      </c>
      <c r="R12" s="355">
        <v>1282266</v>
      </c>
      <c r="S12" s="355">
        <v>11973189.109999999</v>
      </c>
      <c r="T12" s="355">
        <v>-2073887</v>
      </c>
      <c r="U12" s="355">
        <v>7827098.1099999994</v>
      </c>
      <c r="V12" s="355">
        <v>220092307.9499999</v>
      </c>
      <c r="W12" s="355">
        <v>176518971</v>
      </c>
      <c r="X12" s="355">
        <v>203773265.03999999</v>
      </c>
      <c r="Y12" s="355">
        <v>22170577</v>
      </c>
      <c r="Z12" s="355">
        <v>634132568</v>
      </c>
      <c r="AA12" s="355">
        <v>347344996</v>
      </c>
      <c r="AB12" s="355">
        <v>107526372.16</v>
      </c>
      <c r="AC12" s="335">
        <v>36.96</v>
      </c>
      <c r="AD12" s="335">
        <v>61.32</v>
      </c>
      <c r="AE12" s="357">
        <f t="shared" si="1"/>
        <v>0.15876099240288644</v>
      </c>
    </row>
    <row r="13" spans="1:31" ht="15.4" x14ac:dyDescent="0.45">
      <c r="A13" s="334" t="s">
        <v>25</v>
      </c>
      <c r="B13" s="355">
        <v>18907488</v>
      </c>
      <c r="C13" s="355">
        <v>19959513</v>
      </c>
      <c r="D13" s="355">
        <v>13456367</v>
      </c>
      <c r="E13" s="355">
        <v>63728</v>
      </c>
      <c r="F13" s="355"/>
      <c r="G13" s="355">
        <v>3327735</v>
      </c>
      <c r="H13" s="355"/>
      <c r="I13" s="355">
        <v>328786</v>
      </c>
      <c r="J13" s="355">
        <v>56043617</v>
      </c>
      <c r="K13" s="355">
        <v>25231343</v>
      </c>
      <c r="L13" s="355">
        <v>28138173</v>
      </c>
      <c r="M13" s="355">
        <v>13463224</v>
      </c>
      <c r="N13" s="355">
        <v>10355916</v>
      </c>
      <c r="O13" s="355">
        <v>6138824</v>
      </c>
      <c r="P13" s="355">
        <v>13984520</v>
      </c>
      <c r="Q13" s="355">
        <v>9664060</v>
      </c>
      <c r="R13" s="355">
        <v>7322973</v>
      </c>
      <c r="S13" s="355">
        <v>526528</v>
      </c>
      <c r="T13" s="355">
        <v>0</v>
      </c>
      <c r="U13" s="355">
        <v>5147313</v>
      </c>
      <c r="V13" s="355">
        <v>11353416</v>
      </c>
      <c r="W13" s="355">
        <v>157845514</v>
      </c>
      <c r="X13" s="355">
        <v>135182600</v>
      </c>
      <c r="Y13" s="355">
        <v>50208851</v>
      </c>
      <c r="Z13" s="355">
        <v>355117919</v>
      </c>
      <c r="AA13" s="355">
        <v>173034220</v>
      </c>
      <c r="AB13" s="355">
        <v>41509373</v>
      </c>
      <c r="AC13" s="335">
        <v>27.39</v>
      </c>
      <c r="AD13" s="335">
        <v>53.23</v>
      </c>
      <c r="AE13" s="357">
        <f t="shared" si="1"/>
        <v>4.7906326419020033E-2</v>
      </c>
    </row>
    <row r="14" spans="1:31" ht="15.4" x14ac:dyDescent="0.45">
      <c r="A14" s="334" t="s">
        <v>26</v>
      </c>
      <c r="B14" s="355">
        <v>82826104</v>
      </c>
      <c r="C14" s="355">
        <v>22615750</v>
      </c>
      <c r="D14" s="355">
        <v>340354</v>
      </c>
      <c r="E14" s="355">
        <v>27423975</v>
      </c>
      <c r="F14" s="355">
        <v>6257245</v>
      </c>
      <c r="G14" s="355">
        <v>3466759</v>
      </c>
      <c r="H14" s="355">
        <v>2868086</v>
      </c>
      <c r="I14" s="355"/>
      <c r="J14" s="355">
        <v>145798273</v>
      </c>
      <c r="K14" s="355">
        <v>49786533</v>
      </c>
      <c r="L14" s="355">
        <v>29729139.59</v>
      </c>
      <c r="M14" s="355">
        <v>11231595</v>
      </c>
      <c r="N14" s="355">
        <v>6797983</v>
      </c>
      <c r="O14" s="355">
        <v>13647322</v>
      </c>
      <c r="P14" s="355">
        <v>23917439</v>
      </c>
      <c r="Q14" s="355">
        <v>20827998</v>
      </c>
      <c r="R14" s="355">
        <v>6194393.5900000036</v>
      </c>
      <c r="S14" s="355">
        <v>1560063</v>
      </c>
      <c r="T14" s="355">
        <v>37972</v>
      </c>
      <c r="U14" s="355">
        <v>5466091.5899999999</v>
      </c>
      <c r="V14" s="355">
        <v>74797030</v>
      </c>
      <c r="W14" s="355">
        <v>147063157.58867651</v>
      </c>
      <c r="X14" s="355">
        <v>97764437</v>
      </c>
      <c r="Y14" s="355">
        <v>8463510</v>
      </c>
      <c r="Z14" s="355">
        <v>331647343</v>
      </c>
      <c r="AA14" s="355">
        <v>168871085</v>
      </c>
      <c r="AB14" s="355">
        <v>64131200</v>
      </c>
      <c r="AC14" s="335">
        <v>13.45</v>
      </c>
      <c r="AD14" s="335">
        <v>74.3</v>
      </c>
      <c r="AE14" s="357">
        <f t="shared" si="1"/>
        <v>0.12462899490708094</v>
      </c>
    </row>
    <row r="15" spans="1:31" ht="15.4" x14ac:dyDescent="0.45">
      <c r="A15" s="334" t="s">
        <v>28</v>
      </c>
      <c r="B15" s="355">
        <v>29516544.859999977</v>
      </c>
      <c r="C15" s="355">
        <v>50462226.819999747</v>
      </c>
      <c r="D15" s="355">
        <v>1480874.6299999992</v>
      </c>
      <c r="E15" s="355">
        <v>2402640.3899999992</v>
      </c>
      <c r="F15" s="355">
        <v>1599150.4700000002</v>
      </c>
      <c r="G15" s="355">
        <v>8660901.1199999992</v>
      </c>
      <c r="H15" s="355">
        <v>5030935</v>
      </c>
      <c r="I15" s="355">
        <v>8553367</v>
      </c>
      <c r="J15" s="355">
        <v>107706640.22</v>
      </c>
      <c r="K15" s="355">
        <v>57986538.060000002</v>
      </c>
      <c r="L15" s="355">
        <v>33916160.130000003</v>
      </c>
      <c r="M15" s="355"/>
      <c r="N15" s="355">
        <v>13220348.970000001</v>
      </c>
      <c r="O15" s="355">
        <v>16807903.109999999</v>
      </c>
      <c r="P15" s="355">
        <v>11303699.85</v>
      </c>
      <c r="Q15" s="355">
        <v>7791637.8399999999</v>
      </c>
      <c r="R15" s="355">
        <v>375846.04</v>
      </c>
      <c r="S15" s="355">
        <v>18277560.27</v>
      </c>
      <c r="T15" s="355">
        <v>0</v>
      </c>
      <c r="U15" s="355">
        <v>14902862.65</v>
      </c>
      <c r="V15" s="355">
        <v>90130361</v>
      </c>
      <c r="W15" s="355">
        <v>143786319</v>
      </c>
      <c r="X15" s="355">
        <v>147051952</v>
      </c>
      <c r="Y15" s="355">
        <v>15132756</v>
      </c>
      <c r="Z15" s="355">
        <v>413195761</v>
      </c>
      <c r="AA15" s="355">
        <v>230635293</v>
      </c>
      <c r="AB15" s="355">
        <v>55069611</v>
      </c>
      <c r="AC15" s="335">
        <v>31.7</v>
      </c>
      <c r="AD15" s="335">
        <v>67.400000000000006</v>
      </c>
      <c r="AE15" s="357">
        <f t="shared" si="1"/>
        <v>9.2068102311727518E-2</v>
      </c>
    </row>
    <row r="16" spans="1:31" ht="15.4" x14ac:dyDescent="0.45">
      <c r="A16" s="334" t="s">
        <v>46</v>
      </c>
      <c r="B16" s="355">
        <v>1176556</v>
      </c>
      <c r="C16" s="355">
        <v>14226200</v>
      </c>
      <c r="D16" s="355">
        <v>1221495</v>
      </c>
      <c r="E16" s="355">
        <v>80780</v>
      </c>
      <c r="F16" s="355"/>
      <c r="G16" s="355">
        <v>1724852</v>
      </c>
      <c r="H16" s="355">
        <v>4116033</v>
      </c>
      <c r="I16" s="355"/>
      <c r="J16" s="355">
        <v>22545916</v>
      </c>
      <c r="K16" s="355">
        <v>17800003.07</v>
      </c>
      <c r="L16" s="355">
        <v>14413278.880000001</v>
      </c>
      <c r="M16" s="355">
        <v>1748132</v>
      </c>
      <c r="N16" s="355">
        <v>1369194.7</v>
      </c>
      <c r="O16" s="355">
        <v>7631500</v>
      </c>
      <c r="P16" s="355">
        <v>3519348</v>
      </c>
      <c r="Q16" s="355">
        <v>1444205</v>
      </c>
      <c r="R16" s="355">
        <v>3337441.180000002</v>
      </c>
      <c r="S16" s="355">
        <v>2694394.4</v>
      </c>
      <c r="T16" s="355">
        <v>251006</v>
      </c>
      <c r="U16" s="355">
        <v>6282841.5800000001</v>
      </c>
      <c r="V16" s="355">
        <v>12300827</v>
      </c>
      <c r="W16" s="355">
        <v>52803517.640000001</v>
      </c>
      <c r="X16" s="355">
        <v>15052955.810000001</v>
      </c>
      <c r="Y16" s="355">
        <v>5713493</v>
      </c>
      <c r="Z16" s="355">
        <v>85870793</v>
      </c>
      <c r="AA16" s="355">
        <v>20060631.34</v>
      </c>
      <c r="AB16" s="355">
        <v>8114022</v>
      </c>
      <c r="AC16" s="335">
        <v>8.6300000000000008</v>
      </c>
      <c r="AD16" s="335">
        <v>70.319999999999993</v>
      </c>
      <c r="AE16" s="357">
        <f t="shared" si="1"/>
        <v>1.9272346595898809E-2</v>
      </c>
    </row>
    <row r="17" spans="1:31" ht="15.4" x14ac:dyDescent="0.45">
      <c r="A17" s="334" t="s">
        <v>69</v>
      </c>
      <c r="B17" s="355">
        <v>453934</v>
      </c>
      <c r="C17" s="355">
        <v>14022092</v>
      </c>
      <c r="D17" s="355"/>
      <c r="E17" s="355">
        <v>21004</v>
      </c>
      <c r="F17" s="355">
        <v>314913</v>
      </c>
      <c r="G17" s="355">
        <v>1360535</v>
      </c>
      <c r="H17" s="355">
        <v>552620</v>
      </c>
      <c r="I17" s="355">
        <v>25904</v>
      </c>
      <c r="J17" s="355">
        <v>16751002</v>
      </c>
      <c r="K17" s="355">
        <v>14080709</v>
      </c>
      <c r="L17" s="355">
        <v>11291162</v>
      </c>
      <c r="M17" s="355">
        <v>2362142</v>
      </c>
      <c r="N17" s="355">
        <v>2289614</v>
      </c>
      <c r="O17" s="355">
        <v>5340093</v>
      </c>
      <c r="P17" s="355">
        <v>2971694</v>
      </c>
      <c r="Q17" s="355">
        <v>461512</v>
      </c>
      <c r="R17" s="355">
        <v>1151273</v>
      </c>
      <c r="S17" s="355">
        <v>124181</v>
      </c>
      <c r="T17" s="355">
        <v>2562</v>
      </c>
      <c r="U17" s="355">
        <v>958512</v>
      </c>
      <c r="V17" s="355">
        <v>19639812.219999999</v>
      </c>
      <c r="W17" s="355">
        <v>41575010</v>
      </c>
      <c r="X17" s="355">
        <v>4520045.95</v>
      </c>
      <c r="Y17" s="355">
        <v>46319055</v>
      </c>
      <c r="Z17" s="355">
        <v>112182513</v>
      </c>
      <c r="AA17" s="355">
        <v>11610459.130000001</v>
      </c>
      <c r="AB17" s="355">
        <v>9123969.5600000005</v>
      </c>
      <c r="AC17" s="335">
        <v>19.48</v>
      </c>
      <c r="AD17" s="335">
        <v>70.72</v>
      </c>
      <c r="AE17" s="357">
        <f t="shared" si="1"/>
        <v>1.4318829023074251E-2</v>
      </c>
    </row>
    <row r="18" spans="1:31" ht="15.4" x14ac:dyDescent="0.45">
      <c r="A18" s="334" t="s">
        <v>29</v>
      </c>
      <c r="B18" s="355">
        <v>1426593</v>
      </c>
      <c r="C18" s="355">
        <v>16450437</v>
      </c>
      <c r="D18" s="355">
        <v>325248</v>
      </c>
      <c r="E18" s="355">
        <v>-23576</v>
      </c>
      <c r="F18" s="355">
        <v>878960</v>
      </c>
      <c r="G18" s="355">
        <v>914474</v>
      </c>
      <c r="H18" s="355">
        <v>119902</v>
      </c>
      <c r="I18" s="355">
        <v>42174</v>
      </c>
      <c r="J18" s="355">
        <v>20134212</v>
      </c>
      <c r="K18" s="355">
        <v>17212650</v>
      </c>
      <c r="L18" s="355">
        <v>13250107</v>
      </c>
      <c r="M18" s="355">
        <v>7465774</v>
      </c>
      <c r="N18" s="355">
        <v>4777212</v>
      </c>
      <c r="O18" s="355">
        <v>5702849</v>
      </c>
      <c r="P18" s="355">
        <v>2187879</v>
      </c>
      <c r="Q18" s="355">
        <v>685193</v>
      </c>
      <c r="R18" s="355">
        <v>1267360</v>
      </c>
      <c r="S18" s="355">
        <v>3257180</v>
      </c>
      <c r="T18" s="355">
        <v>18071</v>
      </c>
      <c r="U18" s="355">
        <v>3179828</v>
      </c>
      <c r="V18" s="355">
        <v>9779355</v>
      </c>
      <c r="W18" s="355">
        <v>80521199</v>
      </c>
      <c r="X18" s="355">
        <v>16698098.58</v>
      </c>
      <c r="Y18" s="355">
        <v>26822789.309999999</v>
      </c>
      <c r="Z18" s="355">
        <v>145200217</v>
      </c>
      <c r="AA18" s="355">
        <v>36574948</v>
      </c>
      <c r="AB18" s="355">
        <v>14393804</v>
      </c>
      <c r="AC18" s="335">
        <v>34.28</v>
      </c>
      <c r="AD18" s="335">
        <v>56.62</v>
      </c>
      <c r="AE18" s="357">
        <f t="shared" si="1"/>
        <v>1.721081157666448E-2</v>
      </c>
    </row>
    <row r="19" spans="1:31" ht="15.4" x14ac:dyDescent="0.45">
      <c r="A19" s="334" t="s">
        <v>31</v>
      </c>
      <c r="B19" s="355">
        <v>6049647</v>
      </c>
      <c r="C19" s="355">
        <v>7474622</v>
      </c>
      <c r="D19" s="355"/>
      <c r="E19" s="355">
        <v>802590</v>
      </c>
      <c r="F19" s="355">
        <v>153445</v>
      </c>
      <c r="G19" s="355">
        <v>689599</v>
      </c>
      <c r="H19" s="355">
        <v>48155</v>
      </c>
      <c r="I19" s="355">
        <v>47657</v>
      </c>
      <c r="J19" s="355">
        <v>15265715</v>
      </c>
      <c r="K19" s="355">
        <v>9264817.5500000007</v>
      </c>
      <c r="L19" s="355">
        <v>5659765.2899999991</v>
      </c>
      <c r="M19" s="355">
        <v>3824590.91</v>
      </c>
      <c r="N19" s="355">
        <v>4100376.42</v>
      </c>
      <c r="O19" s="355">
        <v>4200328</v>
      </c>
      <c r="P19" s="355">
        <v>2304057.38</v>
      </c>
      <c r="Q19" s="355">
        <v>2345838.83</v>
      </c>
      <c r="R19" s="355">
        <v>-2599157.680000002</v>
      </c>
      <c r="S19" s="355">
        <v>6397733.3200000003</v>
      </c>
      <c r="T19" s="355">
        <v>0</v>
      </c>
      <c r="U19" s="355">
        <v>2659002.7199851759</v>
      </c>
      <c r="V19" s="355">
        <v>23192508.09</v>
      </c>
      <c r="W19" s="355">
        <v>59958080.921199553</v>
      </c>
      <c r="X19" s="355">
        <v>31029015.870000001</v>
      </c>
      <c r="Y19" s="355">
        <v>11546108.77</v>
      </c>
      <c r="Z19" s="355">
        <v>125731874</v>
      </c>
      <c r="AA19" s="355">
        <v>52226686.990000002</v>
      </c>
      <c r="AB19" s="355">
        <v>7443399.9700148236</v>
      </c>
      <c r="AC19" s="335">
        <v>51.22</v>
      </c>
      <c r="AD19" s="335">
        <v>81.25</v>
      </c>
      <c r="AE19" s="357">
        <f t="shared" si="1"/>
        <v>1.3049199265809885E-2</v>
      </c>
    </row>
    <row r="20" spans="1:31" ht="15.4" x14ac:dyDescent="0.45">
      <c r="A20" s="334" t="s">
        <v>32</v>
      </c>
      <c r="B20" s="355">
        <v>5104351</v>
      </c>
      <c r="C20" s="355">
        <v>21623170</v>
      </c>
      <c r="D20" s="355">
        <v>661629</v>
      </c>
      <c r="E20" s="355">
        <v>146730</v>
      </c>
      <c r="F20" s="355">
        <v>10695065</v>
      </c>
      <c r="G20" s="355">
        <v>1345628</v>
      </c>
      <c r="H20" s="355">
        <v>9994829</v>
      </c>
      <c r="I20" s="355"/>
      <c r="J20" s="355">
        <v>49571402</v>
      </c>
      <c r="K20" s="355">
        <v>27732279</v>
      </c>
      <c r="L20" s="355">
        <v>15925247</v>
      </c>
      <c r="M20" s="355">
        <v>7286029</v>
      </c>
      <c r="N20" s="355">
        <v>6499144</v>
      </c>
      <c r="O20" s="355">
        <v>13224881</v>
      </c>
      <c r="P20" s="355">
        <v>7485232</v>
      </c>
      <c r="Q20" s="355">
        <v>5865870</v>
      </c>
      <c r="R20" s="355">
        <v>-5418140</v>
      </c>
      <c r="S20" s="355">
        <v>2984188</v>
      </c>
      <c r="T20" s="355">
        <v>72248</v>
      </c>
      <c r="U20" s="355">
        <v>-2994139</v>
      </c>
      <c r="V20" s="355">
        <v>18079838</v>
      </c>
      <c r="W20" s="355">
        <v>100921939</v>
      </c>
      <c r="X20" s="355">
        <v>45863290</v>
      </c>
      <c r="Y20" s="355">
        <v>2758987</v>
      </c>
      <c r="Z20" s="355">
        <v>167624054</v>
      </c>
      <c r="AA20" s="355">
        <v>74048199</v>
      </c>
      <c r="AB20" s="355">
        <v>43526658</v>
      </c>
      <c r="AC20" s="335">
        <v>29.82</v>
      </c>
      <c r="AD20" s="335">
        <v>95.04</v>
      </c>
      <c r="AE20" s="357">
        <f t="shared" si="1"/>
        <v>4.2373849019424682E-2</v>
      </c>
    </row>
    <row r="21" spans="1:31" ht="15.4" x14ac:dyDescent="0.45">
      <c r="A21" s="334" t="s">
        <v>33</v>
      </c>
      <c r="B21" s="355">
        <v>6516246</v>
      </c>
      <c r="C21" s="355">
        <v>28558886</v>
      </c>
      <c r="D21" s="355">
        <v>2809644</v>
      </c>
      <c r="E21" s="355">
        <v>183827</v>
      </c>
      <c r="F21" s="355">
        <v>2696686</v>
      </c>
      <c r="G21" s="355">
        <v>2209246</v>
      </c>
      <c r="H21" s="355">
        <v>2221968</v>
      </c>
      <c r="I21" s="355">
        <v>197349</v>
      </c>
      <c r="J21" s="355">
        <v>45393852</v>
      </c>
      <c r="K21" s="355">
        <v>40656209</v>
      </c>
      <c r="L21" s="355">
        <v>29707265</v>
      </c>
      <c r="M21" s="355">
        <v>5811381</v>
      </c>
      <c r="N21" s="355">
        <v>5811381</v>
      </c>
      <c r="O21" s="355">
        <v>13521982</v>
      </c>
      <c r="P21" s="355">
        <v>4287705</v>
      </c>
      <c r="Q21" s="355">
        <v>782021</v>
      </c>
      <c r="R21" s="355">
        <v>6868218</v>
      </c>
      <c r="S21" s="355">
        <v>1379005</v>
      </c>
      <c r="T21" s="355">
        <v>66833</v>
      </c>
      <c r="U21" s="355">
        <v>8314056</v>
      </c>
      <c r="V21" s="355">
        <v>1546240</v>
      </c>
      <c r="W21" s="355">
        <v>86664393.700000003</v>
      </c>
      <c r="X21" s="355">
        <v>12956753</v>
      </c>
      <c r="Y21" s="355">
        <v>8331196</v>
      </c>
      <c r="Z21" s="355">
        <v>110803583</v>
      </c>
      <c r="AA21" s="355">
        <v>48320383</v>
      </c>
      <c r="AB21" s="355">
        <v>8813634</v>
      </c>
      <c r="AC21" s="335">
        <v>19.059999999999999</v>
      </c>
      <c r="AD21" s="335">
        <v>58.41</v>
      </c>
      <c r="AE21" s="357">
        <f t="shared" si="1"/>
        <v>3.8802861195213104E-2</v>
      </c>
    </row>
    <row r="22" spans="1:31" ht="15.4" x14ac:dyDescent="0.45">
      <c r="A22" s="334" t="s">
        <v>34</v>
      </c>
      <c r="B22" s="355">
        <v>762431</v>
      </c>
      <c r="C22" s="355">
        <v>18874167</v>
      </c>
      <c r="D22" s="355">
        <v>623093</v>
      </c>
      <c r="E22" s="355">
        <v>0</v>
      </c>
      <c r="F22" s="355">
        <v>469107</v>
      </c>
      <c r="G22" s="355">
        <v>224986</v>
      </c>
      <c r="H22" s="355">
        <v>110477</v>
      </c>
      <c r="I22" s="355">
        <v>0</v>
      </c>
      <c r="J22" s="355">
        <v>21064261</v>
      </c>
      <c r="K22" s="355">
        <v>19654025</v>
      </c>
      <c r="L22" s="355">
        <v>7380504</v>
      </c>
      <c r="M22" s="355">
        <v>3181368</v>
      </c>
      <c r="N22" s="355">
        <v>3090287</v>
      </c>
      <c r="O22" s="355">
        <v>8431628</v>
      </c>
      <c r="P22" s="355">
        <v>1816333</v>
      </c>
      <c r="Q22" s="355">
        <v>413903</v>
      </c>
      <c r="R22" s="355">
        <v>-5543841</v>
      </c>
      <c r="S22" s="355">
        <v>1330156</v>
      </c>
      <c r="T22" s="355">
        <v>0</v>
      </c>
      <c r="U22" s="355">
        <v>-4213685</v>
      </c>
      <c r="V22" s="355">
        <v>3924426</v>
      </c>
      <c r="W22" s="355">
        <v>51244298</v>
      </c>
      <c r="X22" s="355">
        <v>23427976</v>
      </c>
      <c r="Y22" s="355">
        <v>16290304</v>
      </c>
      <c r="Z22" s="355">
        <v>94887004</v>
      </c>
      <c r="AA22" s="355">
        <v>35484382</v>
      </c>
      <c r="AB22" s="355">
        <v>7616342</v>
      </c>
      <c r="AC22" s="335"/>
      <c r="AD22" s="335"/>
      <c r="AE22" s="357">
        <f t="shared" si="1"/>
        <v>1.800582148795702E-2</v>
      </c>
    </row>
    <row r="23" spans="1:31" ht="15.4" x14ac:dyDescent="0.45">
      <c r="A23" s="334" t="s">
        <v>35</v>
      </c>
      <c r="B23" s="355">
        <v>2209976</v>
      </c>
      <c r="C23" s="355">
        <v>19176338</v>
      </c>
      <c r="D23" s="355">
        <v>813202</v>
      </c>
      <c r="E23" s="355">
        <v>264878</v>
      </c>
      <c r="F23" s="355">
        <v>286424</v>
      </c>
      <c r="G23" s="355"/>
      <c r="H23" s="355">
        <v>1308690</v>
      </c>
      <c r="I23" s="355"/>
      <c r="J23" s="355">
        <v>24059508</v>
      </c>
      <c r="K23" s="355">
        <v>19799947</v>
      </c>
      <c r="L23" s="355">
        <v>12876485.1</v>
      </c>
      <c r="M23" s="355">
        <v>4308751</v>
      </c>
      <c r="N23" s="355">
        <v>3525262</v>
      </c>
      <c r="O23" s="355">
        <v>14699818</v>
      </c>
      <c r="P23" s="355">
        <v>2637518</v>
      </c>
      <c r="Q23" s="355">
        <v>1124070</v>
      </c>
      <c r="R23" s="355">
        <v>-6862042.8999999994</v>
      </c>
      <c r="S23" s="355">
        <v>2413713</v>
      </c>
      <c r="T23" s="355">
        <v>188562</v>
      </c>
      <c r="U23" s="355">
        <v>-6664876.9000000004</v>
      </c>
      <c r="V23" s="355">
        <v>11116471</v>
      </c>
      <c r="W23" s="355">
        <v>48139247</v>
      </c>
      <c r="X23" s="355">
        <v>22403132</v>
      </c>
      <c r="Y23" s="355">
        <v>33443062</v>
      </c>
      <c r="Z23" s="355">
        <v>117085769</v>
      </c>
      <c r="AA23" s="355">
        <v>35694269</v>
      </c>
      <c r="AB23" s="355">
        <v>19683381</v>
      </c>
      <c r="AC23" s="335">
        <v>25.18</v>
      </c>
      <c r="AD23" s="335">
        <v>123.83</v>
      </c>
      <c r="AE23" s="357">
        <f t="shared" si="1"/>
        <v>2.0566171589692789E-2</v>
      </c>
    </row>
    <row r="24" spans="1:31" ht="15.4" x14ac:dyDescent="0.45">
      <c r="A24" s="334" t="s">
        <v>36</v>
      </c>
      <c r="B24" s="355"/>
      <c r="C24" s="355"/>
      <c r="D24" s="355"/>
      <c r="E24" s="355"/>
      <c r="F24" s="355"/>
      <c r="G24" s="355"/>
      <c r="H24" s="355"/>
      <c r="I24" s="355"/>
      <c r="J24" s="355"/>
      <c r="K24" s="355"/>
      <c r="L24" s="355"/>
      <c r="M24" s="355"/>
      <c r="N24" s="355"/>
      <c r="O24" s="355"/>
      <c r="P24" s="355"/>
      <c r="Q24" s="355"/>
      <c r="R24" s="355"/>
      <c r="S24" s="355"/>
      <c r="T24" s="355"/>
      <c r="U24" s="355"/>
      <c r="V24" s="355"/>
      <c r="W24" s="355"/>
      <c r="X24" s="355"/>
      <c r="Y24" s="355"/>
      <c r="Z24" s="355"/>
      <c r="AA24" s="355"/>
      <c r="AB24" s="355"/>
      <c r="AC24" s="335"/>
      <c r="AD24" s="335"/>
      <c r="AE24" s="357">
        <f t="shared" si="1"/>
        <v>0</v>
      </c>
    </row>
    <row r="25" spans="1:31" ht="15.4" x14ac:dyDescent="0.45">
      <c r="A25" s="334" t="s">
        <v>146</v>
      </c>
      <c r="B25" s="355">
        <v>3167652</v>
      </c>
      <c r="C25" s="355">
        <v>8588259</v>
      </c>
      <c r="D25" s="355">
        <v>1059618</v>
      </c>
      <c r="E25" s="355">
        <v>3209146</v>
      </c>
      <c r="F25" s="355">
        <v>5803792</v>
      </c>
      <c r="G25" s="355">
        <v>1624341</v>
      </c>
      <c r="H25" s="355">
        <v>301608</v>
      </c>
      <c r="I25" s="355"/>
      <c r="J25" s="355">
        <v>23754416</v>
      </c>
      <c r="K25" s="355">
        <v>10809072</v>
      </c>
      <c r="L25" s="355">
        <v>7700125</v>
      </c>
      <c r="M25" s="355">
        <v>3793746</v>
      </c>
      <c r="N25" s="355">
        <v>1951235</v>
      </c>
      <c r="O25" s="355">
        <v>5400536</v>
      </c>
      <c r="P25" s="355">
        <v>2346917</v>
      </c>
      <c r="Q25" s="355">
        <v>2179628</v>
      </c>
      <c r="R25" s="355">
        <v>181065</v>
      </c>
      <c r="S25" s="355">
        <v>1616276</v>
      </c>
      <c r="T25" s="355">
        <v>49</v>
      </c>
      <c r="U25" s="355">
        <v>1258173</v>
      </c>
      <c r="V25" s="355">
        <v>22426635</v>
      </c>
      <c r="W25" s="355">
        <v>70246054</v>
      </c>
      <c r="X25" s="355">
        <v>41780043.890000001</v>
      </c>
      <c r="Y25" s="355">
        <v>2248408</v>
      </c>
      <c r="Z25" s="355">
        <v>141463509</v>
      </c>
      <c r="AA25" s="355">
        <v>64875184.950000003</v>
      </c>
      <c r="AB25" s="355">
        <v>25546886.548764382</v>
      </c>
      <c r="AC25" s="335">
        <v>19.75</v>
      </c>
      <c r="AD25" s="335">
        <v>78.42</v>
      </c>
      <c r="AE25" s="357">
        <f t="shared" si="1"/>
        <v>2.0305377627378909E-2</v>
      </c>
    </row>
    <row r="26" spans="1:31" ht="15.4" x14ac:dyDescent="0.45">
      <c r="A26" s="334" t="s">
        <v>77</v>
      </c>
      <c r="B26" s="355">
        <v>6748039</v>
      </c>
      <c r="C26" s="355">
        <v>12816358</v>
      </c>
      <c r="D26" s="355">
        <v>3464611</v>
      </c>
      <c r="E26" s="355">
        <v>2753500</v>
      </c>
      <c r="F26" s="355">
        <v>602314</v>
      </c>
      <c r="G26" s="355"/>
      <c r="H26" s="355">
        <v>1749756</v>
      </c>
      <c r="I26" s="355"/>
      <c r="J26" s="355">
        <v>28134578</v>
      </c>
      <c r="K26" s="355">
        <v>19405801</v>
      </c>
      <c r="L26" s="355">
        <v>14543731</v>
      </c>
      <c r="M26" s="355">
        <v>5057379</v>
      </c>
      <c r="N26" s="355">
        <v>3260457</v>
      </c>
      <c r="O26" s="355">
        <v>12737325</v>
      </c>
      <c r="P26" s="355">
        <v>965688</v>
      </c>
      <c r="Q26" s="355">
        <v>738414</v>
      </c>
      <c r="R26" s="355">
        <v>-1681325</v>
      </c>
      <c r="S26" s="355">
        <v>1567534</v>
      </c>
      <c r="T26" s="355">
        <v>0</v>
      </c>
      <c r="U26" s="355">
        <v>-116911</v>
      </c>
      <c r="V26" s="355">
        <v>19751784</v>
      </c>
      <c r="W26" s="355">
        <v>51481672</v>
      </c>
      <c r="X26" s="355">
        <v>16926845</v>
      </c>
      <c r="Y26" s="355">
        <v>4977621</v>
      </c>
      <c r="Z26" s="355">
        <v>95412383</v>
      </c>
      <c r="AA26" s="355">
        <v>25952045</v>
      </c>
      <c r="AB26" s="355">
        <v>8479270</v>
      </c>
      <c r="AC26" s="335">
        <v>21.34</v>
      </c>
      <c r="AD26" s="335">
        <v>89.67</v>
      </c>
      <c r="AE26" s="357">
        <f t="shared" si="1"/>
        <v>2.4049559066278321E-2</v>
      </c>
    </row>
    <row r="27" spans="1:31" ht="15.4" x14ac:dyDescent="0.45">
      <c r="A27" s="334" t="s">
        <v>39</v>
      </c>
      <c r="B27" s="355"/>
      <c r="C27" s="355"/>
      <c r="D27" s="355"/>
      <c r="E27" s="355"/>
      <c r="F27" s="355"/>
      <c r="G27" s="355"/>
      <c r="H27" s="355"/>
      <c r="I27" s="355"/>
      <c r="J27" s="355"/>
      <c r="K27" s="355"/>
      <c r="L27" s="355"/>
      <c r="M27" s="355"/>
      <c r="N27" s="355"/>
      <c r="O27" s="355"/>
      <c r="P27" s="355"/>
      <c r="Q27" s="355"/>
      <c r="R27" s="355"/>
      <c r="S27" s="355"/>
      <c r="T27" s="355"/>
      <c r="U27" s="355"/>
      <c r="V27" s="355"/>
      <c r="W27" s="355"/>
      <c r="X27" s="355"/>
      <c r="Y27" s="355"/>
      <c r="Z27" s="355"/>
      <c r="AA27" s="355"/>
      <c r="AB27" s="355"/>
      <c r="AC27" s="335"/>
      <c r="AD27" s="335"/>
      <c r="AE27" s="357">
        <f t="shared" si="1"/>
        <v>0</v>
      </c>
    </row>
    <row r="28" spans="1:31" ht="15.4" x14ac:dyDescent="0.45">
      <c r="A28" s="334" t="s">
        <v>40</v>
      </c>
      <c r="B28" s="355">
        <v>52006040</v>
      </c>
      <c r="C28" s="355">
        <v>50029158</v>
      </c>
      <c r="D28" s="355">
        <v>11400594</v>
      </c>
      <c r="E28" s="355">
        <v>-603180</v>
      </c>
      <c r="F28" s="355">
        <v>5195347</v>
      </c>
      <c r="G28" s="355">
        <v>7977258</v>
      </c>
      <c r="H28" s="355">
        <v>12173366</v>
      </c>
      <c r="I28" s="355"/>
      <c r="J28" s="355">
        <v>138178583</v>
      </c>
      <c r="K28" s="355">
        <v>81282740</v>
      </c>
      <c r="L28" s="355">
        <v>73537509</v>
      </c>
      <c r="M28" s="355">
        <v>49492671</v>
      </c>
      <c r="N28" s="355">
        <v>40157374</v>
      </c>
      <c r="O28" s="355">
        <v>19856066</v>
      </c>
      <c r="P28" s="355">
        <v>19173143</v>
      </c>
      <c r="Q28" s="355">
        <v>10580171</v>
      </c>
      <c r="R28" s="355">
        <v>4931097</v>
      </c>
      <c r="S28" s="355">
        <v>3751738</v>
      </c>
      <c r="T28" s="355">
        <v>0</v>
      </c>
      <c r="U28" s="355">
        <v>6416618</v>
      </c>
      <c r="V28" s="355">
        <v>4571222</v>
      </c>
      <c r="W28" s="355">
        <v>741518167</v>
      </c>
      <c r="X28" s="355">
        <v>162718983</v>
      </c>
      <c r="Y28" s="355">
        <v>3622437</v>
      </c>
      <c r="Z28" s="355">
        <v>912430809</v>
      </c>
      <c r="AA28" s="355">
        <v>224298333</v>
      </c>
      <c r="AB28" s="355">
        <v>140490551</v>
      </c>
      <c r="AC28" s="335">
        <v>47.74</v>
      </c>
      <c r="AD28" s="335">
        <v>46.4</v>
      </c>
      <c r="AE28" s="357">
        <f t="shared" si="1"/>
        <v>0.11811565091017685</v>
      </c>
    </row>
    <row r="29" spans="1:31" ht="15.4" x14ac:dyDescent="0.45">
      <c r="A29" s="334" t="s">
        <v>90</v>
      </c>
      <c r="B29" s="355">
        <v>3142683</v>
      </c>
      <c r="C29" s="355">
        <v>21256359</v>
      </c>
      <c r="D29" s="355">
        <v>2454042</v>
      </c>
      <c r="E29" s="355">
        <v>19178</v>
      </c>
      <c r="F29" s="355">
        <v>859044</v>
      </c>
      <c r="G29" s="355"/>
      <c r="H29" s="355">
        <v>1697029</v>
      </c>
      <c r="I29" s="355"/>
      <c r="J29" s="355">
        <v>29428335</v>
      </c>
      <c r="K29" s="355">
        <v>24912074.91</v>
      </c>
      <c r="L29" s="355">
        <v>17948391.91</v>
      </c>
      <c r="M29" s="355">
        <v>5829239</v>
      </c>
      <c r="N29" s="355">
        <v>4139648</v>
      </c>
      <c r="O29" s="355">
        <v>11846894</v>
      </c>
      <c r="P29" s="355">
        <v>2871494</v>
      </c>
      <c r="Q29" s="355">
        <v>1393734</v>
      </c>
      <c r="R29" s="355">
        <v>484089.91000000009</v>
      </c>
      <c r="S29" s="355">
        <v>7327109</v>
      </c>
      <c r="T29" s="355">
        <v>26287</v>
      </c>
      <c r="U29" s="355">
        <v>5569896.9100000001</v>
      </c>
      <c r="V29" s="355">
        <v>5182730</v>
      </c>
      <c r="W29" s="355">
        <v>100745631</v>
      </c>
      <c r="X29" s="355">
        <v>28178201</v>
      </c>
      <c r="Y29" s="355">
        <v>13926478</v>
      </c>
      <c r="Z29" s="355">
        <v>154130996</v>
      </c>
      <c r="AA29" s="355">
        <v>63885980</v>
      </c>
      <c r="AB29" s="355">
        <v>13017286.800000001</v>
      </c>
      <c r="AC29" s="335">
        <v>21.4</v>
      </c>
      <c r="AD29" s="335">
        <v>76.09</v>
      </c>
      <c r="AE29" s="357">
        <f t="shared" si="1"/>
        <v>2.5155468150427764E-2</v>
      </c>
    </row>
    <row r="30" spans="1:31" ht="15.4" x14ac:dyDescent="0.45">
      <c r="A30" s="334" t="s">
        <v>41</v>
      </c>
      <c r="B30" s="355">
        <v>1026363</v>
      </c>
      <c r="C30" s="355">
        <v>12549318</v>
      </c>
      <c r="D30" s="355">
        <v>1035362</v>
      </c>
      <c r="E30" s="355">
        <v>250856</v>
      </c>
      <c r="F30" s="355">
        <v>5782</v>
      </c>
      <c r="G30" s="355">
        <v>68728</v>
      </c>
      <c r="H30" s="355">
        <v>2979</v>
      </c>
      <c r="I30" s="355"/>
      <c r="J30" s="355">
        <v>14939388</v>
      </c>
      <c r="K30" s="355">
        <v>12863475</v>
      </c>
      <c r="L30" s="355">
        <v>11355828</v>
      </c>
      <c r="M30" s="355">
        <v>2773298</v>
      </c>
      <c r="N30" s="355">
        <v>2773298</v>
      </c>
      <c r="O30" s="355">
        <v>6082338</v>
      </c>
      <c r="P30" s="355">
        <v>893437</v>
      </c>
      <c r="Q30" s="355">
        <v>563392</v>
      </c>
      <c r="R30" s="355">
        <v>2170147</v>
      </c>
      <c r="S30" s="355">
        <v>3179624</v>
      </c>
      <c r="T30" s="355">
        <v>539186</v>
      </c>
      <c r="U30" s="355">
        <v>4122270</v>
      </c>
      <c r="V30" s="355">
        <v>5615298</v>
      </c>
      <c r="W30" s="355">
        <v>72550522</v>
      </c>
      <c r="X30" s="355">
        <v>14562943</v>
      </c>
      <c r="Y30" s="355">
        <v>4297688</v>
      </c>
      <c r="Z30" s="355">
        <v>97690506</v>
      </c>
      <c r="AA30" s="355">
        <v>21483497</v>
      </c>
      <c r="AB30" s="355">
        <v>7341453</v>
      </c>
      <c r="AC30" s="335">
        <v>23.27</v>
      </c>
      <c r="AD30" s="335">
        <v>58.53</v>
      </c>
      <c r="AE30" s="357">
        <f t="shared" si="1"/>
        <v>1.2770253533571734E-2</v>
      </c>
    </row>
    <row r="31" spans="1:31" ht="15.4" x14ac:dyDescent="0.45">
      <c r="A31" s="334" t="s">
        <v>42</v>
      </c>
      <c r="B31" s="355">
        <v>16805744.260000002</v>
      </c>
      <c r="C31" s="355">
        <v>65084561.240000002</v>
      </c>
      <c r="D31" s="355">
        <v>6901172.6699999999</v>
      </c>
      <c r="E31" s="355">
        <v>591976.71</v>
      </c>
      <c r="F31" s="355">
        <v>2220294.9300000002</v>
      </c>
      <c r="G31" s="355">
        <v>9189083.4100000001</v>
      </c>
      <c r="H31" s="355">
        <v>3790951.87</v>
      </c>
      <c r="I31" s="355"/>
      <c r="J31" s="355">
        <v>104583785.09</v>
      </c>
      <c r="K31" s="355">
        <v>68518936.230000004</v>
      </c>
      <c r="L31" s="355">
        <v>51287190.460000008</v>
      </c>
      <c r="M31" s="355">
        <v>20875249.199999999</v>
      </c>
      <c r="N31" s="355">
        <v>17685760.239999998</v>
      </c>
      <c r="O31" s="355">
        <v>18399958.449999999</v>
      </c>
      <c r="P31" s="355">
        <v>16936835</v>
      </c>
      <c r="Q31" s="355">
        <v>7912397.2800000003</v>
      </c>
      <c r="R31" s="355">
        <v>6177034.050000011</v>
      </c>
      <c r="S31" s="355">
        <v>753057.21000000008</v>
      </c>
      <c r="T31" s="355">
        <v>118549.16</v>
      </c>
      <c r="U31" s="355">
        <v>6051140.75</v>
      </c>
      <c r="V31" s="355">
        <v>76813111.550000012</v>
      </c>
      <c r="W31" s="355">
        <v>118706462.98999999</v>
      </c>
      <c r="X31" s="355">
        <v>265151331.1400001</v>
      </c>
      <c r="Y31" s="355">
        <v>10325234.76</v>
      </c>
      <c r="Z31" s="355">
        <v>479458206</v>
      </c>
      <c r="AA31" s="355">
        <v>272985902.94999999</v>
      </c>
      <c r="AB31" s="355">
        <v>89263988.119999975</v>
      </c>
      <c r="AC31" s="335">
        <v>29.87</v>
      </c>
      <c r="AD31" s="335">
        <v>59.69</v>
      </c>
      <c r="AE31" s="357">
        <f t="shared" si="1"/>
        <v>8.9398672228064455E-2</v>
      </c>
    </row>
    <row r="32" spans="1:31" ht="15.4" x14ac:dyDescent="0.45">
      <c r="A32" s="334" t="s">
        <v>44</v>
      </c>
      <c r="B32" s="356">
        <f t="shared" ref="B32:AE32" si="2">SUM(B6:B31)</f>
        <v>326515498.12</v>
      </c>
      <c r="C32" s="356">
        <f t="shared" si="2"/>
        <v>539532289.0599997</v>
      </c>
      <c r="D32" s="356">
        <f t="shared" si="2"/>
        <v>58980033.299999997</v>
      </c>
      <c r="E32" s="356">
        <f t="shared" si="2"/>
        <v>66421797.100000001</v>
      </c>
      <c r="F32" s="356">
        <f t="shared" si="2"/>
        <v>44429845.399999999</v>
      </c>
      <c r="G32" s="356">
        <f t="shared" si="2"/>
        <v>65101250.530000001</v>
      </c>
      <c r="H32" s="356">
        <f t="shared" si="2"/>
        <v>54611076.869999997</v>
      </c>
      <c r="I32" s="356">
        <f t="shared" si="2"/>
        <v>14266581</v>
      </c>
      <c r="J32" s="356">
        <f t="shared" si="2"/>
        <v>1169858371.3099999</v>
      </c>
      <c r="K32" s="356">
        <f t="shared" si="2"/>
        <v>684338832.78999996</v>
      </c>
      <c r="L32" s="356">
        <f t="shared" si="2"/>
        <v>482792532.95000005</v>
      </c>
      <c r="M32" s="356">
        <f t="shared" si="2"/>
        <v>222163154.48999998</v>
      </c>
      <c r="N32" s="356">
        <f t="shared" si="2"/>
        <v>173648971.79000002</v>
      </c>
      <c r="O32" s="356">
        <f t="shared" si="2"/>
        <v>238249177.56</v>
      </c>
      <c r="P32" s="356">
        <f t="shared" si="2"/>
        <v>153645429.22999999</v>
      </c>
      <c r="Q32" s="356">
        <f t="shared" si="2"/>
        <v>102234418.1265</v>
      </c>
      <c r="R32" s="356">
        <f t="shared" si="2"/>
        <v>19483372.496500004</v>
      </c>
      <c r="S32" s="356">
        <f t="shared" si="2"/>
        <v>91584218.028599992</v>
      </c>
      <c r="T32" s="356">
        <f t="shared" si="2"/>
        <v>57083.16</v>
      </c>
      <c r="U32" s="356">
        <f t="shared" si="2"/>
        <v>81256450.377300322</v>
      </c>
      <c r="V32" s="356">
        <f t="shared" si="2"/>
        <v>718903001.38954592</v>
      </c>
      <c r="W32" s="356">
        <f t="shared" si="2"/>
        <v>2592609148.0884337</v>
      </c>
      <c r="X32" s="356">
        <f t="shared" si="2"/>
        <v>1450108347.1140001</v>
      </c>
      <c r="Y32" s="356">
        <f t="shared" si="2"/>
        <v>376546709.89590001</v>
      </c>
      <c r="Z32" s="356">
        <f t="shared" si="2"/>
        <v>5221999939</v>
      </c>
      <c r="AA32" s="356">
        <f t="shared" si="2"/>
        <v>2131663356.3500001</v>
      </c>
      <c r="AB32" s="356">
        <f t="shared" si="2"/>
        <v>777781998.58878624</v>
      </c>
      <c r="AC32" s="356">
        <f t="shared" si="2"/>
        <v>561.09999999999991</v>
      </c>
      <c r="AD32" s="356">
        <f t="shared" si="2"/>
        <v>1705.0000000000002</v>
      </c>
      <c r="AE32" s="356">
        <f t="shared" si="2"/>
        <v>1.0000000000000002</v>
      </c>
    </row>
  </sheetData>
  <mergeCells count="1">
    <mergeCell ref="B1:AE1"/>
  </mergeCells>
  <dataValidations count="1">
    <dataValidation type="list" allowBlank="1" showInputMessage="1" showErrorMessage="1" sqref="A3" xr:uid="{00000000-0002-0000-2B00-000000000000}">
      <formula1>$A$6:$A$31</formula1>
    </dataValidation>
  </dataValidations>
  <pageMargins left="0.7" right="0.7" top="0.75" bottom="0.75" header="0.3" footer="0.3"/>
  <pageSetup orientation="portrait" r:id="rId1"/>
  <customProperties>
    <customPr name="LastActive" r:id="rId2"/>
  </customProperties>
  <legacyDrawing r:id="rId3"/>
</worksheet>
</file>

<file path=xl/worksheets/sheet4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C00-000000000000}">
  <dimension ref="A1:AE32"/>
  <sheetViews>
    <sheetView topLeftCell="U3" workbookViewId="0">
      <selection activeCell="X12" sqref="X12"/>
    </sheetView>
  </sheetViews>
  <sheetFormatPr defaultRowHeight="12.75" x14ac:dyDescent="0.35"/>
  <cols>
    <col min="1" max="1" width="50.73046875" bestFit="1" customWidth="1"/>
    <col min="2" max="3" width="20" customWidth="1"/>
    <col min="4" max="4" width="16.3984375" bestFit="1" customWidth="1"/>
    <col min="5" max="5" width="17.73046875" bestFit="1" customWidth="1"/>
    <col min="6" max="6" width="16.265625" bestFit="1" customWidth="1"/>
    <col min="7" max="8" width="17.73046875" bestFit="1" customWidth="1"/>
    <col min="9" max="9" width="16.265625" bestFit="1" customWidth="1"/>
    <col min="10" max="10" width="20" customWidth="1"/>
    <col min="11" max="12" width="20" bestFit="1" customWidth="1"/>
    <col min="13" max="13" width="17.73046875" customWidth="1"/>
    <col min="14" max="14" width="17.73046875" bestFit="1" customWidth="1"/>
    <col min="15" max="16" width="17.73046875" customWidth="1"/>
    <col min="17" max="17" width="16.265625" bestFit="1" customWidth="1"/>
    <col min="18" max="18" width="17.73046875" bestFit="1" customWidth="1"/>
    <col min="19" max="19" width="17" customWidth="1"/>
    <col min="20" max="22" width="17.73046875" bestFit="1" customWidth="1"/>
    <col min="23" max="24" width="20" bestFit="1" customWidth="1"/>
    <col min="25" max="25" width="17.73046875" customWidth="1"/>
    <col min="26" max="26" width="20" bestFit="1" customWidth="1"/>
    <col min="27" max="27" width="20" customWidth="1"/>
    <col min="28" max="28" width="17.73046875" bestFit="1" customWidth="1"/>
    <col min="29" max="29" width="11.73046875" bestFit="1" customWidth="1"/>
    <col min="30" max="30" width="13" bestFit="1" customWidth="1"/>
    <col min="31" max="31" width="8.265625" bestFit="1" customWidth="1"/>
  </cols>
  <sheetData>
    <row r="1" spans="1:31" ht="23.25" x14ac:dyDescent="0.7">
      <c r="A1" s="351" t="s">
        <v>148</v>
      </c>
      <c r="B1" s="413" t="s">
        <v>149</v>
      </c>
      <c r="C1" s="413"/>
      <c r="D1" s="413"/>
      <c r="E1" s="413"/>
      <c r="F1" s="413"/>
      <c r="G1" s="413"/>
      <c r="H1" s="413"/>
      <c r="I1" s="413"/>
      <c r="J1" s="413"/>
      <c r="K1" s="413"/>
      <c r="L1" s="413"/>
      <c r="M1" s="413"/>
      <c r="N1" s="413"/>
      <c r="O1" s="413"/>
      <c r="P1" s="413"/>
      <c r="Q1" s="413"/>
      <c r="R1" s="413"/>
      <c r="S1" s="413"/>
      <c r="T1" s="413"/>
      <c r="U1" s="413"/>
      <c r="V1" s="413"/>
      <c r="W1" s="413"/>
      <c r="X1" s="413"/>
      <c r="Y1" s="413"/>
      <c r="Z1" s="413"/>
      <c r="AA1" s="413"/>
      <c r="AB1" s="413"/>
      <c r="AC1" s="413"/>
      <c r="AD1" s="413"/>
      <c r="AE1" s="413"/>
    </row>
    <row r="2" spans="1:31" ht="42.75" x14ac:dyDescent="0.45">
      <c r="A2" s="350"/>
      <c r="B2" s="348" t="s">
        <v>100</v>
      </c>
      <c r="C2" s="348" t="s">
        <v>101</v>
      </c>
      <c r="D2" s="348" t="s">
        <v>102</v>
      </c>
      <c r="E2" s="348" t="s">
        <v>103</v>
      </c>
      <c r="F2" s="348" t="s">
        <v>104</v>
      </c>
      <c r="G2" s="348" t="s">
        <v>105</v>
      </c>
      <c r="H2" s="348" t="s">
        <v>106</v>
      </c>
      <c r="I2" s="348" t="s">
        <v>107</v>
      </c>
      <c r="J2" s="348" t="s">
        <v>108</v>
      </c>
      <c r="K2" s="348" t="s">
        <v>109</v>
      </c>
      <c r="L2" s="348" t="s">
        <v>110</v>
      </c>
      <c r="M2" s="349" t="s">
        <v>93</v>
      </c>
      <c r="N2" s="348" t="s">
        <v>111</v>
      </c>
      <c r="O2" s="348" t="s">
        <v>112</v>
      </c>
      <c r="P2" s="348" t="s">
        <v>113</v>
      </c>
      <c r="Q2" s="348" t="s">
        <v>97</v>
      </c>
      <c r="R2" s="348" t="s">
        <v>131</v>
      </c>
      <c r="S2" s="348" t="s">
        <v>132</v>
      </c>
      <c r="T2" s="348" t="s">
        <v>133</v>
      </c>
      <c r="U2" s="348" t="s">
        <v>134</v>
      </c>
      <c r="V2" s="348" t="s">
        <v>118</v>
      </c>
      <c r="W2" s="348" t="s">
        <v>119</v>
      </c>
      <c r="X2" s="348" t="s">
        <v>120</v>
      </c>
      <c r="Y2" s="349" t="s">
        <v>121</v>
      </c>
      <c r="Z2" s="348" t="s">
        <v>135</v>
      </c>
      <c r="AA2" s="348" t="s">
        <v>124</v>
      </c>
      <c r="AB2" s="348" t="s">
        <v>125</v>
      </c>
      <c r="AC2" s="347" t="s">
        <v>79</v>
      </c>
      <c r="AD2" s="347" t="s">
        <v>80</v>
      </c>
      <c r="AE2" s="347" t="s">
        <v>19</v>
      </c>
    </row>
    <row r="3" spans="1:31" ht="15.4" x14ac:dyDescent="0.45">
      <c r="A3" s="346" t="s">
        <v>25</v>
      </c>
      <c r="B3" s="345">
        <f t="shared" ref="B3:AE3" si="0">INDEX(B6:B31,MATCH($A$3,$A$6:$A$31,0))</f>
        <v>52896808</v>
      </c>
      <c r="C3" s="345"/>
      <c r="D3" s="345">
        <f t="shared" si="0"/>
        <v>22091541</v>
      </c>
      <c r="E3" s="345">
        <f t="shared" si="0"/>
        <v>1279733</v>
      </c>
      <c r="F3" s="345">
        <f t="shared" si="0"/>
        <v>0</v>
      </c>
      <c r="G3" s="345">
        <f t="shared" si="0"/>
        <v>9576248</v>
      </c>
      <c r="H3" s="345">
        <f t="shared" si="0"/>
        <v>0</v>
      </c>
      <c r="I3" s="345">
        <f t="shared" si="0"/>
        <v>4471521</v>
      </c>
      <c r="J3" s="345">
        <f t="shared" si="0"/>
        <v>138838396</v>
      </c>
      <c r="K3" s="345">
        <f t="shared" si="0"/>
        <v>55250085</v>
      </c>
      <c r="L3" s="345">
        <f t="shared" si="0"/>
        <v>46138267</v>
      </c>
      <c r="M3" s="345">
        <f t="shared" si="0"/>
        <v>31600208</v>
      </c>
      <c r="N3" s="345">
        <f t="shared" si="0"/>
        <v>18896144</v>
      </c>
      <c r="O3" s="345">
        <f t="shared" si="0"/>
        <v>10879213</v>
      </c>
      <c r="P3" s="345">
        <f t="shared" si="0"/>
        <v>20713577</v>
      </c>
      <c r="Q3" s="345">
        <f t="shared" si="0"/>
        <v>11259389</v>
      </c>
      <c r="R3" s="345">
        <f t="shared" si="0"/>
        <v>1607999</v>
      </c>
      <c r="S3" s="345">
        <f t="shared" si="0"/>
        <v>0</v>
      </c>
      <c r="T3" s="345">
        <f t="shared" si="0"/>
        <v>15610056</v>
      </c>
      <c r="U3" s="345">
        <f t="shared" si="0"/>
        <v>8675402</v>
      </c>
      <c r="V3" s="345">
        <f t="shared" si="0"/>
        <v>18453259</v>
      </c>
      <c r="W3" s="345">
        <f t="shared" si="0"/>
        <v>147132827</v>
      </c>
      <c r="X3" s="345">
        <f t="shared" si="0"/>
        <v>163570014</v>
      </c>
      <c r="Y3" s="345">
        <f t="shared" si="0"/>
        <v>49676513</v>
      </c>
      <c r="Z3" s="345">
        <f t="shared" si="0"/>
        <v>379385183</v>
      </c>
      <c r="AA3" s="345">
        <f t="shared" si="0"/>
        <v>205687599</v>
      </c>
      <c r="AB3" s="345">
        <f t="shared" si="0"/>
        <v>42440052</v>
      </c>
      <c r="AC3" s="345">
        <f t="shared" si="0"/>
        <v>30.6</v>
      </c>
      <c r="AD3" s="345">
        <f t="shared" si="0"/>
        <v>51.16</v>
      </c>
      <c r="AE3" s="364">
        <f t="shared" si="0"/>
        <v>5.9787282974268392E-2</v>
      </c>
    </row>
    <row r="4" spans="1:31" ht="14.25" x14ac:dyDescent="0.45">
      <c r="A4" s="330"/>
      <c r="B4" s="330"/>
      <c r="C4" s="330"/>
      <c r="D4" s="330"/>
      <c r="E4" s="330"/>
      <c r="F4" s="330"/>
      <c r="G4" s="330"/>
      <c r="H4" s="330"/>
      <c r="I4" s="330"/>
      <c r="J4" s="330"/>
      <c r="K4" s="330"/>
      <c r="L4" s="330"/>
      <c r="M4" s="330"/>
      <c r="N4" s="330"/>
      <c r="O4" s="330"/>
      <c r="P4" s="330"/>
      <c r="Q4" s="330"/>
      <c r="R4" s="330"/>
      <c r="S4" s="330"/>
      <c r="T4" s="330"/>
      <c r="U4" s="330"/>
      <c r="V4" s="330"/>
      <c r="W4" s="330"/>
      <c r="X4" s="330"/>
      <c r="Y4" s="330"/>
      <c r="Z4" s="330"/>
      <c r="AA4" s="330"/>
      <c r="AB4" s="330"/>
      <c r="AC4" s="330"/>
      <c r="AD4" s="330"/>
      <c r="AE4" s="330"/>
    </row>
    <row r="5" spans="1:31" ht="38.25" x14ac:dyDescent="0.35">
      <c r="A5" s="344" t="s">
        <v>136</v>
      </c>
      <c r="B5" s="342" t="s">
        <v>100</v>
      </c>
      <c r="C5" s="342" t="s">
        <v>101</v>
      </c>
      <c r="D5" s="342" t="s">
        <v>102</v>
      </c>
      <c r="E5" s="342" t="s">
        <v>103</v>
      </c>
      <c r="F5" s="342" t="s">
        <v>104</v>
      </c>
      <c r="G5" s="343" t="s">
        <v>105</v>
      </c>
      <c r="H5" s="343" t="s">
        <v>106</v>
      </c>
      <c r="I5" s="343" t="s">
        <v>107</v>
      </c>
      <c r="J5" s="343" t="s">
        <v>137</v>
      </c>
      <c r="K5" s="342" t="s">
        <v>138</v>
      </c>
      <c r="L5" s="342" t="s">
        <v>110</v>
      </c>
      <c r="M5" s="342" t="s">
        <v>93</v>
      </c>
      <c r="N5" s="342" t="s">
        <v>111</v>
      </c>
      <c r="O5" s="342" t="s">
        <v>112</v>
      </c>
      <c r="P5" s="342" t="s">
        <v>139</v>
      </c>
      <c r="Q5" s="342" t="s">
        <v>140</v>
      </c>
      <c r="R5" s="342" t="s">
        <v>131</v>
      </c>
      <c r="S5" s="342" t="s">
        <v>132</v>
      </c>
      <c r="T5" s="342" t="s">
        <v>133</v>
      </c>
      <c r="U5" s="342" t="s">
        <v>134</v>
      </c>
      <c r="V5" s="342" t="s">
        <v>118</v>
      </c>
      <c r="W5" s="342" t="s">
        <v>119</v>
      </c>
      <c r="X5" s="342" t="s">
        <v>120</v>
      </c>
      <c r="Y5" s="342" t="s">
        <v>121</v>
      </c>
      <c r="Z5" s="342" t="s">
        <v>135</v>
      </c>
      <c r="AA5" s="342" t="s">
        <v>124</v>
      </c>
      <c r="AB5" s="342" t="s">
        <v>125</v>
      </c>
      <c r="AC5" s="341" t="s">
        <v>79</v>
      </c>
      <c r="AD5" s="341" t="s">
        <v>80</v>
      </c>
      <c r="AE5" s="341" t="s">
        <v>19</v>
      </c>
    </row>
    <row r="6" spans="1:31" ht="15.4" x14ac:dyDescent="0.45">
      <c r="A6" s="334" t="s">
        <v>20</v>
      </c>
      <c r="B6" s="355">
        <v>33537478</v>
      </c>
      <c r="C6" s="355">
        <v>13953917</v>
      </c>
      <c r="D6" s="355">
        <v>735874</v>
      </c>
      <c r="E6" s="355">
        <v>7929536</v>
      </c>
      <c r="F6" s="355">
        <v>3525485</v>
      </c>
      <c r="G6" s="355">
        <v>8066311</v>
      </c>
      <c r="H6" s="355">
        <v>1317810</v>
      </c>
      <c r="I6" s="355">
        <v>6324344</v>
      </c>
      <c r="J6" s="355">
        <v>75390755</v>
      </c>
      <c r="K6" s="355">
        <v>25397353</v>
      </c>
      <c r="L6" s="355">
        <v>20220245</v>
      </c>
      <c r="M6" s="355">
        <v>31920501</v>
      </c>
      <c r="N6" s="355">
        <v>7729695</v>
      </c>
      <c r="O6" s="355">
        <v>14116206</v>
      </c>
      <c r="P6" s="355">
        <v>9605345</v>
      </c>
      <c r="Q6" s="355">
        <v>3409594.68</v>
      </c>
      <c r="R6" s="355">
        <v>2242587.39</v>
      </c>
      <c r="S6" s="355">
        <v>246592</v>
      </c>
      <c r="T6" s="355">
        <v>14640595.68</v>
      </c>
      <c r="U6" s="355">
        <v>5898774.0700000003</v>
      </c>
      <c r="V6" s="355">
        <v>29374689</v>
      </c>
      <c r="W6" s="355">
        <v>66097799</v>
      </c>
      <c r="X6" s="355">
        <v>81085265</v>
      </c>
      <c r="Y6" s="355">
        <v>50398727.289999999</v>
      </c>
      <c r="Z6" s="355">
        <v>229877117</v>
      </c>
      <c r="AA6" s="355">
        <v>95709539</v>
      </c>
      <c r="AB6" s="355">
        <v>41863437.130000003</v>
      </c>
      <c r="AC6" s="335">
        <v>22.17</v>
      </c>
      <c r="AD6" s="335">
        <v>68.05</v>
      </c>
      <c r="AE6" s="357">
        <f>J6/$J$32</f>
        <v>3.2465143164206102E-2</v>
      </c>
    </row>
    <row r="7" spans="1:31" ht="15.4" x14ac:dyDescent="0.45">
      <c r="A7" s="334" t="s">
        <v>21</v>
      </c>
      <c r="B7" s="355">
        <v>6497734</v>
      </c>
      <c r="C7" s="355">
        <v>25623064</v>
      </c>
      <c r="D7" s="355">
        <v>1271812</v>
      </c>
      <c r="E7" s="355">
        <v>3008363</v>
      </c>
      <c r="F7" s="355"/>
      <c r="G7" s="355">
        <v>3818797</v>
      </c>
      <c r="H7" s="355">
        <v>1726612</v>
      </c>
      <c r="I7" s="355">
        <v>574356</v>
      </c>
      <c r="J7" s="355">
        <v>42520738</v>
      </c>
      <c r="K7" s="355">
        <v>32610785</v>
      </c>
      <c r="L7" s="355">
        <v>26752766</v>
      </c>
      <c r="M7" s="355">
        <v>13541511</v>
      </c>
      <c r="N7" s="355">
        <v>13088376</v>
      </c>
      <c r="O7" s="355">
        <v>13247565</v>
      </c>
      <c r="P7" s="355">
        <v>4168271</v>
      </c>
      <c r="Q7" s="355">
        <v>-3751446</v>
      </c>
      <c r="R7" s="355">
        <v>8183523</v>
      </c>
      <c r="S7" s="355">
        <v>0</v>
      </c>
      <c r="T7" s="355"/>
      <c r="U7" s="355">
        <v>3102453.9</v>
      </c>
      <c r="V7" s="355">
        <v>12557466</v>
      </c>
      <c r="W7" s="355">
        <v>98254630</v>
      </c>
      <c r="X7" s="355">
        <v>11098399</v>
      </c>
      <c r="Y7" s="355">
        <v>10950839</v>
      </c>
      <c r="Z7" s="355">
        <v>135895664</v>
      </c>
      <c r="AA7" s="355">
        <v>40751400</v>
      </c>
      <c r="AB7" s="355">
        <v>35490365</v>
      </c>
      <c r="AC7" s="335">
        <v>48.92</v>
      </c>
      <c r="AD7" s="335">
        <v>65.099999999999994</v>
      </c>
      <c r="AE7" s="357">
        <f t="shared" ref="AE7:AE31" si="1">J7/$J$32</f>
        <v>1.8310492402121435E-2</v>
      </c>
    </row>
    <row r="8" spans="1:31" ht="15.4" x14ac:dyDescent="0.45">
      <c r="A8" s="334" t="s">
        <v>87</v>
      </c>
      <c r="B8" s="355">
        <v>168003</v>
      </c>
      <c r="C8" s="355">
        <v>2283943</v>
      </c>
      <c r="D8" s="355">
        <v>41120</v>
      </c>
      <c r="E8" s="355"/>
      <c r="F8" s="355">
        <v>90477</v>
      </c>
      <c r="G8" s="355">
        <v>30661</v>
      </c>
      <c r="H8" s="355">
        <v>1080</v>
      </c>
      <c r="I8" s="355"/>
      <c r="J8" s="355">
        <v>2615284</v>
      </c>
      <c r="K8" s="355">
        <v>2145837</v>
      </c>
      <c r="L8" s="355">
        <v>929947</v>
      </c>
      <c r="M8" s="355">
        <v>888015</v>
      </c>
      <c r="N8" s="355">
        <v>888015</v>
      </c>
      <c r="O8" s="355">
        <v>3703204</v>
      </c>
      <c r="P8" s="355">
        <v>256306</v>
      </c>
      <c r="Q8" s="355">
        <v>-3801483</v>
      </c>
      <c r="R8" s="355">
        <v>1851332</v>
      </c>
      <c r="S8" s="355">
        <v>0</v>
      </c>
      <c r="T8" s="355">
        <v>116095</v>
      </c>
      <c r="U8" s="355">
        <v>-1950151</v>
      </c>
      <c r="V8" s="355">
        <v>1099874</v>
      </c>
      <c r="W8" s="355">
        <v>20374891.252307691</v>
      </c>
      <c r="X8" s="355">
        <v>33273262</v>
      </c>
      <c r="Y8" s="355">
        <v>7797453</v>
      </c>
      <c r="Z8" s="355">
        <v>63843296</v>
      </c>
      <c r="AA8" s="355">
        <v>3276328.41</v>
      </c>
      <c r="AB8" s="355">
        <v>2405083</v>
      </c>
      <c r="AC8" s="335">
        <v>84.89</v>
      </c>
      <c r="AD8" s="335">
        <v>378.52</v>
      </c>
      <c r="AE8" s="357">
        <f t="shared" si="1"/>
        <v>1.1262066479511659E-3</v>
      </c>
    </row>
    <row r="9" spans="1:31" ht="15.4" x14ac:dyDescent="0.45">
      <c r="A9" s="334" t="s">
        <v>60</v>
      </c>
      <c r="B9" s="355"/>
      <c r="C9" s="355"/>
      <c r="D9" s="355"/>
      <c r="E9" s="355"/>
      <c r="F9" s="355"/>
      <c r="G9" s="355"/>
      <c r="H9" s="355"/>
      <c r="I9" s="355"/>
      <c r="J9" s="355"/>
      <c r="K9" s="355"/>
      <c r="L9" s="355"/>
      <c r="M9" s="355"/>
      <c r="N9" s="355"/>
      <c r="O9" s="355"/>
      <c r="P9" s="355"/>
      <c r="Q9" s="355"/>
      <c r="R9" s="355"/>
      <c r="S9" s="355"/>
      <c r="T9" s="355"/>
      <c r="U9" s="355"/>
      <c r="V9" s="355"/>
      <c r="W9" s="355"/>
      <c r="X9" s="355"/>
      <c r="Y9" s="355"/>
      <c r="Z9" s="355"/>
      <c r="AA9" s="355"/>
      <c r="AB9" s="355"/>
      <c r="AC9" s="335"/>
      <c r="AD9" s="335"/>
      <c r="AE9" s="357">
        <f t="shared" si="1"/>
        <v>0</v>
      </c>
    </row>
    <row r="10" spans="1:31" ht="15.4" x14ac:dyDescent="0.45">
      <c r="A10" s="334" t="s">
        <v>128</v>
      </c>
      <c r="B10" s="355">
        <v>6852502</v>
      </c>
      <c r="C10" s="355">
        <v>19044691</v>
      </c>
      <c r="D10" s="355">
        <v>6637347</v>
      </c>
      <c r="E10" s="355">
        <v>625262</v>
      </c>
      <c r="F10" s="355"/>
      <c r="G10" s="355"/>
      <c r="H10" s="355">
        <v>811557</v>
      </c>
      <c r="I10" s="355"/>
      <c r="J10" s="355">
        <v>33971359</v>
      </c>
      <c r="K10" s="355">
        <v>23845899</v>
      </c>
      <c r="L10" s="355">
        <v>16097552</v>
      </c>
      <c r="M10" s="355">
        <v>26435801</v>
      </c>
      <c r="N10" s="355">
        <v>3401075</v>
      </c>
      <c r="O10" s="355">
        <v>10428611</v>
      </c>
      <c r="P10" s="355">
        <v>5010146</v>
      </c>
      <c r="Q10" s="355">
        <v>224139.86050000039</v>
      </c>
      <c r="R10" s="355">
        <v>13775819.2027</v>
      </c>
      <c r="S10" s="355">
        <v>9927.460000000021</v>
      </c>
      <c r="T10" s="355">
        <v>2966419.8605</v>
      </c>
      <c r="U10" s="355">
        <v>10507414.845894709</v>
      </c>
      <c r="V10" s="355">
        <v>6890002.5732999966</v>
      </c>
      <c r="W10" s="355">
        <v>69672931.094899997</v>
      </c>
      <c r="X10" s="355">
        <v>35834700</v>
      </c>
      <c r="Y10" s="355">
        <v>11248801.766899999</v>
      </c>
      <c r="Z10" s="355">
        <v>127165208</v>
      </c>
      <c r="AA10" s="355">
        <v>54555128.729999997</v>
      </c>
      <c r="AB10" s="355">
        <v>12189569.941505291</v>
      </c>
      <c r="AC10" s="335">
        <v>17.84</v>
      </c>
      <c r="AD10" s="335">
        <v>80.98</v>
      </c>
      <c r="AE10" s="357">
        <f t="shared" si="1"/>
        <v>1.4628916150496721E-2</v>
      </c>
    </row>
    <row r="11" spans="1:31" ht="15.4" x14ac:dyDescent="0.45">
      <c r="A11" s="334" t="s">
        <v>22</v>
      </c>
      <c r="B11" s="355">
        <v>4297232</v>
      </c>
      <c r="C11" s="355">
        <v>31908850</v>
      </c>
      <c r="D11" s="355">
        <v>2060958</v>
      </c>
      <c r="E11" s="355">
        <v>809502</v>
      </c>
      <c r="F11" s="355">
        <v>3597278</v>
      </c>
      <c r="G11" s="355">
        <v>0</v>
      </c>
      <c r="H11" s="355">
        <v>1204101</v>
      </c>
      <c r="I11" s="355">
        <v>93274</v>
      </c>
      <c r="J11" s="355">
        <v>43971195</v>
      </c>
      <c r="K11" s="355">
        <v>33979567.810000002</v>
      </c>
      <c r="L11" s="355">
        <v>26901075.809999999</v>
      </c>
      <c r="M11" s="355">
        <v>10787532.449999999</v>
      </c>
      <c r="N11" s="355">
        <v>9015695.4499999993</v>
      </c>
      <c r="O11" s="355">
        <v>15626328</v>
      </c>
      <c r="P11" s="355">
        <v>5315041</v>
      </c>
      <c r="Q11" s="355">
        <v>-258239.6399999969</v>
      </c>
      <c r="R11" s="355">
        <v>6872996</v>
      </c>
      <c r="S11" s="355">
        <v>374877</v>
      </c>
      <c r="T11" s="355">
        <v>2797749</v>
      </c>
      <c r="U11" s="355">
        <v>4892743.3600000003</v>
      </c>
      <c r="V11" s="355">
        <v>11849650.960000001</v>
      </c>
      <c r="W11" s="355">
        <v>65537158.409999996</v>
      </c>
      <c r="X11" s="355">
        <v>18495853</v>
      </c>
      <c r="Y11" s="355">
        <v>11272127</v>
      </c>
      <c r="Z11" s="355">
        <v>108294788</v>
      </c>
      <c r="AA11" s="355">
        <v>41634389</v>
      </c>
      <c r="AB11" s="355">
        <v>11542566</v>
      </c>
      <c r="AC11" s="335">
        <v>30.36</v>
      </c>
      <c r="AD11" s="335">
        <v>70.510000000000005</v>
      </c>
      <c r="AE11" s="357">
        <f t="shared" si="1"/>
        <v>1.8935095434131459E-2</v>
      </c>
    </row>
    <row r="12" spans="1:31" ht="15.4" x14ac:dyDescent="0.45">
      <c r="A12" s="334" t="s">
        <v>23</v>
      </c>
      <c r="B12" s="355">
        <v>82300419</v>
      </c>
      <c r="C12" s="355">
        <v>140207502</v>
      </c>
      <c r="D12" s="355">
        <v>5044422</v>
      </c>
      <c r="E12" s="355">
        <v>32678522</v>
      </c>
      <c r="F12" s="355">
        <v>5103154</v>
      </c>
      <c r="G12" s="355">
        <v>25763474</v>
      </c>
      <c r="H12" s="355">
        <v>30972439</v>
      </c>
      <c r="I12" s="355">
        <v>3870382</v>
      </c>
      <c r="J12" s="355">
        <v>325940314</v>
      </c>
      <c r="K12" s="355">
        <v>174878335.66</v>
      </c>
      <c r="L12" s="355">
        <v>128148145.66</v>
      </c>
      <c r="M12" s="355">
        <v>96287549</v>
      </c>
      <c r="N12" s="355">
        <v>59213146</v>
      </c>
      <c r="O12" s="355">
        <v>50800836</v>
      </c>
      <c r="P12" s="355">
        <v>43444708</v>
      </c>
      <c r="Q12" s="355">
        <v>5238220.6599999964</v>
      </c>
      <c r="R12" s="355">
        <v>21914082</v>
      </c>
      <c r="S12" s="355">
        <v>-1261828</v>
      </c>
      <c r="T12" s="355">
        <v>30548765</v>
      </c>
      <c r="U12" s="355">
        <v>18123331.66</v>
      </c>
      <c r="V12" s="355">
        <v>186772250</v>
      </c>
      <c r="W12" s="355">
        <v>181412543</v>
      </c>
      <c r="X12" s="355">
        <v>217342701</v>
      </c>
      <c r="Y12" s="355">
        <v>21371415</v>
      </c>
      <c r="Z12" s="355">
        <v>620579474</v>
      </c>
      <c r="AA12" s="355">
        <v>368867394</v>
      </c>
      <c r="AB12" s="355">
        <v>70156444</v>
      </c>
      <c r="AC12" s="335">
        <v>37.31</v>
      </c>
      <c r="AD12" s="335">
        <v>59.39</v>
      </c>
      <c r="AE12" s="357">
        <f t="shared" si="1"/>
        <v>0.14035804465675256</v>
      </c>
    </row>
    <row r="13" spans="1:31" ht="15.4" x14ac:dyDescent="0.45">
      <c r="A13" s="334" t="s">
        <v>25</v>
      </c>
      <c r="B13" s="355">
        <v>52896808</v>
      </c>
      <c r="C13" s="355">
        <v>48522545</v>
      </c>
      <c r="D13" s="355">
        <v>22091541</v>
      </c>
      <c r="E13" s="355">
        <v>1279733</v>
      </c>
      <c r="F13" s="355"/>
      <c r="G13" s="355">
        <v>9576248</v>
      </c>
      <c r="H13" s="355"/>
      <c r="I13" s="355">
        <v>4471521</v>
      </c>
      <c r="J13" s="355">
        <v>138838396</v>
      </c>
      <c r="K13" s="355">
        <v>55250085</v>
      </c>
      <c r="L13" s="355">
        <v>46138267</v>
      </c>
      <c r="M13" s="355">
        <v>31600208</v>
      </c>
      <c r="N13" s="355">
        <v>18896144</v>
      </c>
      <c r="O13" s="355">
        <v>10879213</v>
      </c>
      <c r="P13" s="355">
        <v>20713577</v>
      </c>
      <c r="Q13" s="355">
        <v>11259389</v>
      </c>
      <c r="R13" s="355">
        <v>1607999</v>
      </c>
      <c r="S13" s="355">
        <v>0</v>
      </c>
      <c r="T13" s="355">
        <v>15610056</v>
      </c>
      <c r="U13" s="355">
        <v>8675402</v>
      </c>
      <c r="V13" s="355">
        <v>18453259</v>
      </c>
      <c r="W13" s="355">
        <v>147132827</v>
      </c>
      <c r="X13" s="355">
        <v>163570014</v>
      </c>
      <c r="Y13" s="355">
        <v>49676513</v>
      </c>
      <c r="Z13" s="355">
        <v>379385183</v>
      </c>
      <c r="AA13" s="355">
        <v>205687599</v>
      </c>
      <c r="AB13" s="355">
        <v>42440052</v>
      </c>
      <c r="AC13" s="335">
        <v>30.6</v>
      </c>
      <c r="AD13" s="335">
        <v>51.16</v>
      </c>
      <c r="AE13" s="357">
        <f t="shared" si="1"/>
        <v>5.9787282974268392E-2</v>
      </c>
    </row>
    <row r="14" spans="1:31" ht="15.4" x14ac:dyDescent="0.45">
      <c r="A14" s="334" t="s">
        <v>26</v>
      </c>
      <c r="B14" s="355">
        <v>94723883</v>
      </c>
      <c r="C14" s="355">
        <v>39090259</v>
      </c>
      <c r="D14" s="355">
        <v>415473</v>
      </c>
      <c r="E14" s="355">
        <v>46568368</v>
      </c>
      <c r="F14" s="355">
        <v>10950930</v>
      </c>
      <c r="G14" s="355">
        <v>6725361</v>
      </c>
      <c r="H14" s="355">
        <v>7568845</v>
      </c>
      <c r="I14" s="355"/>
      <c r="J14" s="355">
        <v>206043119</v>
      </c>
      <c r="K14" s="355">
        <v>88563226</v>
      </c>
      <c r="L14" s="355">
        <v>66849626.659999996</v>
      </c>
      <c r="M14" s="355">
        <v>25491397</v>
      </c>
      <c r="N14" s="355">
        <v>19130137</v>
      </c>
      <c r="O14" s="355">
        <v>31120618</v>
      </c>
      <c r="P14" s="355">
        <v>36190943</v>
      </c>
      <c r="Q14" s="355">
        <v>5425472.6600000039</v>
      </c>
      <c r="R14" s="355">
        <v>2980809</v>
      </c>
      <c r="S14" s="355">
        <v>47405</v>
      </c>
      <c r="T14" s="355">
        <v>25017544</v>
      </c>
      <c r="U14" s="355">
        <v>5931802.6600000001</v>
      </c>
      <c r="V14" s="355">
        <v>22563315</v>
      </c>
      <c r="W14" s="355">
        <v>147403103.38999999</v>
      </c>
      <c r="X14" s="355">
        <v>88117960</v>
      </c>
      <c r="Y14" s="355">
        <v>8172823</v>
      </c>
      <c r="Z14" s="355">
        <v>269996095</v>
      </c>
      <c r="AA14" s="355">
        <v>149309233</v>
      </c>
      <c r="AB14" s="355">
        <v>21314058</v>
      </c>
      <c r="AC14" s="335">
        <v>20.82</v>
      </c>
      <c r="AD14" s="335">
        <v>73.27</v>
      </c>
      <c r="AE14" s="357">
        <f t="shared" si="1"/>
        <v>8.8727316185314153E-2</v>
      </c>
    </row>
    <row r="15" spans="1:31" ht="15.4" x14ac:dyDescent="0.45">
      <c r="A15" s="334" t="s">
        <v>28</v>
      </c>
      <c r="B15" s="355">
        <v>129412065.2599999</v>
      </c>
      <c r="C15" s="355">
        <v>82673575.167501435</v>
      </c>
      <c r="D15" s="355">
        <v>4508908.8200000012</v>
      </c>
      <c r="E15" s="355">
        <v>4155796.7599999988</v>
      </c>
      <c r="F15" s="355">
        <v>2076539.89</v>
      </c>
      <c r="G15" s="355">
        <v>14578772.48</v>
      </c>
      <c r="H15" s="355">
        <v>7905187.5599999987</v>
      </c>
      <c r="I15" s="355">
        <v>9558284.4699999969</v>
      </c>
      <c r="J15" s="355">
        <v>254869130.41</v>
      </c>
      <c r="K15" s="355">
        <v>95966699.069999993</v>
      </c>
      <c r="L15" s="355">
        <v>71590507.449999988</v>
      </c>
      <c r="M15" s="355">
        <v>54538102.030000001</v>
      </c>
      <c r="N15" s="355">
        <v>28211854.66</v>
      </c>
      <c r="O15" s="355">
        <v>36966005.409999996</v>
      </c>
      <c r="P15" s="355">
        <v>24951918.170000002</v>
      </c>
      <c r="Q15" s="355">
        <v>3071408.5582839362</v>
      </c>
      <c r="R15" s="355">
        <v>7648501.2499999991</v>
      </c>
      <c r="S15" s="355">
        <v>9069978.6099999994</v>
      </c>
      <c r="T15" s="355">
        <v>21610679.348283939</v>
      </c>
      <c r="U15" s="355">
        <v>12833388.51464271</v>
      </c>
      <c r="V15" s="355">
        <v>112932883.604</v>
      </c>
      <c r="W15" s="355">
        <v>137976714</v>
      </c>
      <c r="X15" s="355">
        <v>228851879.44</v>
      </c>
      <c r="Y15" s="355">
        <v>13665127.75</v>
      </c>
      <c r="Z15" s="355">
        <v>516028110</v>
      </c>
      <c r="AA15" s="355">
        <v>315907230.76999998</v>
      </c>
      <c r="AB15" s="355">
        <v>83526852.860192895</v>
      </c>
      <c r="AC15" s="335">
        <v>30.27</v>
      </c>
      <c r="AD15" s="335">
        <v>66.430000000000007</v>
      </c>
      <c r="AE15" s="357">
        <f t="shared" si="1"/>
        <v>0.10975301689043125</v>
      </c>
    </row>
    <row r="16" spans="1:31" ht="15.4" x14ac:dyDescent="0.45">
      <c r="A16" s="334" t="s">
        <v>46</v>
      </c>
      <c r="B16" s="355">
        <v>2739560</v>
      </c>
      <c r="C16" s="355">
        <v>25170254</v>
      </c>
      <c r="D16" s="355">
        <v>2713075</v>
      </c>
      <c r="E16" s="355">
        <v>138318</v>
      </c>
      <c r="F16" s="355"/>
      <c r="G16" s="355">
        <v>3381495</v>
      </c>
      <c r="H16" s="355">
        <v>5370275</v>
      </c>
      <c r="I16" s="355"/>
      <c r="J16" s="355">
        <v>39512977</v>
      </c>
      <c r="K16" s="355">
        <v>32226627</v>
      </c>
      <c r="L16" s="355">
        <v>23979896.199999999</v>
      </c>
      <c r="M16" s="355">
        <v>5734436</v>
      </c>
      <c r="N16" s="355">
        <v>4512979</v>
      </c>
      <c r="O16" s="355">
        <v>15335488</v>
      </c>
      <c r="P16" s="355">
        <v>6391988</v>
      </c>
      <c r="Q16" s="355">
        <v>315332.19999999931</v>
      </c>
      <c r="R16" s="355">
        <v>5404967</v>
      </c>
      <c r="S16" s="355">
        <v>2563</v>
      </c>
      <c r="T16" s="355">
        <v>2575891</v>
      </c>
      <c r="U16" s="355">
        <v>5722862.2000000002</v>
      </c>
      <c r="V16" s="355">
        <v>13360432</v>
      </c>
      <c r="W16" s="355">
        <v>53150100</v>
      </c>
      <c r="X16" s="355">
        <v>17631426.010000002</v>
      </c>
      <c r="Y16" s="355">
        <v>7770133</v>
      </c>
      <c r="Z16" s="355">
        <v>91912091</v>
      </c>
      <c r="AA16" s="355">
        <v>25777699</v>
      </c>
      <c r="AB16" s="355">
        <v>8099276.46</v>
      </c>
      <c r="AC16" s="335">
        <v>16.989999999999998</v>
      </c>
      <c r="AD16" s="335">
        <v>81.819999999999993</v>
      </c>
      <c r="AE16" s="357">
        <f t="shared" si="1"/>
        <v>1.7015275349729325E-2</v>
      </c>
    </row>
    <row r="17" spans="1:31" ht="15.4" x14ac:dyDescent="0.45">
      <c r="A17" s="334" t="s">
        <v>69</v>
      </c>
      <c r="B17" s="355">
        <v>618395</v>
      </c>
      <c r="C17" s="355">
        <v>23904509</v>
      </c>
      <c r="D17" s="355">
        <v>203851</v>
      </c>
      <c r="E17" s="355">
        <v>34906</v>
      </c>
      <c r="F17" s="355">
        <v>400937</v>
      </c>
      <c r="G17" s="355">
        <v>1649287</v>
      </c>
      <c r="H17" s="355">
        <v>785183</v>
      </c>
      <c r="I17" s="355"/>
      <c r="J17" s="355">
        <v>27597068</v>
      </c>
      <c r="K17" s="355">
        <v>23175408</v>
      </c>
      <c r="L17" s="355">
        <v>19539735</v>
      </c>
      <c r="M17" s="355">
        <v>3811857</v>
      </c>
      <c r="N17" s="355">
        <v>3638405.99</v>
      </c>
      <c r="O17" s="355">
        <v>10704238</v>
      </c>
      <c r="P17" s="355">
        <v>4471978</v>
      </c>
      <c r="Q17" s="355">
        <v>1621233.0099999979</v>
      </c>
      <c r="R17" s="355">
        <v>1384727</v>
      </c>
      <c r="S17" s="355">
        <v>7731</v>
      </c>
      <c r="T17" s="355">
        <v>896120</v>
      </c>
      <c r="U17" s="355">
        <v>2488180.0099999998</v>
      </c>
      <c r="V17" s="355">
        <v>21828936</v>
      </c>
      <c r="W17" s="355">
        <v>41598084</v>
      </c>
      <c r="X17" s="355">
        <v>4876184</v>
      </c>
      <c r="Y17" s="355">
        <v>46208008</v>
      </c>
      <c r="Z17" s="355">
        <v>116420844</v>
      </c>
      <c r="AA17" s="355">
        <v>14473596.75</v>
      </c>
      <c r="AB17" s="355">
        <v>8972945</v>
      </c>
      <c r="AC17" s="335">
        <v>17.8</v>
      </c>
      <c r="AD17" s="335">
        <v>74.260000000000005</v>
      </c>
      <c r="AE17" s="357">
        <f t="shared" si="1"/>
        <v>1.1883987148455151E-2</v>
      </c>
    </row>
    <row r="18" spans="1:31" ht="15.4" x14ac:dyDescent="0.45">
      <c r="A18" s="334" t="s">
        <v>29</v>
      </c>
      <c r="B18" s="355">
        <v>1584200</v>
      </c>
      <c r="C18" s="355">
        <v>27990991</v>
      </c>
      <c r="D18" s="355">
        <v>500675</v>
      </c>
      <c r="E18" s="355">
        <v>6658</v>
      </c>
      <c r="F18" s="355">
        <v>2326749</v>
      </c>
      <c r="G18" s="355">
        <v>1432831</v>
      </c>
      <c r="H18" s="355">
        <v>140996</v>
      </c>
      <c r="I18" s="355">
        <v>86775</v>
      </c>
      <c r="J18" s="355">
        <v>34069875</v>
      </c>
      <c r="K18" s="355">
        <v>27920591</v>
      </c>
      <c r="L18" s="355">
        <v>20895450</v>
      </c>
      <c r="M18" s="355">
        <v>10664484</v>
      </c>
      <c r="N18" s="355">
        <v>7137194</v>
      </c>
      <c r="O18" s="355">
        <v>10347137</v>
      </c>
      <c r="P18" s="355">
        <v>4847365</v>
      </c>
      <c r="Q18" s="355">
        <v>-398622</v>
      </c>
      <c r="R18" s="355">
        <v>5945716</v>
      </c>
      <c r="S18" s="355">
        <v>149506</v>
      </c>
      <c r="T18" s="355">
        <v>1037624</v>
      </c>
      <c r="U18" s="355">
        <v>3987620</v>
      </c>
      <c r="V18" s="355">
        <v>7099533</v>
      </c>
      <c r="W18" s="355">
        <v>76653857</v>
      </c>
      <c r="X18" s="355">
        <v>18873361</v>
      </c>
      <c r="Y18" s="355">
        <v>26978551</v>
      </c>
      <c r="Z18" s="355">
        <v>132848872</v>
      </c>
      <c r="AA18" s="355">
        <v>39270997</v>
      </c>
      <c r="AB18" s="355">
        <v>9086815</v>
      </c>
      <c r="AC18" s="335">
        <v>32.54</v>
      </c>
      <c r="AD18" s="335">
        <v>69.28</v>
      </c>
      <c r="AE18" s="357">
        <f t="shared" si="1"/>
        <v>1.4671339602071983E-2</v>
      </c>
    </row>
    <row r="19" spans="1:31" ht="15.4" x14ac:dyDescent="0.45">
      <c r="A19" s="334" t="s">
        <v>31</v>
      </c>
      <c r="B19" s="355">
        <v>8001030</v>
      </c>
      <c r="C19" s="355">
        <v>11789889</v>
      </c>
      <c r="D19" s="355">
        <v>0</v>
      </c>
      <c r="E19" s="355">
        <v>1578121</v>
      </c>
      <c r="F19" s="355">
        <v>184276</v>
      </c>
      <c r="G19" s="355">
        <v>839148</v>
      </c>
      <c r="H19" s="355">
        <v>53635</v>
      </c>
      <c r="I19" s="355">
        <v>106677</v>
      </c>
      <c r="J19" s="355">
        <v>22552776</v>
      </c>
      <c r="K19" s="355">
        <v>13976476.550000001</v>
      </c>
      <c r="L19" s="355">
        <v>10407974.550000001</v>
      </c>
      <c r="M19" s="355">
        <v>7719493</v>
      </c>
      <c r="N19" s="355">
        <v>1204198</v>
      </c>
      <c r="O19" s="355">
        <v>8301791.2799999993</v>
      </c>
      <c r="P19" s="355">
        <v>3479153</v>
      </c>
      <c r="Q19" s="355">
        <v>203401.27000000139</v>
      </c>
      <c r="R19" s="355">
        <v>8065396.2599999998</v>
      </c>
      <c r="S19" s="355">
        <v>0</v>
      </c>
      <c r="T19" s="355">
        <v>2780569</v>
      </c>
      <c r="U19" s="355">
        <v>5788158.5300000003</v>
      </c>
      <c r="V19" s="355">
        <v>14246530</v>
      </c>
      <c r="W19" s="355">
        <v>65985152.799999997</v>
      </c>
      <c r="X19" s="355">
        <v>32100340.379999999</v>
      </c>
      <c r="Y19" s="355">
        <v>11738691</v>
      </c>
      <c r="Z19" s="355">
        <v>124076132</v>
      </c>
      <c r="AA19" s="355">
        <v>47739225.57</v>
      </c>
      <c r="AB19" s="355">
        <v>9487330.8100000005</v>
      </c>
      <c r="AC19" s="335">
        <v>9.1300000000000008</v>
      </c>
      <c r="AD19" s="335">
        <v>89.33</v>
      </c>
      <c r="AE19" s="357">
        <f t="shared" si="1"/>
        <v>9.711788953304306E-3</v>
      </c>
    </row>
    <row r="20" spans="1:31" ht="15.4" x14ac:dyDescent="0.45">
      <c r="A20" s="334" t="s">
        <v>32</v>
      </c>
      <c r="B20" s="355">
        <v>7601923</v>
      </c>
      <c r="C20" s="355">
        <v>38260767</v>
      </c>
      <c r="D20" s="355">
        <v>1111051</v>
      </c>
      <c r="E20" s="355">
        <v>379401</v>
      </c>
      <c r="F20" s="355">
        <v>16484417</v>
      </c>
      <c r="G20" s="355">
        <v>3341519</v>
      </c>
      <c r="H20" s="355">
        <v>16406484</v>
      </c>
      <c r="I20" s="355"/>
      <c r="J20" s="355">
        <v>83585562</v>
      </c>
      <c r="K20" s="355">
        <v>47131216.409999996</v>
      </c>
      <c r="L20" s="355">
        <v>41416282.409999996</v>
      </c>
      <c r="M20" s="355">
        <v>17580763</v>
      </c>
      <c r="N20" s="355">
        <v>16008220</v>
      </c>
      <c r="O20" s="355">
        <v>24560486</v>
      </c>
      <c r="P20" s="355">
        <v>15161075</v>
      </c>
      <c r="Q20" s="355">
        <v>-3980046.590000004</v>
      </c>
      <c r="R20" s="355">
        <v>5774530</v>
      </c>
      <c r="S20" s="355">
        <v>75120</v>
      </c>
      <c r="T20" s="355">
        <v>10333452</v>
      </c>
      <c r="U20" s="355">
        <v>1776123.41</v>
      </c>
      <c r="V20" s="355">
        <v>11303449</v>
      </c>
      <c r="W20" s="355">
        <v>106051324</v>
      </c>
      <c r="X20" s="355">
        <v>42261681</v>
      </c>
      <c r="Y20" s="355">
        <v>3076234</v>
      </c>
      <c r="Z20" s="355">
        <v>162692688</v>
      </c>
      <c r="AA20" s="355">
        <v>71475099</v>
      </c>
      <c r="AB20" s="355">
        <v>36280827</v>
      </c>
      <c r="AC20" s="335">
        <v>30.93</v>
      </c>
      <c r="AD20" s="335">
        <v>76.760000000000005</v>
      </c>
      <c r="AE20" s="357">
        <f t="shared" si="1"/>
        <v>3.5994031851659072E-2</v>
      </c>
    </row>
    <row r="21" spans="1:31" ht="15.4" x14ac:dyDescent="0.45">
      <c r="A21" s="334" t="s">
        <v>33</v>
      </c>
      <c r="B21" s="355">
        <v>7687997</v>
      </c>
      <c r="C21" s="355">
        <v>42561933</v>
      </c>
      <c r="D21" s="355">
        <v>3031148</v>
      </c>
      <c r="E21" s="355">
        <v>232165</v>
      </c>
      <c r="F21" s="355">
        <v>5256348</v>
      </c>
      <c r="G21" s="355">
        <v>2441703</v>
      </c>
      <c r="H21" s="355">
        <v>3576380</v>
      </c>
      <c r="I21" s="355">
        <v>596004</v>
      </c>
      <c r="J21" s="355">
        <v>65383678</v>
      </c>
      <c r="K21" s="355">
        <v>54780020</v>
      </c>
      <c r="L21" s="355">
        <v>41654150</v>
      </c>
      <c r="M21" s="355">
        <v>11119273</v>
      </c>
      <c r="N21" s="355">
        <v>11069273</v>
      </c>
      <c r="O21" s="355">
        <v>21276998.800000001</v>
      </c>
      <c r="P21" s="355">
        <v>6581895</v>
      </c>
      <c r="Q21" s="355">
        <v>6254297.200000003</v>
      </c>
      <c r="R21" s="355">
        <v>2683483</v>
      </c>
      <c r="S21" s="355">
        <v>148547</v>
      </c>
      <c r="T21" s="355">
        <v>3528314</v>
      </c>
      <c r="U21" s="355">
        <v>9086327.1999999993</v>
      </c>
      <c r="V21" s="355">
        <v>2968478</v>
      </c>
      <c r="W21" s="355">
        <v>86612673.700000003</v>
      </c>
      <c r="X21" s="355">
        <v>11437120</v>
      </c>
      <c r="Y21" s="355">
        <v>7222973</v>
      </c>
      <c r="Z21" s="355">
        <v>109546245</v>
      </c>
      <c r="AA21" s="355">
        <v>50047781</v>
      </c>
      <c r="AB21" s="355">
        <v>5975874</v>
      </c>
      <c r="AC21" s="335">
        <v>24.5</v>
      </c>
      <c r="AD21" s="335">
        <v>61.66</v>
      </c>
      <c r="AE21" s="357">
        <f t="shared" si="1"/>
        <v>2.8155845725014332E-2</v>
      </c>
    </row>
    <row r="22" spans="1:31" ht="15.4" x14ac:dyDescent="0.45">
      <c r="A22" s="334" t="s">
        <v>34</v>
      </c>
      <c r="B22" s="355">
        <v>1245106</v>
      </c>
      <c r="C22" s="355">
        <v>32647076</v>
      </c>
      <c r="D22" s="355">
        <v>885989</v>
      </c>
      <c r="E22" s="355">
        <v>0</v>
      </c>
      <c r="F22" s="355">
        <v>972781</v>
      </c>
      <c r="G22" s="355">
        <v>338755</v>
      </c>
      <c r="H22" s="355">
        <v>183025</v>
      </c>
      <c r="I22" s="355">
        <v>0</v>
      </c>
      <c r="J22" s="355">
        <v>36272732</v>
      </c>
      <c r="K22" s="355">
        <v>34113168</v>
      </c>
      <c r="L22" s="355">
        <v>22744730</v>
      </c>
      <c r="M22" s="355">
        <v>4788510</v>
      </c>
      <c r="N22" s="355">
        <v>4642532</v>
      </c>
      <c r="O22" s="355">
        <v>15353356</v>
      </c>
      <c r="P22" s="355">
        <v>4039642</v>
      </c>
      <c r="Q22" s="355">
        <v>-470156</v>
      </c>
      <c r="R22" s="355">
        <v>2123229</v>
      </c>
      <c r="S22" s="355">
        <v>0</v>
      </c>
      <c r="T22" s="355">
        <v>820644</v>
      </c>
      <c r="U22" s="355">
        <v>1256335</v>
      </c>
      <c r="V22" s="355">
        <v>3455701</v>
      </c>
      <c r="W22" s="355">
        <v>54609543</v>
      </c>
      <c r="X22" s="355">
        <v>24873497</v>
      </c>
      <c r="Y22" s="355">
        <v>15908509</v>
      </c>
      <c r="Z22" s="355">
        <v>98847250</v>
      </c>
      <c r="AA22" s="355">
        <v>35957625</v>
      </c>
      <c r="AB22" s="355">
        <v>6030635</v>
      </c>
      <c r="AC22" s="335">
        <v>19.7</v>
      </c>
      <c r="AD22" s="335">
        <v>82.29</v>
      </c>
      <c r="AE22" s="357">
        <f t="shared" si="1"/>
        <v>1.5619944877019469E-2</v>
      </c>
    </row>
    <row r="23" spans="1:31" ht="15.4" x14ac:dyDescent="0.45">
      <c r="A23" s="334" t="s">
        <v>35</v>
      </c>
      <c r="B23" s="355">
        <v>4583960</v>
      </c>
      <c r="C23" s="355">
        <v>32577524</v>
      </c>
      <c r="D23" s="355">
        <v>852169</v>
      </c>
      <c r="E23" s="355">
        <v>859187</v>
      </c>
      <c r="F23" s="355">
        <v>988708</v>
      </c>
      <c r="G23" s="355"/>
      <c r="H23" s="355">
        <v>3988483</v>
      </c>
      <c r="I23" s="355"/>
      <c r="J23" s="355">
        <v>43850031</v>
      </c>
      <c r="K23" s="355">
        <v>33051473</v>
      </c>
      <c r="L23" s="355">
        <v>27800517.18</v>
      </c>
      <c r="M23" s="355">
        <v>16128804</v>
      </c>
      <c r="N23" s="355">
        <v>13465737</v>
      </c>
      <c r="O23" s="355">
        <v>16863351</v>
      </c>
      <c r="P23" s="355">
        <v>5598669</v>
      </c>
      <c r="Q23" s="355">
        <v>-5150143.82</v>
      </c>
      <c r="R23" s="355">
        <v>4279654</v>
      </c>
      <c r="S23" s="355">
        <v>314674.28999999998</v>
      </c>
      <c r="T23" s="355">
        <v>2977096</v>
      </c>
      <c r="U23" s="355">
        <v>-555815.53</v>
      </c>
      <c r="V23" s="355">
        <v>7605281</v>
      </c>
      <c r="W23" s="355">
        <v>58047561.350000001</v>
      </c>
      <c r="X23" s="355">
        <v>23932875.059999999</v>
      </c>
      <c r="Y23" s="355">
        <v>33086462</v>
      </c>
      <c r="Z23" s="355">
        <v>124983604</v>
      </c>
      <c r="AA23" s="355">
        <v>42930226</v>
      </c>
      <c r="AB23" s="355">
        <v>14522870.619999999</v>
      </c>
      <c r="AC23" s="335">
        <v>43.75</v>
      </c>
      <c r="AD23" s="335">
        <v>72.98</v>
      </c>
      <c r="AE23" s="357">
        <f t="shared" si="1"/>
        <v>1.8882919187768788E-2</v>
      </c>
    </row>
    <row r="24" spans="1:31" ht="15.4" x14ac:dyDescent="0.45">
      <c r="A24" s="334" t="s">
        <v>36</v>
      </c>
      <c r="B24" s="355">
        <v>2459766</v>
      </c>
      <c r="C24" s="355">
        <v>44627783</v>
      </c>
      <c r="D24" s="355">
        <v>3512017</v>
      </c>
      <c r="E24" s="355">
        <v>48876</v>
      </c>
      <c r="F24" s="355">
        <v>961920</v>
      </c>
      <c r="G24" s="355">
        <v>1502678</v>
      </c>
      <c r="H24" s="355">
        <v>15799067</v>
      </c>
      <c r="I24" s="355">
        <v>161450</v>
      </c>
      <c r="J24" s="355">
        <v>69073557</v>
      </c>
      <c r="K24" s="355">
        <v>60656794</v>
      </c>
      <c r="L24" s="355">
        <v>46911538.609999999</v>
      </c>
      <c r="M24" s="355">
        <v>13909808</v>
      </c>
      <c r="N24" s="355">
        <v>11914820</v>
      </c>
      <c r="O24" s="355">
        <v>16507798</v>
      </c>
      <c r="P24" s="355">
        <v>4902613</v>
      </c>
      <c r="Q24" s="355">
        <v>16008202.609999999</v>
      </c>
      <c r="R24" s="355">
        <v>3630816</v>
      </c>
      <c r="S24" s="355">
        <v>1700</v>
      </c>
      <c r="T24" s="355">
        <v>2421895</v>
      </c>
      <c r="U24" s="355">
        <v>13748502.609999999</v>
      </c>
      <c r="V24" s="355">
        <v>36820288</v>
      </c>
      <c r="W24" s="355">
        <v>45920790</v>
      </c>
      <c r="X24" s="355">
        <v>58413370.609999999</v>
      </c>
      <c r="Y24" s="355">
        <v>20951765</v>
      </c>
      <c r="Z24" s="355">
        <v>162106214</v>
      </c>
      <c r="AA24" s="355">
        <v>71636179</v>
      </c>
      <c r="AB24" s="355">
        <v>18671383</v>
      </c>
      <c r="AC24" s="335">
        <v>24.15</v>
      </c>
      <c r="AD24" s="335">
        <v>43.4</v>
      </c>
      <c r="AE24" s="357">
        <f t="shared" si="1"/>
        <v>2.9744799834753619E-2</v>
      </c>
    </row>
    <row r="25" spans="1:31" ht="15.4" x14ac:dyDescent="0.45">
      <c r="A25" s="334" t="s">
        <v>146</v>
      </c>
      <c r="B25" s="355">
        <v>12627645</v>
      </c>
      <c r="C25" s="355">
        <v>14333367</v>
      </c>
      <c r="D25" s="355">
        <v>2024141</v>
      </c>
      <c r="E25" s="355">
        <v>6083689</v>
      </c>
      <c r="F25" s="355">
        <v>6851543</v>
      </c>
      <c r="G25" s="355">
        <v>6249733</v>
      </c>
      <c r="H25" s="355">
        <v>528574</v>
      </c>
      <c r="I25" s="355"/>
      <c r="J25" s="355">
        <v>48698692</v>
      </c>
      <c r="K25" s="355">
        <v>17223822</v>
      </c>
      <c r="L25" s="355">
        <v>15860215</v>
      </c>
      <c r="M25" s="355">
        <v>21896487</v>
      </c>
      <c r="N25" s="355">
        <v>4911758</v>
      </c>
      <c r="O25" s="355">
        <v>10296668</v>
      </c>
      <c r="P25" s="355">
        <v>5484133</v>
      </c>
      <c r="Q25" s="355">
        <v>1202379</v>
      </c>
      <c r="R25" s="355">
        <v>5171423</v>
      </c>
      <c r="S25" s="355">
        <v>28424</v>
      </c>
      <c r="T25" s="355">
        <v>6034723</v>
      </c>
      <c r="U25" s="355">
        <v>4481558</v>
      </c>
      <c r="V25" s="355">
        <v>15388111</v>
      </c>
      <c r="W25" s="355">
        <v>78312857.079999983</v>
      </c>
      <c r="X25" s="355">
        <v>48466341</v>
      </c>
      <c r="Y25" s="355">
        <v>1915933</v>
      </c>
      <c r="Z25" s="355">
        <v>147983087</v>
      </c>
      <c r="AA25" s="355">
        <v>72488669.920000002</v>
      </c>
      <c r="AB25" s="355">
        <v>20559756.199999999</v>
      </c>
      <c r="AC25" s="335">
        <v>22.43</v>
      </c>
      <c r="AD25" s="335">
        <v>72.08</v>
      </c>
      <c r="AE25" s="357">
        <f t="shared" si="1"/>
        <v>2.0970873785380959E-2</v>
      </c>
    </row>
    <row r="26" spans="1:31" ht="15.4" x14ac:dyDescent="0.45">
      <c r="A26" s="334" t="s">
        <v>77</v>
      </c>
      <c r="B26" s="355">
        <v>23907096</v>
      </c>
      <c r="C26" s="355">
        <v>21737328</v>
      </c>
      <c r="D26" s="355">
        <v>3692413</v>
      </c>
      <c r="E26" s="355">
        <v>2803900</v>
      </c>
      <c r="F26" s="355">
        <v>2567851</v>
      </c>
      <c r="G26" s="355"/>
      <c r="H26" s="355">
        <v>2480228</v>
      </c>
      <c r="I26" s="355"/>
      <c r="J26" s="355">
        <v>57188816</v>
      </c>
      <c r="K26" s="355">
        <v>40174786</v>
      </c>
      <c r="L26" s="355">
        <v>28449579</v>
      </c>
      <c r="M26" s="355">
        <v>7770162</v>
      </c>
      <c r="N26" s="355">
        <v>5788863</v>
      </c>
      <c r="O26" s="355">
        <v>21032435</v>
      </c>
      <c r="P26" s="355">
        <v>2746800</v>
      </c>
      <c r="Q26" s="355">
        <v>568699</v>
      </c>
      <c r="R26" s="355">
        <v>2618041</v>
      </c>
      <c r="S26" s="355">
        <v>0</v>
      </c>
      <c r="T26" s="355">
        <v>1687218</v>
      </c>
      <c r="U26" s="355">
        <v>3137835</v>
      </c>
      <c r="V26" s="355">
        <v>10767165</v>
      </c>
      <c r="W26" s="355">
        <v>51546799</v>
      </c>
      <c r="X26" s="355">
        <v>31378630</v>
      </c>
      <c r="Y26" s="355">
        <v>4435848</v>
      </c>
      <c r="Z26" s="355">
        <v>101447515</v>
      </c>
      <c r="AA26" s="355">
        <v>28547504</v>
      </c>
      <c r="AB26" s="355">
        <v>10235826.279999999</v>
      </c>
      <c r="AC26" s="335">
        <v>19.21</v>
      </c>
      <c r="AD26" s="335">
        <v>78.900000000000006</v>
      </c>
      <c r="AE26" s="357">
        <f t="shared" si="1"/>
        <v>2.4626933353186879E-2</v>
      </c>
    </row>
    <row r="27" spans="1:31" ht="15.4" x14ac:dyDescent="0.45">
      <c r="A27" s="334" t="s">
        <v>39</v>
      </c>
      <c r="B27" s="355">
        <v>47104871</v>
      </c>
      <c r="C27" s="355">
        <v>72340325</v>
      </c>
      <c r="D27" s="355">
        <v>4399404</v>
      </c>
      <c r="E27" s="355">
        <v>13232897</v>
      </c>
      <c r="F27" s="355">
        <v>6862582</v>
      </c>
      <c r="G27" s="355">
        <v>21568118</v>
      </c>
      <c r="H27" s="355">
        <v>16176093</v>
      </c>
      <c r="I27" s="355"/>
      <c r="J27" s="355">
        <v>181684290</v>
      </c>
      <c r="K27" s="355">
        <v>109353730</v>
      </c>
      <c r="L27" s="355">
        <v>96557473</v>
      </c>
      <c r="M27" s="355">
        <v>21011554</v>
      </c>
      <c r="N27" s="355">
        <v>15117158</v>
      </c>
      <c r="O27" s="355">
        <v>75811433</v>
      </c>
      <c r="P27" s="355">
        <v>18928047</v>
      </c>
      <c r="Q27" s="355">
        <v>1213595</v>
      </c>
      <c r="R27" s="355">
        <v>9715992</v>
      </c>
      <c r="S27" s="355">
        <v>4966761</v>
      </c>
      <c r="T27" s="355">
        <v>14512760</v>
      </c>
      <c r="U27" s="355">
        <v>11127444</v>
      </c>
      <c r="V27" s="355">
        <v>92866315</v>
      </c>
      <c r="W27" s="355">
        <v>423823011</v>
      </c>
      <c r="X27" s="355">
        <v>91558688.400000006</v>
      </c>
      <c r="Y27" s="355">
        <v>131922374</v>
      </c>
      <c r="Z27" s="355">
        <v>740749045</v>
      </c>
      <c r="AA27" s="355">
        <v>198420923</v>
      </c>
      <c r="AB27" s="355">
        <v>129233684.14</v>
      </c>
      <c r="AC27" s="335">
        <v>13.61</v>
      </c>
      <c r="AD27" s="335">
        <v>85.3</v>
      </c>
      <c r="AE27" s="357">
        <f t="shared" si="1"/>
        <v>7.823779567583769E-2</v>
      </c>
    </row>
    <row r="28" spans="1:31" ht="15.4" x14ac:dyDescent="0.45">
      <c r="A28" s="334" t="s">
        <v>40</v>
      </c>
      <c r="B28" s="355">
        <v>105877288</v>
      </c>
      <c r="C28" s="355">
        <v>82210769</v>
      </c>
      <c r="D28" s="355">
        <v>16141541</v>
      </c>
      <c r="E28" s="355">
        <v>1562880</v>
      </c>
      <c r="F28" s="355">
        <v>7122579</v>
      </c>
      <c r="G28" s="355">
        <v>17718356</v>
      </c>
      <c r="H28" s="355">
        <v>14527194</v>
      </c>
      <c r="I28" s="355"/>
      <c r="J28" s="355">
        <v>245160607</v>
      </c>
      <c r="K28" s="355">
        <v>109848978</v>
      </c>
      <c r="L28" s="355">
        <v>104486583</v>
      </c>
      <c r="M28" s="355">
        <v>182043492</v>
      </c>
      <c r="N28" s="355">
        <v>55689322</v>
      </c>
      <c r="O28" s="355">
        <v>40167713</v>
      </c>
      <c r="P28" s="355">
        <v>32909513</v>
      </c>
      <c r="Q28" s="355">
        <v>-1529823</v>
      </c>
      <c r="R28" s="355">
        <v>2840370</v>
      </c>
      <c r="S28" s="355">
        <v>215181</v>
      </c>
      <c r="T28" s="355">
        <v>22750142</v>
      </c>
      <c r="U28" s="355">
        <v>1230026</v>
      </c>
      <c r="V28" s="355">
        <v>14648416</v>
      </c>
      <c r="W28" s="355">
        <v>745970581</v>
      </c>
      <c r="X28" s="355">
        <v>282121922</v>
      </c>
      <c r="Y28" s="355">
        <v>3401301</v>
      </c>
      <c r="Z28" s="355">
        <v>1046142220</v>
      </c>
      <c r="AA28" s="355">
        <v>348095789</v>
      </c>
      <c r="AB28" s="355">
        <v>155952686</v>
      </c>
      <c r="AC28" s="335">
        <v>43.77</v>
      </c>
      <c r="AD28" s="335">
        <v>57.43</v>
      </c>
      <c r="AE28" s="357">
        <f t="shared" si="1"/>
        <v>0.10557228408813081</v>
      </c>
    </row>
    <row r="29" spans="1:31" ht="15.4" x14ac:dyDescent="0.45">
      <c r="A29" s="334" t="s">
        <v>90</v>
      </c>
      <c r="B29" s="355">
        <v>14761208</v>
      </c>
      <c r="C29" s="355">
        <v>37094429</v>
      </c>
      <c r="D29" s="355">
        <v>3936044</v>
      </c>
      <c r="E29" s="355">
        <v>391606</v>
      </c>
      <c r="F29" s="355">
        <v>1426687</v>
      </c>
      <c r="G29" s="355"/>
      <c r="H29" s="355">
        <v>3432018</v>
      </c>
      <c r="I29" s="355"/>
      <c r="J29" s="355">
        <v>61041992</v>
      </c>
      <c r="K29" s="355">
        <v>41725589</v>
      </c>
      <c r="L29" s="355">
        <v>29368378</v>
      </c>
      <c r="M29" s="355">
        <v>9850762</v>
      </c>
      <c r="N29" s="355">
        <v>5337763</v>
      </c>
      <c r="O29" s="355">
        <v>21062065</v>
      </c>
      <c r="P29" s="355">
        <v>6438243</v>
      </c>
      <c r="Q29" s="355">
        <v>2675394</v>
      </c>
      <c r="R29" s="355">
        <v>10684163</v>
      </c>
      <c r="S29" s="355">
        <v>113373</v>
      </c>
      <c r="T29" s="355">
        <v>6145087</v>
      </c>
      <c r="U29" s="355">
        <v>9641588</v>
      </c>
      <c r="V29" s="355">
        <v>10703369</v>
      </c>
      <c r="W29" s="355">
        <v>104954093</v>
      </c>
      <c r="X29" s="355">
        <v>28626251.32</v>
      </c>
      <c r="Y29" s="355">
        <v>13495860.369999999</v>
      </c>
      <c r="Z29" s="355">
        <v>164402208</v>
      </c>
      <c r="AA29" s="355">
        <v>69263405</v>
      </c>
      <c r="AB29" s="355">
        <v>21839382</v>
      </c>
      <c r="AC29" s="335">
        <v>15.03</v>
      </c>
      <c r="AD29" s="335">
        <v>77.44</v>
      </c>
      <c r="AE29" s="357">
        <f t="shared" si="1"/>
        <v>2.6286207232018348E-2</v>
      </c>
    </row>
    <row r="30" spans="1:31" ht="15.4" x14ac:dyDescent="0.45">
      <c r="A30" s="334" t="s">
        <v>41</v>
      </c>
      <c r="B30" s="355">
        <v>1328198</v>
      </c>
      <c r="C30" s="355">
        <v>19508526</v>
      </c>
      <c r="D30" s="355">
        <v>1520607</v>
      </c>
      <c r="E30" s="355">
        <v>328516</v>
      </c>
      <c r="F30" s="355">
        <v>234694</v>
      </c>
      <c r="G30" s="355">
        <v>84510</v>
      </c>
      <c r="H30" s="355">
        <v>81308</v>
      </c>
      <c r="I30" s="355"/>
      <c r="J30" s="355">
        <v>23086359</v>
      </c>
      <c r="K30" s="355">
        <v>19098185</v>
      </c>
      <c r="L30" s="355">
        <v>16766151</v>
      </c>
      <c r="M30" s="355">
        <v>6030507</v>
      </c>
      <c r="N30" s="355">
        <v>4736653</v>
      </c>
      <c r="O30" s="355">
        <v>11917676</v>
      </c>
      <c r="P30" s="355">
        <v>1445302</v>
      </c>
      <c r="Q30" s="355">
        <v>-325337</v>
      </c>
      <c r="R30" s="355">
        <v>6353203</v>
      </c>
      <c r="S30" s="355">
        <v>62970</v>
      </c>
      <c r="T30" s="355">
        <v>1008143</v>
      </c>
      <c r="U30" s="355">
        <v>4263585</v>
      </c>
      <c r="V30" s="355">
        <v>1480962</v>
      </c>
      <c r="W30" s="355">
        <v>69831175</v>
      </c>
      <c r="X30" s="355">
        <v>14934012.630000001</v>
      </c>
      <c r="Y30" s="355">
        <v>4406543</v>
      </c>
      <c r="Z30" s="355">
        <v>91253291</v>
      </c>
      <c r="AA30" s="355">
        <v>21292086</v>
      </c>
      <c r="AB30" s="355">
        <v>5000278</v>
      </c>
      <c r="AC30" s="335">
        <v>26.65</v>
      </c>
      <c r="AD30" s="335">
        <v>75.180000000000007</v>
      </c>
      <c r="AE30" s="357">
        <f t="shared" si="1"/>
        <v>9.9415631276707338E-3</v>
      </c>
    </row>
    <row r="31" spans="1:31" ht="15.4" x14ac:dyDescent="0.45">
      <c r="A31" s="334" t="s">
        <v>42</v>
      </c>
      <c r="B31" s="355">
        <v>22519782</v>
      </c>
      <c r="C31" s="355">
        <v>104717970</v>
      </c>
      <c r="D31" s="355">
        <v>9782913</v>
      </c>
      <c r="E31" s="355">
        <v>1483653</v>
      </c>
      <c r="F31" s="355">
        <v>3499248</v>
      </c>
      <c r="G31" s="355">
        <v>10900050</v>
      </c>
      <c r="H31" s="355">
        <v>6383228</v>
      </c>
      <c r="I31" s="355"/>
      <c r="J31" s="355">
        <v>159286844</v>
      </c>
      <c r="K31" s="355">
        <v>110146122.40000001</v>
      </c>
      <c r="L31" s="355">
        <v>92914376.63000001</v>
      </c>
      <c r="M31" s="355">
        <v>47789208.159999996</v>
      </c>
      <c r="N31" s="355">
        <v>32877875.890000001</v>
      </c>
      <c r="O31" s="355">
        <v>40623831.649999999</v>
      </c>
      <c r="P31" s="355">
        <v>25130373.550000001</v>
      </c>
      <c r="Q31" s="355">
        <v>6162729.0500000101</v>
      </c>
      <c r="R31" s="355">
        <v>2712254.66</v>
      </c>
      <c r="S31" s="355">
        <v>0</v>
      </c>
      <c r="T31" s="355">
        <v>11880433.51</v>
      </c>
      <c r="U31" s="355">
        <v>6879985.6100000013</v>
      </c>
      <c r="V31" s="355">
        <v>69538810.110000014</v>
      </c>
      <c r="W31" s="355">
        <v>120846642.34</v>
      </c>
      <c r="X31" s="355">
        <v>243961868.72999999</v>
      </c>
      <c r="Y31" s="355">
        <v>10437076.880000001</v>
      </c>
      <c r="Z31" s="355">
        <v>453246463</v>
      </c>
      <c r="AA31" s="355">
        <v>246562551.52000001</v>
      </c>
      <c r="AB31" s="355">
        <v>88632752.280000001</v>
      </c>
      <c r="AC31" s="335">
        <v>31.37</v>
      </c>
      <c r="AD31" s="335">
        <v>62.75</v>
      </c>
      <c r="AE31" s="357">
        <f t="shared" si="1"/>
        <v>6.8592895702325352E-2</v>
      </c>
    </row>
    <row r="32" spans="1:31" ht="15.4" x14ac:dyDescent="0.45">
      <c r="A32" s="334" t="s">
        <v>44</v>
      </c>
      <c r="B32" s="356">
        <f t="shared" ref="B32:AE32" si="2">SUM(B6:B31)</f>
        <v>675334149.25999987</v>
      </c>
      <c r="C32" s="356">
        <f t="shared" si="2"/>
        <v>1034781786.1675014</v>
      </c>
      <c r="D32" s="356">
        <f t="shared" si="2"/>
        <v>97114493.819999993</v>
      </c>
      <c r="E32" s="356">
        <f t="shared" si="2"/>
        <v>126219855.76000001</v>
      </c>
      <c r="F32" s="356">
        <f t="shared" si="2"/>
        <v>81485183.890000001</v>
      </c>
      <c r="G32" s="356">
        <f t="shared" si="2"/>
        <v>140007807.48000002</v>
      </c>
      <c r="H32" s="356">
        <f t="shared" si="2"/>
        <v>141419802.56</v>
      </c>
      <c r="I32" s="356">
        <f t="shared" si="2"/>
        <v>25843067.469999999</v>
      </c>
      <c r="J32" s="356">
        <f t="shared" si="2"/>
        <v>2322206146.4099998</v>
      </c>
      <c r="K32" s="356">
        <f t="shared" si="2"/>
        <v>1307240773.9000001</v>
      </c>
      <c r="L32" s="356">
        <f t="shared" si="2"/>
        <v>1043381162.16</v>
      </c>
      <c r="M32" s="356">
        <f t="shared" si="2"/>
        <v>679340216.63999999</v>
      </c>
      <c r="N32" s="356">
        <f t="shared" si="2"/>
        <v>357626889.99000001</v>
      </c>
      <c r="O32" s="356">
        <f t="shared" si="2"/>
        <v>547051052.13999999</v>
      </c>
      <c r="P32" s="356">
        <f t="shared" si="2"/>
        <v>298213044.72000003</v>
      </c>
      <c r="Q32" s="356">
        <f t="shared" si="2"/>
        <v>45188190.708783947</v>
      </c>
      <c r="R32" s="356">
        <f t="shared" si="2"/>
        <v>146465613.76269999</v>
      </c>
      <c r="S32" s="356">
        <f t="shared" si="2"/>
        <v>14573502.359999999</v>
      </c>
      <c r="T32" s="356">
        <f t="shared" si="2"/>
        <v>204698015.39878392</v>
      </c>
      <c r="U32" s="356">
        <f t="shared" si="2"/>
        <v>152075475.05053744</v>
      </c>
      <c r="V32" s="356">
        <f t="shared" si="2"/>
        <v>736575166.24730003</v>
      </c>
      <c r="W32" s="356">
        <f t="shared" si="2"/>
        <v>3117776841.4172077</v>
      </c>
      <c r="X32" s="356">
        <f t="shared" si="2"/>
        <v>1853117602.5800002</v>
      </c>
      <c r="Y32" s="356">
        <f t="shared" si="2"/>
        <v>527510089.05690002</v>
      </c>
      <c r="Z32" s="356">
        <f t="shared" si="2"/>
        <v>6319722704</v>
      </c>
      <c r="AA32" s="356">
        <f t="shared" si="2"/>
        <v>2659677598.6699996</v>
      </c>
      <c r="AB32" s="356">
        <f t="shared" si="2"/>
        <v>869510749.72169816</v>
      </c>
      <c r="AC32" s="356">
        <f>SUM(AC6:AC31)/COUNT(AC6:AC31)</f>
        <v>28.589599999999997</v>
      </c>
      <c r="AD32" s="356">
        <f>SUM(AD6:AD31)/COUNT(AD6:AD31)</f>
        <v>82.970799999999997</v>
      </c>
      <c r="AE32" s="356">
        <f t="shared" si="2"/>
        <v>1</v>
      </c>
    </row>
  </sheetData>
  <mergeCells count="1">
    <mergeCell ref="B1:AE1"/>
  </mergeCells>
  <dataValidations count="1">
    <dataValidation type="list" allowBlank="1" showInputMessage="1" showErrorMessage="1" sqref="A3" xr:uid="{00000000-0002-0000-2C00-000000000000}">
      <formula1>$A$6:$A$31</formula1>
    </dataValidation>
  </dataValidations>
  <pageMargins left="0.7" right="0.7" top="0.75" bottom="0.75" header="0.3" footer="0.3"/>
  <customProperties>
    <customPr name="LastActive" r:id="rId1"/>
  </customProperties>
  <legacyDrawing r:id="rId2"/>
</worksheet>
</file>

<file path=xl/worksheets/sheet4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D00-000000000000}">
  <dimension ref="A1:AE32"/>
  <sheetViews>
    <sheetView workbookViewId="0">
      <selection sqref="A1:XFD1048576"/>
    </sheetView>
  </sheetViews>
  <sheetFormatPr defaultRowHeight="12.75" x14ac:dyDescent="0.35"/>
  <cols>
    <col min="1" max="1" width="50.73046875" bestFit="1" customWidth="1"/>
    <col min="2" max="2" width="20" bestFit="1" customWidth="1"/>
    <col min="3" max="3" width="20" customWidth="1"/>
    <col min="4" max="4" width="16.3984375" bestFit="1" customWidth="1"/>
    <col min="5" max="5" width="17.73046875" bestFit="1" customWidth="1"/>
    <col min="6" max="6" width="16.265625" bestFit="1" customWidth="1"/>
    <col min="7" max="8" width="17.73046875" bestFit="1" customWidth="1"/>
    <col min="9" max="9" width="16.265625" bestFit="1" customWidth="1"/>
    <col min="10" max="10" width="20" customWidth="1"/>
    <col min="11" max="12" width="20" bestFit="1" customWidth="1"/>
    <col min="13" max="13" width="17.73046875" customWidth="1"/>
    <col min="14" max="14" width="17.73046875" bestFit="1" customWidth="1"/>
    <col min="15" max="16" width="17.73046875" customWidth="1"/>
    <col min="17" max="17" width="16.265625" bestFit="1" customWidth="1"/>
    <col min="18" max="18" width="17.73046875" bestFit="1" customWidth="1"/>
    <col min="19" max="19" width="17" customWidth="1"/>
    <col min="20" max="22" width="17.73046875" bestFit="1" customWidth="1"/>
    <col min="23" max="24" width="20" bestFit="1" customWidth="1"/>
    <col min="25" max="25" width="17.73046875" customWidth="1"/>
    <col min="26" max="26" width="20" bestFit="1" customWidth="1"/>
    <col min="27" max="27" width="20" customWidth="1"/>
    <col min="28" max="28" width="17.73046875" bestFit="1" customWidth="1"/>
    <col min="29" max="29" width="11.73046875" bestFit="1" customWidth="1"/>
    <col min="30" max="30" width="13" bestFit="1" customWidth="1"/>
    <col min="31" max="31" width="8.265625" bestFit="1" customWidth="1"/>
  </cols>
  <sheetData>
    <row r="1" spans="1:31" ht="23.25" x14ac:dyDescent="0.7">
      <c r="A1" s="351" t="s">
        <v>150</v>
      </c>
      <c r="B1" s="413" t="s">
        <v>92</v>
      </c>
      <c r="C1" s="413"/>
      <c r="D1" s="413"/>
      <c r="E1" s="413"/>
      <c r="F1" s="413"/>
      <c r="G1" s="413"/>
      <c r="H1" s="413"/>
      <c r="I1" s="413"/>
      <c r="J1" s="413"/>
      <c r="K1" s="413"/>
      <c r="L1" s="413"/>
      <c r="M1" s="413"/>
      <c r="N1" s="413"/>
      <c r="O1" s="413"/>
      <c r="P1" s="413"/>
      <c r="Q1" s="413"/>
      <c r="R1" s="413"/>
      <c r="S1" s="413"/>
      <c r="T1" s="413"/>
      <c r="U1" s="413"/>
      <c r="V1" s="413"/>
      <c r="W1" s="413"/>
      <c r="X1" s="413"/>
      <c r="Y1" s="413"/>
      <c r="Z1" s="413"/>
      <c r="AA1" s="413"/>
      <c r="AB1" s="413"/>
      <c r="AC1" s="413"/>
      <c r="AD1" s="413"/>
      <c r="AE1" s="413"/>
    </row>
    <row r="2" spans="1:31" ht="42.75" x14ac:dyDescent="0.45">
      <c r="A2" s="350"/>
      <c r="B2" s="348" t="s">
        <v>100</v>
      </c>
      <c r="C2" s="348" t="s">
        <v>101</v>
      </c>
      <c r="D2" s="348" t="s">
        <v>102</v>
      </c>
      <c r="E2" s="348" t="s">
        <v>103</v>
      </c>
      <c r="F2" s="348" t="s">
        <v>104</v>
      </c>
      <c r="G2" s="348" t="s">
        <v>105</v>
      </c>
      <c r="H2" s="348" t="s">
        <v>106</v>
      </c>
      <c r="I2" s="348" t="s">
        <v>107</v>
      </c>
      <c r="J2" s="348" t="s">
        <v>108</v>
      </c>
      <c r="K2" s="348" t="s">
        <v>109</v>
      </c>
      <c r="L2" s="348" t="s">
        <v>110</v>
      </c>
      <c r="M2" s="349" t="s">
        <v>93</v>
      </c>
      <c r="N2" s="348" t="s">
        <v>111</v>
      </c>
      <c r="O2" s="348" t="s">
        <v>112</v>
      </c>
      <c r="P2" s="348" t="s">
        <v>113</v>
      </c>
      <c r="Q2" s="348" t="s">
        <v>97</v>
      </c>
      <c r="R2" s="348" t="s">
        <v>131</v>
      </c>
      <c r="S2" s="348" t="s">
        <v>132</v>
      </c>
      <c r="T2" s="348" t="s">
        <v>133</v>
      </c>
      <c r="U2" s="348" t="s">
        <v>134</v>
      </c>
      <c r="V2" s="348" t="s">
        <v>118</v>
      </c>
      <c r="W2" s="348" t="s">
        <v>119</v>
      </c>
      <c r="X2" s="348" t="s">
        <v>120</v>
      </c>
      <c r="Y2" s="349" t="s">
        <v>121</v>
      </c>
      <c r="Z2" s="348" t="s">
        <v>135</v>
      </c>
      <c r="AA2" s="348" t="s">
        <v>124</v>
      </c>
      <c r="AB2" s="348" t="s">
        <v>125</v>
      </c>
      <c r="AC2" s="347" t="s">
        <v>79</v>
      </c>
      <c r="AD2" s="347" t="s">
        <v>80</v>
      </c>
      <c r="AE2" s="347" t="s">
        <v>19</v>
      </c>
    </row>
    <row r="3" spans="1:31" ht="15.4" x14ac:dyDescent="0.45">
      <c r="A3" s="346" t="s">
        <v>25</v>
      </c>
      <c r="B3" s="345">
        <f t="shared" ref="B3:AE3" si="0">INDEX(B6:B31,MATCH($A$3,$A$6:$A$31,0))</f>
        <v>103384826</v>
      </c>
      <c r="C3" s="345"/>
      <c r="D3" s="345">
        <f t="shared" si="0"/>
        <v>24930627</v>
      </c>
      <c r="E3" s="345">
        <f t="shared" si="0"/>
        <v>620402</v>
      </c>
      <c r="F3" s="345">
        <f t="shared" si="0"/>
        <v>0</v>
      </c>
      <c r="G3" s="345">
        <f t="shared" si="0"/>
        <v>28723401</v>
      </c>
      <c r="H3" s="345">
        <f t="shared" si="0"/>
        <v>0</v>
      </c>
      <c r="I3" s="345">
        <f t="shared" si="0"/>
        <v>5042884</v>
      </c>
      <c r="J3" s="345">
        <f t="shared" si="0"/>
        <v>231785346</v>
      </c>
      <c r="K3" s="345">
        <f t="shared" si="0"/>
        <v>76726757</v>
      </c>
      <c r="L3" s="345">
        <f t="shared" si="0"/>
        <v>62471213</v>
      </c>
      <c r="M3" s="345">
        <f t="shared" si="0"/>
        <v>42309632</v>
      </c>
      <c r="N3" s="345">
        <f t="shared" si="0"/>
        <v>26898054</v>
      </c>
      <c r="O3" s="345">
        <f t="shared" si="0"/>
        <v>17370220</v>
      </c>
      <c r="P3" s="345">
        <f t="shared" si="0"/>
        <v>27920103</v>
      </c>
      <c r="Q3" s="345">
        <f t="shared" si="0"/>
        <v>22273179</v>
      </c>
      <c r="R3" s="345">
        <f t="shared" si="0"/>
        <v>12556015</v>
      </c>
      <c r="S3" s="345">
        <f t="shared" si="0"/>
        <v>4275061</v>
      </c>
      <c r="T3" s="345">
        <f t="shared" si="0"/>
        <v>0</v>
      </c>
      <c r="U3" s="345">
        <f t="shared" si="0"/>
        <v>11294996</v>
      </c>
      <c r="V3" s="345">
        <f t="shared" si="0"/>
        <v>34219415</v>
      </c>
      <c r="W3" s="345">
        <f t="shared" si="0"/>
        <v>147790992</v>
      </c>
      <c r="X3" s="345">
        <f t="shared" si="0"/>
        <v>206094700</v>
      </c>
      <c r="Y3" s="345">
        <f t="shared" si="0"/>
        <v>49301229</v>
      </c>
      <c r="Z3" s="345">
        <f t="shared" si="0"/>
        <v>438020280</v>
      </c>
      <c r="AA3" s="345">
        <f t="shared" si="0"/>
        <v>258200856</v>
      </c>
      <c r="AB3" s="345">
        <f t="shared" si="0"/>
        <v>42806566</v>
      </c>
      <c r="AC3" s="345">
        <f t="shared" si="0"/>
        <v>31.74</v>
      </c>
      <c r="AD3" s="345">
        <f t="shared" si="0"/>
        <v>53.44</v>
      </c>
      <c r="AE3" s="365">
        <f t="shared" si="0"/>
        <v>7.0056784747669701E-2</v>
      </c>
    </row>
    <row r="4" spans="1:31" ht="14.25" x14ac:dyDescent="0.45">
      <c r="A4" s="330"/>
      <c r="B4" s="330"/>
      <c r="C4" s="330"/>
      <c r="D4" s="330"/>
      <c r="E4" s="330"/>
      <c r="F4" s="330"/>
      <c r="G4" s="330"/>
      <c r="H4" s="330"/>
      <c r="I4" s="330"/>
      <c r="J4" s="330"/>
      <c r="K4" s="330"/>
      <c r="L4" s="330"/>
      <c r="M4" s="330"/>
      <c r="N4" s="330"/>
      <c r="O4" s="330"/>
      <c r="P4" s="330"/>
      <c r="Q4" s="330"/>
      <c r="R4" s="330"/>
      <c r="S4" s="330"/>
      <c r="T4" s="330"/>
      <c r="U4" s="330"/>
      <c r="V4" s="330"/>
      <c r="W4" s="330"/>
      <c r="X4" s="330"/>
      <c r="Y4" s="330"/>
      <c r="Z4" s="330"/>
      <c r="AA4" s="330"/>
      <c r="AB4" s="330"/>
      <c r="AC4" s="330"/>
      <c r="AD4" s="330"/>
      <c r="AE4" s="330"/>
    </row>
    <row r="5" spans="1:31" ht="38.25" x14ac:dyDescent="0.35">
      <c r="A5" s="344" t="s">
        <v>136</v>
      </c>
      <c r="B5" s="342" t="s">
        <v>100</v>
      </c>
      <c r="C5" s="342" t="s">
        <v>101</v>
      </c>
      <c r="D5" s="342" t="s">
        <v>102</v>
      </c>
      <c r="E5" s="342" t="s">
        <v>103</v>
      </c>
      <c r="F5" s="342" t="s">
        <v>104</v>
      </c>
      <c r="G5" s="343" t="s">
        <v>105</v>
      </c>
      <c r="H5" s="343" t="s">
        <v>106</v>
      </c>
      <c r="I5" s="343" t="s">
        <v>107</v>
      </c>
      <c r="J5" s="343" t="s">
        <v>137</v>
      </c>
      <c r="K5" s="342" t="s">
        <v>138</v>
      </c>
      <c r="L5" s="342" t="s">
        <v>110</v>
      </c>
      <c r="M5" s="342" t="s">
        <v>93</v>
      </c>
      <c r="N5" s="342" t="s">
        <v>111</v>
      </c>
      <c r="O5" s="342" t="s">
        <v>112</v>
      </c>
      <c r="P5" s="342" t="s">
        <v>139</v>
      </c>
      <c r="Q5" s="342" t="s">
        <v>140</v>
      </c>
      <c r="R5" s="342" t="s">
        <v>131</v>
      </c>
      <c r="S5" s="342" t="s">
        <v>132</v>
      </c>
      <c r="T5" s="342" t="s">
        <v>133</v>
      </c>
      <c r="U5" s="342" t="s">
        <v>134</v>
      </c>
      <c r="V5" s="342" t="s">
        <v>118</v>
      </c>
      <c r="W5" s="342" t="s">
        <v>119</v>
      </c>
      <c r="X5" s="342" t="s">
        <v>120</v>
      </c>
      <c r="Y5" s="342" t="s">
        <v>121</v>
      </c>
      <c r="Z5" s="342" t="s">
        <v>135</v>
      </c>
      <c r="AA5" s="342" t="s">
        <v>124</v>
      </c>
      <c r="AB5" s="342" t="s">
        <v>125</v>
      </c>
      <c r="AC5" s="341" t="s">
        <v>79</v>
      </c>
      <c r="AD5" s="341" t="s">
        <v>80</v>
      </c>
      <c r="AE5" s="341" t="s">
        <v>19</v>
      </c>
    </row>
    <row r="6" spans="1:31" ht="15.4" x14ac:dyDescent="0.45">
      <c r="A6" s="334" t="s">
        <v>20</v>
      </c>
      <c r="B6" s="355">
        <v>102637783</v>
      </c>
      <c r="C6" s="355">
        <v>19147058</v>
      </c>
      <c r="D6" s="355">
        <v>1274670</v>
      </c>
      <c r="E6" s="355">
        <v>10833247</v>
      </c>
      <c r="F6" s="355">
        <v>4543895</v>
      </c>
      <c r="G6" s="355">
        <v>12350906</v>
      </c>
      <c r="H6" s="355">
        <v>1979890</v>
      </c>
      <c r="I6" s="355">
        <v>9329714</v>
      </c>
      <c r="J6" s="355">
        <v>162097163</v>
      </c>
      <c r="K6" s="355">
        <v>40312245</v>
      </c>
      <c r="L6" s="355">
        <v>31660892</v>
      </c>
      <c r="M6" s="355">
        <v>68747478</v>
      </c>
      <c r="N6" s="355">
        <v>10813574</v>
      </c>
      <c r="O6" s="355">
        <v>27066165</v>
      </c>
      <c r="P6" s="355">
        <v>18091043</v>
      </c>
      <c r="Q6" s="355">
        <v>23535492</v>
      </c>
      <c r="R6" s="355">
        <v>-774398.22</v>
      </c>
      <c r="S6" s="402">
        <v>4828011</v>
      </c>
      <c r="T6" s="355">
        <v>249613.79</v>
      </c>
      <c r="U6" s="355">
        <v>4303226.57</v>
      </c>
      <c r="V6" s="355">
        <v>53124012</v>
      </c>
      <c r="W6" s="355">
        <v>64414852</v>
      </c>
      <c r="X6" s="355">
        <v>161158663</v>
      </c>
      <c r="Y6" s="355">
        <v>50084511</v>
      </c>
      <c r="Z6" s="355">
        <v>330242354</v>
      </c>
      <c r="AA6" s="355">
        <v>163997781</v>
      </c>
      <c r="AB6" s="355">
        <v>79597750</v>
      </c>
      <c r="AC6" s="359">
        <v>19.59</v>
      </c>
      <c r="AD6" s="359">
        <v>81.81</v>
      </c>
      <c r="AE6" s="360">
        <f>J6/$J$32</f>
        <v>4.8993632481403419E-2</v>
      </c>
    </row>
    <row r="7" spans="1:31" ht="15.4" x14ac:dyDescent="0.45">
      <c r="A7" s="334" t="s">
        <v>21</v>
      </c>
      <c r="B7" s="355">
        <v>9760859</v>
      </c>
      <c r="C7" s="355">
        <v>33753701</v>
      </c>
      <c r="D7" s="355">
        <v>1838636</v>
      </c>
      <c r="E7" s="355">
        <v>4881735</v>
      </c>
      <c r="F7" s="355"/>
      <c r="G7" s="355">
        <v>6406926</v>
      </c>
      <c r="H7" s="355">
        <v>2109765</v>
      </c>
      <c r="I7" s="355">
        <v>746120</v>
      </c>
      <c r="J7" s="355">
        <v>59497742</v>
      </c>
      <c r="K7" s="355">
        <v>44352337</v>
      </c>
      <c r="L7" s="355">
        <v>39048029</v>
      </c>
      <c r="M7" s="355">
        <v>21597890</v>
      </c>
      <c r="N7" s="355">
        <v>19133460</v>
      </c>
      <c r="O7" s="355">
        <v>20558373</v>
      </c>
      <c r="P7" s="355">
        <v>6379752</v>
      </c>
      <c r="Q7" s="355"/>
      <c r="R7" s="355">
        <v>-7023556</v>
      </c>
      <c r="S7" s="355">
        <v>9573101</v>
      </c>
      <c r="T7" s="355">
        <v>0</v>
      </c>
      <c r="U7" s="355">
        <v>2249545</v>
      </c>
      <c r="V7" s="355">
        <v>3897652</v>
      </c>
      <c r="W7" s="355">
        <v>105536548</v>
      </c>
      <c r="X7" s="355">
        <v>8786530</v>
      </c>
      <c r="Y7" s="355">
        <v>8298602</v>
      </c>
      <c r="Z7" s="355">
        <v>130106088</v>
      </c>
      <c r="AA7" s="335">
        <v>38619710</v>
      </c>
      <c r="AB7" s="335">
        <v>32685388</v>
      </c>
      <c r="AC7" s="359">
        <v>49</v>
      </c>
      <c r="AD7" s="359">
        <v>68.989999999999995</v>
      </c>
      <c r="AE7" s="360">
        <f t="shared" ref="AE7:AE31" si="1">J7/$J$32</f>
        <v>1.7983106249807472E-2</v>
      </c>
    </row>
    <row r="8" spans="1:31" ht="15.4" x14ac:dyDescent="0.45">
      <c r="A8" s="334" t="s">
        <v>87</v>
      </c>
      <c r="B8" s="355">
        <v>200915</v>
      </c>
      <c r="C8" s="355">
        <v>3456142</v>
      </c>
      <c r="D8" s="355">
        <v>55630</v>
      </c>
      <c r="E8" s="355"/>
      <c r="F8" s="355">
        <v>124751</v>
      </c>
      <c r="G8" s="355">
        <v>31734</v>
      </c>
      <c r="H8" s="355">
        <v>8179</v>
      </c>
      <c r="I8" s="355"/>
      <c r="J8" s="355">
        <v>3877351</v>
      </c>
      <c r="K8" s="355">
        <v>3316215</v>
      </c>
      <c r="L8" s="355">
        <v>1848052</v>
      </c>
      <c r="M8" s="355">
        <v>657619</v>
      </c>
      <c r="N8" s="355">
        <v>657619</v>
      </c>
      <c r="O8" s="355">
        <v>6487195</v>
      </c>
      <c r="P8" s="355">
        <v>385448</v>
      </c>
      <c r="Q8" s="355">
        <v>136465</v>
      </c>
      <c r="R8" s="355">
        <v>-5545745</v>
      </c>
      <c r="S8" s="355">
        <v>2623606</v>
      </c>
      <c r="T8" s="355">
        <v>0</v>
      </c>
      <c r="U8" s="355">
        <v>-2922139</v>
      </c>
      <c r="V8" s="355">
        <v>849160</v>
      </c>
      <c r="W8" s="355">
        <v>19021740</v>
      </c>
      <c r="X8" s="355">
        <v>33388598</v>
      </c>
      <c r="Y8" s="355">
        <v>8558458</v>
      </c>
      <c r="Z8" s="355">
        <v>63056787</v>
      </c>
      <c r="AA8" s="335">
        <v>3246878</v>
      </c>
      <c r="AB8" s="335">
        <v>2620012</v>
      </c>
      <c r="AC8" s="359">
        <v>33.14</v>
      </c>
      <c r="AD8" s="359">
        <v>346.31</v>
      </c>
      <c r="AE8" s="360">
        <f t="shared" si="1"/>
        <v>1.1719237177235608E-3</v>
      </c>
    </row>
    <row r="9" spans="1:31" ht="15.4" x14ac:dyDescent="0.45">
      <c r="A9" s="334" t="s">
        <v>60</v>
      </c>
      <c r="B9" s="355"/>
      <c r="C9" s="355"/>
      <c r="D9" s="355"/>
      <c r="E9" s="355"/>
      <c r="F9" s="355"/>
      <c r="G9" s="355"/>
      <c r="H9" s="355"/>
      <c r="I9" s="355"/>
      <c r="J9" s="355"/>
      <c r="K9" s="355"/>
      <c r="L9" s="355"/>
      <c r="M9" s="355"/>
      <c r="N9" s="355"/>
      <c r="O9" s="355"/>
      <c r="P9" s="355"/>
      <c r="Q9" s="355"/>
      <c r="R9" s="355"/>
      <c r="S9" s="355"/>
      <c r="T9" s="355"/>
      <c r="U9" s="355"/>
      <c r="V9" s="355"/>
      <c r="W9" s="355"/>
      <c r="X9" s="355"/>
      <c r="Y9" s="355"/>
      <c r="Z9" s="355"/>
      <c r="AA9" s="335"/>
      <c r="AB9" s="335"/>
      <c r="AC9" s="359"/>
      <c r="AD9" s="359"/>
      <c r="AE9" s="360">
        <f t="shared" si="1"/>
        <v>0</v>
      </c>
    </row>
    <row r="10" spans="1:31" ht="15.4" x14ac:dyDescent="0.45">
      <c r="A10" s="334" t="s">
        <v>128</v>
      </c>
      <c r="B10" s="355">
        <v>9255114</v>
      </c>
      <c r="C10" s="355">
        <v>24798428</v>
      </c>
      <c r="D10" s="355">
        <v>7279057</v>
      </c>
      <c r="E10" s="355">
        <v>858503</v>
      </c>
      <c r="F10" s="355"/>
      <c r="G10" s="355"/>
      <c r="H10" s="355">
        <v>1071824</v>
      </c>
      <c r="I10" s="355"/>
      <c r="J10" s="355">
        <v>43262926</v>
      </c>
      <c r="K10" s="355">
        <v>30936325</v>
      </c>
      <c r="L10" s="355">
        <v>24853077.25</v>
      </c>
      <c r="M10" s="355">
        <v>28689219</v>
      </c>
      <c r="N10" s="355">
        <v>5591162</v>
      </c>
      <c r="O10" s="358">
        <v>15358124</v>
      </c>
      <c r="P10" s="355">
        <v>7536210</v>
      </c>
      <c r="Q10" s="355">
        <v>4208233</v>
      </c>
      <c r="R10" s="355">
        <v>575814.25</v>
      </c>
      <c r="S10" s="355">
        <v>16529258</v>
      </c>
      <c r="T10" s="355">
        <v>9927.4599999999991</v>
      </c>
      <c r="U10" s="355">
        <v>12836249.710000001</v>
      </c>
      <c r="V10" s="355">
        <v>8011240</v>
      </c>
      <c r="W10" s="355">
        <v>71795530</v>
      </c>
      <c r="X10" s="355">
        <v>31156476</v>
      </c>
      <c r="Y10" s="355">
        <v>10796280</v>
      </c>
      <c r="Z10" s="355">
        <v>124914375</v>
      </c>
      <c r="AA10" s="335">
        <v>50516401</v>
      </c>
      <c r="AB10" s="335">
        <v>11844028</v>
      </c>
      <c r="AC10" s="359">
        <v>19.239999999999998</v>
      </c>
      <c r="AD10" s="359">
        <v>78.78</v>
      </c>
      <c r="AE10" s="360">
        <f t="shared" si="1"/>
        <v>1.3076156653735837E-2</v>
      </c>
    </row>
    <row r="11" spans="1:31" ht="15.4" x14ac:dyDescent="0.45">
      <c r="A11" s="334" t="s">
        <v>22</v>
      </c>
      <c r="B11" s="355">
        <v>6912851</v>
      </c>
      <c r="C11" s="355">
        <v>46035178</v>
      </c>
      <c r="D11" s="355">
        <v>2597757</v>
      </c>
      <c r="E11" s="355">
        <v>1321517</v>
      </c>
      <c r="F11" s="355">
        <v>4805695</v>
      </c>
      <c r="G11" s="355">
        <v>0</v>
      </c>
      <c r="H11" s="355">
        <v>1779520</v>
      </c>
      <c r="I11" s="355">
        <v>126922</v>
      </c>
      <c r="J11" s="355">
        <v>63579440</v>
      </c>
      <c r="K11" s="355">
        <v>49485524</v>
      </c>
      <c r="L11" s="355">
        <v>42837027.009999998</v>
      </c>
      <c r="M11" s="355">
        <v>19301384</v>
      </c>
      <c r="N11" s="355">
        <v>16371414</v>
      </c>
      <c r="O11" s="358">
        <v>24729716</v>
      </c>
      <c r="P11" s="355">
        <v>8452300</v>
      </c>
      <c r="Q11" s="355">
        <v>3945517</v>
      </c>
      <c r="R11" s="355">
        <v>-2770885.98</v>
      </c>
      <c r="S11" s="355">
        <v>8551140</v>
      </c>
      <c r="T11" s="355">
        <v>214694</v>
      </c>
      <c r="U11" s="355">
        <v>4196434.0199999996</v>
      </c>
      <c r="V11" s="355">
        <v>9183085</v>
      </c>
      <c r="W11" s="355">
        <v>66736230</v>
      </c>
      <c r="X11" s="355">
        <v>20922662</v>
      </c>
      <c r="Y11" s="355">
        <v>12902209</v>
      </c>
      <c r="Z11" s="355">
        <v>109938938</v>
      </c>
      <c r="AA11" s="335">
        <v>44235412</v>
      </c>
      <c r="AB11" s="335">
        <v>11281994</v>
      </c>
      <c r="AC11" s="359">
        <v>34.99</v>
      </c>
      <c r="AD11" s="359">
        <v>70.930000000000007</v>
      </c>
      <c r="AE11" s="360">
        <f t="shared" si="1"/>
        <v>1.9216793551984863E-2</v>
      </c>
    </row>
    <row r="12" spans="1:31" ht="15.4" x14ac:dyDescent="0.45">
      <c r="A12" s="334" t="s">
        <v>23</v>
      </c>
      <c r="B12" s="355">
        <v>128968033</v>
      </c>
      <c r="C12" s="355">
        <v>195159926</v>
      </c>
      <c r="D12" s="355">
        <v>7268853</v>
      </c>
      <c r="E12" s="355">
        <v>36752962</v>
      </c>
      <c r="F12" s="355">
        <v>8126204</v>
      </c>
      <c r="G12" s="355">
        <v>36879859</v>
      </c>
      <c r="H12" s="355">
        <v>39512447</v>
      </c>
      <c r="I12" s="355">
        <v>4882119</v>
      </c>
      <c r="J12" s="355">
        <v>457550403.35000002</v>
      </c>
      <c r="K12" s="355">
        <v>242782390.66999999</v>
      </c>
      <c r="L12" s="355">
        <v>197955118.78</v>
      </c>
      <c r="M12" s="355">
        <v>151626406</v>
      </c>
      <c r="N12" s="355">
        <v>94593954</v>
      </c>
      <c r="O12" s="355">
        <v>71174579.540000007</v>
      </c>
      <c r="P12" s="355">
        <v>67668788</v>
      </c>
      <c r="Q12" s="355">
        <v>47485666</v>
      </c>
      <c r="R12" s="355">
        <v>12003463.380000001</v>
      </c>
      <c r="S12" s="355">
        <v>34827572.789999999</v>
      </c>
      <c r="T12" s="355">
        <v>-1023588.08</v>
      </c>
      <c r="U12" s="355">
        <v>32065214.010000002</v>
      </c>
      <c r="V12" s="355">
        <v>197695032</v>
      </c>
      <c r="W12" s="355">
        <v>195657151</v>
      </c>
      <c r="X12" s="355">
        <v>231002660</v>
      </c>
      <c r="Y12" s="355">
        <v>20047345</v>
      </c>
      <c r="Z12" s="355">
        <v>658650004</v>
      </c>
      <c r="AA12" s="335">
        <v>390189523</v>
      </c>
      <c r="AB12" s="335">
        <v>72962963</v>
      </c>
      <c r="AC12" s="359">
        <v>38.54</v>
      </c>
      <c r="AD12" s="359">
        <v>56.57</v>
      </c>
      <c r="AE12" s="360">
        <f t="shared" si="1"/>
        <v>0.13829394598008971</v>
      </c>
    </row>
    <row r="13" spans="1:31" ht="15.4" x14ac:dyDescent="0.45">
      <c r="A13" s="334" t="s">
        <v>25</v>
      </c>
      <c r="B13" s="355">
        <v>103384826</v>
      </c>
      <c r="C13" s="355">
        <v>69083206</v>
      </c>
      <c r="D13" s="355">
        <v>24930627</v>
      </c>
      <c r="E13" s="355">
        <v>620402</v>
      </c>
      <c r="F13" s="355"/>
      <c r="G13" s="355">
        <v>28723401</v>
      </c>
      <c r="H13" s="355"/>
      <c r="I13" s="355">
        <v>5042884</v>
      </c>
      <c r="J13" s="355">
        <v>231785346</v>
      </c>
      <c r="K13" s="355">
        <v>76726757</v>
      </c>
      <c r="L13" s="355">
        <v>62471213</v>
      </c>
      <c r="M13" s="355">
        <v>42309632</v>
      </c>
      <c r="N13" s="355">
        <v>26898054</v>
      </c>
      <c r="O13" s="358">
        <v>17370220</v>
      </c>
      <c r="P13" s="355">
        <v>27920103</v>
      </c>
      <c r="Q13" s="355">
        <v>22273179</v>
      </c>
      <c r="R13" s="355">
        <v>12556015</v>
      </c>
      <c r="S13" s="355">
        <v>4275061</v>
      </c>
      <c r="T13" s="355">
        <v>0</v>
      </c>
      <c r="U13" s="355">
        <v>11294996</v>
      </c>
      <c r="V13" s="355">
        <v>34219415</v>
      </c>
      <c r="W13" s="355">
        <v>147790992</v>
      </c>
      <c r="X13" s="355">
        <v>206094700</v>
      </c>
      <c r="Y13" s="355">
        <v>49301229</v>
      </c>
      <c r="Z13" s="355">
        <v>438020280</v>
      </c>
      <c r="AA13" s="335">
        <v>258200856</v>
      </c>
      <c r="AB13" s="335">
        <v>42806566</v>
      </c>
      <c r="AC13" s="359">
        <v>31.74</v>
      </c>
      <c r="AD13" s="359">
        <v>53.44</v>
      </c>
      <c r="AE13" s="360">
        <f t="shared" si="1"/>
        <v>7.0056784747669701E-2</v>
      </c>
    </row>
    <row r="14" spans="1:31" ht="15.4" x14ac:dyDescent="0.45">
      <c r="A14" s="334" t="s">
        <v>26</v>
      </c>
      <c r="B14" s="355">
        <v>125155591</v>
      </c>
      <c r="C14" s="355">
        <v>53903598</v>
      </c>
      <c r="D14" s="355">
        <v>1289242</v>
      </c>
      <c r="E14" s="355">
        <v>54020820</v>
      </c>
      <c r="F14" s="355">
        <v>15959899</v>
      </c>
      <c r="G14" s="355">
        <v>9879666</v>
      </c>
      <c r="H14" s="355">
        <v>11770263</v>
      </c>
      <c r="I14" s="355"/>
      <c r="J14" s="355">
        <v>271979079</v>
      </c>
      <c r="K14" s="355">
        <v>140174866</v>
      </c>
      <c r="L14" s="355">
        <v>116860303.59</v>
      </c>
      <c r="M14" s="355">
        <v>41210218</v>
      </c>
      <c r="N14" s="355">
        <v>35853095</v>
      </c>
      <c r="O14" s="358">
        <v>52508384</v>
      </c>
      <c r="P14" s="355">
        <v>49019572</v>
      </c>
      <c r="Q14" s="355">
        <v>30719270</v>
      </c>
      <c r="R14" s="355">
        <v>10198522.59</v>
      </c>
      <c r="S14" s="355">
        <v>4905592</v>
      </c>
      <c r="T14" s="355">
        <v>52430</v>
      </c>
      <c r="U14" s="355">
        <v>10625309.59</v>
      </c>
      <c r="V14" s="355">
        <v>27506675</v>
      </c>
      <c r="W14" s="355">
        <v>154569049</v>
      </c>
      <c r="X14" s="355">
        <v>57914915</v>
      </c>
      <c r="Y14" s="355">
        <v>9391622</v>
      </c>
      <c r="Z14" s="355">
        <v>253131415</v>
      </c>
      <c r="AA14" s="335">
        <v>127093546</v>
      </c>
      <c r="AB14" s="335">
        <v>21520377</v>
      </c>
      <c r="AC14" s="359">
        <v>24.29</v>
      </c>
      <c r="AD14" s="359">
        <v>68.8</v>
      </c>
      <c r="AE14" s="360">
        <f t="shared" si="1"/>
        <v>8.2205282267380497E-2</v>
      </c>
    </row>
    <row r="15" spans="1:31" ht="15.4" x14ac:dyDescent="0.45">
      <c r="A15" s="334" t="s">
        <v>28</v>
      </c>
      <c r="B15" s="355">
        <v>149536722</v>
      </c>
      <c r="C15" s="355">
        <v>112907896</v>
      </c>
      <c r="D15" s="355">
        <v>6800963</v>
      </c>
      <c r="E15" s="355">
        <v>5115188</v>
      </c>
      <c r="F15" s="355">
        <v>2546356</v>
      </c>
      <c r="G15" s="355">
        <v>29730960</v>
      </c>
      <c r="H15" s="355">
        <v>8552774</v>
      </c>
      <c r="I15" s="355">
        <v>10365757</v>
      </c>
      <c r="J15" s="355">
        <v>325556615.99000001</v>
      </c>
      <c r="K15" s="355">
        <v>133659362.12</v>
      </c>
      <c r="L15" s="355">
        <v>111970361.09999999</v>
      </c>
      <c r="M15" s="355">
        <v>75777187</v>
      </c>
      <c r="N15" s="355">
        <v>45130475</v>
      </c>
      <c r="O15" s="355">
        <v>54850827.549999997</v>
      </c>
      <c r="P15" s="355">
        <v>39436676</v>
      </c>
      <c r="Q15" s="355">
        <v>32876933</v>
      </c>
      <c r="R15" s="355">
        <v>5429316.0300000003</v>
      </c>
      <c r="S15" s="355">
        <v>20883166.879999999</v>
      </c>
      <c r="T15" s="355">
        <v>0</v>
      </c>
      <c r="U15" s="355">
        <v>18449511.780000001</v>
      </c>
      <c r="V15" s="355">
        <v>97920985</v>
      </c>
      <c r="W15" s="355">
        <v>117457954</v>
      </c>
      <c r="X15" s="355">
        <v>197349963</v>
      </c>
      <c r="Y15" s="355">
        <v>11616815</v>
      </c>
      <c r="Z15" s="355">
        <v>442908870</v>
      </c>
      <c r="AA15" s="335">
        <v>268969178</v>
      </c>
      <c r="AB15" s="335">
        <v>53515793</v>
      </c>
      <c r="AC15" s="359">
        <v>31.16</v>
      </c>
      <c r="AD15" s="359">
        <v>65.09</v>
      </c>
      <c r="AE15" s="360">
        <f t="shared" si="1"/>
        <v>9.8399015137010409E-2</v>
      </c>
    </row>
    <row r="16" spans="1:31" ht="15.4" x14ac:dyDescent="0.45">
      <c r="A16" s="334" t="s">
        <v>46</v>
      </c>
      <c r="B16" s="355">
        <v>4414685</v>
      </c>
      <c r="C16" s="355">
        <v>33519002</v>
      </c>
      <c r="D16" s="355">
        <v>3495434</v>
      </c>
      <c r="E16" s="355">
        <v>221459</v>
      </c>
      <c r="F16" s="355"/>
      <c r="G16" s="355">
        <v>4010738</v>
      </c>
      <c r="H16" s="355">
        <v>5657013</v>
      </c>
      <c r="I16" s="355"/>
      <c r="J16" s="355">
        <v>51318331</v>
      </c>
      <c r="K16" s="355">
        <v>42708145</v>
      </c>
      <c r="L16" s="355">
        <v>34958191.200000003</v>
      </c>
      <c r="M16" s="355">
        <v>8699899</v>
      </c>
      <c r="N16" s="355">
        <v>6465529</v>
      </c>
      <c r="O16" s="358">
        <v>22225704</v>
      </c>
      <c r="P16" s="355">
        <v>8247023</v>
      </c>
      <c r="Q16" s="355">
        <v>3188115</v>
      </c>
      <c r="R16" s="355">
        <v>1208050.2</v>
      </c>
      <c r="S16" s="355">
        <v>7846542</v>
      </c>
      <c r="T16" s="355">
        <v>153377</v>
      </c>
      <c r="U16" s="355">
        <v>9207969.1999999993</v>
      </c>
      <c r="V16" s="355">
        <v>5166126</v>
      </c>
      <c r="W16" s="355">
        <v>62508755</v>
      </c>
      <c r="X16" s="355">
        <v>17236342</v>
      </c>
      <c r="Y16" s="355">
        <v>7652200</v>
      </c>
      <c r="Z16" s="355">
        <v>92563423</v>
      </c>
      <c r="AA16" s="335">
        <v>24632818</v>
      </c>
      <c r="AB16" s="335">
        <v>6410382</v>
      </c>
      <c r="AC16" s="359">
        <v>16.95</v>
      </c>
      <c r="AD16" s="359">
        <v>79.88</v>
      </c>
      <c r="AE16" s="360">
        <f t="shared" si="1"/>
        <v>1.5510891134923885E-2</v>
      </c>
    </row>
    <row r="17" spans="1:31" ht="15.4" x14ac:dyDescent="0.45">
      <c r="A17" s="334" t="s">
        <v>69</v>
      </c>
      <c r="B17" s="355">
        <v>714662</v>
      </c>
      <c r="C17" s="355">
        <v>33216407</v>
      </c>
      <c r="D17" s="355">
        <v>236772</v>
      </c>
      <c r="E17" s="355">
        <v>34907</v>
      </c>
      <c r="F17" s="355">
        <v>1579632</v>
      </c>
      <c r="G17" s="355">
        <v>997295</v>
      </c>
      <c r="H17" s="355">
        <v>1906661</v>
      </c>
      <c r="I17" s="355"/>
      <c r="J17" s="355">
        <v>38686336</v>
      </c>
      <c r="K17" s="355">
        <v>32511866</v>
      </c>
      <c r="L17" s="355">
        <v>26979289.789999999</v>
      </c>
      <c r="M17" s="355">
        <v>6516969</v>
      </c>
      <c r="N17" s="355">
        <v>5588185</v>
      </c>
      <c r="O17" s="358">
        <v>16012207</v>
      </c>
      <c r="P17" s="355">
        <v>6469429</v>
      </c>
      <c r="Q17" s="355">
        <v>1285502</v>
      </c>
      <c r="R17" s="355">
        <v>194970.79</v>
      </c>
      <c r="S17" s="355">
        <v>2137910</v>
      </c>
      <c r="T17" s="355">
        <v>0</v>
      </c>
      <c r="U17" s="355">
        <v>2177169.79</v>
      </c>
      <c r="V17" s="355">
        <v>20675121</v>
      </c>
      <c r="W17" s="355">
        <v>41619169</v>
      </c>
      <c r="X17" s="355">
        <v>5554076</v>
      </c>
      <c r="Y17" s="355">
        <v>46051462</v>
      </c>
      <c r="Z17" s="355">
        <v>115662734</v>
      </c>
      <c r="AA17" s="335">
        <v>15390523</v>
      </c>
      <c r="AB17" s="335">
        <v>7608919</v>
      </c>
      <c r="AC17" s="359">
        <v>19.77</v>
      </c>
      <c r="AD17" s="359">
        <v>79.540000000000006</v>
      </c>
      <c r="AE17" s="360">
        <f t="shared" si="1"/>
        <v>1.1692888962134929E-2</v>
      </c>
    </row>
    <row r="18" spans="1:31" ht="15.4" x14ac:dyDescent="0.45">
      <c r="A18" s="334" t="s">
        <v>29</v>
      </c>
      <c r="B18" s="355">
        <v>2247706</v>
      </c>
      <c r="C18" s="355">
        <v>38721827</v>
      </c>
      <c r="D18" s="355">
        <v>743099</v>
      </c>
      <c r="E18" s="355">
        <v>9810</v>
      </c>
      <c r="F18" s="355">
        <v>2999554</v>
      </c>
      <c r="G18" s="355">
        <v>1707356</v>
      </c>
      <c r="H18" s="355">
        <v>195242</v>
      </c>
      <c r="I18" s="355">
        <v>125354</v>
      </c>
      <c r="J18" s="355">
        <v>46749948</v>
      </c>
      <c r="K18" s="355">
        <v>38206416</v>
      </c>
      <c r="L18" s="355">
        <v>28929460</v>
      </c>
      <c r="M18" s="355">
        <v>12922996</v>
      </c>
      <c r="N18" s="355">
        <v>8566560</v>
      </c>
      <c r="O18" s="358">
        <v>15153885</v>
      </c>
      <c r="P18" s="355">
        <v>6775763</v>
      </c>
      <c r="Q18" s="355">
        <v>1962681</v>
      </c>
      <c r="R18" s="355">
        <v>395933</v>
      </c>
      <c r="S18" s="355">
        <v>9296939</v>
      </c>
      <c r="T18" s="355">
        <v>219447</v>
      </c>
      <c r="U18" s="355">
        <v>6938623</v>
      </c>
      <c r="V18" s="355">
        <v>16139076</v>
      </c>
      <c r="W18" s="355">
        <v>81166133</v>
      </c>
      <c r="X18" s="355">
        <v>18235117</v>
      </c>
      <c r="Y18" s="355">
        <v>26736801</v>
      </c>
      <c r="Z18" s="355">
        <v>145687978</v>
      </c>
      <c r="AA18" s="335">
        <v>40986286</v>
      </c>
      <c r="AB18" s="335">
        <v>14957866</v>
      </c>
      <c r="AC18" s="359">
        <v>27.73</v>
      </c>
      <c r="AD18" s="359">
        <v>70.989999999999995</v>
      </c>
      <c r="AE18" s="360">
        <f t="shared" si="1"/>
        <v>1.4130103997173108E-2</v>
      </c>
    </row>
    <row r="19" spans="1:31" ht="15.4" x14ac:dyDescent="0.45">
      <c r="A19" s="334" t="s">
        <v>31</v>
      </c>
      <c r="B19" s="355">
        <v>2612764</v>
      </c>
      <c r="C19" s="355">
        <v>17862913</v>
      </c>
      <c r="D19" s="355">
        <v>5983440</v>
      </c>
      <c r="E19" s="355">
        <v>2101468</v>
      </c>
      <c r="F19" s="355">
        <v>185127</v>
      </c>
      <c r="G19" s="355">
        <v>940821</v>
      </c>
      <c r="H19" s="355">
        <v>53635</v>
      </c>
      <c r="I19" s="355">
        <v>174188</v>
      </c>
      <c r="J19" s="355">
        <v>29914356.050000001</v>
      </c>
      <c r="K19" s="355">
        <v>19561128.550000001</v>
      </c>
      <c r="L19" s="355">
        <v>15468484.130000001</v>
      </c>
      <c r="M19" s="355">
        <v>14255834</v>
      </c>
      <c r="N19" s="355">
        <v>2055746</v>
      </c>
      <c r="O19" s="358">
        <v>11602895</v>
      </c>
      <c r="P19" s="355">
        <v>4397279</v>
      </c>
      <c r="Q19" s="355">
        <v>3263978</v>
      </c>
      <c r="R19" s="355">
        <v>676542.53</v>
      </c>
      <c r="S19" s="355">
        <v>10071944.24</v>
      </c>
      <c r="T19" s="355">
        <v>80190</v>
      </c>
      <c r="U19" s="355">
        <v>7580074.7699999996</v>
      </c>
      <c r="V19" s="355">
        <v>13861400</v>
      </c>
      <c r="W19" s="355">
        <v>67438435</v>
      </c>
      <c r="X19" s="355">
        <v>31529971</v>
      </c>
      <c r="Y19" s="355">
        <v>11799348</v>
      </c>
      <c r="Z19" s="355">
        <v>124633878</v>
      </c>
      <c r="AA19" s="335">
        <v>47468754</v>
      </c>
      <c r="AB19" s="335">
        <v>7197025</v>
      </c>
      <c r="AC19" s="359">
        <v>10.97</v>
      </c>
      <c r="AD19" s="359">
        <v>85.41</v>
      </c>
      <c r="AE19" s="360">
        <f t="shared" si="1"/>
        <v>9.0415707413185678E-3</v>
      </c>
    </row>
    <row r="20" spans="1:31" ht="15.4" x14ac:dyDescent="0.45">
      <c r="A20" s="334" t="s">
        <v>32</v>
      </c>
      <c r="B20" s="355">
        <v>9890681</v>
      </c>
      <c r="C20" s="355">
        <v>51852063</v>
      </c>
      <c r="D20" s="355">
        <v>1620187</v>
      </c>
      <c r="E20" s="355">
        <v>541210</v>
      </c>
      <c r="F20" s="355">
        <v>26397520</v>
      </c>
      <c r="G20" s="355">
        <v>4060448</v>
      </c>
      <c r="H20" s="355">
        <v>20312493</v>
      </c>
      <c r="I20" s="355">
        <v>0</v>
      </c>
      <c r="J20" s="355">
        <v>114674602</v>
      </c>
      <c r="K20" s="355">
        <v>69213201</v>
      </c>
      <c r="L20" s="355">
        <v>60005883</v>
      </c>
      <c r="M20" s="355">
        <v>26200819</v>
      </c>
      <c r="N20" s="355">
        <v>22773335</v>
      </c>
      <c r="O20" s="358">
        <v>38116359</v>
      </c>
      <c r="P20" s="355">
        <v>20527573</v>
      </c>
      <c r="Q20" s="355">
        <v>12957880</v>
      </c>
      <c r="R20" s="355">
        <v>-8453504</v>
      </c>
      <c r="S20" s="355">
        <v>8585054</v>
      </c>
      <c r="T20" s="355">
        <v>90431</v>
      </c>
      <c r="U20" s="355">
        <v>155387</v>
      </c>
      <c r="V20" s="355">
        <v>9077975</v>
      </c>
      <c r="W20" s="355">
        <v>107933043</v>
      </c>
      <c r="X20" s="355">
        <v>36885335</v>
      </c>
      <c r="Y20" s="355">
        <v>5199152</v>
      </c>
      <c r="Z20" s="355">
        <v>159095505</v>
      </c>
      <c r="AA20" s="335">
        <v>70670475</v>
      </c>
      <c r="AB20" s="335">
        <v>36308552</v>
      </c>
      <c r="AC20" s="359">
        <v>31.21</v>
      </c>
      <c r="AD20" s="359">
        <v>80.37</v>
      </c>
      <c r="AE20" s="360">
        <f t="shared" si="1"/>
        <v>3.4660232180246171E-2</v>
      </c>
    </row>
    <row r="21" spans="1:31" ht="15.4" x14ac:dyDescent="0.45">
      <c r="A21" s="334" t="s">
        <v>33</v>
      </c>
      <c r="B21" s="355">
        <v>16996636</v>
      </c>
      <c r="C21" s="355">
        <v>58166488</v>
      </c>
      <c r="D21" s="355">
        <v>3676430</v>
      </c>
      <c r="E21" s="355">
        <v>553320</v>
      </c>
      <c r="F21" s="355">
        <v>8190406</v>
      </c>
      <c r="G21" s="355">
        <v>3014144</v>
      </c>
      <c r="H21" s="355">
        <v>5003440</v>
      </c>
      <c r="I21" s="355">
        <v>944322</v>
      </c>
      <c r="J21" s="355">
        <v>96545186</v>
      </c>
      <c r="K21" s="355">
        <v>86827862</v>
      </c>
      <c r="L21" s="355">
        <v>66841432</v>
      </c>
      <c r="M21" s="355">
        <v>22159377</v>
      </c>
      <c r="N21" s="355">
        <v>22109377</v>
      </c>
      <c r="O21" s="355">
        <v>35375953.18</v>
      </c>
      <c r="P21" s="355">
        <v>8347945</v>
      </c>
      <c r="Q21" s="355">
        <v>3919521</v>
      </c>
      <c r="R21" s="355">
        <v>4927677.82</v>
      </c>
      <c r="S21" s="355">
        <v>3921540</v>
      </c>
      <c r="T21" s="355">
        <v>276337</v>
      </c>
      <c r="U21" s="355">
        <v>9125554.8200000003</v>
      </c>
      <c r="V21" s="355">
        <v>10166086</v>
      </c>
      <c r="W21" s="355">
        <v>87761860</v>
      </c>
      <c r="X21" s="355">
        <v>10775483</v>
      </c>
      <c r="Y21" s="355">
        <v>8637802</v>
      </c>
      <c r="Z21" s="355">
        <v>117341231</v>
      </c>
      <c r="AA21" s="335">
        <v>57889459</v>
      </c>
      <c r="AB21" s="335">
        <v>5889954</v>
      </c>
      <c r="AC21" s="359">
        <v>31.25</v>
      </c>
      <c r="AD21" s="359">
        <v>61.79</v>
      </c>
      <c r="AE21" s="360">
        <f t="shared" si="1"/>
        <v>2.918064248127979E-2</v>
      </c>
    </row>
    <row r="22" spans="1:31" ht="15.4" x14ac:dyDescent="0.45">
      <c r="A22" s="334" t="s">
        <v>34</v>
      </c>
      <c r="B22" s="355">
        <v>1739955</v>
      </c>
      <c r="C22" s="355">
        <v>45829444</v>
      </c>
      <c r="D22" s="355">
        <v>1050709</v>
      </c>
      <c r="E22" s="355">
        <v>5002</v>
      </c>
      <c r="F22" s="355">
        <v>1634045</v>
      </c>
      <c r="G22" s="355">
        <v>461559</v>
      </c>
      <c r="H22" s="355">
        <v>482944</v>
      </c>
      <c r="I22" s="355">
        <v>0</v>
      </c>
      <c r="J22" s="355">
        <v>51203658</v>
      </c>
      <c r="K22" s="355">
        <v>47899848</v>
      </c>
      <c r="L22" s="355">
        <v>33487600</v>
      </c>
      <c r="M22" s="355">
        <v>6959056</v>
      </c>
      <c r="N22" s="355">
        <v>6336761</v>
      </c>
      <c r="O22" s="358">
        <v>22168043</v>
      </c>
      <c r="P22" s="355">
        <v>5980558</v>
      </c>
      <c r="Q22" s="355">
        <v>1170169</v>
      </c>
      <c r="R22" s="355">
        <v>172407</v>
      </c>
      <c r="S22" s="355">
        <v>3280178</v>
      </c>
      <c r="T22" s="355">
        <v>0</v>
      </c>
      <c r="U22" s="355">
        <v>2416810</v>
      </c>
      <c r="V22" s="355">
        <v>3510729</v>
      </c>
      <c r="W22" s="355">
        <v>59103125</v>
      </c>
      <c r="X22" s="355">
        <v>21257591</v>
      </c>
      <c r="Y22" s="355">
        <v>15526092</v>
      </c>
      <c r="Z22" s="355">
        <v>99397537</v>
      </c>
      <c r="AA22" s="335">
        <v>35692434</v>
      </c>
      <c r="AB22" s="335">
        <v>5285685</v>
      </c>
      <c r="AC22" s="359">
        <v>18.28</v>
      </c>
      <c r="AD22" s="359">
        <v>81.22</v>
      </c>
      <c r="AE22" s="360">
        <f t="shared" si="1"/>
        <v>1.5476231386945816E-2</v>
      </c>
    </row>
    <row r="23" spans="1:31" ht="15.4" x14ac:dyDescent="0.45">
      <c r="A23" s="334" t="s">
        <v>35</v>
      </c>
      <c r="B23" s="355">
        <v>2836773</v>
      </c>
      <c r="C23" s="355">
        <v>48487902</v>
      </c>
      <c r="D23" s="355">
        <v>3409103</v>
      </c>
      <c r="E23" s="355">
        <v>1518922</v>
      </c>
      <c r="F23" s="355">
        <v>1342433</v>
      </c>
      <c r="G23" s="355">
        <v>891340</v>
      </c>
      <c r="H23" s="355">
        <v>4136050</v>
      </c>
      <c r="I23" s="355"/>
      <c r="J23" s="355">
        <v>62622523</v>
      </c>
      <c r="K23" s="355">
        <v>49453504</v>
      </c>
      <c r="L23" s="355">
        <v>43990503.780000001</v>
      </c>
      <c r="M23" s="355">
        <v>23425758</v>
      </c>
      <c r="N23" s="355">
        <v>15686147</v>
      </c>
      <c r="O23" s="358">
        <v>28351216</v>
      </c>
      <c r="P23" s="355">
        <v>8504803</v>
      </c>
      <c r="Q23" s="355">
        <v>3530415</v>
      </c>
      <c r="R23" s="355">
        <v>-5021247.22</v>
      </c>
      <c r="S23" s="355">
        <v>7023057</v>
      </c>
      <c r="T23" s="355">
        <v>0</v>
      </c>
      <c r="U23" s="355">
        <v>2001809.78</v>
      </c>
      <c r="V23" s="355">
        <v>6420563</v>
      </c>
      <c r="W23" s="355">
        <v>53880496</v>
      </c>
      <c r="X23" s="355">
        <v>29068045</v>
      </c>
      <c r="Y23" s="355">
        <v>31662639</v>
      </c>
      <c r="Z23" s="355">
        <v>124496565</v>
      </c>
      <c r="AA23" s="335">
        <v>40878391</v>
      </c>
      <c r="AB23" s="335">
        <v>13530043</v>
      </c>
      <c r="AC23" s="359">
        <v>33.01</v>
      </c>
      <c r="AD23" s="359">
        <v>77.56</v>
      </c>
      <c r="AE23" s="360">
        <f t="shared" si="1"/>
        <v>1.8927566776231811E-2</v>
      </c>
    </row>
    <row r="24" spans="1:31" ht="15.4" x14ac:dyDescent="0.45">
      <c r="A24" s="334" t="s">
        <v>36</v>
      </c>
      <c r="B24" s="355">
        <v>3041180</v>
      </c>
      <c r="C24" s="355">
        <v>47656637</v>
      </c>
      <c r="D24" s="355">
        <v>3227234</v>
      </c>
      <c r="E24" s="355">
        <v>13604068</v>
      </c>
      <c r="F24" s="355">
        <v>981133</v>
      </c>
      <c r="G24" s="355">
        <v>2128464</v>
      </c>
      <c r="H24" s="355">
        <v>2576845</v>
      </c>
      <c r="I24" s="355">
        <v>280422</v>
      </c>
      <c r="J24" s="355">
        <v>73495983</v>
      </c>
      <c r="K24" s="355">
        <v>50286618</v>
      </c>
      <c r="L24" s="355">
        <v>45468883.399999999</v>
      </c>
      <c r="M24" s="355">
        <v>19297668</v>
      </c>
      <c r="N24" s="355">
        <v>15429643</v>
      </c>
      <c r="O24" s="355">
        <v>23580545</v>
      </c>
      <c r="P24" s="355">
        <v>9018673</v>
      </c>
      <c r="Q24" s="355">
        <v>3795288</v>
      </c>
      <c r="R24" s="355">
        <v>1235310.3999999999</v>
      </c>
      <c r="S24" s="355">
        <v>5249096</v>
      </c>
      <c r="T24" s="355">
        <v>1700</v>
      </c>
      <c r="U24" s="355">
        <v>4540274.4000000004</v>
      </c>
      <c r="V24" s="355">
        <v>19252448</v>
      </c>
      <c r="W24" s="355">
        <v>47066006</v>
      </c>
      <c r="X24" s="355">
        <v>54473814</v>
      </c>
      <c r="Y24" s="355">
        <v>21544461</v>
      </c>
      <c r="Z24" s="355">
        <v>146100734</v>
      </c>
      <c r="AA24" s="335">
        <v>68391165</v>
      </c>
      <c r="AB24" s="335">
        <v>15153145</v>
      </c>
      <c r="AC24" s="359">
        <v>31.32</v>
      </c>
      <c r="AD24" s="359">
        <v>66.17</v>
      </c>
      <c r="AE24" s="360">
        <f t="shared" si="1"/>
        <v>2.2214054295086418E-2</v>
      </c>
    </row>
    <row r="25" spans="1:31" ht="15.4" x14ac:dyDescent="0.45">
      <c r="A25" s="334" t="s">
        <v>146</v>
      </c>
      <c r="B25" s="355">
        <v>29167422</v>
      </c>
      <c r="C25" s="355">
        <v>20323088</v>
      </c>
      <c r="D25" s="355">
        <v>6014138</v>
      </c>
      <c r="E25" s="355">
        <v>7551659</v>
      </c>
      <c r="F25" s="355">
        <v>14984133</v>
      </c>
      <c r="G25" s="355">
        <v>12394317</v>
      </c>
      <c r="H25" s="355">
        <v>629137</v>
      </c>
      <c r="I25" s="355"/>
      <c r="J25" s="355">
        <v>91063894</v>
      </c>
      <c r="K25" s="355">
        <v>30882028.469999999</v>
      </c>
      <c r="L25" s="355">
        <v>25326742.469999999</v>
      </c>
      <c r="M25" s="355">
        <v>12461976</v>
      </c>
      <c r="N25" s="355">
        <v>7673552</v>
      </c>
      <c r="O25" s="358">
        <v>16717005</v>
      </c>
      <c r="P25" s="355">
        <v>9085723</v>
      </c>
      <c r="Q25" s="355">
        <v>9904695</v>
      </c>
      <c r="R25" s="355">
        <v>1755157.47</v>
      </c>
      <c r="S25" s="355">
        <v>9697079</v>
      </c>
      <c r="T25" s="355">
        <v>147875</v>
      </c>
      <c r="U25" s="355">
        <v>8120077.4699999997</v>
      </c>
      <c r="V25" s="355">
        <v>34620937</v>
      </c>
      <c r="W25" s="355">
        <v>77435213</v>
      </c>
      <c r="X25" s="355">
        <v>47893597</v>
      </c>
      <c r="Y25" s="355">
        <v>2195322</v>
      </c>
      <c r="Z25" s="355">
        <v>168992674</v>
      </c>
      <c r="AA25" s="335">
        <v>73847386</v>
      </c>
      <c r="AB25" s="335">
        <v>36572108</v>
      </c>
      <c r="AC25" s="359">
        <v>21.78</v>
      </c>
      <c r="AD25" s="359">
        <v>73.239999999999995</v>
      </c>
      <c r="AE25" s="360">
        <f t="shared" si="1"/>
        <v>2.7523929921965864E-2</v>
      </c>
    </row>
    <row r="26" spans="1:31" ht="15.4" x14ac:dyDescent="0.45">
      <c r="A26" s="334" t="s">
        <v>77</v>
      </c>
      <c r="B26" s="355">
        <v>29067736</v>
      </c>
      <c r="C26" s="355">
        <v>30969894</v>
      </c>
      <c r="D26" s="355">
        <v>4141661</v>
      </c>
      <c r="E26" s="355">
        <v>2834908</v>
      </c>
      <c r="F26" s="355">
        <v>2930776</v>
      </c>
      <c r="G26" s="355"/>
      <c r="H26" s="355">
        <v>4387809</v>
      </c>
      <c r="I26" s="355"/>
      <c r="J26" s="355">
        <v>74332784</v>
      </c>
      <c r="K26" s="355">
        <v>57503638</v>
      </c>
      <c r="L26" s="355">
        <v>42759955</v>
      </c>
      <c r="M26" s="355">
        <v>27940421</v>
      </c>
      <c r="N26" s="355">
        <v>9775817</v>
      </c>
      <c r="O26" s="358">
        <v>28693730</v>
      </c>
      <c r="P26" s="355">
        <v>4886146</v>
      </c>
      <c r="Q26" s="355">
        <v>1880849</v>
      </c>
      <c r="R26" s="355">
        <v>1285111</v>
      </c>
      <c r="S26" s="355">
        <v>4125432</v>
      </c>
      <c r="T26" s="355">
        <v>0</v>
      </c>
      <c r="U26" s="355">
        <v>5361638</v>
      </c>
      <c r="V26" s="355">
        <v>152015</v>
      </c>
      <c r="W26" s="355">
        <v>60262442</v>
      </c>
      <c r="X26" s="355">
        <v>48041914</v>
      </c>
      <c r="Y26" s="355">
        <v>3835046</v>
      </c>
      <c r="Z26" s="355">
        <v>117192013</v>
      </c>
      <c r="AA26" s="335">
        <v>45597024</v>
      </c>
      <c r="AB26" s="335">
        <v>6706999</v>
      </c>
      <c r="AC26" s="359">
        <v>21.9</v>
      </c>
      <c r="AD26" s="359">
        <v>75.22</v>
      </c>
      <c r="AE26" s="360">
        <f t="shared" si="1"/>
        <v>2.2466976184003565E-2</v>
      </c>
    </row>
    <row r="27" spans="1:31" ht="15.4" x14ac:dyDescent="0.45">
      <c r="A27" s="334" t="s">
        <v>39</v>
      </c>
      <c r="B27" s="355">
        <v>88509010</v>
      </c>
      <c r="C27" s="355">
        <v>97293240</v>
      </c>
      <c r="D27" s="355">
        <v>5937844</v>
      </c>
      <c r="E27" s="355">
        <v>18344137</v>
      </c>
      <c r="F27" s="355">
        <v>9262376</v>
      </c>
      <c r="G27" s="355">
        <v>29110330</v>
      </c>
      <c r="H27" s="355">
        <v>21832754</v>
      </c>
      <c r="I27" s="355"/>
      <c r="J27" s="355">
        <v>270289691</v>
      </c>
      <c r="K27" s="355">
        <v>179307593</v>
      </c>
      <c r="L27" s="355">
        <v>164661859.43000001</v>
      </c>
      <c r="M27" s="355">
        <v>46872748</v>
      </c>
      <c r="N27" s="355">
        <v>38554832</v>
      </c>
      <c r="O27" s="355">
        <v>114775985</v>
      </c>
      <c r="P27" s="355">
        <v>28384760</v>
      </c>
      <c r="Q27" s="355">
        <v>22562319</v>
      </c>
      <c r="R27" s="355">
        <v>5508601.4299999997</v>
      </c>
      <c r="S27" s="355">
        <v>18786404.66</v>
      </c>
      <c r="T27" s="355">
        <v>10774899</v>
      </c>
      <c r="U27" s="355">
        <v>24548934.09</v>
      </c>
      <c r="V27" s="355">
        <v>110004750</v>
      </c>
      <c r="W27" s="355">
        <v>442003579</v>
      </c>
      <c r="X27" s="355">
        <v>86898765</v>
      </c>
      <c r="Y27" s="355">
        <v>130511919</v>
      </c>
      <c r="Z27" s="355">
        <v>769994403</v>
      </c>
      <c r="AA27" s="335">
        <v>214235737</v>
      </c>
      <c r="AB27" s="335">
        <v>130625335</v>
      </c>
      <c r="AC27" s="359">
        <v>20.59</v>
      </c>
      <c r="AD27" s="359">
        <v>76.459999999999994</v>
      </c>
      <c r="AE27" s="360">
        <f t="shared" si="1"/>
        <v>8.1694667193935366E-2</v>
      </c>
    </row>
    <row r="28" spans="1:31" ht="15.4" x14ac:dyDescent="0.45">
      <c r="A28" s="334" t="s">
        <v>40</v>
      </c>
      <c r="B28" s="355">
        <v>142646356</v>
      </c>
      <c r="C28" s="355">
        <v>113242383</v>
      </c>
      <c r="D28" s="355">
        <v>20901896</v>
      </c>
      <c r="E28" s="355">
        <v>4815856</v>
      </c>
      <c r="F28" s="355">
        <v>12194600</v>
      </c>
      <c r="G28" s="355">
        <v>19513748</v>
      </c>
      <c r="H28" s="355">
        <v>27355382</v>
      </c>
      <c r="I28" s="355"/>
      <c r="J28" s="355">
        <v>340670221</v>
      </c>
      <c r="K28" s="355">
        <v>156347395</v>
      </c>
      <c r="L28" s="355">
        <v>142136163</v>
      </c>
      <c r="M28" s="355">
        <v>251913835</v>
      </c>
      <c r="N28" s="355">
        <v>63283912</v>
      </c>
      <c r="O28" s="358">
        <v>59395445</v>
      </c>
      <c r="P28" s="355">
        <v>45268623</v>
      </c>
      <c r="Q28" s="355">
        <v>31649543</v>
      </c>
      <c r="R28" s="355">
        <v>5837726</v>
      </c>
      <c r="S28" s="355">
        <v>19760616</v>
      </c>
      <c r="T28" s="355">
        <v>2573374</v>
      </c>
      <c r="U28" s="355">
        <v>24771264</v>
      </c>
      <c r="V28" s="355">
        <v>8095856</v>
      </c>
      <c r="W28" s="355">
        <v>883759826</v>
      </c>
      <c r="X28" s="355">
        <v>305455264</v>
      </c>
      <c r="Y28" s="355">
        <v>3012213</v>
      </c>
      <c r="Z28" s="355">
        <v>1200323159</v>
      </c>
      <c r="AA28" s="335">
        <v>413539172</v>
      </c>
      <c r="AB28" s="335">
        <v>201559682</v>
      </c>
      <c r="AC28" s="359">
        <v>36.409999999999997</v>
      </c>
      <c r="AD28" s="359">
        <v>60.23</v>
      </c>
      <c r="AE28" s="360">
        <f t="shared" si="1"/>
        <v>0.10296708033707215</v>
      </c>
    </row>
    <row r="29" spans="1:31" ht="15.4" x14ac:dyDescent="0.45">
      <c r="A29" s="334" t="s">
        <v>90</v>
      </c>
      <c r="B29" s="355">
        <v>16206948</v>
      </c>
      <c r="C29" s="355">
        <v>59618171</v>
      </c>
      <c r="D29" s="355">
        <v>6482160</v>
      </c>
      <c r="E29" s="355">
        <v>847084</v>
      </c>
      <c r="F29" s="355">
        <v>1887251</v>
      </c>
      <c r="G29" s="355"/>
      <c r="H29" s="355">
        <v>3616755</v>
      </c>
      <c r="I29" s="355"/>
      <c r="J29" s="355">
        <v>88658369</v>
      </c>
      <c r="K29" s="355">
        <v>63745073</v>
      </c>
      <c r="L29" s="355">
        <v>49865590</v>
      </c>
      <c r="M29" s="355">
        <v>19621294</v>
      </c>
      <c r="N29" s="355">
        <v>12398533</v>
      </c>
      <c r="O29" s="355">
        <v>31698067</v>
      </c>
      <c r="P29" s="355">
        <v>9898938</v>
      </c>
      <c r="Q29" s="355">
        <v>6970131</v>
      </c>
      <c r="R29" s="355">
        <v>2840183</v>
      </c>
      <c r="S29" s="355">
        <v>16624526</v>
      </c>
      <c r="T29" s="355">
        <v>344169</v>
      </c>
      <c r="U29" s="355">
        <v>14205948</v>
      </c>
      <c r="V29" s="355">
        <v>10013937</v>
      </c>
      <c r="W29" s="355">
        <v>104626541</v>
      </c>
      <c r="X29" s="355">
        <v>31574983</v>
      </c>
      <c r="Y29" s="355">
        <v>14145094</v>
      </c>
      <c r="Z29" s="355">
        <v>167198525</v>
      </c>
      <c r="AA29" s="335">
        <v>74475555</v>
      </c>
      <c r="AB29" s="335">
        <v>14859189</v>
      </c>
      <c r="AC29" s="359">
        <v>21.81</v>
      </c>
      <c r="AD29" s="359">
        <v>73.19</v>
      </c>
      <c r="AE29" s="360">
        <f t="shared" si="1"/>
        <v>2.6796863478644902E-2</v>
      </c>
    </row>
    <row r="30" spans="1:31" ht="15.4" x14ac:dyDescent="0.45">
      <c r="A30" s="334" t="s">
        <v>41</v>
      </c>
      <c r="B30" s="355">
        <v>1642770</v>
      </c>
      <c r="C30" s="355">
        <v>27988628</v>
      </c>
      <c r="D30" s="355">
        <v>2052216</v>
      </c>
      <c r="E30" s="355">
        <v>409309</v>
      </c>
      <c r="F30" s="355">
        <v>373504</v>
      </c>
      <c r="G30" s="355">
        <v>213911</v>
      </c>
      <c r="H30" s="355">
        <v>376525</v>
      </c>
      <c r="I30" s="355"/>
      <c r="J30" s="355">
        <v>33056863</v>
      </c>
      <c r="K30" s="355">
        <v>28047018</v>
      </c>
      <c r="L30" s="355">
        <v>24634576</v>
      </c>
      <c r="M30" s="355">
        <v>8814460</v>
      </c>
      <c r="N30" s="355">
        <v>6987632</v>
      </c>
      <c r="O30" s="358">
        <v>17901038</v>
      </c>
      <c r="P30" s="355">
        <v>2058389</v>
      </c>
      <c r="Q30" s="355">
        <v>1485860</v>
      </c>
      <c r="R30" s="355">
        <v>-826623</v>
      </c>
      <c r="S30" s="355">
        <v>9734563</v>
      </c>
      <c r="T30" s="355">
        <v>68646</v>
      </c>
      <c r="U30" s="355">
        <v>6283610</v>
      </c>
      <c r="V30" s="355">
        <v>766901</v>
      </c>
      <c r="W30" s="355">
        <v>73563393</v>
      </c>
      <c r="X30" s="355">
        <v>17341655</v>
      </c>
      <c r="Y30" s="355">
        <v>4154463</v>
      </c>
      <c r="Z30" s="355">
        <v>96362855</v>
      </c>
      <c r="AA30" s="335">
        <v>23861358</v>
      </c>
      <c r="AB30" s="335">
        <v>4529138</v>
      </c>
      <c r="AC30" s="359">
        <v>26.75</v>
      </c>
      <c r="AD30" s="359">
        <v>76.41</v>
      </c>
      <c r="AE30" s="360">
        <f t="shared" si="1"/>
        <v>9.9913889104283875E-3</v>
      </c>
    </row>
    <row r="31" spans="1:31" ht="15.4" x14ac:dyDescent="0.45">
      <c r="A31" s="334" t="s">
        <v>42</v>
      </c>
      <c r="B31" s="355">
        <v>30308932</v>
      </c>
      <c r="C31" s="355">
        <v>151714253</v>
      </c>
      <c r="D31" s="355">
        <v>13189332</v>
      </c>
      <c r="E31" s="355">
        <v>2061098</v>
      </c>
      <c r="F31" s="355">
        <v>4350388</v>
      </c>
      <c r="G31" s="355">
        <v>13010886</v>
      </c>
      <c r="H31" s="355">
        <v>11431609</v>
      </c>
      <c r="I31" s="355"/>
      <c r="J31" s="355">
        <v>226066498</v>
      </c>
      <c r="K31" s="355">
        <v>159643263.34</v>
      </c>
      <c r="L31" s="355">
        <v>140357644.56</v>
      </c>
      <c r="M31" s="355">
        <v>69956190</v>
      </c>
      <c r="N31" s="355">
        <v>48866884</v>
      </c>
      <c r="O31" s="355">
        <v>58087250.579999998</v>
      </c>
      <c r="P31" s="355">
        <v>36895521</v>
      </c>
      <c r="Q31" s="355">
        <v>16271010</v>
      </c>
      <c r="R31" s="355">
        <v>12778999.1</v>
      </c>
      <c r="S31" s="355">
        <v>3728295.11</v>
      </c>
      <c r="T31" s="355">
        <v>199717.05</v>
      </c>
      <c r="U31" s="355">
        <v>13714511.26</v>
      </c>
      <c r="V31" s="355">
        <v>68693511</v>
      </c>
      <c r="W31" s="355">
        <v>121555055</v>
      </c>
      <c r="X31" s="355">
        <v>259236195</v>
      </c>
      <c r="Y31" s="355">
        <v>10104416</v>
      </c>
      <c r="Z31" s="355">
        <v>470665139</v>
      </c>
      <c r="AA31" s="355">
        <v>258458931</v>
      </c>
      <c r="AB31" s="355">
        <v>87387866</v>
      </c>
      <c r="AC31" s="359">
        <v>31.2</v>
      </c>
      <c r="AD31" s="359">
        <v>60.64</v>
      </c>
      <c r="AE31" s="360">
        <f t="shared" si="1"/>
        <v>6.832827123180385E-2</v>
      </c>
    </row>
    <row r="32" spans="1:31" ht="15.4" x14ac:dyDescent="0.45">
      <c r="A32" s="332" t="s">
        <v>44</v>
      </c>
      <c r="B32" s="361">
        <f>SUM(B6:B31)</f>
        <v>1017856910</v>
      </c>
      <c r="C32" s="361">
        <f t="shared" ref="C32:AB32" si="2">SUM(C6:C31)</f>
        <v>1434707473</v>
      </c>
      <c r="D32" s="361">
        <f t="shared" si="2"/>
        <v>135497090</v>
      </c>
      <c r="E32" s="361">
        <f t="shared" si="2"/>
        <v>169858591</v>
      </c>
      <c r="F32" s="361">
        <f t="shared" si="2"/>
        <v>125399678</v>
      </c>
      <c r="G32" s="361">
        <f t="shared" si="2"/>
        <v>216458809</v>
      </c>
      <c r="H32" s="361">
        <f t="shared" si="2"/>
        <v>176738956</v>
      </c>
      <c r="I32" s="361">
        <f t="shared" si="2"/>
        <v>32017802</v>
      </c>
      <c r="J32" s="361">
        <f t="shared" si="2"/>
        <v>3308535309.3899999</v>
      </c>
      <c r="K32" s="361">
        <f t="shared" si="2"/>
        <v>1873890619.1499999</v>
      </c>
      <c r="L32" s="361">
        <f t="shared" si="2"/>
        <v>1575376331.49</v>
      </c>
      <c r="M32" s="361">
        <f t="shared" si="2"/>
        <v>1027936333</v>
      </c>
      <c r="N32" s="361">
        <f t="shared" si="2"/>
        <v>547595252</v>
      </c>
      <c r="O32" s="361">
        <f t="shared" si="2"/>
        <v>829958911.85000002</v>
      </c>
      <c r="P32" s="361">
        <f t="shared" si="2"/>
        <v>439637038</v>
      </c>
      <c r="Q32" s="361">
        <f t="shared" si="2"/>
        <v>290978711</v>
      </c>
      <c r="R32" s="361">
        <f t="shared" si="2"/>
        <v>49163841.57</v>
      </c>
      <c r="S32" s="361">
        <f t="shared" si="2"/>
        <v>246865684.68000001</v>
      </c>
      <c r="T32" s="361">
        <f t="shared" si="2"/>
        <v>14433239.220000001</v>
      </c>
      <c r="U32" s="361">
        <f t="shared" si="2"/>
        <v>234248003.26000002</v>
      </c>
      <c r="V32" s="361">
        <f t="shared" si="2"/>
        <v>769024687</v>
      </c>
      <c r="W32" s="361">
        <f t="shared" si="2"/>
        <v>3314663117</v>
      </c>
      <c r="X32" s="361">
        <f t="shared" si="2"/>
        <v>1969233314</v>
      </c>
      <c r="Y32" s="361">
        <f t="shared" si="2"/>
        <v>523765501</v>
      </c>
      <c r="Z32" s="361">
        <f t="shared" si="2"/>
        <v>6666677464</v>
      </c>
      <c r="AA32" s="361">
        <f t="shared" si="2"/>
        <v>2851084753</v>
      </c>
      <c r="AB32" s="361">
        <f t="shared" si="2"/>
        <v>923416759</v>
      </c>
      <c r="AC32" s="362">
        <f>AVERAGE(AC6:AC31)</f>
        <v>27.3048</v>
      </c>
      <c r="AD32" s="362">
        <f>AVERAGE(AD6:AD31)</f>
        <v>82.761600000000001</v>
      </c>
      <c r="AE32" s="363"/>
    </row>
  </sheetData>
  <mergeCells count="1">
    <mergeCell ref="B1:AE1"/>
  </mergeCells>
  <dataValidations count="1">
    <dataValidation type="list" allowBlank="1" showInputMessage="1" showErrorMessage="1" sqref="A3" xr:uid="{00000000-0002-0000-2D00-000000000000}">
      <formula1>$A$6:$A$31</formula1>
    </dataValidation>
  </dataValidations>
  <pageMargins left="0.7" right="0.7" top="0.75" bottom="0.75" header="0.3" footer="0.3"/>
  <pageSetup orientation="portrait" horizontalDpi="4294967295" verticalDpi="4294967295" r:id="rId1"/>
  <customProperties>
    <customPr name="LastActive" r:id="rId2"/>
  </customProperties>
  <legacyDrawing r:id="rId3"/>
</worksheet>
</file>

<file path=xl/worksheets/sheet4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E00-000000000000}">
  <dimension ref="A1:AE32"/>
  <sheetViews>
    <sheetView workbookViewId="0">
      <selection sqref="A1:XFD1"/>
    </sheetView>
  </sheetViews>
  <sheetFormatPr defaultRowHeight="12.75" x14ac:dyDescent="0.35"/>
  <cols>
    <col min="1" max="1" width="50.73046875" bestFit="1" customWidth="1"/>
    <col min="2" max="2" width="20" bestFit="1" customWidth="1"/>
    <col min="3" max="3" width="20" customWidth="1"/>
    <col min="4" max="4" width="16.3984375" bestFit="1" customWidth="1"/>
    <col min="5" max="5" width="17.73046875" bestFit="1" customWidth="1"/>
    <col min="6" max="6" width="16.265625" bestFit="1" customWidth="1"/>
    <col min="7" max="8" width="17.73046875" bestFit="1" customWidth="1"/>
    <col min="9" max="9" width="16.265625" bestFit="1" customWidth="1"/>
    <col min="10" max="10" width="20" customWidth="1"/>
    <col min="11" max="12" width="20" bestFit="1" customWidth="1"/>
    <col min="13" max="13" width="17.73046875" customWidth="1"/>
    <col min="14" max="14" width="17.73046875" bestFit="1" customWidth="1"/>
    <col min="15" max="16" width="17.73046875" customWidth="1"/>
    <col min="17" max="17" width="16.265625" bestFit="1" customWidth="1"/>
    <col min="18" max="18" width="17.73046875" bestFit="1" customWidth="1"/>
    <col min="19" max="19" width="17" customWidth="1"/>
    <col min="20" max="22" width="17.73046875" bestFit="1" customWidth="1"/>
    <col min="23" max="24" width="20" bestFit="1" customWidth="1"/>
    <col min="25" max="25" width="17.73046875" customWidth="1"/>
    <col min="26" max="26" width="20" bestFit="1" customWidth="1"/>
    <col min="27" max="27" width="20" customWidth="1"/>
    <col min="28" max="28" width="17.73046875" bestFit="1" customWidth="1"/>
    <col min="29" max="29" width="11.73046875" bestFit="1" customWidth="1"/>
    <col min="30" max="30" width="13" bestFit="1" customWidth="1"/>
    <col min="31" max="31" width="9.1328125" bestFit="1" customWidth="1"/>
  </cols>
  <sheetData>
    <row r="1" spans="1:31" ht="23.25" x14ac:dyDescent="0.7">
      <c r="A1" s="351" t="s">
        <v>151</v>
      </c>
      <c r="B1" s="413" t="s">
        <v>92</v>
      </c>
      <c r="C1" s="413"/>
      <c r="D1" s="413"/>
      <c r="E1" s="413"/>
      <c r="F1" s="413"/>
      <c r="G1" s="413"/>
      <c r="H1" s="413"/>
      <c r="I1" s="413"/>
      <c r="J1" s="413"/>
      <c r="K1" s="413"/>
      <c r="L1" s="413"/>
      <c r="M1" s="413"/>
      <c r="N1" s="413"/>
      <c r="O1" s="413"/>
      <c r="P1" s="413"/>
      <c r="Q1" s="413"/>
      <c r="R1" s="413"/>
      <c r="S1" s="413"/>
      <c r="T1" s="413"/>
      <c r="U1" s="413"/>
      <c r="V1" s="413"/>
      <c r="W1" s="413"/>
      <c r="X1" s="413"/>
      <c r="Y1" s="413"/>
      <c r="Z1" s="413"/>
      <c r="AA1" s="413"/>
      <c r="AB1" s="413"/>
      <c r="AC1" s="413"/>
      <c r="AD1" s="413"/>
      <c r="AE1" s="413"/>
    </row>
    <row r="2" spans="1:31" ht="42.75" x14ac:dyDescent="0.45">
      <c r="A2" s="350"/>
      <c r="B2" s="348" t="s">
        <v>100</v>
      </c>
      <c r="C2" s="348" t="s">
        <v>101</v>
      </c>
      <c r="D2" s="348" t="s">
        <v>102</v>
      </c>
      <c r="E2" s="348" t="s">
        <v>103</v>
      </c>
      <c r="F2" s="348" t="s">
        <v>104</v>
      </c>
      <c r="G2" s="348" t="s">
        <v>105</v>
      </c>
      <c r="H2" s="348" t="s">
        <v>106</v>
      </c>
      <c r="I2" s="348" t="s">
        <v>107</v>
      </c>
      <c r="J2" s="348" t="s">
        <v>108</v>
      </c>
      <c r="K2" s="348" t="s">
        <v>109</v>
      </c>
      <c r="L2" s="348" t="s">
        <v>110</v>
      </c>
      <c r="M2" s="349" t="s">
        <v>93</v>
      </c>
      <c r="N2" s="348" t="s">
        <v>111</v>
      </c>
      <c r="O2" s="348" t="s">
        <v>112</v>
      </c>
      <c r="P2" s="348" t="s">
        <v>113</v>
      </c>
      <c r="Q2" s="348" t="s">
        <v>97</v>
      </c>
      <c r="R2" s="348" t="s">
        <v>131</v>
      </c>
      <c r="S2" s="348" t="s">
        <v>132</v>
      </c>
      <c r="T2" s="348" t="s">
        <v>133</v>
      </c>
      <c r="U2" s="348" t="s">
        <v>134</v>
      </c>
      <c r="V2" s="348" t="s">
        <v>118</v>
      </c>
      <c r="W2" s="348" t="s">
        <v>119</v>
      </c>
      <c r="X2" s="348" t="s">
        <v>120</v>
      </c>
      <c r="Y2" s="349" t="s">
        <v>121</v>
      </c>
      <c r="Z2" s="348" t="s">
        <v>135</v>
      </c>
      <c r="AA2" s="348" t="s">
        <v>124</v>
      </c>
      <c r="AB2" s="348" t="s">
        <v>125</v>
      </c>
      <c r="AC2" s="347" t="s">
        <v>79</v>
      </c>
      <c r="AD2" s="347" t="s">
        <v>80</v>
      </c>
      <c r="AE2" s="347" t="s">
        <v>19</v>
      </c>
    </row>
    <row r="3" spans="1:31" ht="15.4" x14ac:dyDescent="0.45">
      <c r="A3" s="346" t="s">
        <v>25</v>
      </c>
      <c r="B3" s="345">
        <f t="shared" ref="B3:AE3" si="0">INDEX(B6:B31,MATCH($A$3,$A$6:$A$31,0))</f>
        <v>107543475</v>
      </c>
      <c r="C3" s="345"/>
      <c r="D3" s="345">
        <f t="shared" si="0"/>
        <v>25980050</v>
      </c>
      <c r="E3" s="345">
        <f t="shared" si="0"/>
        <v>2509372</v>
      </c>
      <c r="F3" s="345">
        <f t="shared" si="0"/>
        <v>0</v>
      </c>
      <c r="G3" s="345">
        <f t="shared" si="0"/>
        <v>27688582</v>
      </c>
      <c r="H3" s="345">
        <f t="shared" si="0"/>
        <v>0</v>
      </c>
      <c r="I3" s="345">
        <f t="shared" si="0"/>
        <v>5964182</v>
      </c>
      <c r="J3" s="345">
        <f t="shared" si="0"/>
        <v>254044065</v>
      </c>
      <c r="K3" s="345">
        <f t="shared" si="0"/>
        <v>92360304</v>
      </c>
      <c r="L3" s="345">
        <f t="shared" si="0"/>
        <v>83990661</v>
      </c>
      <c r="M3" s="345">
        <f t="shared" si="0"/>
        <v>56816920</v>
      </c>
      <c r="N3" s="345">
        <f t="shared" si="0"/>
        <v>38794430</v>
      </c>
      <c r="O3" s="345">
        <f t="shared" si="0"/>
        <v>21973569</v>
      </c>
      <c r="P3" s="345">
        <f t="shared" si="0"/>
        <v>33013904</v>
      </c>
      <c r="Q3" s="345">
        <f t="shared" si="0"/>
        <v>25311744</v>
      </c>
      <c r="R3" s="345">
        <f t="shared" si="0"/>
        <v>15520502</v>
      </c>
      <c r="S3" s="345">
        <f t="shared" si="0"/>
        <v>22177795</v>
      </c>
      <c r="T3" s="345">
        <f t="shared" si="0"/>
        <v>0</v>
      </c>
      <c r="U3" s="345">
        <f t="shared" si="0"/>
        <v>27003097</v>
      </c>
      <c r="V3" s="345">
        <f t="shared" si="0"/>
        <v>33282704</v>
      </c>
      <c r="W3" s="345">
        <f t="shared" si="0"/>
        <v>174303237</v>
      </c>
      <c r="X3" s="345">
        <f t="shared" si="0"/>
        <v>175406874</v>
      </c>
      <c r="Y3" s="345">
        <f t="shared" si="0"/>
        <v>48913674</v>
      </c>
      <c r="Z3" s="345">
        <f t="shared" si="0"/>
        <v>432383539</v>
      </c>
      <c r="AA3" s="345">
        <f t="shared" si="0"/>
        <v>222390815</v>
      </c>
      <c r="AB3" s="345">
        <f t="shared" si="0"/>
        <v>57591153</v>
      </c>
      <c r="AC3" s="345">
        <f t="shared" si="0"/>
        <v>35.49</v>
      </c>
      <c r="AD3" s="345">
        <f t="shared" si="0"/>
        <v>50.31</v>
      </c>
      <c r="AE3" s="365">
        <f t="shared" si="0"/>
        <v>6.0142269178581308E-2</v>
      </c>
    </row>
    <row r="4" spans="1:31" ht="14.25" x14ac:dyDescent="0.45">
      <c r="A4" s="330"/>
      <c r="B4" s="330"/>
      <c r="C4" s="330"/>
      <c r="D4" s="330"/>
      <c r="E4" s="330"/>
      <c r="F4" s="330"/>
      <c r="G4" s="330"/>
      <c r="H4" s="330"/>
      <c r="I4" s="330"/>
      <c r="J4" s="330"/>
      <c r="K4" s="330"/>
      <c r="L4" s="330"/>
      <c r="M4" s="330"/>
      <c r="N4" s="330"/>
      <c r="O4" s="330"/>
      <c r="P4" s="330"/>
      <c r="Q4" s="330"/>
      <c r="R4" s="330"/>
      <c r="S4" s="330"/>
      <c r="T4" s="330"/>
      <c r="U4" s="330"/>
      <c r="V4" s="330"/>
      <c r="W4" s="330"/>
      <c r="X4" s="330"/>
      <c r="Y4" s="330"/>
      <c r="Z4" s="330"/>
      <c r="AA4" s="330"/>
      <c r="AB4" s="330"/>
      <c r="AC4" s="330"/>
      <c r="AD4" s="330"/>
      <c r="AE4" s="330"/>
    </row>
    <row r="5" spans="1:31" ht="38.25" x14ac:dyDescent="0.35">
      <c r="A5" s="344" t="s">
        <v>136</v>
      </c>
      <c r="B5" s="342" t="s">
        <v>100</v>
      </c>
      <c r="C5" s="342" t="s">
        <v>101</v>
      </c>
      <c r="D5" s="342" t="s">
        <v>102</v>
      </c>
      <c r="E5" s="342" t="s">
        <v>103</v>
      </c>
      <c r="F5" s="342" t="s">
        <v>104</v>
      </c>
      <c r="G5" s="343" t="s">
        <v>105</v>
      </c>
      <c r="H5" s="343" t="s">
        <v>106</v>
      </c>
      <c r="I5" s="343" t="s">
        <v>107</v>
      </c>
      <c r="J5" s="343" t="s">
        <v>137</v>
      </c>
      <c r="K5" s="342" t="s">
        <v>138</v>
      </c>
      <c r="L5" s="342" t="s">
        <v>110</v>
      </c>
      <c r="M5" s="342" t="s">
        <v>93</v>
      </c>
      <c r="N5" s="342" t="s">
        <v>111</v>
      </c>
      <c r="O5" s="342" t="s">
        <v>112</v>
      </c>
      <c r="P5" s="342" t="s">
        <v>139</v>
      </c>
      <c r="Q5" s="342" t="s">
        <v>140</v>
      </c>
      <c r="R5" s="342" t="s">
        <v>131</v>
      </c>
      <c r="S5" s="342" t="s">
        <v>132</v>
      </c>
      <c r="T5" s="342" t="s">
        <v>133</v>
      </c>
      <c r="U5" s="342" t="s">
        <v>134</v>
      </c>
      <c r="V5" s="342" t="s">
        <v>118</v>
      </c>
      <c r="W5" s="342" t="s">
        <v>119</v>
      </c>
      <c r="X5" s="342" t="s">
        <v>120</v>
      </c>
      <c r="Y5" s="342" t="s">
        <v>121</v>
      </c>
      <c r="Z5" s="342" t="s">
        <v>135</v>
      </c>
      <c r="AA5" s="342" t="s">
        <v>124</v>
      </c>
      <c r="AB5" s="342" t="s">
        <v>125</v>
      </c>
      <c r="AC5" s="341" t="s">
        <v>79</v>
      </c>
      <c r="AD5" s="341" t="s">
        <v>80</v>
      </c>
      <c r="AE5" s="341" t="s">
        <v>19</v>
      </c>
    </row>
    <row r="6" spans="1:31" ht="15.4" x14ac:dyDescent="0.45">
      <c r="A6" s="334" t="s">
        <v>20</v>
      </c>
      <c r="B6" s="355">
        <v>139030348</v>
      </c>
      <c r="C6" s="355">
        <v>22343654</v>
      </c>
      <c r="D6" s="355">
        <v>1368383</v>
      </c>
      <c r="E6" s="355">
        <v>11692643</v>
      </c>
      <c r="F6" s="355">
        <v>4502956</v>
      </c>
      <c r="G6" s="355">
        <v>15822884</v>
      </c>
      <c r="H6" s="355">
        <v>9082620</v>
      </c>
      <c r="I6" s="355">
        <v>11240718</v>
      </c>
      <c r="J6" s="355">
        <v>215084206</v>
      </c>
      <c r="K6" s="355">
        <v>51855908</v>
      </c>
      <c r="L6" s="355">
        <v>44043591</v>
      </c>
      <c r="M6" s="355">
        <v>181140225</v>
      </c>
      <c r="N6" s="355">
        <v>13728986</v>
      </c>
      <c r="O6" s="355">
        <v>35959834</v>
      </c>
      <c r="P6" s="355">
        <v>24793200</v>
      </c>
      <c r="Q6" s="355">
        <v>30691828</v>
      </c>
      <c r="R6" s="355">
        <v>253399</v>
      </c>
      <c r="S6" s="402">
        <v>12321924</v>
      </c>
      <c r="T6" s="355">
        <v>534495.75</v>
      </c>
      <c r="U6" s="355">
        <v>13109818.75</v>
      </c>
      <c r="V6" s="355">
        <v>42399665</v>
      </c>
      <c r="W6" s="355">
        <v>69070921</v>
      </c>
      <c r="X6" s="355">
        <v>129352744</v>
      </c>
      <c r="Y6" s="355">
        <v>56584216</v>
      </c>
      <c r="Z6" s="355">
        <v>297407546</v>
      </c>
      <c r="AA6" s="355">
        <v>142945319</v>
      </c>
      <c r="AB6" s="355">
        <v>49950685</v>
      </c>
      <c r="AC6" s="359">
        <v>18.37</v>
      </c>
      <c r="AD6" s="359">
        <v>81.290000000000006</v>
      </c>
      <c r="AE6" s="360">
        <f>J6/$J$32</f>
        <v>5.0918930986690966E-2</v>
      </c>
    </row>
    <row r="7" spans="1:31" ht="15.4" x14ac:dyDescent="0.45">
      <c r="A7" s="334" t="s">
        <v>21</v>
      </c>
      <c r="B7" s="355">
        <v>14154765</v>
      </c>
      <c r="C7" s="355">
        <v>45813524</v>
      </c>
      <c r="D7" s="355">
        <v>2396363</v>
      </c>
      <c r="E7" s="355">
        <v>7724022</v>
      </c>
      <c r="F7" s="355"/>
      <c r="G7" s="355">
        <v>7233209</v>
      </c>
      <c r="H7" s="355">
        <v>2411715</v>
      </c>
      <c r="I7" s="355">
        <v>1047811</v>
      </c>
      <c r="J7" s="355">
        <v>80781409</v>
      </c>
      <c r="K7" s="355">
        <v>58702459</v>
      </c>
      <c r="L7" s="355">
        <v>54232746</v>
      </c>
      <c r="M7" s="355">
        <v>28029373</v>
      </c>
      <c r="N7" s="355">
        <v>24404311</v>
      </c>
      <c r="O7" s="355">
        <v>27086747</v>
      </c>
      <c r="P7" s="355">
        <v>8611365</v>
      </c>
      <c r="Q7" s="355"/>
      <c r="R7" s="355">
        <v>-5869677</v>
      </c>
      <c r="S7" s="355">
        <v>17611209</v>
      </c>
      <c r="T7" s="355">
        <v>0</v>
      </c>
      <c r="U7" s="355">
        <v>7181225</v>
      </c>
      <c r="V7" s="355">
        <v>4946369</v>
      </c>
      <c r="W7" s="355">
        <v>107038343</v>
      </c>
      <c r="X7" s="355">
        <v>9288820</v>
      </c>
      <c r="Y7" s="355">
        <v>1372045</v>
      </c>
      <c r="Z7" s="355">
        <v>130729714</v>
      </c>
      <c r="AA7" s="355">
        <v>40525437</v>
      </c>
      <c r="AB7" s="355">
        <v>19600622</v>
      </c>
      <c r="AC7" s="359">
        <v>45</v>
      </c>
      <c r="AD7" s="359">
        <v>65.819999999999993</v>
      </c>
      <c r="AE7" s="360">
        <f t="shared" ref="AE7:AE31" si="1">J7/$J$32</f>
        <v>1.9124151728177829E-2</v>
      </c>
    </row>
    <row r="8" spans="1:31" ht="15.4" x14ac:dyDescent="0.45">
      <c r="A8" s="334" t="s">
        <v>87</v>
      </c>
      <c r="B8" s="355">
        <v>212404</v>
      </c>
      <c r="C8" s="355">
        <v>5362912</v>
      </c>
      <c r="D8" s="355">
        <v>62697</v>
      </c>
      <c r="E8" s="355">
        <v>3022</v>
      </c>
      <c r="F8" s="355">
        <v>220828</v>
      </c>
      <c r="G8" s="355">
        <v>39105</v>
      </c>
      <c r="H8" s="355">
        <v>19431</v>
      </c>
      <c r="I8" s="355"/>
      <c r="J8" s="355">
        <v>5920399</v>
      </c>
      <c r="K8" s="355">
        <v>5293358</v>
      </c>
      <c r="L8" s="355">
        <v>3345698</v>
      </c>
      <c r="M8" s="355">
        <v>697516</v>
      </c>
      <c r="N8" s="355">
        <v>697516</v>
      </c>
      <c r="O8" s="355">
        <v>9352843</v>
      </c>
      <c r="P8" s="355">
        <v>351979</v>
      </c>
      <c r="Q8" s="355">
        <v>152194</v>
      </c>
      <c r="R8" s="355">
        <v>-6904446</v>
      </c>
      <c r="S8" s="355">
        <v>3483310</v>
      </c>
      <c r="T8" s="355">
        <v>0</v>
      </c>
      <c r="U8" s="355">
        <v>-3421136</v>
      </c>
      <c r="V8" s="355">
        <v>259994</v>
      </c>
      <c r="W8" s="355">
        <v>18840460</v>
      </c>
      <c r="X8" s="355">
        <v>33450423</v>
      </c>
      <c r="Y8" s="355">
        <v>8272681</v>
      </c>
      <c r="Z8" s="355">
        <v>62310354</v>
      </c>
      <c r="AA8" s="355">
        <v>3288005</v>
      </c>
      <c r="AB8" s="355">
        <v>2331449</v>
      </c>
      <c r="AC8" s="359">
        <v>19.940000000000001</v>
      </c>
      <c r="AD8" s="359">
        <v>277.45</v>
      </c>
      <c r="AE8" s="360">
        <f t="shared" si="1"/>
        <v>1.4015923981636951E-3</v>
      </c>
    </row>
    <row r="9" spans="1:31" ht="15.4" x14ac:dyDescent="0.45">
      <c r="A9" s="334" t="s">
        <v>60</v>
      </c>
      <c r="B9" s="355">
        <v>117975</v>
      </c>
      <c r="C9" s="355">
        <v>320177</v>
      </c>
      <c r="D9" s="355">
        <v>82549</v>
      </c>
      <c r="E9" s="355"/>
      <c r="F9" s="355">
        <v>23327</v>
      </c>
      <c r="G9" s="355"/>
      <c r="H9" s="355"/>
      <c r="I9" s="355"/>
      <c r="J9" s="355">
        <v>544028</v>
      </c>
      <c r="K9" s="355">
        <v>559727</v>
      </c>
      <c r="L9" s="355">
        <v>212737</v>
      </c>
      <c r="M9" s="355">
        <v>2839951</v>
      </c>
      <c r="N9" s="355">
        <v>2819951</v>
      </c>
      <c r="O9" s="355">
        <v>5779186.9699999997</v>
      </c>
      <c r="P9" s="355">
        <v>71139</v>
      </c>
      <c r="Q9" s="355"/>
      <c r="R9" s="355">
        <v>-8457539.9700000007</v>
      </c>
      <c r="S9" s="355">
        <v>472122</v>
      </c>
      <c r="T9" s="355">
        <v>0</v>
      </c>
      <c r="U9" s="355">
        <v>-7985417.9699999997</v>
      </c>
      <c r="V9" s="355">
        <v>262541</v>
      </c>
      <c r="W9" s="355">
        <v>2319871</v>
      </c>
      <c r="X9" s="355">
        <v>24012720</v>
      </c>
      <c r="Y9" s="355">
        <v>785663</v>
      </c>
      <c r="Z9" s="355">
        <v>28086664</v>
      </c>
      <c r="AA9" s="355">
        <v>9860777</v>
      </c>
      <c r="AB9" s="355">
        <v>7438115</v>
      </c>
      <c r="AC9" s="359">
        <v>1325.56</v>
      </c>
      <c r="AD9" s="359">
        <v>2750.03</v>
      </c>
      <c r="AE9" s="360">
        <f t="shared" si="1"/>
        <v>1.2879292581263505E-4</v>
      </c>
    </row>
    <row r="10" spans="1:31" ht="15.4" x14ac:dyDescent="0.45">
      <c r="A10" s="334" t="s">
        <v>128</v>
      </c>
      <c r="B10" s="355">
        <v>13883853</v>
      </c>
      <c r="C10" s="355">
        <v>29283704</v>
      </c>
      <c r="D10" s="355">
        <v>10228484</v>
      </c>
      <c r="E10" s="355">
        <v>972803</v>
      </c>
      <c r="F10" s="355"/>
      <c r="G10" s="355"/>
      <c r="H10" s="355">
        <v>1388975</v>
      </c>
      <c r="I10" s="355"/>
      <c r="J10" s="355">
        <v>55757819</v>
      </c>
      <c r="K10" s="355">
        <v>41203222</v>
      </c>
      <c r="L10" s="355">
        <v>35249876.25</v>
      </c>
      <c r="M10" s="355">
        <v>32388677</v>
      </c>
      <c r="N10" s="355">
        <v>7993963</v>
      </c>
      <c r="O10" s="358">
        <v>20100148</v>
      </c>
      <c r="P10" s="355">
        <v>10273480</v>
      </c>
      <c r="Q10" s="355">
        <v>4949694</v>
      </c>
      <c r="R10" s="355">
        <v>1831979.25</v>
      </c>
      <c r="S10" s="355">
        <v>16986940.050000001</v>
      </c>
      <c r="T10" s="355">
        <v>9927</v>
      </c>
      <c r="U10" s="355">
        <v>14116106.82</v>
      </c>
      <c r="V10" s="355">
        <v>8648947</v>
      </c>
      <c r="W10" s="355">
        <v>71787998</v>
      </c>
      <c r="X10" s="355">
        <v>27102753</v>
      </c>
      <c r="Y10" s="355">
        <v>10399543</v>
      </c>
      <c r="Z10" s="355">
        <v>121450323</v>
      </c>
      <c r="AA10" s="355">
        <v>46431154</v>
      </c>
      <c r="AB10" s="355">
        <v>11101560</v>
      </c>
      <c r="AC10" s="359">
        <v>19.89</v>
      </c>
      <c r="AD10" s="359">
        <v>75.56</v>
      </c>
      <c r="AE10" s="360">
        <f t="shared" si="1"/>
        <v>1.320007912449604E-2</v>
      </c>
    </row>
    <row r="11" spans="1:31" ht="15.4" x14ac:dyDescent="0.45">
      <c r="A11" s="334" t="s">
        <v>22</v>
      </c>
      <c r="B11" s="355">
        <v>9447267</v>
      </c>
      <c r="C11" s="355">
        <v>57133984</v>
      </c>
      <c r="D11" s="355">
        <v>3118848</v>
      </c>
      <c r="E11" s="355">
        <v>4162872</v>
      </c>
      <c r="F11" s="355">
        <v>5306542</v>
      </c>
      <c r="G11" s="355"/>
      <c r="H11" s="355">
        <v>2256947</v>
      </c>
      <c r="I11" s="355">
        <v>189000</v>
      </c>
      <c r="J11" s="355">
        <v>81615460</v>
      </c>
      <c r="K11" s="355">
        <v>63133969.689999998</v>
      </c>
      <c r="L11" s="355">
        <v>57664976.700000003</v>
      </c>
      <c r="M11" s="355">
        <v>24181705</v>
      </c>
      <c r="N11" s="355">
        <v>20276227</v>
      </c>
      <c r="O11" s="358">
        <v>34656007</v>
      </c>
      <c r="P11" s="355">
        <v>11012175</v>
      </c>
      <c r="Q11" s="355">
        <v>5257586</v>
      </c>
      <c r="R11" s="355">
        <v>-3021845.9</v>
      </c>
      <c r="S11" s="355">
        <v>11004667</v>
      </c>
      <c r="T11" s="355">
        <v>-182256</v>
      </c>
      <c r="U11" s="355">
        <v>5460393.0999999996</v>
      </c>
      <c r="V11" s="355">
        <v>9561455</v>
      </c>
      <c r="W11" s="355">
        <v>64834674</v>
      </c>
      <c r="X11" s="355">
        <v>20663354</v>
      </c>
      <c r="Y11" s="355">
        <v>12736921</v>
      </c>
      <c r="Z11" s="355">
        <v>107960685</v>
      </c>
      <c r="AA11" s="355">
        <v>41761745</v>
      </c>
      <c r="AB11" s="355">
        <v>10513449</v>
      </c>
      <c r="AC11" s="359">
        <v>32.22</v>
      </c>
      <c r="AD11" s="359">
        <v>72.58</v>
      </c>
      <c r="AE11" s="360">
        <f t="shared" si="1"/>
        <v>1.932160455885374E-2</v>
      </c>
    </row>
    <row r="12" spans="1:31" ht="15.4" x14ac:dyDescent="0.45">
      <c r="A12" s="334" t="s">
        <v>23</v>
      </c>
      <c r="B12" s="355">
        <v>168798738</v>
      </c>
      <c r="C12" s="355">
        <v>238175182</v>
      </c>
      <c r="D12" s="355">
        <v>10481835</v>
      </c>
      <c r="E12" s="355">
        <v>41364141</v>
      </c>
      <c r="F12" s="355">
        <v>9716210</v>
      </c>
      <c r="G12" s="355">
        <v>42307841</v>
      </c>
      <c r="H12" s="355">
        <v>51171089</v>
      </c>
      <c r="I12" s="355">
        <v>5264462</v>
      </c>
      <c r="J12" s="355">
        <v>567279497.75</v>
      </c>
      <c r="K12" s="355">
        <v>295091683.10000002</v>
      </c>
      <c r="L12" s="355">
        <v>271845499.54000002</v>
      </c>
      <c r="M12" s="355">
        <v>189357110</v>
      </c>
      <c r="N12" s="355">
        <v>128819466</v>
      </c>
      <c r="O12" s="355">
        <v>96265585.019999996</v>
      </c>
      <c r="P12" s="355">
        <v>93529539.5</v>
      </c>
      <c r="Q12" s="355">
        <v>65279297.649999999</v>
      </c>
      <c r="R12" s="355">
        <v>18510207.140000001</v>
      </c>
      <c r="S12" s="355">
        <v>44049123.810000002</v>
      </c>
      <c r="T12" s="355">
        <v>9550043.9600000009</v>
      </c>
      <c r="U12" s="355">
        <v>50476675.909999996</v>
      </c>
      <c r="V12" s="355">
        <v>197448932</v>
      </c>
      <c r="W12" s="355">
        <v>192037815</v>
      </c>
      <c r="X12" s="355">
        <v>228393652</v>
      </c>
      <c r="Y12" s="355">
        <v>20683523</v>
      </c>
      <c r="Z12" s="355">
        <v>650388205</v>
      </c>
      <c r="AA12" s="355">
        <v>375637602</v>
      </c>
      <c r="AB12" s="355">
        <v>67841636</v>
      </c>
      <c r="AC12" s="359">
        <v>38.21</v>
      </c>
      <c r="AD12" s="359">
        <v>56.3</v>
      </c>
      <c r="AE12" s="360">
        <f t="shared" si="1"/>
        <v>0.1342974741534344</v>
      </c>
    </row>
    <row r="13" spans="1:31" ht="15.4" x14ac:dyDescent="0.45">
      <c r="A13" s="334" t="s">
        <v>25</v>
      </c>
      <c r="B13" s="355">
        <v>107543475</v>
      </c>
      <c r="C13" s="355">
        <v>84358404</v>
      </c>
      <c r="D13" s="355">
        <v>25980050</v>
      </c>
      <c r="E13" s="355">
        <v>2509372</v>
      </c>
      <c r="F13" s="355"/>
      <c r="G13" s="355">
        <v>27688582</v>
      </c>
      <c r="H13" s="355"/>
      <c r="I13" s="355">
        <v>5964182</v>
      </c>
      <c r="J13" s="355">
        <v>254044065</v>
      </c>
      <c r="K13" s="355">
        <v>92360304</v>
      </c>
      <c r="L13" s="355">
        <v>83990661</v>
      </c>
      <c r="M13" s="355">
        <v>56816920</v>
      </c>
      <c r="N13" s="355">
        <v>38794430</v>
      </c>
      <c r="O13" s="358">
        <v>21973569</v>
      </c>
      <c r="P13" s="355">
        <v>33013904</v>
      </c>
      <c r="Q13" s="355">
        <v>25311744</v>
      </c>
      <c r="R13" s="355">
        <v>15520502</v>
      </c>
      <c r="S13" s="355">
        <v>22177795</v>
      </c>
      <c r="T13" s="355">
        <v>0</v>
      </c>
      <c r="U13" s="355">
        <v>27003097</v>
      </c>
      <c r="V13" s="355">
        <v>33282704</v>
      </c>
      <c r="W13" s="355">
        <v>174303237</v>
      </c>
      <c r="X13" s="355">
        <v>175406874</v>
      </c>
      <c r="Y13" s="355">
        <v>48913674</v>
      </c>
      <c r="Z13" s="355">
        <v>432383539</v>
      </c>
      <c r="AA13" s="355">
        <v>222390815</v>
      </c>
      <c r="AB13" s="355">
        <v>57591153</v>
      </c>
      <c r="AC13" s="359">
        <v>35.49</v>
      </c>
      <c r="AD13" s="359">
        <v>50.31</v>
      </c>
      <c r="AE13" s="360">
        <f t="shared" si="1"/>
        <v>6.0142269178581308E-2</v>
      </c>
    </row>
    <row r="14" spans="1:31" ht="15.4" x14ac:dyDescent="0.45">
      <c r="A14" s="334" t="s">
        <v>26</v>
      </c>
      <c r="B14" s="355">
        <v>134807466</v>
      </c>
      <c r="C14" s="355">
        <v>74815853</v>
      </c>
      <c r="D14" s="355">
        <v>1327619</v>
      </c>
      <c r="E14" s="355">
        <v>60614691</v>
      </c>
      <c r="F14" s="355">
        <v>21569533</v>
      </c>
      <c r="G14" s="355">
        <v>35343868</v>
      </c>
      <c r="H14" s="355">
        <v>25322643</v>
      </c>
      <c r="I14" s="355"/>
      <c r="J14" s="355">
        <v>353801673</v>
      </c>
      <c r="K14" s="355">
        <v>180755228</v>
      </c>
      <c r="L14" s="355">
        <v>164860277.59</v>
      </c>
      <c r="M14" s="355">
        <v>55609361</v>
      </c>
      <c r="N14" s="355">
        <v>44366864</v>
      </c>
      <c r="O14" s="358">
        <v>82076263</v>
      </c>
      <c r="P14" s="355">
        <v>63310128</v>
      </c>
      <c r="Q14" s="355">
        <v>40767036</v>
      </c>
      <c r="R14" s="355">
        <v>15874058.59</v>
      </c>
      <c r="S14" s="355">
        <v>7805365</v>
      </c>
      <c r="T14" s="355">
        <v>4807051</v>
      </c>
      <c r="U14" s="355">
        <v>20186539.59</v>
      </c>
      <c r="V14" s="355">
        <v>22769840</v>
      </c>
      <c r="W14" s="355">
        <v>172871297</v>
      </c>
      <c r="X14" s="355">
        <v>60346423</v>
      </c>
      <c r="Y14" s="355">
        <v>10645837</v>
      </c>
      <c r="Z14" s="355">
        <v>270382551</v>
      </c>
      <c r="AA14" s="355">
        <v>122817407</v>
      </c>
      <c r="AB14" s="355">
        <v>33159272</v>
      </c>
      <c r="AC14" s="359">
        <v>21.58</v>
      </c>
      <c r="AD14" s="359">
        <v>70.7</v>
      </c>
      <c r="AE14" s="360">
        <f t="shared" si="1"/>
        <v>8.3758837087567484E-2</v>
      </c>
    </row>
    <row r="15" spans="1:31" ht="15.4" x14ac:dyDescent="0.45">
      <c r="A15" s="334" t="s">
        <v>28</v>
      </c>
      <c r="B15" s="355">
        <v>161757711</v>
      </c>
      <c r="C15" s="355">
        <v>138410974</v>
      </c>
      <c r="D15" s="355">
        <v>8191115</v>
      </c>
      <c r="E15" s="355">
        <v>6729981</v>
      </c>
      <c r="F15" s="355">
        <v>3054118</v>
      </c>
      <c r="G15" s="355">
        <v>31242343</v>
      </c>
      <c r="H15" s="355">
        <v>9251691</v>
      </c>
      <c r="I15" s="355">
        <v>11476429</v>
      </c>
      <c r="J15" s="355">
        <v>370114361.06999999</v>
      </c>
      <c r="K15" s="355">
        <v>164202900.94999999</v>
      </c>
      <c r="L15" s="355">
        <v>154578871.83000001</v>
      </c>
      <c r="M15" s="355">
        <v>128857782</v>
      </c>
      <c r="N15" s="355">
        <v>65377648</v>
      </c>
      <c r="O15" s="355">
        <v>73275873.849999994</v>
      </c>
      <c r="P15" s="355">
        <v>57359569.609999999</v>
      </c>
      <c r="Q15" s="355">
        <v>42223313.539999999</v>
      </c>
      <c r="R15" s="355">
        <v>789094.06</v>
      </c>
      <c r="S15" s="355">
        <v>28711220.23</v>
      </c>
      <c r="T15" s="355">
        <v>875114.94</v>
      </c>
      <c r="U15" s="355">
        <v>20616107.399999999</v>
      </c>
      <c r="V15" s="355">
        <v>109283923</v>
      </c>
      <c r="W15" s="355">
        <v>111924186</v>
      </c>
      <c r="X15" s="355">
        <v>151752401</v>
      </c>
      <c r="Y15" s="355">
        <v>10566976</v>
      </c>
      <c r="Z15" s="355">
        <v>395561947</v>
      </c>
      <c r="AA15" s="355">
        <v>224663890</v>
      </c>
      <c r="AB15" s="355">
        <v>44199882</v>
      </c>
      <c r="AC15" s="359">
        <v>33.22</v>
      </c>
      <c r="AD15" s="359">
        <v>66.38</v>
      </c>
      <c r="AE15" s="360">
        <f t="shared" si="1"/>
        <v>8.7620694977977837E-2</v>
      </c>
    </row>
    <row r="16" spans="1:31" ht="15.4" x14ac:dyDescent="0.45">
      <c r="A16" s="334" t="s">
        <v>46</v>
      </c>
      <c r="B16" s="355">
        <v>5632282</v>
      </c>
      <c r="C16" s="355">
        <v>43754542</v>
      </c>
      <c r="D16" s="355">
        <v>4188868</v>
      </c>
      <c r="E16" s="355">
        <v>624431</v>
      </c>
      <c r="F16" s="355"/>
      <c r="G16" s="355">
        <v>6035846</v>
      </c>
      <c r="H16" s="355">
        <v>6651935</v>
      </c>
      <c r="I16" s="355"/>
      <c r="J16" s="355">
        <v>66887904</v>
      </c>
      <c r="K16" s="355">
        <v>57615387</v>
      </c>
      <c r="L16" s="355">
        <v>48524450</v>
      </c>
      <c r="M16" s="355">
        <v>11921726</v>
      </c>
      <c r="N16" s="355">
        <v>9090801</v>
      </c>
      <c r="O16" s="358">
        <v>29716977</v>
      </c>
      <c r="P16" s="355">
        <v>11020494</v>
      </c>
      <c r="Q16" s="355">
        <v>4025701</v>
      </c>
      <c r="R16" s="355">
        <v>2721879</v>
      </c>
      <c r="S16" s="355">
        <v>10303711</v>
      </c>
      <c r="T16" s="355">
        <v>161322</v>
      </c>
      <c r="U16" s="355">
        <v>13186912</v>
      </c>
      <c r="V16" s="355">
        <v>7999498</v>
      </c>
      <c r="W16" s="355">
        <v>62041897</v>
      </c>
      <c r="X16" s="355">
        <v>19049128</v>
      </c>
      <c r="Y16" s="355">
        <v>8775817</v>
      </c>
      <c r="Z16" s="355">
        <v>97866340</v>
      </c>
      <c r="AA16" s="355">
        <v>29514463</v>
      </c>
      <c r="AB16" s="355">
        <v>5986248</v>
      </c>
      <c r="AC16" s="359">
        <v>17.3</v>
      </c>
      <c r="AD16" s="359">
        <v>77.52</v>
      </c>
      <c r="AE16" s="360">
        <f t="shared" si="1"/>
        <v>1.583501006866311E-2</v>
      </c>
    </row>
    <row r="17" spans="1:31" ht="15.4" x14ac:dyDescent="0.45">
      <c r="A17" s="334" t="s">
        <v>69</v>
      </c>
      <c r="B17" s="355">
        <v>2118923</v>
      </c>
      <c r="C17" s="355">
        <v>42487725</v>
      </c>
      <c r="D17" s="355">
        <v>927113</v>
      </c>
      <c r="E17" s="355">
        <v>35400</v>
      </c>
      <c r="F17" s="355">
        <v>1287659</v>
      </c>
      <c r="G17" s="355">
        <v>1283676</v>
      </c>
      <c r="H17" s="355">
        <v>2124714</v>
      </c>
      <c r="I17" s="355"/>
      <c r="J17" s="355">
        <v>50265210</v>
      </c>
      <c r="K17" s="355">
        <v>41204150</v>
      </c>
      <c r="L17" s="355">
        <v>36941567</v>
      </c>
      <c r="M17" s="355">
        <v>9612493</v>
      </c>
      <c r="N17" s="355">
        <v>7667196</v>
      </c>
      <c r="O17" s="358">
        <v>21764809</v>
      </c>
      <c r="P17" s="355">
        <v>8676087</v>
      </c>
      <c r="Q17" s="355">
        <v>1811659</v>
      </c>
      <c r="R17" s="355">
        <v>645134</v>
      </c>
      <c r="S17" s="355">
        <v>3053727</v>
      </c>
      <c r="T17" s="355">
        <v>15955</v>
      </c>
      <c r="U17" s="355">
        <v>3467462</v>
      </c>
      <c r="V17" s="355">
        <v>23732142</v>
      </c>
      <c r="W17" s="355">
        <v>41642895</v>
      </c>
      <c r="X17" s="355">
        <v>8138604</v>
      </c>
      <c r="Y17" s="355">
        <v>45821162</v>
      </c>
      <c r="Z17" s="355">
        <v>120862533</v>
      </c>
      <c r="AA17" s="355">
        <v>18975591</v>
      </c>
      <c r="AB17" s="355">
        <v>7933358</v>
      </c>
      <c r="AC17" s="359">
        <v>19.78</v>
      </c>
      <c r="AD17" s="359">
        <v>78.55</v>
      </c>
      <c r="AE17" s="360">
        <f t="shared" si="1"/>
        <v>1.189976152419824E-2</v>
      </c>
    </row>
    <row r="18" spans="1:31" ht="15.4" x14ac:dyDescent="0.45">
      <c r="A18" s="334" t="s">
        <v>29</v>
      </c>
      <c r="B18" s="355">
        <v>2707365</v>
      </c>
      <c r="C18" s="355">
        <v>46640488</v>
      </c>
      <c r="D18" s="355">
        <v>895064</v>
      </c>
      <c r="E18" s="355">
        <v>11816</v>
      </c>
      <c r="F18" s="355">
        <v>3612966</v>
      </c>
      <c r="G18" s="355">
        <v>2056512</v>
      </c>
      <c r="H18" s="355">
        <v>235169</v>
      </c>
      <c r="I18" s="355">
        <v>150989</v>
      </c>
      <c r="J18" s="355">
        <v>56310369</v>
      </c>
      <c r="K18" s="355">
        <v>46034143</v>
      </c>
      <c r="L18" s="355">
        <v>36230218</v>
      </c>
      <c r="M18" s="355">
        <v>18102425</v>
      </c>
      <c r="N18" s="355">
        <v>12579109</v>
      </c>
      <c r="O18" s="358">
        <v>20055319</v>
      </c>
      <c r="P18" s="355">
        <v>7263340</v>
      </c>
      <c r="Q18" s="355">
        <v>2328210.23</v>
      </c>
      <c r="R18" s="355">
        <v>-1339339.77</v>
      </c>
      <c r="S18" s="355">
        <v>11769651.83</v>
      </c>
      <c r="T18" s="355">
        <v>605771.35</v>
      </c>
      <c r="U18" s="355">
        <v>7520758.4100000001</v>
      </c>
      <c r="V18" s="355">
        <v>11611500</v>
      </c>
      <c r="W18" s="355">
        <v>84367930</v>
      </c>
      <c r="X18" s="355">
        <v>11471048</v>
      </c>
      <c r="Y18" s="355">
        <v>26419222</v>
      </c>
      <c r="Z18" s="355">
        <v>137280551</v>
      </c>
      <c r="AA18" s="355">
        <v>42204939</v>
      </c>
      <c r="AB18" s="355">
        <v>5687007</v>
      </c>
      <c r="AC18" s="359">
        <v>32.619999999999997</v>
      </c>
      <c r="AD18" s="359">
        <v>70.849999999999994</v>
      </c>
      <c r="AE18" s="360">
        <f t="shared" si="1"/>
        <v>1.3330889544470328E-2</v>
      </c>
    </row>
    <row r="19" spans="1:31" ht="15.4" x14ac:dyDescent="0.45">
      <c r="A19" s="334" t="s">
        <v>31</v>
      </c>
      <c r="B19" s="355">
        <v>3107107</v>
      </c>
      <c r="C19" s="355">
        <v>21406208</v>
      </c>
      <c r="D19" s="355">
        <v>6113930</v>
      </c>
      <c r="E19" s="355">
        <v>3305628</v>
      </c>
      <c r="F19" s="355">
        <v>205971</v>
      </c>
      <c r="G19" s="355">
        <v>1192839</v>
      </c>
      <c r="H19" s="355">
        <v>53635</v>
      </c>
      <c r="I19" s="355">
        <v>227438</v>
      </c>
      <c r="J19" s="355">
        <v>35612756</v>
      </c>
      <c r="K19" s="355">
        <v>23498522</v>
      </c>
      <c r="L19" s="355">
        <v>23058880.050000001</v>
      </c>
      <c r="M19" s="355">
        <v>13155123</v>
      </c>
      <c r="N19" s="355">
        <v>4058947</v>
      </c>
      <c r="O19" s="358">
        <v>15243807</v>
      </c>
      <c r="P19" s="355">
        <v>5924515.3499999996</v>
      </c>
      <c r="Q19" s="355">
        <v>3628711</v>
      </c>
      <c r="R19" s="355">
        <v>1460321.7</v>
      </c>
      <c r="S19" s="355">
        <v>15352607.800000001</v>
      </c>
      <c r="T19" s="355">
        <v>374261.2</v>
      </c>
      <c r="U19" s="355">
        <v>14110293.699999999</v>
      </c>
      <c r="V19" s="355">
        <v>18256350</v>
      </c>
      <c r="W19" s="355">
        <v>72599265</v>
      </c>
      <c r="X19" s="355">
        <v>29258108</v>
      </c>
      <c r="Y19" s="355">
        <v>11253010</v>
      </c>
      <c r="Z19" s="355">
        <v>131366733</v>
      </c>
      <c r="AA19" s="355">
        <v>40237833</v>
      </c>
      <c r="AB19" s="355">
        <v>15790547</v>
      </c>
      <c r="AC19" s="359">
        <v>15.21</v>
      </c>
      <c r="AD19" s="359">
        <v>79.319999999999993</v>
      </c>
      <c r="AE19" s="360">
        <f t="shared" si="1"/>
        <v>8.4309466451937647E-3</v>
      </c>
    </row>
    <row r="20" spans="1:31" ht="15.4" x14ac:dyDescent="0.45">
      <c r="A20" s="334" t="s">
        <v>32</v>
      </c>
      <c r="B20" s="355">
        <v>11174706</v>
      </c>
      <c r="C20" s="355">
        <v>75102109</v>
      </c>
      <c r="D20" s="355">
        <v>2224143</v>
      </c>
      <c r="E20" s="355">
        <v>741357</v>
      </c>
      <c r="F20" s="355">
        <v>30758564</v>
      </c>
      <c r="G20" s="355">
        <v>4366459</v>
      </c>
      <c r="H20" s="355">
        <v>25966819</v>
      </c>
      <c r="I20" s="355"/>
      <c r="J20" s="355">
        <v>150334157</v>
      </c>
      <c r="K20" s="355">
        <v>98854255</v>
      </c>
      <c r="L20" s="355">
        <v>91994604</v>
      </c>
      <c r="M20" s="355">
        <v>32621046</v>
      </c>
      <c r="N20" s="355">
        <v>27125166</v>
      </c>
      <c r="O20" s="358">
        <v>55349249</v>
      </c>
      <c r="P20" s="355">
        <v>30170006</v>
      </c>
      <c r="Q20" s="355">
        <v>14762332</v>
      </c>
      <c r="R20" s="355">
        <v>-5887485</v>
      </c>
      <c r="S20" s="355">
        <v>12519500</v>
      </c>
      <c r="T20" s="355">
        <v>99844</v>
      </c>
      <c r="U20" s="355">
        <v>3589893</v>
      </c>
      <c r="V20" s="355">
        <v>9581373</v>
      </c>
      <c r="W20" s="355">
        <v>112167155</v>
      </c>
      <c r="X20" s="355">
        <v>33269821</v>
      </c>
      <c r="Y20" s="355">
        <v>5116598</v>
      </c>
      <c r="Z20" s="355">
        <v>160134947</v>
      </c>
      <c r="AA20" s="355">
        <v>61313428</v>
      </c>
      <c r="AB20" s="355">
        <v>43271428</v>
      </c>
      <c r="AC20" s="359">
        <v>25.41</v>
      </c>
      <c r="AD20" s="359">
        <v>80.11</v>
      </c>
      <c r="AE20" s="360">
        <f t="shared" si="1"/>
        <v>3.55900356775865E-2</v>
      </c>
    </row>
    <row r="21" spans="1:31" ht="15.4" x14ac:dyDescent="0.45">
      <c r="A21" s="334" t="s">
        <v>33</v>
      </c>
      <c r="B21" s="355">
        <v>21741582</v>
      </c>
      <c r="C21" s="355">
        <v>68934362</v>
      </c>
      <c r="D21" s="355">
        <v>3886335</v>
      </c>
      <c r="E21" s="355">
        <v>2721062</v>
      </c>
      <c r="F21" s="355">
        <v>10657572</v>
      </c>
      <c r="G21" s="355">
        <v>4189056</v>
      </c>
      <c r="H21" s="355">
        <v>5619095</v>
      </c>
      <c r="I21" s="355">
        <v>1063302</v>
      </c>
      <c r="J21" s="355">
        <v>118812366</v>
      </c>
      <c r="K21" s="355">
        <v>99379254</v>
      </c>
      <c r="L21" s="355">
        <v>98169135</v>
      </c>
      <c r="M21" s="355">
        <v>30248977</v>
      </c>
      <c r="N21" s="355">
        <v>25443341</v>
      </c>
      <c r="O21" s="355">
        <v>59215769</v>
      </c>
      <c r="P21" s="355">
        <v>19569941</v>
      </c>
      <c r="Q21" s="355">
        <v>6083583</v>
      </c>
      <c r="R21" s="355">
        <v>23667</v>
      </c>
      <c r="S21" s="355">
        <v>5294074</v>
      </c>
      <c r="T21" s="355">
        <v>957134</v>
      </c>
      <c r="U21" s="355">
        <v>6274875</v>
      </c>
      <c r="V21" s="355">
        <v>631163</v>
      </c>
      <c r="W21" s="355">
        <v>104640576</v>
      </c>
      <c r="X21" s="355">
        <v>41712857</v>
      </c>
      <c r="Y21" s="355">
        <v>15178667</v>
      </c>
      <c r="Z21" s="355">
        <v>163323263</v>
      </c>
      <c r="AA21" s="355">
        <v>43731565</v>
      </c>
      <c r="AB21" s="355">
        <v>28618206</v>
      </c>
      <c r="AC21" s="359">
        <v>24.41</v>
      </c>
      <c r="AD21" s="359">
        <v>75.569999999999993</v>
      </c>
      <c r="AE21" s="360">
        <f t="shared" si="1"/>
        <v>2.812758210949003E-2</v>
      </c>
    </row>
    <row r="22" spans="1:31" ht="15.4" x14ac:dyDescent="0.45">
      <c r="A22" s="334" t="s">
        <v>34</v>
      </c>
      <c r="B22" s="355">
        <v>1931055</v>
      </c>
      <c r="C22" s="355">
        <v>58327047</v>
      </c>
      <c r="D22" s="355">
        <v>1070163</v>
      </c>
      <c r="E22" s="355">
        <v>5002</v>
      </c>
      <c r="F22" s="355">
        <v>2217643</v>
      </c>
      <c r="G22" s="355">
        <v>568085</v>
      </c>
      <c r="H22" s="355">
        <v>703534</v>
      </c>
      <c r="I22" s="355">
        <v>0</v>
      </c>
      <c r="J22" s="355">
        <v>64822529</v>
      </c>
      <c r="K22" s="355">
        <v>60763837</v>
      </c>
      <c r="L22" s="355">
        <v>49663072</v>
      </c>
      <c r="M22" s="355">
        <v>8807604</v>
      </c>
      <c r="N22" s="355">
        <v>8512469</v>
      </c>
      <c r="O22" s="358">
        <v>30115009</v>
      </c>
      <c r="P22" s="355">
        <v>7893505</v>
      </c>
      <c r="Q22" s="355">
        <v>1423029</v>
      </c>
      <c r="R22" s="355">
        <v>4565118</v>
      </c>
      <c r="S22" s="355">
        <v>3948238</v>
      </c>
      <c r="T22" s="355">
        <v>0</v>
      </c>
      <c r="U22" s="355">
        <v>5959349</v>
      </c>
      <c r="V22" s="355">
        <v>3888386</v>
      </c>
      <c r="W22" s="355">
        <v>52563436</v>
      </c>
      <c r="X22" s="355">
        <v>20443969</v>
      </c>
      <c r="Y22" s="355">
        <v>26084720</v>
      </c>
      <c r="Z22" s="355">
        <v>102980511</v>
      </c>
      <c r="AA22" s="355">
        <v>32389210</v>
      </c>
      <c r="AB22" s="355">
        <v>8629346</v>
      </c>
      <c r="AC22" s="359">
        <v>16.66</v>
      </c>
      <c r="AD22" s="359">
        <v>74.400000000000006</v>
      </c>
      <c r="AE22" s="360">
        <f t="shared" si="1"/>
        <v>1.5346054189277727E-2</v>
      </c>
    </row>
    <row r="23" spans="1:31" ht="15.4" x14ac:dyDescent="0.45">
      <c r="A23" s="334" t="s">
        <v>35</v>
      </c>
      <c r="B23" s="355">
        <v>17563756</v>
      </c>
      <c r="C23" s="355">
        <v>64714757</v>
      </c>
      <c r="D23" s="355">
        <v>1378425</v>
      </c>
      <c r="E23" s="355">
        <v>3341159</v>
      </c>
      <c r="F23" s="355">
        <v>1718617</v>
      </c>
      <c r="G23" s="355"/>
      <c r="H23" s="355">
        <v>4468710</v>
      </c>
      <c r="I23" s="355"/>
      <c r="J23" s="355">
        <v>93185424</v>
      </c>
      <c r="K23" s="355">
        <v>73986763</v>
      </c>
      <c r="L23" s="355">
        <v>66871143</v>
      </c>
      <c r="M23" s="355">
        <v>27675779</v>
      </c>
      <c r="N23" s="355">
        <v>18266402</v>
      </c>
      <c r="O23" s="358">
        <v>42697779</v>
      </c>
      <c r="P23" s="355">
        <v>15150310</v>
      </c>
      <c r="Q23" s="355">
        <v>5144642</v>
      </c>
      <c r="R23" s="355">
        <v>-4098706</v>
      </c>
      <c r="S23" s="355">
        <v>8958261</v>
      </c>
      <c r="T23" s="355">
        <v>0</v>
      </c>
      <c r="U23" s="355">
        <v>1925520</v>
      </c>
      <c r="V23" s="355">
        <v>2511967</v>
      </c>
      <c r="W23" s="355">
        <v>61245699</v>
      </c>
      <c r="X23" s="355">
        <v>28249526</v>
      </c>
      <c r="Y23" s="355">
        <v>32082735</v>
      </c>
      <c r="Z23" s="355">
        <v>125740545</v>
      </c>
      <c r="AA23" s="355">
        <v>43998300</v>
      </c>
      <c r="AB23" s="355">
        <v>11730403</v>
      </c>
      <c r="AC23" s="359">
        <v>25.36</v>
      </c>
      <c r="AD23" s="359">
        <v>80.33</v>
      </c>
      <c r="AE23" s="360">
        <f t="shared" si="1"/>
        <v>2.2060672244904565E-2</v>
      </c>
    </row>
    <row r="24" spans="1:31" ht="15.4" x14ac:dyDescent="0.45">
      <c r="A24" s="334" t="s">
        <v>36</v>
      </c>
      <c r="B24" s="355">
        <v>7050861</v>
      </c>
      <c r="C24" s="355">
        <v>67518117</v>
      </c>
      <c r="D24" s="355">
        <v>3944633</v>
      </c>
      <c r="E24" s="355">
        <v>14092559</v>
      </c>
      <c r="F24" s="355">
        <v>1366547</v>
      </c>
      <c r="G24" s="355">
        <v>2674728</v>
      </c>
      <c r="H24" s="355">
        <v>21415916</v>
      </c>
      <c r="I24" s="355">
        <v>325124</v>
      </c>
      <c r="J24" s="355">
        <v>118388485</v>
      </c>
      <c r="K24" s="355">
        <v>88727466</v>
      </c>
      <c r="L24" s="355">
        <v>78045156</v>
      </c>
      <c r="M24" s="355">
        <v>24214039</v>
      </c>
      <c r="N24" s="355">
        <v>19726401</v>
      </c>
      <c r="O24" s="355">
        <v>34963195</v>
      </c>
      <c r="P24" s="355">
        <v>12404219</v>
      </c>
      <c r="Q24" s="355">
        <v>5579308</v>
      </c>
      <c r="R24" s="355">
        <v>16530649</v>
      </c>
      <c r="S24" s="355">
        <v>7183911</v>
      </c>
      <c r="T24" s="355">
        <v>1825</v>
      </c>
      <c r="U24" s="355">
        <v>16601470</v>
      </c>
      <c r="V24" s="355">
        <v>11689761</v>
      </c>
      <c r="W24" s="355">
        <v>96186179</v>
      </c>
      <c r="X24" s="355">
        <v>27455647</v>
      </c>
      <c r="Y24" s="355">
        <v>17960029</v>
      </c>
      <c r="Z24" s="355">
        <v>153291616</v>
      </c>
      <c r="AA24" s="355">
        <v>58762546</v>
      </c>
      <c r="AB24" s="355">
        <v>20736930</v>
      </c>
      <c r="AC24" s="359">
        <v>23.59</v>
      </c>
      <c r="AD24" s="359">
        <v>56.64</v>
      </c>
      <c r="AE24" s="360">
        <f t="shared" si="1"/>
        <v>2.8027232726395068E-2</v>
      </c>
    </row>
    <row r="25" spans="1:31" ht="15.4" x14ac:dyDescent="0.45">
      <c r="A25" s="334" t="s">
        <v>146</v>
      </c>
      <c r="B25" s="355">
        <v>30785846</v>
      </c>
      <c r="C25" s="355">
        <v>25149261</v>
      </c>
      <c r="D25" s="355">
        <v>6468287</v>
      </c>
      <c r="E25" s="355">
        <v>8918481</v>
      </c>
      <c r="F25" s="355">
        <v>16717314</v>
      </c>
      <c r="G25" s="355">
        <v>12693741</v>
      </c>
      <c r="H25" s="355">
        <v>777826</v>
      </c>
      <c r="I25" s="355"/>
      <c r="J25" s="355">
        <v>101510756</v>
      </c>
      <c r="K25" s="355">
        <v>32981314</v>
      </c>
      <c r="L25" s="355">
        <v>31263506.379999999</v>
      </c>
      <c r="M25" s="355">
        <v>56938810</v>
      </c>
      <c r="N25" s="355">
        <v>8165197</v>
      </c>
      <c r="O25" s="358">
        <v>21700985</v>
      </c>
      <c r="P25" s="355">
        <v>11915010</v>
      </c>
      <c r="Q25" s="355">
        <v>11778559</v>
      </c>
      <c r="R25" s="355">
        <v>1260873.3799999999</v>
      </c>
      <c r="S25" s="355">
        <v>13862938</v>
      </c>
      <c r="T25" s="355">
        <v>708075.16</v>
      </c>
      <c r="U25" s="355">
        <v>11082320.539999999</v>
      </c>
      <c r="V25" s="355">
        <v>35702318</v>
      </c>
      <c r="W25" s="355">
        <v>65964474</v>
      </c>
      <c r="X25" s="355">
        <v>71686063</v>
      </c>
      <c r="Y25" s="355">
        <v>6366907</v>
      </c>
      <c r="Z25" s="355">
        <v>183100237</v>
      </c>
      <c r="AA25" s="355">
        <v>93744780</v>
      </c>
      <c r="AB25" s="355">
        <v>27820033</v>
      </c>
      <c r="AC25" s="359">
        <v>18.97</v>
      </c>
      <c r="AD25" s="359">
        <v>78.099999999999994</v>
      </c>
      <c r="AE25" s="360">
        <f t="shared" si="1"/>
        <v>2.4031607319278597E-2</v>
      </c>
    </row>
    <row r="26" spans="1:31" ht="15.4" x14ac:dyDescent="0.45">
      <c r="A26" s="334" t="s">
        <v>77</v>
      </c>
      <c r="B26" s="355">
        <v>30049336</v>
      </c>
      <c r="C26" s="355">
        <v>39104644</v>
      </c>
      <c r="D26" s="355">
        <v>4574178</v>
      </c>
      <c r="E26" s="355">
        <v>9193122</v>
      </c>
      <c r="F26" s="355">
        <v>4452942</v>
      </c>
      <c r="G26" s="355"/>
      <c r="H26" s="355">
        <v>4621955</v>
      </c>
      <c r="I26" s="355"/>
      <c r="J26" s="355">
        <v>91996177</v>
      </c>
      <c r="K26" s="355">
        <v>73332277</v>
      </c>
      <c r="L26" s="355">
        <v>63596129</v>
      </c>
      <c r="M26" s="355">
        <v>30176644</v>
      </c>
      <c r="N26" s="355">
        <v>9259848</v>
      </c>
      <c r="O26" s="358">
        <v>45365387</v>
      </c>
      <c r="P26" s="355">
        <v>6824868</v>
      </c>
      <c r="Q26" s="355">
        <v>3200254</v>
      </c>
      <c r="R26" s="355">
        <v>5346280</v>
      </c>
      <c r="S26" s="355">
        <v>5530811</v>
      </c>
      <c r="T26" s="355">
        <v>0</v>
      </c>
      <c r="U26" s="355">
        <v>8048084</v>
      </c>
      <c r="V26" s="355">
        <v>-533440</v>
      </c>
      <c r="W26" s="355">
        <v>59076824</v>
      </c>
      <c r="X26" s="355">
        <v>45740461</v>
      </c>
      <c r="Y26" s="355">
        <v>3381015</v>
      </c>
      <c r="Z26" s="355">
        <v>111707215</v>
      </c>
      <c r="AA26" s="355">
        <v>35210488</v>
      </c>
      <c r="AB26" s="355">
        <v>8922291</v>
      </c>
      <c r="AC26" s="359">
        <v>13.86</v>
      </c>
      <c r="AD26" s="359">
        <v>78.13</v>
      </c>
      <c r="AE26" s="360">
        <f t="shared" si="1"/>
        <v>2.1779130484840929E-2</v>
      </c>
    </row>
    <row r="27" spans="1:31" ht="15.4" x14ac:dyDescent="0.45">
      <c r="A27" s="334" t="s">
        <v>39</v>
      </c>
      <c r="B27" s="355">
        <v>171343474</v>
      </c>
      <c r="C27" s="355">
        <v>135305195</v>
      </c>
      <c r="D27" s="355">
        <v>8521139</v>
      </c>
      <c r="E27" s="355">
        <v>26972118</v>
      </c>
      <c r="F27" s="355">
        <v>13292032</v>
      </c>
      <c r="G27" s="355">
        <v>41774963</v>
      </c>
      <c r="H27" s="355">
        <v>31331230</v>
      </c>
      <c r="I27" s="355"/>
      <c r="J27" s="355">
        <v>428540151</v>
      </c>
      <c r="K27" s="355">
        <v>236197578</v>
      </c>
      <c r="L27" s="355">
        <v>214175335</v>
      </c>
      <c r="M27" s="355">
        <v>65968584</v>
      </c>
      <c r="N27" s="355">
        <v>55937704</v>
      </c>
      <c r="O27" s="355">
        <v>151521491</v>
      </c>
      <c r="P27" s="355">
        <v>42916200</v>
      </c>
      <c r="Q27" s="355">
        <v>30111352</v>
      </c>
      <c r="R27" s="355">
        <v>-6088708</v>
      </c>
      <c r="S27" s="355">
        <v>31999941</v>
      </c>
      <c r="T27" s="355">
        <v>14557616</v>
      </c>
      <c r="U27" s="355">
        <v>28328194</v>
      </c>
      <c r="V27" s="355">
        <v>76998896</v>
      </c>
      <c r="W27" s="355">
        <v>455053564</v>
      </c>
      <c r="X27" s="355">
        <v>159316327</v>
      </c>
      <c r="Y27" s="355">
        <v>147929891</v>
      </c>
      <c r="Z27" s="355">
        <v>839870801</v>
      </c>
      <c r="AA27" s="355">
        <v>286043165</v>
      </c>
      <c r="AB27" s="355">
        <v>127778976</v>
      </c>
      <c r="AC27" s="359">
        <v>22.9</v>
      </c>
      <c r="AD27" s="359">
        <v>79.59</v>
      </c>
      <c r="AE27" s="360">
        <f t="shared" si="1"/>
        <v>0.10145238825111652</v>
      </c>
    </row>
    <row r="28" spans="1:31" ht="15.4" x14ac:dyDescent="0.45">
      <c r="A28" s="334" t="s">
        <v>40</v>
      </c>
      <c r="B28" s="355">
        <v>162331621</v>
      </c>
      <c r="C28" s="355">
        <v>140025065</v>
      </c>
      <c r="D28" s="355">
        <v>23538055</v>
      </c>
      <c r="E28" s="355">
        <v>5039467</v>
      </c>
      <c r="F28" s="355">
        <v>15546670</v>
      </c>
      <c r="G28" s="355">
        <v>22435058</v>
      </c>
      <c r="H28" s="355">
        <v>65205262</v>
      </c>
      <c r="I28" s="355"/>
      <c r="J28" s="355">
        <v>434121198</v>
      </c>
      <c r="K28" s="355">
        <v>217560283</v>
      </c>
      <c r="L28" s="355">
        <v>191689371</v>
      </c>
      <c r="M28" s="355">
        <v>241672295</v>
      </c>
      <c r="N28" s="355">
        <v>52924946</v>
      </c>
      <c r="O28" s="358">
        <v>88394783</v>
      </c>
      <c r="P28" s="355">
        <v>57809051</v>
      </c>
      <c r="Q28" s="355">
        <v>34968075</v>
      </c>
      <c r="R28" s="355">
        <v>27528665.879999999</v>
      </c>
      <c r="S28" s="355">
        <v>24706738</v>
      </c>
      <c r="T28" s="355">
        <v>284267</v>
      </c>
      <c r="U28" s="355">
        <v>42669905.880000003</v>
      </c>
      <c r="V28" s="355">
        <v>3588728</v>
      </c>
      <c r="W28" s="355">
        <v>885669538</v>
      </c>
      <c r="X28" s="355">
        <v>237926096</v>
      </c>
      <c r="Y28" s="355">
        <v>2748212</v>
      </c>
      <c r="Z28" s="355">
        <v>1129932574</v>
      </c>
      <c r="AA28" s="355">
        <v>328651511</v>
      </c>
      <c r="AB28" s="355">
        <v>202241132</v>
      </c>
      <c r="AC28" s="359">
        <v>23.35</v>
      </c>
      <c r="AD28" s="359">
        <v>64.5</v>
      </c>
      <c r="AE28" s="360">
        <f t="shared" si="1"/>
        <v>0.1027736426207957</v>
      </c>
    </row>
    <row r="29" spans="1:31" ht="15.4" x14ac:dyDescent="0.45">
      <c r="A29" s="334" t="s">
        <v>90</v>
      </c>
      <c r="B29" s="355">
        <v>18169926</v>
      </c>
      <c r="C29" s="355">
        <v>73052720</v>
      </c>
      <c r="D29" s="355">
        <v>8005334</v>
      </c>
      <c r="E29" s="355">
        <v>870192</v>
      </c>
      <c r="F29" s="355">
        <v>2528537</v>
      </c>
      <c r="G29" s="355"/>
      <c r="H29" s="355">
        <v>4113066</v>
      </c>
      <c r="I29" s="355"/>
      <c r="J29" s="355">
        <v>106739775</v>
      </c>
      <c r="K29" s="355">
        <v>76942879.5</v>
      </c>
      <c r="L29" s="355">
        <v>68891755.5</v>
      </c>
      <c r="M29" s="355">
        <v>25157717</v>
      </c>
      <c r="N29" s="355">
        <v>16842981</v>
      </c>
      <c r="O29" s="355">
        <v>45435073</v>
      </c>
      <c r="P29" s="355">
        <v>13443888</v>
      </c>
      <c r="Q29" s="355">
        <v>8266236</v>
      </c>
      <c r="R29" s="355">
        <v>1436049.5</v>
      </c>
      <c r="S29" s="355">
        <v>23212012</v>
      </c>
      <c r="T29" s="355">
        <v>366924</v>
      </c>
      <c r="U29" s="355">
        <v>16735640.5</v>
      </c>
      <c r="V29" s="355">
        <v>3602745</v>
      </c>
      <c r="W29" s="355">
        <v>104198925</v>
      </c>
      <c r="X29" s="355">
        <v>33075074</v>
      </c>
      <c r="Y29" s="355">
        <v>13745369</v>
      </c>
      <c r="Z29" s="355">
        <v>161462451</v>
      </c>
      <c r="AA29" s="355">
        <v>66173889</v>
      </c>
      <c r="AB29" s="355">
        <v>14895088</v>
      </c>
      <c r="AC29" s="359">
        <v>21.83</v>
      </c>
      <c r="AD29" s="359">
        <v>76.31</v>
      </c>
      <c r="AE29" s="360">
        <f t="shared" si="1"/>
        <v>2.526952275035909E-2</v>
      </c>
    </row>
    <row r="30" spans="1:31" ht="15.4" x14ac:dyDescent="0.45">
      <c r="A30" s="334" t="s">
        <v>41</v>
      </c>
      <c r="B30" s="355">
        <v>2966557</v>
      </c>
      <c r="C30" s="355">
        <v>35977500</v>
      </c>
      <c r="D30" s="355">
        <v>2923892</v>
      </c>
      <c r="E30" s="355">
        <v>460468</v>
      </c>
      <c r="F30" s="355">
        <v>827298</v>
      </c>
      <c r="G30" s="355"/>
      <c r="H30" s="355">
        <v>389695</v>
      </c>
      <c r="I30" s="355"/>
      <c r="J30" s="355">
        <v>43545410</v>
      </c>
      <c r="K30" s="355">
        <v>37343189.509999998</v>
      </c>
      <c r="L30" s="355">
        <v>32872462.510000002</v>
      </c>
      <c r="M30" s="355">
        <v>11429438</v>
      </c>
      <c r="N30" s="355">
        <v>9538974</v>
      </c>
      <c r="O30" s="358">
        <v>24390450</v>
      </c>
      <c r="P30" s="355">
        <v>2775556</v>
      </c>
      <c r="Q30" s="355">
        <v>1890974</v>
      </c>
      <c r="R30" s="355">
        <v>-1941543.49</v>
      </c>
      <c r="S30" s="355">
        <v>13538932</v>
      </c>
      <c r="T30" s="355">
        <v>102588</v>
      </c>
      <c r="U30" s="355">
        <v>8189983.5099999998</v>
      </c>
      <c r="V30" s="355">
        <v>4348646</v>
      </c>
      <c r="W30" s="355">
        <v>74050574</v>
      </c>
      <c r="X30" s="355">
        <v>16579060</v>
      </c>
      <c r="Y30" s="355">
        <v>3926379</v>
      </c>
      <c r="Z30" s="355">
        <v>99392104</v>
      </c>
      <c r="AA30" s="355">
        <v>24314337</v>
      </c>
      <c r="AB30" s="355">
        <v>5199034</v>
      </c>
      <c r="AC30" s="359">
        <v>27.44</v>
      </c>
      <c r="AD30" s="359">
        <v>78.150000000000006</v>
      </c>
      <c r="AE30" s="360">
        <f t="shared" si="1"/>
        <v>1.0308919319613651E-2</v>
      </c>
    </row>
    <row r="31" spans="1:31" ht="15.4" x14ac:dyDescent="0.45">
      <c r="A31" s="334" t="s">
        <v>42</v>
      </c>
      <c r="B31" s="355">
        <v>37754083</v>
      </c>
      <c r="C31" s="355">
        <v>184356621</v>
      </c>
      <c r="D31" s="355">
        <v>16318747</v>
      </c>
      <c r="E31" s="355">
        <v>2634891</v>
      </c>
      <c r="F31" s="355">
        <v>5782852</v>
      </c>
      <c r="G31" s="355">
        <v>18168155</v>
      </c>
      <c r="H31" s="355">
        <v>13020943</v>
      </c>
      <c r="I31" s="355"/>
      <c r="J31" s="355">
        <v>278036292</v>
      </c>
      <c r="K31" s="355">
        <v>198792124.90000001</v>
      </c>
      <c r="L31" s="355">
        <v>184018376.91999999</v>
      </c>
      <c r="M31" s="355">
        <v>121306093</v>
      </c>
      <c r="N31" s="355">
        <v>82190112</v>
      </c>
      <c r="O31" s="355">
        <v>83398187.239999995</v>
      </c>
      <c r="P31" s="355">
        <v>45959765.469999999</v>
      </c>
      <c r="Q31" s="355">
        <v>19823365.739999998</v>
      </c>
      <c r="R31" s="355">
        <v>-7706322.0499999998</v>
      </c>
      <c r="S31" s="355">
        <v>45985551.859999999</v>
      </c>
      <c r="T31" s="355">
        <v>467375.32</v>
      </c>
      <c r="U31" s="355">
        <v>35746605.130000003</v>
      </c>
      <c r="V31" s="355">
        <v>68981952</v>
      </c>
      <c r="W31" s="355">
        <v>163887619</v>
      </c>
      <c r="X31" s="355">
        <v>153711765</v>
      </c>
      <c r="Y31" s="355">
        <v>10508090</v>
      </c>
      <c r="Z31" s="355">
        <v>408265841</v>
      </c>
      <c r="AA31" s="355">
        <v>172649731</v>
      </c>
      <c r="AB31" s="355">
        <v>88673847</v>
      </c>
      <c r="AC31" s="359">
        <v>40.32</v>
      </c>
      <c r="AD31" s="359">
        <v>63.46</v>
      </c>
      <c r="AE31" s="360">
        <f t="shared" si="1"/>
        <v>6.5822177404060322E-2</v>
      </c>
    </row>
    <row r="32" spans="1:31" ht="15.4" x14ac:dyDescent="0.45">
      <c r="A32" s="332" t="s">
        <v>44</v>
      </c>
      <c r="B32" s="361">
        <f>SUM(B6:B31)</f>
        <v>1276182482</v>
      </c>
      <c r="C32" s="361">
        <f t="shared" ref="C32:AB32" si="2">SUM(C6:C31)</f>
        <v>1817874729</v>
      </c>
      <c r="D32" s="361">
        <f t="shared" si="2"/>
        <v>158216249</v>
      </c>
      <c r="E32" s="361">
        <f t="shared" si="2"/>
        <v>214740700</v>
      </c>
      <c r="F32" s="361">
        <f t="shared" si="2"/>
        <v>155366698</v>
      </c>
      <c r="G32" s="361">
        <f t="shared" si="2"/>
        <v>277116950</v>
      </c>
      <c r="H32" s="361">
        <f t="shared" si="2"/>
        <v>287604615</v>
      </c>
      <c r="I32" s="361">
        <f t="shared" si="2"/>
        <v>36949455</v>
      </c>
      <c r="J32" s="361">
        <f t="shared" si="2"/>
        <v>4224051876.8199997</v>
      </c>
      <c r="K32" s="361">
        <f t="shared" si="2"/>
        <v>2416372182.6500001</v>
      </c>
      <c r="L32" s="361">
        <f t="shared" si="2"/>
        <v>2186030096.27</v>
      </c>
      <c r="M32" s="361">
        <f t="shared" si="2"/>
        <v>1428927413</v>
      </c>
      <c r="N32" s="361">
        <f t="shared" si="2"/>
        <v>714608956</v>
      </c>
      <c r="O32" s="361">
        <f t="shared" si="2"/>
        <v>1175854326.0800002</v>
      </c>
      <c r="P32" s="361">
        <f t="shared" si="2"/>
        <v>602043234.93000007</v>
      </c>
      <c r="Q32" s="361">
        <f t="shared" si="2"/>
        <v>369458684.15999997</v>
      </c>
      <c r="R32" s="361">
        <f t="shared" si="2"/>
        <v>62982264.320000008</v>
      </c>
      <c r="S32" s="361">
        <f t="shared" si="2"/>
        <v>401844281.58000004</v>
      </c>
      <c r="T32" s="361">
        <f t="shared" si="2"/>
        <v>34297334.68</v>
      </c>
      <c r="U32" s="361">
        <f t="shared" si="2"/>
        <v>370180676.26999998</v>
      </c>
      <c r="V32" s="361">
        <f t="shared" si="2"/>
        <v>711456355</v>
      </c>
      <c r="W32" s="361">
        <f t="shared" si="2"/>
        <v>3480385352</v>
      </c>
      <c r="X32" s="361">
        <f t="shared" si="2"/>
        <v>1796853718</v>
      </c>
      <c r="Y32" s="361">
        <f t="shared" si="2"/>
        <v>558258902</v>
      </c>
      <c r="Z32" s="361">
        <f t="shared" si="2"/>
        <v>6623239790</v>
      </c>
      <c r="AA32" s="361">
        <f t="shared" si="2"/>
        <v>2608237927</v>
      </c>
      <c r="AB32" s="361">
        <f t="shared" si="2"/>
        <v>927641697</v>
      </c>
      <c r="AC32" s="362">
        <f>AVERAGE(AC6:AC31)</f>
        <v>75.326538461538448</v>
      </c>
      <c r="AD32" s="362">
        <f>AVERAGE(AD6:AD31)</f>
        <v>182.99807692307698</v>
      </c>
      <c r="AE32" s="360"/>
    </row>
  </sheetData>
  <mergeCells count="1">
    <mergeCell ref="B1:AE1"/>
  </mergeCells>
  <dataValidations count="1">
    <dataValidation type="list" allowBlank="1" showInputMessage="1" showErrorMessage="1" sqref="A3" xr:uid="{00000000-0002-0000-2E00-000000000000}">
      <formula1>$A$6:$A$31</formula1>
    </dataValidation>
  </dataValidations>
  <pageMargins left="0.7" right="0.7" top="0.75" bottom="0.75" header="0.3" footer="0.3"/>
  <customProperties>
    <customPr name="LastActive" r:id="rId1"/>
  </customProperties>
  <legacyDrawing r:id="rId2"/>
</worksheet>
</file>

<file path=xl/worksheets/sheet4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F00-000000000000}">
  <dimension ref="A1:AY32"/>
  <sheetViews>
    <sheetView topLeftCell="Z25" workbookViewId="0">
      <selection activeCell="AB38" sqref="AB38"/>
    </sheetView>
  </sheetViews>
  <sheetFormatPr defaultRowHeight="12.75" x14ac:dyDescent="0.35"/>
  <cols>
    <col min="1" max="1" width="47.1328125" bestFit="1" customWidth="1"/>
    <col min="2" max="2" width="45.73046875" bestFit="1" customWidth="1"/>
    <col min="3" max="3" width="36.3984375" bestFit="1" customWidth="1"/>
    <col min="4" max="4" width="21.1328125" bestFit="1" customWidth="1"/>
    <col min="5" max="5" width="17" bestFit="1" customWidth="1"/>
    <col min="6" max="6" width="29.1328125" bestFit="1" customWidth="1"/>
    <col min="7" max="7" width="14.265625" bestFit="1" customWidth="1"/>
    <col min="8" max="8" width="23.3984375" bestFit="1" customWidth="1"/>
    <col min="9" max="9" width="31.3984375" bestFit="1" customWidth="1"/>
    <col min="10" max="10" width="15.73046875" bestFit="1" customWidth="1"/>
    <col min="11" max="11" width="43.1328125" bestFit="1" customWidth="1"/>
    <col min="12" max="12" width="18" bestFit="1" customWidth="1"/>
    <col min="13" max="13" width="16.1328125" bestFit="1" customWidth="1"/>
    <col min="14" max="14" width="11.73046875" bestFit="1" customWidth="1"/>
    <col min="15" max="15" width="19.3984375" bestFit="1" customWidth="1"/>
    <col min="16" max="16" width="11.1328125" bestFit="1" customWidth="1"/>
    <col min="17" max="17" width="13" bestFit="1" customWidth="1"/>
    <col min="18" max="18" width="11.265625" bestFit="1" customWidth="1"/>
    <col min="19" max="19" width="10.1328125" bestFit="1" customWidth="1"/>
    <col min="20" max="20" width="25.3984375" bestFit="1" customWidth="1"/>
    <col min="21" max="21" width="21.73046875" bestFit="1" customWidth="1"/>
    <col min="22" max="22" width="23.86328125" bestFit="1" customWidth="1"/>
    <col min="23" max="23" width="13" bestFit="1" customWidth="1"/>
    <col min="24" max="24" width="22.86328125" bestFit="1" customWidth="1"/>
    <col min="25" max="25" width="26" bestFit="1" customWidth="1"/>
    <col min="26" max="26" width="19.3984375" bestFit="1" customWidth="1"/>
    <col min="27" max="27" width="17.3984375" bestFit="1" customWidth="1"/>
    <col min="28" max="28" width="14" bestFit="1" customWidth="1"/>
    <col min="29" max="29" width="16.3984375" bestFit="1" customWidth="1"/>
    <col min="30" max="30" width="17.73046875" bestFit="1" customWidth="1"/>
    <col min="31" max="31" width="17.1328125" bestFit="1" customWidth="1"/>
    <col min="32" max="32" width="14.86328125" bestFit="1" customWidth="1"/>
    <col min="33" max="34" width="16.3984375" bestFit="1" customWidth="1"/>
    <col min="35" max="35" width="17.265625" bestFit="1" customWidth="1"/>
    <col min="36" max="36" width="14.86328125" bestFit="1" customWidth="1"/>
    <col min="37" max="37" width="13" bestFit="1" customWidth="1"/>
    <col min="38" max="38" width="18.3984375" bestFit="1" customWidth="1"/>
    <col min="39" max="39" width="18.1328125" bestFit="1" customWidth="1"/>
    <col min="40" max="40" width="13.86328125" bestFit="1" customWidth="1"/>
    <col min="41" max="41" width="12.1328125" bestFit="1" customWidth="1"/>
    <col min="42" max="42" width="12.265625" bestFit="1" customWidth="1"/>
    <col min="43" max="43" width="13.86328125" bestFit="1" customWidth="1"/>
    <col min="44" max="44" width="16.3984375" bestFit="1" customWidth="1"/>
    <col min="45" max="45" width="18.86328125" bestFit="1" customWidth="1"/>
    <col min="46" max="46" width="15.265625" bestFit="1" customWidth="1"/>
    <col min="47" max="47" width="12.73046875" bestFit="1" customWidth="1"/>
    <col min="48" max="50" width="12.73046875" customWidth="1"/>
    <col min="51" max="51" width="8.73046875" bestFit="1" customWidth="1"/>
  </cols>
  <sheetData>
    <row r="1" spans="1:51" ht="23.25" x14ac:dyDescent="0.7">
      <c r="A1" s="351" t="s">
        <v>152</v>
      </c>
      <c r="B1" s="351" t="s">
        <v>92</v>
      </c>
      <c r="C1" s="351"/>
      <c r="D1" s="351"/>
      <c r="E1" s="351"/>
      <c r="F1" s="351"/>
      <c r="G1" s="351"/>
      <c r="H1" s="351"/>
      <c r="I1" s="351"/>
      <c r="J1" s="351"/>
      <c r="K1" s="351"/>
      <c r="L1" s="351"/>
      <c r="M1" s="351"/>
      <c r="N1" s="351"/>
      <c r="O1" s="351"/>
      <c r="P1" s="351"/>
      <c r="Q1" s="351"/>
      <c r="R1" s="351"/>
      <c r="S1" s="351"/>
      <c r="T1" s="351"/>
      <c r="U1" s="351"/>
      <c r="V1" s="351"/>
      <c r="W1" s="351"/>
      <c r="X1" s="351"/>
      <c r="Y1" s="351"/>
      <c r="Z1" s="413"/>
      <c r="AA1" s="413"/>
      <c r="AB1" s="413"/>
      <c r="AC1" s="413"/>
      <c r="AD1" s="413"/>
      <c r="AE1" s="413"/>
      <c r="AF1" s="413"/>
      <c r="AG1" s="413"/>
      <c r="AH1" s="413"/>
      <c r="AI1" s="413"/>
      <c r="AJ1" s="413"/>
      <c r="AK1" s="413"/>
      <c r="AL1" s="413"/>
      <c r="AM1" s="413"/>
      <c r="AN1" s="413"/>
      <c r="AO1" s="413"/>
      <c r="AP1" s="413"/>
      <c r="AQ1" s="413"/>
      <c r="AR1" s="413"/>
      <c r="AS1" s="413"/>
      <c r="AT1" s="413"/>
      <c r="AU1" s="413"/>
      <c r="AV1" s="413"/>
      <c r="AW1" s="413"/>
      <c r="AX1" s="413"/>
      <c r="AY1" s="413"/>
    </row>
    <row r="2" spans="1:51" ht="42.75" x14ac:dyDescent="0.45">
      <c r="A2" s="350"/>
      <c r="B2" s="348" t="s">
        <v>153</v>
      </c>
      <c r="C2" s="348" t="s">
        <v>154</v>
      </c>
      <c r="D2" s="348" t="s">
        <v>155</v>
      </c>
      <c r="E2" s="348" t="s">
        <v>156</v>
      </c>
      <c r="F2" s="348" t="s">
        <v>157</v>
      </c>
      <c r="G2" s="348" t="s">
        <v>158</v>
      </c>
      <c r="H2" s="348" t="s">
        <v>159</v>
      </c>
      <c r="I2" s="348" t="s">
        <v>160</v>
      </c>
      <c r="J2" s="348" t="s">
        <v>161</v>
      </c>
      <c r="K2" s="348" t="s">
        <v>162</v>
      </c>
      <c r="L2" s="348" t="s">
        <v>163</v>
      </c>
      <c r="M2" s="348" t="s">
        <v>164</v>
      </c>
      <c r="N2" s="348" t="s">
        <v>106</v>
      </c>
      <c r="O2" s="348" t="s">
        <v>165</v>
      </c>
      <c r="P2" s="348" t="s">
        <v>166</v>
      </c>
      <c r="Q2" s="348" t="s">
        <v>167</v>
      </c>
      <c r="R2" s="348" t="s">
        <v>168</v>
      </c>
      <c r="S2" s="348" t="s">
        <v>169</v>
      </c>
      <c r="T2" s="348" t="s">
        <v>170</v>
      </c>
      <c r="U2" s="348" t="s">
        <v>171</v>
      </c>
      <c r="V2" s="348" t="s">
        <v>172</v>
      </c>
      <c r="W2" s="348" t="s">
        <v>173</v>
      </c>
      <c r="X2" s="348" t="s">
        <v>174</v>
      </c>
      <c r="Y2" s="348" t="s">
        <v>175</v>
      </c>
      <c r="Z2" s="348" t="s">
        <v>176</v>
      </c>
      <c r="AA2" s="348" t="s">
        <v>177</v>
      </c>
      <c r="AB2" s="349" t="s">
        <v>178</v>
      </c>
      <c r="AC2" s="348" t="s">
        <v>179</v>
      </c>
      <c r="AD2" s="377" t="s">
        <v>180</v>
      </c>
      <c r="AE2" s="348" t="s">
        <v>181</v>
      </c>
      <c r="AF2" s="348" t="s">
        <v>182</v>
      </c>
      <c r="AG2" s="348" t="s">
        <v>115</v>
      </c>
      <c r="AH2" s="348" t="s">
        <v>183</v>
      </c>
      <c r="AI2" s="348" t="s">
        <v>184</v>
      </c>
      <c r="AJ2" s="348" t="s">
        <v>134</v>
      </c>
      <c r="AK2" s="348" t="s">
        <v>185</v>
      </c>
      <c r="AL2" s="348" t="s">
        <v>186</v>
      </c>
      <c r="AM2" s="348" t="s">
        <v>187</v>
      </c>
      <c r="AN2" s="349" t="s">
        <v>188</v>
      </c>
      <c r="AO2" s="348" t="s">
        <v>120</v>
      </c>
      <c r="AP2" s="348" t="s">
        <v>121</v>
      </c>
      <c r="AQ2" s="348" t="s">
        <v>9</v>
      </c>
      <c r="AR2" s="347" t="s">
        <v>189</v>
      </c>
      <c r="AS2" s="347" t="s">
        <v>190</v>
      </c>
      <c r="AT2" s="347" t="s">
        <v>191</v>
      </c>
      <c r="AU2" s="347" t="s">
        <v>17</v>
      </c>
      <c r="AV2" s="347" t="s">
        <v>18</v>
      </c>
      <c r="AW2" s="347" t="s">
        <v>192</v>
      </c>
      <c r="AX2" s="347" t="s">
        <v>193</v>
      </c>
      <c r="AY2" s="347" t="s">
        <v>19</v>
      </c>
    </row>
    <row r="3" spans="1:51" ht="15.4" x14ac:dyDescent="0.45">
      <c r="A3" s="346" t="s">
        <v>22</v>
      </c>
      <c r="B3" s="345">
        <f t="shared" ref="B3:AY3" si="0">INDEX(B6:B31,MATCH($A$3,$A$6:$A$31,0))</f>
        <v>268157.757979716</v>
      </c>
      <c r="C3" s="345">
        <f t="shared" si="0"/>
        <v>2069688.5320202799</v>
      </c>
      <c r="D3" s="345">
        <f t="shared" si="0"/>
        <v>8556292.7825821601</v>
      </c>
      <c r="E3" s="345">
        <f t="shared" si="0"/>
        <v>6238810.1923179701</v>
      </c>
      <c r="F3" s="345">
        <f t="shared" si="0"/>
        <v>9074.3650998677494</v>
      </c>
      <c r="G3" s="345">
        <f t="shared" si="0"/>
        <v>0</v>
      </c>
      <c r="H3" s="345">
        <f t="shared" si="0"/>
        <v>60021.860232441497</v>
      </c>
      <c r="I3" s="345">
        <f t="shared" si="0"/>
        <v>10882.7399652862</v>
      </c>
      <c r="J3" s="345">
        <f t="shared" si="0"/>
        <v>0</v>
      </c>
      <c r="K3" s="345">
        <f t="shared" si="0"/>
        <v>361999.87110688799</v>
      </c>
      <c r="L3" s="345">
        <f t="shared" si="0"/>
        <v>319435.04869538301</v>
      </c>
      <c r="M3" s="345">
        <f t="shared" si="0"/>
        <v>0</v>
      </c>
      <c r="N3" s="345">
        <f t="shared" si="0"/>
        <v>337491.92</v>
      </c>
      <c r="O3" s="345">
        <f t="shared" si="0"/>
        <v>0</v>
      </c>
      <c r="P3" s="345">
        <f t="shared" si="0"/>
        <v>801998.55</v>
      </c>
      <c r="Q3" s="345">
        <f t="shared" si="0"/>
        <v>441324.42</v>
      </c>
      <c r="R3" s="345">
        <f t="shared" si="0"/>
        <v>43950</v>
      </c>
      <c r="S3" s="345">
        <f t="shared" si="0"/>
        <v>0</v>
      </c>
      <c r="T3" s="345">
        <f t="shared" si="0"/>
        <v>0</v>
      </c>
      <c r="U3" s="345">
        <f t="shared" si="0"/>
        <v>0</v>
      </c>
      <c r="V3" s="345">
        <f t="shared" si="0"/>
        <v>0</v>
      </c>
      <c r="W3" s="345">
        <f t="shared" si="0"/>
        <v>0</v>
      </c>
      <c r="X3" s="345">
        <f t="shared" si="0"/>
        <v>0</v>
      </c>
      <c r="Y3" s="345">
        <f t="shared" si="0"/>
        <v>19519128.039999999</v>
      </c>
      <c r="Z3" s="345">
        <f t="shared" si="0"/>
        <v>7431543</v>
      </c>
      <c r="AA3" s="345">
        <f t="shared" si="0"/>
        <v>12087585.039999999</v>
      </c>
      <c r="AB3" s="345">
        <f t="shared" si="0"/>
        <v>1350592</v>
      </c>
      <c r="AC3" s="345">
        <f t="shared" si="0"/>
        <v>5343201</v>
      </c>
      <c r="AD3" s="345">
        <f t="shared" si="0"/>
        <v>6080951</v>
      </c>
      <c r="AE3" s="345">
        <f t="shared" si="0"/>
        <v>7431543</v>
      </c>
      <c r="AF3" s="345">
        <f t="shared" si="0"/>
        <v>10453553.039999999</v>
      </c>
      <c r="AG3" s="345">
        <f t="shared" si="0"/>
        <v>2638862</v>
      </c>
      <c r="AH3" s="345">
        <f t="shared" si="0"/>
        <v>608726</v>
      </c>
      <c r="AI3" s="345">
        <f t="shared" si="0"/>
        <v>-4926378</v>
      </c>
      <c r="AJ3" s="345">
        <f t="shared" si="0"/>
        <v>6142334.04</v>
      </c>
      <c r="AK3" s="345">
        <f t="shared" si="0"/>
        <v>19307502</v>
      </c>
      <c r="AL3" s="345">
        <f t="shared" si="0"/>
        <v>2918392.03</v>
      </c>
      <c r="AM3" s="345">
        <f t="shared" si="0"/>
        <v>8087913.9699999997</v>
      </c>
      <c r="AN3" s="345">
        <f t="shared" si="0"/>
        <v>62363124</v>
      </c>
      <c r="AO3" s="345">
        <f t="shared" si="0"/>
        <v>12954373</v>
      </c>
      <c r="AP3" s="345">
        <f t="shared" si="0"/>
        <v>11702128</v>
      </c>
      <c r="AQ3" s="345">
        <f t="shared" si="0"/>
        <v>118252423</v>
      </c>
      <c r="AR3" s="345">
        <f t="shared" si="0"/>
        <v>46008760.599999897</v>
      </c>
      <c r="AS3" s="345">
        <f t="shared" si="0"/>
        <v>2806357</v>
      </c>
      <c r="AT3" s="365">
        <f t="shared" si="0"/>
        <v>0.60834394560834104</v>
      </c>
      <c r="AU3" s="365">
        <f t="shared" si="0"/>
        <v>3.7775444589827303E-2</v>
      </c>
      <c r="AV3" s="365">
        <f t="shared" si="0"/>
        <v>0.66482789883174698</v>
      </c>
      <c r="AW3" s="365">
        <f t="shared" si="0"/>
        <v>0.353880609801831</v>
      </c>
      <c r="AX3" s="365">
        <f t="shared" si="0"/>
        <v>0.31094728902991497</v>
      </c>
      <c r="AY3" s="365">
        <f t="shared" si="0"/>
        <v>1.9332300454869947E-2</v>
      </c>
    </row>
    <row r="4" spans="1:51" ht="14.25" x14ac:dyDescent="0.45">
      <c r="A4" s="330"/>
      <c r="B4" s="330"/>
      <c r="C4" s="330"/>
      <c r="D4" s="330"/>
      <c r="E4" s="330"/>
      <c r="F4" s="330"/>
      <c r="G4" s="330"/>
      <c r="H4" s="330"/>
      <c r="I4" s="330"/>
      <c r="J4" s="330"/>
      <c r="K4" s="330"/>
      <c r="L4" s="330"/>
      <c r="M4" s="330"/>
      <c r="N4" s="330"/>
      <c r="O4" s="330"/>
      <c r="P4" s="330"/>
      <c r="Q4" s="330"/>
      <c r="R4" s="330"/>
      <c r="S4" s="330"/>
      <c r="T4" s="330"/>
      <c r="U4" s="330"/>
      <c r="V4" s="330"/>
      <c r="W4" s="330"/>
      <c r="X4" s="330"/>
      <c r="Y4" s="330"/>
      <c r="Z4" s="330"/>
      <c r="AA4" s="330"/>
      <c r="AB4" s="330"/>
      <c r="AC4" s="330"/>
      <c r="AD4" s="330"/>
      <c r="AE4" s="330"/>
      <c r="AF4" s="330"/>
      <c r="AG4" s="330"/>
      <c r="AH4" s="330"/>
      <c r="AI4" s="330"/>
      <c r="AJ4" s="330"/>
      <c r="AK4" s="330"/>
      <c r="AL4" s="330"/>
      <c r="AM4" s="330"/>
      <c r="AN4" s="330"/>
      <c r="AO4" s="330"/>
      <c r="AP4" s="330"/>
      <c r="AQ4" s="330"/>
      <c r="AR4" s="330"/>
      <c r="AS4" s="330"/>
      <c r="AT4" s="330"/>
      <c r="AU4" s="330"/>
      <c r="AV4" s="330"/>
      <c r="AW4" s="330"/>
      <c r="AX4" s="330"/>
      <c r="AY4" s="330"/>
    </row>
    <row r="5" spans="1:51" ht="51" x14ac:dyDescent="0.35">
      <c r="A5" s="344" t="s">
        <v>136</v>
      </c>
      <c r="B5" s="344" t="s">
        <v>153</v>
      </c>
      <c r="C5" s="344" t="s">
        <v>154</v>
      </c>
      <c r="D5" s="344" t="s">
        <v>155</v>
      </c>
      <c r="E5" s="344" t="s">
        <v>156</v>
      </c>
      <c r="F5" s="344" t="s">
        <v>157</v>
      </c>
      <c r="G5" s="344" t="s">
        <v>158</v>
      </c>
      <c r="H5" s="344" t="s">
        <v>159</v>
      </c>
      <c r="I5" s="344" t="s">
        <v>160</v>
      </c>
      <c r="J5" s="344" t="s">
        <v>161</v>
      </c>
      <c r="K5" s="344" t="s">
        <v>162</v>
      </c>
      <c r="L5" s="344" t="s">
        <v>163</v>
      </c>
      <c r="M5" s="344" t="s">
        <v>164</v>
      </c>
      <c r="N5" s="344" t="s">
        <v>106</v>
      </c>
      <c r="O5" s="344" t="s">
        <v>165</v>
      </c>
      <c r="P5" s="344" t="s">
        <v>166</v>
      </c>
      <c r="Q5" s="344" t="s">
        <v>167</v>
      </c>
      <c r="R5" s="344" t="s">
        <v>168</v>
      </c>
      <c r="S5" s="344" t="s">
        <v>169</v>
      </c>
      <c r="T5" s="344" t="s">
        <v>170</v>
      </c>
      <c r="U5" s="344" t="s">
        <v>171</v>
      </c>
      <c r="V5" s="344" t="s">
        <v>172</v>
      </c>
      <c r="W5" s="344" t="s">
        <v>173</v>
      </c>
      <c r="X5" s="344" t="s">
        <v>174</v>
      </c>
      <c r="Y5" s="344" t="s">
        <v>175</v>
      </c>
      <c r="Z5" s="342" t="s">
        <v>176</v>
      </c>
      <c r="AA5" s="342" t="s">
        <v>177</v>
      </c>
      <c r="AB5" s="342" t="s">
        <v>178</v>
      </c>
      <c r="AC5" s="342" t="s">
        <v>179</v>
      </c>
      <c r="AD5" s="342" t="s">
        <v>180</v>
      </c>
      <c r="AE5" s="342" t="s">
        <v>181</v>
      </c>
      <c r="AF5" s="342" t="s">
        <v>182</v>
      </c>
      <c r="AG5" s="342" t="s">
        <v>115</v>
      </c>
      <c r="AH5" s="342" t="s">
        <v>183</v>
      </c>
      <c r="AI5" s="342" t="s">
        <v>184</v>
      </c>
      <c r="AJ5" s="342" t="s">
        <v>134</v>
      </c>
      <c r="AK5" s="342" t="s">
        <v>185</v>
      </c>
      <c r="AL5" s="342" t="s">
        <v>186</v>
      </c>
      <c r="AM5" s="342" t="s">
        <v>187</v>
      </c>
      <c r="AN5" s="342" t="s">
        <v>188</v>
      </c>
      <c r="AO5" s="342" t="s">
        <v>120</v>
      </c>
      <c r="AP5" s="342" t="s">
        <v>121</v>
      </c>
      <c r="AQ5" s="342" t="s">
        <v>9</v>
      </c>
      <c r="AR5" s="341" t="s">
        <v>189</v>
      </c>
      <c r="AS5" s="341" t="s">
        <v>190</v>
      </c>
      <c r="AT5" s="341" t="s">
        <v>191</v>
      </c>
      <c r="AU5" s="341" t="s">
        <v>17</v>
      </c>
      <c r="AV5" s="341" t="s">
        <v>18</v>
      </c>
      <c r="AW5" s="341" t="s">
        <v>192</v>
      </c>
      <c r="AX5" s="341" t="s">
        <v>193</v>
      </c>
      <c r="AY5" s="341" t="s">
        <v>19</v>
      </c>
    </row>
    <row r="6" spans="1:51" ht="15.4" x14ac:dyDescent="0.45">
      <c r="A6" s="334" t="s">
        <v>20</v>
      </c>
      <c r="B6" s="369">
        <v>0</v>
      </c>
      <c r="C6" s="369">
        <v>42408414.5</v>
      </c>
      <c r="D6" s="369">
        <v>4439862.59</v>
      </c>
      <c r="E6" s="369">
        <v>1521190.79</v>
      </c>
      <c r="F6" s="369">
        <v>0</v>
      </c>
      <c r="G6" s="369"/>
      <c r="H6" s="369">
        <v>758139.77999999898</v>
      </c>
      <c r="I6" s="369"/>
      <c r="J6" s="369">
        <v>135019.53</v>
      </c>
      <c r="K6" s="369">
        <v>582450</v>
      </c>
      <c r="L6" s="369"/>
      <c r="M6" s="369">
        <v>6399916.4699999997</v>
      </c>
      <c r="N6" s="369">
        <v>0</v>
      </c>
      <c r="O6" s="369">
        <v>440805.3</v>
      </c>
      <c r="P6" s="369">
        <v>3239922.04</v>
      </c>
      <c r="Q6" s="369">
        <v>5612555.79</v>
      </c>
      <c r="R6" s="369">
        <v>0</v>
      </c>
      <c r="S6" s="369">
        <v>395721.25</v>
      </c>
      <c r="T6" s="369"/>
      <c r="U6" s="369"/>
      <c r="V6" s="369"/>
      <c r="W6" s="369"/>
      <c r="X6" s="369"/>
      <c r="Y6" s="369">
        <v>65933998.039999999</v>
      </c>
      <c r="Z6" s="369">
        <v>155692106.80000001</v>
      </c>
      <c r="AA6" s="369">
        <v>-89758108.739999995</v>
      </c>
      <c r="AB6" s="369">
        <v>148766967.41</v>
      </c>
      <c r="AC6" s="369">
        <v>9547542.0800000001</v>
      </c>
      <c r="AD6" s="369">
        <v>6925139.3399999999</v>
      </c>
      <c r="AE6" s="369">
        <v>155692106.75</v>
      </c>
      <c r="AF6" s="369">
        <v>11480795.710000001</v>
      </c>
      <c r="AG6" s="369">
        <v>766956.63</v>
      </c>
      <c r="AH6" s="369">
        <v>0</v>
      </c>
      <c r="AI6" s="369">
        <v>-9402584.8000000007</v>
      </c>
      <c r="AJ6" s="369">
        <v>2845167.54</v>
      </c>
      <c r="AK6" s="369">
        <v>71487996.399999902</v>
      </c>
      <c r="AL6" s="369">
        <v>0</v>
      </c>
      <c r="AM6" s="369">
        <v>214671789.59999999</v>
      </c>
      <c r="AN6" s="369">
        <v>47568056.409999996</v>
      </c>
      <c r="AO6" s="369">
        <v>6158396.3099999996</v>
      </c>
      <c r="AP6" s="369">
        <v>56186852.75</v>
      </c>
      <c r="AQ6" s="369">
        <v>396127151</v>
      </c>
      <c r="AR6" s="370">
        <v>295397832.5</v>
      </c>
      <c r="AS6" s="370">
        <v>0</v>
      </c>
      <c r="AT6" s="371">
        <v>0.51413920166541605</v>
      </c>
      <c r="AU6" s="371">
        <v>0.17573546323002101</v>
      </c>
      <c r="AV6" s="371">
        <v>0.73768852686671005</v>
      </c>
      <c r="AW6" s="371">
        <v>0.31012533465673597</v>
      </c>
      <c r="AX6" s="371">
        <v>0.42756319220997302</v>
      </c>
      <c r="AY6" s="371">
        <f>Y6/$Y$32</f>
        <v>6.5302909929581376E-2</v>
      </c>
    </row>
    <row r="7" spans="1:51" ht="15.4" x14ac:dyDescent="0.45">
      <c r="A7" s="334" t="s">
        <v>21</v>
      </c>
      <c r="B7" s="369"/>
      <c r="C7" s="369">
        <v>3393293</v>
      </c>
      <c r="D7" s="369">
        <v>12042125</v>
      </c>
      <c r="E7" s="369"/>
      <c r="F7" s="369"/>
      <c r="G7" s="369"/>
      <c r="H7" s="369"/>
      <c r="I7" s="369">
        <v>1949936</v>
      </c>
      <c r="J7" s="369">
        <v>173573</v>
      </c>
      <c r="K7" s="369">
        <v>316523</v>
      </c>
      <c r="L7" s="369">
        <v>74094</v>
      </c>
      <c r="M7" s="369"/>
      <c r="N7" s="369">
        <v>567166</v>
      </c>
      <c r="O7" s="369">
        <v>218276</v>
      </c>
      <c r="P7" s="369"/>
      <c r="Q7" s="369">
        <v>1570837</v>
      </c>
      <c r="R7" s="369"/>
      <c r="S7" s="369">
        <v>31008</v>
      </c>
      <c r="T7" s="369"/>
      <c r="U7" s="369"/>
      <c r="V7" s="369"/>
      <c r="W7" s="369"/>
      <c r="X7" s="369"/>
      <c r="Y7" s="369">
        <v>20336831</v>
      </c>
      <c r="Z7" s="369">
        <v>9653899</v>
      </c>
      <c r="AA7" s="369">
        <v>10682932</v>
      </c>
      <c r="AB7" s="369">
        <v>6659703</v>
      </c>
      <c r="AC7" s="369">
        <v>6671915</v>
      </c>
      <c r="AD7" s="369">
        <v>2994196</v>
      </c>
      <c r="AE7" s="369">
        <v>9653899</v>
      </c>
      <c r="AF7" s="369">
        <v>6569472</v>
      </c>
      <c r="AG7" s="369">
        <v>2880252</v>
      </c>
      <c r="AH7" s="369">
        <v>0</v>
      </c>
      <c r="AI7" s="369">
        <v>-6671915</v>
      </c>
      <c r="AJ7" s="369">
        <v>2777809</v>
      </c>
      <c r="AK7" s="369">
        <v>32060642</v>
      </c>
      <c r="AL7" s="369">
        <v>4363436</v>
      </c>
      <c r="AM7" s="369">
        <v>4189839</v>
      </c>
      <c r="AN7" s="369">
        <v>86396413</v>
      </c>
      <c r="AO7" s="369">
        <v>5780142</v>
      </c>
      <c r="AP7" s="369">
        <v>1476234</v>
      </c>
      <c r="AQ7" s="369">
        <v>137484251</v>
      </c>
      <c r="AR7" s="370">
        <v>46518947</v>
      </c>
      <c r="AS7" s="370">
        <v>656156</v>
      </c>
      <c r="AT7" s="371">
        <v>0.42702240773803302</v>
      </c>
      <c r="AU7" s="371">
        <v>0.378351785932387</v>
      </c>
      <c r="AV7" s="371">
        <v>0.62830711397857997</v>
      </c>
      <c r="AW7" s="371">
        <v>0.19462580632957799</v>
      </c>
      <c r="AX7" s="371">
        <v>0.43368130764900198</v>
      </c>
      <c r="AY7" s="371">
        <f>Y7/$Y$32</f>
        <v>2.0142176760469331E-2</v>
      </c>
    </row>
    <row r="8" spans="1:51" ht="15.4" x14ac:dyDescent="0.45">
      <c r="A8" s="334" t="s">
        <v>87</v>
      </c>
      <c r="B8" s="369"/>
      <c r="C8" s="369"/>
      <c r="D8" s="369"/>
      <c r="E8" s="369"/>
      <c r="F8" s="369"/>
      <c r="G8" s="369"/>
      <c r="H8" s="369"/>
      <c r="I8" s="369"/>
      <c r="J8" s="369"/>
      <c r="K8" s="369"/>
      <c r="L8" s="369"/>
      <c r="M8" s="369"/>
      <c r="N8" s="369"/>
      <c r="O8" s="369"/>
      <c r="P8" s="369"/>
      <c r="Q8" s="369"/>
      <c r="R8" s="369"/>
      <c r="S8" s="369"/>
      <c r="T8" s="369"/>
      <c r="U8" s="369"/>
      <c r="V8" s="369"/>
      <c r="W8" s="369"/>
      <c r="X8" s="369"/>
      <c r="Y8" s="369"/>
      <c r="Z8" s="369"/>
      <c r="AA8" s="369"/>
      <c r="AB8" s="369"/>
      <c r="AC8" s="369"/>
      <c r="AD8" s="369"/>
      <c r="AE8" s="369"/>
      <c r="AF8" s="369"/>
      <c r="AG8" s="369"/>
      <c r="AH8" s="369"/>
      <c r="AI8" s="369"/>
      <c r="AJ8" s="369"/>
      <c r="AK8" s="369"/>
      <c r="AL8" s="369"/>
      <c r="AM8" s="369"/>
      <c r="AN8" s="369"/>
      <c r="AO8" s="369"/>
      <c r="AP8" s="369"/>
      <c r="AQ8" s="369"/>
      <c r="AR8" s="370"/>
      <c r="AS8" s="370"/>
      <c r="AT8" s="371"/>
      <c r="AU8" s="371"/>
      <c r="AV8" s="371"/>
      <c r="AW8" s="371"/>
      <c r="AX8" s="371"/>
      <c r="AY8" s="371"/>
    </row>
    <row r="9" spans="1:51" ht="15.4" x14ac:dyDescent="0.45">
      <c r="A9" s="334" t="s">
        <v>60</v>
      </c>
      <c r="B9" s="369">
        <v>58964</v>
      </c>
      <c r="C9" s="369"/>
      <c r="D9" s="369">
        <v>1283339</v>
      </c>
      <c r="E9" s="369"/>
      <c r="F9" s="369"/>
      <c r="G9" s="369"/>
      <c r="H9" s="369">
        <v>198835</v>
      </c>
      <c r="I9" s="369"/>
      <c r="J9" s="369"/>
      <c r="K9" s="369"/>
      <c r="L9" s="369"/>
      <c r="M9" s="369"/>
      <c r="N9" s="369">
        <v>46165</v>
      </c>
      <c r="O9" s="369"/>
      <c r="P9" s="369">
        <v>48414</v>
      </c>
      <c r="Q9" s="369">
        <v>5497</v>
      </c>
      <c r="R9" s="369"/>
      <c r="S9" s="369"/>
      <c r="T9" s="369"/>
      <c r="U9" s="369"/>
      <c r="V9" s="369"/>
      <c r="W9" s="369"/>
      <c r="X9" s="369"/>
      <c r="Y9" s="369">
        <v>1641214</v>
      </c>
      <c r="Z9" s="369">
        <v>380696</v>
      </c>
      <c r="AA9" s="369">
        <v>1260518</v>
      </c>
      <c r="AB9" s="369">
        <v>138052</v>
      </c>
      <c r="AC9" s="369">
        <v>1745668</v>
      </c>
      <c r="AD9" s="369">
        <v>242644</v>
      </c>
      <c r="AE9" s="369">
        <v>380696</v>
      </c>
      <c r="AF9" s="369">
        <v>976279</v>
      </c>
      <c r="AG9" s="369">
        <v>60499</v>
      </c>
      <c r="AH9" s="369">
        <v>-105488</v>
      </c>
      <c r="AI9" s="369">
        <v>-1825667</v>
      </c>
      <c r="AJ9" s="369">
        <v>-894377</v>
      </c>
      <c r="AK9" s="369">
        <v>120115</v>
      </c>
      <c r="AL9" s="369">
        <v>0</v>
      </c>
      <c r="AM9" s="369">
        <v>2602139</v>
      </c>
      <c r="AN9" s="369">
        <v>2472261</v>
      </c>
      <c r="AO9" s="369">
        <v>22818294</v>
      </c>
      <c r="AP9" s="369">
        <v>718048</v>
      </c>
      <c r="AQ9" s="369">
        <v>29467208</v>
      </c>
      <c r="AR9" s="370">
        <v>1911150</v>
      </c>
      <c r="AS9" s="370">
        <v>3030262</v>
      </c>
      <c r="AT9" s="371">
        <v>0.74812084522692002</v>
      </c>
      <c r="AU9" s="371">
        <v>6.5941493132052303E-2</v>
      </c>
      <c r="AV9" s="371">
        <v>1.52363991647349</v>
      </c>
      <c r="AW9" s="371">
        <v>0.18593766164102701</v>
      </c>
      <c r="AX9" s="371">
        <v>1.33770225483246</v>
      </c>
      <c r="AY9" s="371">
        <f t="shared" ref="AY9:AY31" si="1">Y9/$Y$32</f>
        <v>1.6255050990863283E-3</v>
      </c>
    </row>
    <row r="10" spans="1:51" ht="15.4" x14ac:dyDescent="0.45">
      <c r="A10" s="334" t="s">
        <v>128</v>
      </c>
      <c r="B10" s="369">
        <v>146066</v>
      </c>
      <c r="C10" s="369">
        <v>3750625</v>
      </c>
      <c r="D10" s="369">
        <v>6316630</v>
      </c>
      <c r="E10" s="369">
        <v>1883142</v>
      </c>
      <c r="F10" s="369">
        <v>7642</v>
      </c>
      <c r="G10" s="369"/>
      <c r="H10" s="369">
        <v>93641</v>
      </c>
      <c r="I10" s="369">
        <v>213817</v>
      </c>
      <c r="J10" s="369">
        <v>2690</v>
      </c>
      <c r="K10" s="369">
        <v>140912</v>
      </c>
      <c r="L10" s="369">
        <v>93311</v>
      </c>
      <c r="M10" s="369">
        <v>2147092</v>
      </c>
      <c r="N10" s="369">
        <v>174059</v>
      </c>
      <c r="O10" s="369">
        <v>210642</v>
      </c>
      <c r="P10" s="369"/>
      <c r="Q10" s="369">
        <v>159810</v>
      </c>
      <c r="R10" s="369">
        <v>9529</v>
      </c>
      <c r="S10" s="369"/>
      <c r="T10" s="369"/>
      <c r="U10" s="369"/>
      <c r="V10" s="369"/>
      <c r="W10" s="369"/>
      <c r="X10" s="369"/>
      <c r="Y10" s="369">
        <v>15349608</v>
      </c>
      <c r="Z10" s="369">
        <v>3766615</v>
      </c>
      <c r="AA10" s="369">
        <v>11582993</v>
      </c>
      <c r="AB10" s="369">
        <v>1537146</v>
      </c>
      <c r="AC10" s="369">
        <v>7283066</v>
      </c>
      <c r="AD10" s="372">
        <v>2229469</v>
      </c>
      <c r="AE10" s="369">
        <v>3766615</v>
      </c>
      <c r="AF10" s="369">
        <v>7247594</v>
      </c>
      <c r="AG10" s="369">
        <v>2370785</v>
      </c>
      <c r="AH10" s="369">
        <v>-639345</v>
      </c>
      <c r="AI10" s="369">
        <v>-1861069</v>
      </c>
      <c r="AJ10" s="369">
        <v>5047641</v>
      </c>
      <c r="AK10" s="369">
        <v>18166437</v>
      </c>
      <c r="AL10" s="369">
        <v>0</v>
      </c>
      <c r="AM10" s="369">
        <v>20692623</v>
      </c>
      <c r="AN10" s="369">
        <v>74000000</v>
      </c>
      <c r="AO10" s="369">
        <v>512322</v>
      </c>
      <c r="AP10" s="369">
        <v>11949344</v>
      </c>
      <c r="AQ10" s="369">
        <v>125320726</v>
      </c>
      <c r="AR10" s="370">
        <v>48957483</v>
      </c>
      <c r="AS10" s="370">
        <v>0</v>
      </c>
      <c r="AT10" s="371">
        <v>0.59799508606644503</v>
      </c>
      <c r="AU10" s="371">
        <v>0.21805262486528201</v>
      </c>
      <c r="AV10" s="371">
        <v>0.78487415079198297</v>
      </c>
      <c r="AW10" s="371">
        <v>0.18395228906827099</v>
      </c>
      <c r="AX10" s="371">
        <v>0.60092186172371098</v>
      </c>
      <c r="AY10" s="371">
        <f t="shared" si="1"/>
        <v>1.5202689029569755E-2</v>
      </c>
    </row>
    <row r="11" spans="1:51" ht="15.4" x14ac:dyDescent="0.45">
      <c r="A11" s="334" t="s">
        <v>22</v>
      </c>
      <c r="B11" s="369">
        <v>268157.757979716</v>
      </c>
      <c r="C11" s="369">
        <v>2069688.5320202799</v>
      </c>
      <c r="D11" s="369">
        <v>8556292.7825821601</v>
      </c>
      <c r="E11" s="369">
        <v>6238810.1923179701</v>
      </c>
      <c r="F11" s="369">
        <v>9074.3650998677494</v>
      </c>
      <c r="G11" s="369"/>
      <c r="H11" s="369">
        <v>60021.860232441497</v>
      </c>
      <c r="I11" s="369">
        <v>10882.7399652862</v>
      </c>
      <c r="J11" s="369">
        <v>0</v>
      </c>
      <c r="K11" s="369">
        <v>361999.87110688799</v>
      </c>
      <c r="L11" s="369">
        <v>319435.04869538301</v>
      </c>
      <c r="M11" s="369"/>
      <c r="N11" s="369">
        <v>337491.92</v>
      </c>
      <c r="O11" s="369"/>
      <c r="P11" s="369">
        <v>801998.55</v>
      </c>
      <c r="Q11" s="369">
        <v>441324.42</v>
      </c>
      <c r="R11" s="369">
        <v>43950</v>
      </c>
      <c r="S11" s="369"/>
      <c r="T11" s="369"/>
      <c r="U11" s="369"/>
      <c r="V11" s="369"/>
      <c r="W11" s="369"/>
      <c r="X11" s="369"/>
      <c r="Y11" s="369">
        <v>19519128.039999999</v>
      </c>
      <c r="Z11" s="369">
        <v>7431543</v>
      </c>
      <c r="AA11" s="369">
        <v>12087585.039999999</v>
      </c>
      <c r="AB11" s="369">
        <v>1350592</v>
      </c>
      <c r="AC11" s="369">
        <v>5343201</v>
      </c>
      <c r="AD11" s="372">
        <v>6080951</v>
      </c>
      <c r="AE11" s="369">
        <v>7431543</v>
      </c>
      <c r="AF11" s="369">
        <v>10453553.039999999</v>
      </c>
      <c r="AG11" s="369">
        <v>2638862</v>
      </c>
      <c r="AH11" s="369">
        <v>608726</v>
      </c>
      <c r="AI11" s="369">
        <v>-4926378</v>
      </c>
      <c r="AJ11" s="369">
        <v>6142334.04</v>
      </c>
      <c r="AK11" s="369">
        <v>19307502</v>
      </c>
      <c r="AL11" s="369">
        <v>2918392.03</v>
      </c>
      <c r="AM11" s="369">
        <v>8087913.9699999997</v>
      </c>
      <c r="AN11" s="369">
        <v>62363124</v>
      </c>
      <c r="AO11" s="369">
        <v>12954373</v>
      </c>
      <c r="AP11" s="369">
        <v>11702128</v>
      </c>
      <c r="AQ11" s="369">
        <v>118252423</v>
      </c>
      <c r="AR11" s="370">
        <v>46008760.599999897</v>
      </c>
      <c r="AS11" s="370">
        <v>2806357</v>
      </c>
      <c r="AT11" s="371">
        <v>0.60834394560834104</v>
      </c>
      <c r="AU11" s="371">
        <v>3.7775444589827303E-2</v>
      </c>
      <c r="AV11" s="371">
        <v>0.66482789883174698</v>
      </c>
      <c r="AW11" s="371">
        <v>0.353880609801831</v>
      </c>
      <c r="AX11" s="371">
        <v>0.31094728902991497</v>
      </c>
      <c r="AY11" s="371">
        <f t="shared" si="1"/>
        <v>1.9332300454869947E-2</v>
      </c>
    </row>
    <row r="12" spans="1:51" ht="15.4" x14ac:dyDescent="0.45">
      <c r="A12" s="334" t="s">
        <v>23</v>
      </c>
      <c r="B12" s="369">
        <v>2582780</v>
      </c>
      <c r="C12" s="369">
        <v>40898496</v>
      </c>
      <c r="D12" s="369">
        <v>53109345</v>
      </c>
      <c r="E12" s="369">
        <v>7352661</v>
      </c>
      <c r="F12" s="369">
        <v>475227</v>
      </c>
      <c r="G12" s="369">
        <v>0</v>
      </c>
      <c r="H12" s="369">
        <v>2607465</v>
      </c>
      <c r="I12" s="369">
        <v>1142893</v>
      </c>
      <c r="J12" s="369">
        <v>491589</v>
      </c>
      <c r="K12" s="369">
        <v>3237218</v>
      </c>
      <c r="L12" s="369">
        <v>2111564</v>
      </c>
      <c r="M12" s="369">
        <v>6865521</v>
      </c>
      <c r="N12" s="369">
        <v>12165122</v>
      </c>
      <c r="O12" s="369">
        <v>4837156</v>
      </c>
      <c r="P12" s="369">
        <v>2907641</v>
      </c>
      <c r="Q12" s="369">
        <v>3853910</v>
      </c>
      <c r="R12" s="369">
        <v>5317768</v>
      </c>
      <c r="S12" s="369">
        <v>429343</v>
      </c>
      <c r="T12" s="369">
        <v>0</v>
      </c>
      <c r="U12" s="369">
        <v>1670</v>
      </c>
      <c r="V12" s="369">
        <v>0</v>
      </c>
      <c r="W12" s="369">
        <v>0</v>
      </c>
      <c r="X12" s="369">
        <v>0</v>
      </c>
      <c r="Y12" s="369">
        <v>150387369</v>
      </c>
      <c r="Z12" s="369">
        <v>254857787</v>
      </c>
      <c r="AA12" s="369">
        <v>-104470418</v>
      </c>
      <c r="AB12" s="369">
        <v>231552192</v>
      </c>
      <c r="AC12" s="369">
        <v>37302560</v>
      </c>
      <c r="AD12" s="369">
        <v>23305595</v>
      </c>
      <c r="AE12" s="369">
        <v>254857787</v>
      </c>
      <c r="AF12" s="369">
        <v>68290411</v>
      </c>
      <c r="AG12" s="369">
        <v>12356918</v>
      </c>
      <c r="AH12" s="369">
        <v>-3433154</v>
      </c>
      <c r="AI12" s="369">
        <v>-35064511</v>
      </c>
      <c r="AJ12" s="369">
        <v>39035539</v>
      </c>
      <c r="AK12" s="369">
        <v>141045445</v>
      </c>
      <c r="AL12" s="369">
        <v>0</v>
      </c>
      <c r="AM12" s="369">
        <v>171988653</v>
      </c>
      <c r="AN12" s="369">
        <v>265003800</v>
      </c>
      <c r="AO12" s="369">
        <v>114303987</v>
      </c>
      <c r="AP12" s="369">
        <v>19365985</v>
      </c>
      <c r="AQ12" s="369">
        <v>711707870</v>
      </c>
      <c r="AR12" s="370">
        <v>348856521</v>
      </c>
      <c r="AS12" s="370">
        <v>0</v>
      </c>
      <c r="AT12" s="371">
        <v>0.74821673437079805</v>
      </c>
      <c r="AU12" s="371">
        <v>-3.5620446145509998E-3</v>
      </c>
      <c r="AV12" s="371">
        <v>0.66404690126025301</v>
      </c>
      <c r="AW12" s="371">
        <v>0.25534531024375201</v>
      </c>
      <c r="AX12" s="371">
        <v>0.4087015910165</v>
      </c>
      <c r="AY12" s="371">
        <f t="shared" si="1"/>
        <v>0.1489479343630247</v>
      </c>
    </row>
    <row r="13" spans="1:51" ht="15.4" x14ac:dyDescent="0.45">
      <c r="A13" s="334" t="s">
        <v>25</v>
      </c>
      <c r="B13" s="369"/>
      <c r="C13" s="369">
        <v>49947744</v>
      </c>
      <c r="D13" s="369">
        <v>38074145</v>
      </c>
      <c r="E13" s="369"/>
      <c r="F13" s="369"/>
      <c r="G13" s="369"/>
      <c r="H13" s="369"/>
      <c r="I13" s="369"/>
      <c r="J13" s="369"/>
      <c r="K13" s="369">
        <v>10680357</v>
      </c>
      <c r="L13" s="369"/>
      <c r="M13" s="369">
        <v>11869963</v>
      </c>
      <c r="N13" s="369">
        <v>7049357</v>
      </c>
      <c r="O13" s="369"/>
      <c r="P13" s="369">
        <v>4763165</v>
      </c>
      <c r="Q13" s="369">
        <v>2967379</v>
      </c>
      <c r="R13" s="369"/>
      <c r="S13" s="369"/>
      <c r="T13" s="369"/>
      <c r="U13" s="369"/>
      <c r="V13" s="369"/>
      <c r="W13" s="369"/>
      <c r="X13" s="369"/>
      <c r="Y13" s="369">
        <v>125352110</v>
      </c>
      <c r="Z13" s="369">
        <v>14409571</v>
      </c>
      <c r="AA13" s="369">
        <v>110942539</v>
      </c>
      <c r="AB13" s="369">
        <v>6493565</v>
      </c>
      <c r="AC13" s="369">
        <v>1234866</v>
      </c>
      <c r="AD13" s="372">
        <v>7916006</v>
      </c>
      <c r="AE13" s="369">
        <v>14409571</v>
      </c>
      <c r="AF13" s="369">
        <v>25820634</v>
      </c>
      <c r="AG13" s="369">
        <v>5833527</v>
      </c>
      <c r="AH13" s="369">
        <v>0</v>
      </c>
      <c r="AI13" s="369">
        <v>-1234866</v>
      </c>
      <c r="AJ13" s="369">
        <v>23219229</v>
      </c>
      <c r="AK13" s="369">
        <v>74602232</v>
      </c>
      <c r="AL13" s="369">
        <v>0</v>
      </c>
      <c r="AM13" s="369">
        <v>223956758</v>
      </c>
      <c r="AN13" s="369">
        <v>147099542</v>
      </c>
      <c r="AO13" s="369">
        <v>626640</v>
      </c>
      <c r="AP13" s="369">
        <v>49096733</v>
      </c>
      <c r="AQ13" s="369">
        <v>495951697</v>
      </c>
      <c r="AR13" s="370">
        <v>284312308</v>
      </c>
      <c r="AS13" s="370">
        <v>4065827</v>
      </c>
      <c r="AT13" s="371">
        <v>0.56148856662729996</v>
      </c>
      <c r="AU13" s="371">
        <v>0.26637209464255401</v>
      </c>
      <c r="AV13" s="371">
        <v>0.198992402846107</v>
      </c>
      <c r="AW13" s="371">
        <v>0.172139338730145</v>
      </c>
      <c r="AX13" s="371">
        <v>2.6853064115961899E-2</v>
      </c>
      <c r="AY13" s="371">
        <f t="shared" si="1"/>
        <v>0.12415230066659821</v>
      </c>
    </row>
    <row r="14" spans="1:51" ht="15.4" x14ac:dyDescent="0.45">
      <c r="A14" s="334" t="s">
        <v>26</v>
      </c>
      <c r="B14" s="369">
        <v>215835</v>
      </c>
      <c r="C14" s="369">
        <v>29181734</v>
      </c>
      <c r="D14" s="369">
        <v>6758277</v>
      </c>
      <c r="E14" s="369">
        <v>2495966</v>
      </c>
      <c r="F14" s="369">
        <v>0</v>
      </c>
      <c r="G14" s="369">
        <v>267013</v>
      </c>
      <c r="H14" s="369">
        <v>4597680</v>
      </c>
      <c r="I14" s="369">
        <v>96533</v>
      </c>
      <c r="J14" s="369">
        <v>0</v>
      </c>
      <c r="K14" s="369">
        <v>380221</v>
      </c>
      <c r="L14" s="369">
        <v>92448</v>
      </c>
      <c r="M14" s="369">
        <v>3244137</v>
      </c>
      <c r="N14" s="369">
        <v>4821025</v>
      </c>
      <c r="O14" s="369">
        <v>70202</v>
      </c>
      <c r="P14" s="369">
        <v>2892923</v>
      </c>
      <c r="Q14" s="369">
        <v>5066628</v>
      </c>
      <c r="R14" s="369">
        <v>3180082</v>
      </c>
      <c r="S14" s="369">
        <v>0</v>
      </c>
      <c r="T14" s="369">
        <v>0</v>
      </c>
      <c r="U14" s="369">
        <v>48904</v>
      </c>
      <c r="V14" s="369"/>
      <c r="W14" s="369"/>
      <c r="X14" s="369"/>
      <c r="Y14" s="369">
        <v>63409608</v>
      </c>
      <c r="Z14" s="369">
        <v>24754171</v>
      </c>
      <c r="AA14" s="369">
        <v>38655437</v>
      </c>
      <c r="AB14" s="369">
        <v>6193460</v>
      </c>
      <c r="AC14" s="369">
        <v>4488137</v>
      </c>
      <c r="AD14" s="372">
        <v>18560711</v>
      </c>
      <c r="AE14" s="369">
        <v>24754171</v>
      </c>
      <c r="AF14" s="369">
        <v>27016369</v>
      </c>
      <c r="AG14" s="369">
        <v>2343172</v>
      </c>
      <c r="AH14" s="369">
        <v>-1682687</v>
      </c>
      <c r="AI14" s="369">
        <v>-4488137</v>
      </c>
      <c r="AJ14" s="369">
        <v>22955408</v>
      </c>
      <c r="AK14" s="369">
        <v>8769180</v>
      </c>
      <c r="AL14" s="369">
        <v>0</v>
      </c>
      <c r="AM14" s="369">
        <v>194143669</v>
      </c>
      <c r="AN14" s="369">
        <v>175599250</v>
      </c>
      <c r="AO14" s="369">
        <v>12377860</v>
      </c>
      <c r="AP14" s="369">
        <v>10982853</v>
      </c>
      <c r="AQ14" s="369">
        <v>406165054</v>
      </c>
      <c r="AR14" s="370">
        <v>224481290</v>
      </c>
      <c r="AS14" s="370">
        <v>0</v>
      </c>
      <c r="AT14" s="371">
        <v>0.55139636425845096</v>
      </c>
      <c r="AU14" s="371">
        <v>6.9784832835360106E-2</v>
      </c>
      <c r="AV14" s="371">
        <v>0.470420395410859</v>
      </c>
      <c r="AW14" s="371">
        <v>0.37881880290618802</v>
      </c>
      <c r="AX14" s="371">
        <v>9.16015925046713E-2</v>
      </c>
      <c r="AY14" s="371">
        <f t="shared" si="1"/>
        <v>6.2802682121323145E-2</v>
      </c>
    </row>
    <row r="15" spans="1:51" ht="15.4" x14ac:dyDescent="0.45">
      <c r="A15" s="334" t="s">
        <v>28</v>
      </c>
      <c r="B15" s="369"/>
      <c r="C15" s="369"/>
      <c r="D15" s="369"/>
      <c r="E15" s="369"/>
      <c r="F15" s="369"/>
      <c r="G15" s="369"/>
      <c r="H15" s="369"/>
      <c r="I15" s="369"/>
      <c r="J15" s="369"/>
      <c r="K15" s="369"/>
      <c r="L15" s="369"/>
      <c r="M15" s="369"/>
      <c r="N15" s="369"/>
      <c r="O15" s="369"/>
      <c r="P15" s="369"/>
      <c r="Q15" s="369"/>
      <c r="R15" s="369"/>
      <c r="S15" s="369"/>
      <c r="T15" s="369"/>
      <c r="U15" s="369"/>
      <c r="V15" s="369"/>
      <c r="W15" s="369"/>
      <c r="X15" s="369"/>
      <c r="Y15" s="369"/>
      <c r="Z15" s="369"/>
      <c r="AA15" s="369"/>
      <c r="AB15" s="369"/>
      <c r="AC15" s="369"/>
      <c r="AD15" s="369"/>
      <c r="AE15" s="369"/>
      <c r="AF15" s="369"/>
      <c r="AG15" s="369"/>
      <c r="AH15" s="369"/>
      <c r="AI15" s="369"/>
      <c r="AJ15" s="369"/>
      <c r="AK15" s="369"/>
      <c r="AL15" s="369"/>
      <c r="AM15" s="369"/>
      <c r="AN15" s="369"/>
      <c r="AO15" s="369"/>
      <c r="AP15" s="369"/>
      <c r="AQ15" s="369"/>
      <c r="AR15" s="370"/>
      <c r="AS15" s="370"/>
      <c r="AT15" s="371"/>
      <c r="AU15" s="371"/>
      <c r="AV15" s="371"/>
      <c r="AW15" s="371"/>
      <c r="AX15" s="371"/>
      <c r="AY15" s="371"/>
    </row>
    <row r="16" spans="1:51" ht="15.4" x14ac:dyDescent="0.45">
      <c r="A16" s="334" t="s">
        <v>46</v>
      </c>
      <c r="B16" s="369">
        <v>313519</v>
      </c>
      <c r="C16" s="369">
        <v>1254074</v>
      </c>
      <c r="D16" s="369">
        <v>6848348</v>
      </c>
      <c r="E16" s="369">
        <v>2935006</v>
      </c>
      <c r="F16" s="369"/>
      <c r="G16" s="369"/>
      <c r="H16" s="369">
        <v>314517</v>
      </c>
      <c r="I16" s="369">
        <v>209678</v>
      </c>
      <c r="J16" s="369">
        <v>52419</v>
      </c>
      <c r="K16" s="369">
        <v>104839</v>
      </c>
      <c r="L16" s="369">
        <v>366936</v>
      </c>
      <c r="M16" s="369"/>
      <c r="N16" s="369">
        <v>1097919</v>
      </c>
      <c r="O16" s="369"/>
      <c r="P16" s="369">
        <v>3045438</v>
      </c>
      <c r="Q16" s="369">
        <v>71443</v>
      </c>
      <c r="R16" s="369"/>
      <c r="S16" s="369"/>
      <c r="T16" s="369"/>
      <c r="U16" s="369"/>
      <c r="V16" s="369"/>
      <c r="W16" s="369"/>
      <c r="X16" s="369"/>
      <c r="Y16" s="369">
        <v>16614136</v>
      </c>
      <c r="Z16" s="369">
        <v>10320190</v>
      </c>
      <c r="AA16" s="369">
        <v>6293946</v>
      </c>
      <c r="AB16" s="369">
        <v>10320190</v>
      </c>
      <c r="AC16" s="369">
        <v>2879153</v>
      </c>
      <c r="AD16" s="372">
        <v>0</v>
      </c>
      <c r="AE16" s="369">
        <v>10320190</v>
      </c>
      <c r="AF16" s="369">
        <v>2136749</v>
      </c>
      <c r="AG16" s="369">
        <v>2642465</v>
      </c>
      <c r="AH16" s="369">
        <v>151476</v>
      </c>
      <c r="AI16" s="369">
        <v>-2879153</v>
      </c>
      <c r="AJ16" s="369">
        <v>2051537</v>
      </c>
      <c r="AK16" s="369">
        <v>2541234</v>
      </c>
      <c r="AL16" s="369">
        <v>0</v>
      </c>
      <c r="AM16" s="369">
        <v>0</v>
      </c>
      <c r="AN16" s="369">
        <v>69253231</v>
      </c>
      <c r="AO16" s="369">
        <v>12198349</v>
      </c>
      <c r="AP16" s="369">
        <v>8365623</v>
      </c>
      <c r="AQ16" s="369">
        <v>92358437</v>
      </c>
      <c r="AR16" s="370">
        <v>31440010</v>
      </c>
      <c r="AS16" s="370">
        <v>3022975</v>
      </c>
      <c r="AT16" s="371">
        <v>0.171530823101887</v>
      </c>
      <c r="AU16" s="371">
        <v>0.82846917689811195</v>
      </c>
      <c r="AV16" s="371">
        <v>0.231128449774057</v>
      </c>
      <c r="AW16" s="371"/>
      <c r="AX16" s="371">
        <v>0.231128449774057</v>
      </c>
      <c r="AY16" s="371">
        <f t="shared" si="1"/>
        <v>1.6455113583550795E-2</v>
      </c>
    </row>
    <row r="17" spans="1:51" ht="15.4" x14ac:dyDescent="0.45">
      <c r="A17" s="334" t="s">
        <v>69</v>
      </c>
      <c r="B17" s="369">
        <v>76914</v>
      </c>
      <c r="C17" s="369">
        <v>307656</v>
      </c>
      <c r="D17" s="369">
        <v>8646264</v>
      </c>
      <c r="E17" s="369">
        <v>3613364</v>
      </c>
      <c r="F17" s="369">
        <v>645243</v>
      </c>
      <c r="G17" s="369"/>
      <c r="H17" s="369">
        <v>937464</v>
      </c>
      <c r="I17" s="369">
        <v>25426</v>
      </c>
      <c r="J17" s="369"/>
      <c r="K17" s="369">
        <v>74325</v>
      </c>
      <c r="L17" s="369">
        <v>11736</v>
      </c>
      <c r="M17" s="369">
        <v>84104</v>
      </c>
      <c r="N17" s="369">
        <v>294452</v>
      </c>
      <c r="O17" s="369">
        <v>196303</v>
      </c>
      <c r="P17" s="369">
        <v>505920</v>
      </c>
      <c r="Q17" s="369">
        <v>8255</v>
      </c>
      <c r="R17" s="369">
        <v>917</v>
      </c>
      <c r="S17" s="369"/>
      <c r="T17" s="369"/>
      <c r="U17" s="369"/>
      <c r="V17" s="369"/>
      <c r="W17" s="369"/>
      <c r="X17" s="369"/>
      <c r="Y17" s="369">
        <v>15428343</v>
      </c>
      <c r="Z17" s="369">
        <v>9087462</v>
      </c>
      <c r="AA17" s="369">
        <v>6340881</v>
      </c>
      <c r="AB17" s="369">
        <v>9087462</v>
      </c>
      <c r="AC17" s="369">
        <v>6767025</v>
      </c>
      <c r="AD17" s="372">
        <v>0</v>
      </c>
      <c r="AE17" s="369">
        <v>9087462</v>
      </c>
      <c r="AF17" s="369">
        <v>9879775</v>
      </c>
      <c r="AG17" s="369">
        <v>248083</v>
      </c>
      <c r="AH17" s="369">
        <v>0</v>
      </c>
      <c r="AI17" s="369">
        <v>-6722975</v>
      </c>
      <c r="AJ17" s="369">
        <v>2553661</v>
      </c>
      <c r="AK17" s="369">
        <v>435398</v>
      </c>
      <c r="AL17" s="369">
        <v>0</v>
      </c>
      <c r="AM17" s="369">
        <v>0</v>
      </c>
      <c r="AN17" s="369">
        <v>67675041</v>
      </c>
      <c r="AO17" s="369">
        <v>4901303</v>
      </c>
      <c r="AP17" s="369">
        <v>47536078</v>
      </c>
      <c r="AQ17" s="369">
        <v>122540343</v>
      </c>
      <c r="AR17" s="370">
        <v>11835588</v>
      </c>
      <c r="AS17" s="370">
        <v>3385082</v>
      </c>
      <c r="AT17" s="371">
        <v>0.71425788072836205</v>
      </c>
      <c r="AU17" s="371">
        <v>0.28574211927163701</v>
      </c>
      <c r="AV17" s="371">
        <v>0.489221762169265</v>
      </c>
      <c r="AW17" s="371"/>
      <c r="AX17" s="371">
        <v>0.489221762169265</v>
      </c>
      <c r="AY17" s="371">
        <f t="shared" si="1"/>
        <v>1.5280670416504404E-2</v>
      </c>
    </row>
    <row r="18" spans="1:51" ht="15.4" x14ac:dyDescent="0.45">
      <c r="A18" s="334" t="s">
        <v>29</v>
      </c>
      <c r="B18" s="369"/>
      <c r="C18" s="369">
        <v>1523370</v>
      </c>
      <c r="D18" s="369">
        <v>15414895</v>
      </c>
      <c r="E18" s="369"/>
      <c r="F18" s="369"/>
      <c r="G18" s="369"/>
      <c r="H18" s="369">
        <v>726838</v>
      </c>
      <c r="I18" s="369"/>
      <c r="J18" s="369">
        <v>41110</v>
      </c>
      <c r="K18" s="369"/>
      <c r="L18" s="369">
        <v>218586</v>
      </c>
      <c r="M18" s="369"/>
      <c r="N18" s="369">
        <v>111042</v>
      </c>
      <c r="O18" s="369"/>
      <c r="P18" s="369">
        <v>1545431</v>
      </c>
      <c r="Q18" s="369">
        <v>8214</v>
      </c>
      <c r="R18" s="369"/>
      <c r="S18" s="369"/>
      <c r="T18" s="369"/>
      <c r="U18" s="369"/>
      <c r="V18" s="369"/>
      <c r="W18" s="369"/>
      <c r="X18" s="369"/>
      <c r="Y18" s="369">
        <v>19589486</v>
      </c>
      <c r="Z18" s="369">
        <v>15269903</v>
      </c>
      <c r="AA18" s="369">
        <v>4319583</v>
      </c>
      <c r="AB18" s="369">
        <v>9527810</v>
      </c>
      <c r="AC18" s="369">
        <v>3584887</v>
      </c>
      <c r="AD18" s="372">
        <v>5742093</v>
      </c>
      <c r="AE18" s="369">
        <v>15269903</v>
      </c>
      <c r="AF18" s="369">
        <v>2798736</v>
      </c>
      <c r="AG18" s="369">
        <v>4288512</v>
      </c>
      <c r="AH18" s="369">
        <v>1220840</v>
      </c>
      <c r="AI18" s="369">
        <v>-3584887</v>
      </c>
      <c r="AJ18" s="369">
        <v>3306241</v>
      </c>
      <c r="AK18" s="369">
        <v>13820475</v>
      </c>
      <c r="AL18" s="369">
        <v>0</v>
      </c>
      <c r="AM18" s="369">
        <v>0</v>
      </c>
      <c r="AN18" s="369">
        <v>88526103</v>
      </c>
      <c r="AO18" s="369">
        <v>21003223</v>
      </c>
      <c r="AP18" s="369">
        <v>27443989</v>
      </c>
      <c r="AQ18" s="369">
        <v>151248113</v>
      </c>
      <c r="AR18" s="370">
        <v>23704118</v>
      </c>
      <c r="AS18" s="370">
        <v>21701704</v>
      </c>
      <c r="AT18" s="371">
        <v>0.19366257461971301</v>
      </c>
      <c r="AU18" s="371">
        <v>0.40900501743404299</v>
      </c>
      <c r="AV18" s="371">
        <v>0.64539383501215397</v>
      </c>
      <c r="AW18" s="371">
        <v>0.39733240794624203</v>
      </c>
      <c r="AX18" s="371">
        <v>0.248061427065911</v>
      </c>
      <c r="AY18" s="371">
        <f t="shared" si="1"/>
        <v>1.9401984982750718E-2</v>
      </c>
    </row>
    <row r="19" spans="1:51" ht="15.4" x14ac:dyDescent="0.45">
      <c r="A19" s="334" t="s">
        <v>31</v>
      </c>
      <c r="B19" s="369"/>
      <c r="C19" s="369"/>
      <c r="D19" s="369"/>
      <c r="E19" s="369"/>
      <c r="F19" s="369"/>
      <c r="G19" s="369"/>
      <c r="H19" s="369"/>
      <c r="I19" s="369"/>
      <c r="J19" s="369"/>
      <c r="K19" s="369"/>
      <c r="L19" s="369"/>
      <c r="M19" s="369"/>
      <c r="N19" s="369"/>
      <c r="O19" s="369"/>
      <c r="P19" s="369"/>
      <c r="Q19" s="369"/>
      <c r="R19" s="369"/>
      <c r="S19" s="369"/>
      <c r="T19" s="369"/>
      <c r="U19" s="369"/>
      <c r="V19" s="369"/>
      <c r="W19" s="369"/>
      <c r="X19" s="369"/>
      <c r="Y19" s="369"/>
      <c r="Z19" s="369"/>
      <c r="AA19" s="369"/>
      <c r="AB19" s="369"/>
      <c r="AC19" s="369"/>
      <c r="AD19" s="372"/>
      <c r="AE19" s="369"/>
      <c r="AF19" s="369"/>
      <c r="AG19" s="369"/>
      <c r="AH19" s="369"/>
      <c r="AI19" s="369"/>
      <c r="AJ19" s="369"/>
      <c r="AK19" s="369"/>
      <c r="AL19" s="369"/>
      <c r="AM19" s="369"/>
      <c r="AN19" s="369"/>
      <c r="AO19" s="369"/>
      <c r="AP19" s="369"/>
      <c r="AQ19" s="369"/>
      <c r="AR19" s="370"/>
      <c r="AS19" s="370"/>
      <c r="AT19" s="371"/>
      <c r="AU19" s="371"/>
      <c r="AV19" s="371"/>
      <c r="AW19" s="371"/>
      <c r="AX19" s="371"/>
      <c r="AY19" s="371"/>
    </row>
    <row r="20" spans="1:51" ht="15.4" x14ac:dyDescent="0.45">
      <c r="A20" s="334" t="s">
        <v>32</v>
      </c>
      <c r="B20" s="369">
        <v>6335160</v>
      </c>
      <c r="C20" s="369"/>
      <c r="D20" s="369">
        <v>21379116</v>
      </c>
      <c r="E20" s="369"/>
      <c r="F20" s="369"/>
      <c r="G20" s="369"/>
      <c r="H20" s="369">
        <v>1339417</v>
      </c>
      <c r="I20" s="369"/>
      <c r="J20" s="369"/>
      <c r="K20" s="369">
        <v>1278915</v>
      </c>
      <c r="L20" s="369"/>
      <c r="M20" s="369"/>
      <c r="N20" s="369">
        <v>12855704</v>
      </c>
      <c r="O20" s="369"/>
      <c r="P20" s="369">
        <v>9947951</v>
      </c>
      <c r="Q20" s="369">
        <v>211923</v>
      </c>
      <c r="R20" s="369"/>
      <c r="S20" s="369"/>
      <c r="T20" s="369"/>
      <c r="U20" s="369"/>
      <c r="V20" s="369"/>
      <c r="W20" s="369"/>
      <c r="X20" s="369"/>
      <c r="Y20" s="369">
        <v>53348186</v>
      </c>
      <c r="Z20" s="369">
        <v>31259204</v>
      </c>
      <c r="AA20" s="369">
        <v>22088982</v>
      </c>
      <c r="AB20" s="369">
        <v>24121966</v>
      </c>
      <c r="AC20" s="369">
        <v>5474743</v>
      </c>
      <c r="AD20" s="372">
        <v>7137238</v>
      </c>
      <c r="AE20" s="369">
        <v>31259204</v>
      </c>
      <c r="AF20" s="369">
        <v>8282192</v>
      </c>
      <c r="AG20" s="369">
        <v>2400468</v>
      </c>
      <c r="AH20" s="369">
        <v>0</v>
      </c>
      <c r="AI20" s="369">
        <v>-5465099</v>
      </c>
      <c r="AJ20" s="369">
        <v>3758690</v>
      </c>
      <c r="AK20" s="369">
        <v>13273036</v>
      </c>
      <c r="AL20" s="369">
        <v>0</v>
      </c>
      <c r="AM20" s="369">
        <v>0</v>
      </c>
      <c r="AN20" s="369">
        <v>116858872</v>
      </c>
      <c r="AO20" s="369">
        <v>15590845</v>
      </c>
      <c r="AP20" s="369">
        <v>5436286</v>
      </c>
      <c r="AQ20" s="369">
        <v>151159039</v>
      </c>
      <c r="AR20" s="370">
        <v>52944140</v>
      </c>
      <c r="AS20" s="370">
        <v>0</v>
      </c>
      <c r="AT20" s="371">
        <v>0.21708735081095001</v>
      </c>
      <c r="AU20" s="371">
        <v>0.59583607700535202</v>
      </c>
      <c r="AV20" s="371">
        <v>0.33057692260310201</v>
      </c>
      <c r="AW20" s="371">
        <v>0.187076572183697</v>
      </c>
      <c r="AX20" s="371">
        <v>0.14350035041940501</v>
      </c>
      <c r="AY20" s="371">
        <f t="shared" si="1"/>
        <v>5.2837563151426854E-2</v>
      </c>
    </row>
    <row r="21" spans="1:51" ht="15.4" x14ac:dyDescent="0.45">
      <c r="A21" s="334" t="s">
        <v>33</v>
      </c>
      <c r="B21" s="369"/>
      <c r="C21" s="369"/>
      <c r="D21" s="369"/>
      <c r="E21" s="369"/>
      <c r="F21" s="369"/>
      <c r="G21" s="369"/>
      <c r="H21" s="369"/>
      <c r="I21" s="369"/>
      <c r="J21" s="369"/>
      <c r="K21" s="369"/>
      <c r="L21" s="369"/>
      <c r="M21" s="369"/>
      <c r="N21" s="369"/>
      <c r="O21" s="369"/>
      <c r="P21" s="369"/>
      <c r="Q21" s="369"/>
      <c r="R21" s="369"/>
      <c r="S21" s="369"/>
      <c r="T21" s="369"/>
      <c r="U21" s="369"/>
      <c r="V21" s="369"/>
      <c r="W21" s="369"/>
      <c r="X21" s="369"/>
      <c r="Y21" s="369"/>
      <c r="Z21" s="369"/>
      <c r="AA21" s="369"/>
      <c r="AB21" s="369"/>
      <c r="AC21" s="369"/>
      <c r="AD21" s="369"/>
      <c r="AE21" s="369"/>
      <c r="AF21" s="369"/>
      <c r="AG21" s="369"/>
      <c r="AH21" s="369"/>
      <c r="AI21" s="369"/>
      <c r="AJ21" s="369"/>
      <c r="AK21" s="369"/>
      <c r="AL21" s="369"/>
      <c r="AM21" s="369"/>
      <c r="AN21" s="369"/>
      <c r="AO21" s="369"/>
      <c r="AP21" s="369"/>
      <c r="AQ21" s="369"/>
      <c r="AR21" s="370"/>
      <c r="AS21" s="370"/>
      <c r="AT21" s="371"/>
      <c r="AU21" s="371"/>
      <c r="AV21" s="371"/>
      <c r="AW21" s="371"/>
      <c r="AX21" s="371"/>
      <c r="AY21" s="371"/>
    </row>
    <row r="22" spans="1:51" ht="15.4" x14ac:dyDescent="0.45">
      <c r="A22" s="334" t="s">
        <v>34</v>
      </c>
      <c r="B22" s="369">
        <v>13483</v>
      </c>
      <c r="C22" s="369">
        <v>660647</v>
      </c>
      <c r="D22" s="369">
        <v>6172695</v>
      </c>
      <c r="E22" s="369">
        <v>18126360</v>
      </c>
      <c r="F22" s="369">
        <v>31630</v>
      </c>
      <c r="G22" s="369">
        <v>0</v>
      </c>
      <c r="H22" s="369">
        <v>167045</v>
      </c>
      <c r="I22" s="369">
        <v>0</v>
      </c>
      <c r="J22" s="369">
        <v>0</v>
      </c>
      <c r="K22" s="369">
        <v>49896</v>
      </c>
      <c r="L22" s="369">
        <v>6084</v>
      </c>
      <c r="M22" s="369">
        <v>602330</v>
      </c>
      <c r="N22" s="369">
        <v>46345</v>
      </c>
      <c r="O22" s="369">
        <v>41098</v>
      </c>
      <c r="P22" s="369">
        <v>1152093</v>
      </c>
      <c r="Q22" s="369">
        <v>0</v>
      </c>
      <c r="R22" s="369">
        <v>0</v>
      </c>
      <c r="S22" s="369">
        <v>0</v>
      </c>
      <c r="T22" s="369">
        <v>0</v>
      </c>
      <c r="U22" s="369">
        <v>0</v>
      </c>
      <c r="V22" s="369">
        <v>0</v>
      </c>
      <c r="W22" s="369">
        <v>0</v>
      </c>
      <c r="X22" s="369">
        <v>0</v>
      </c>
      <c r="Y22" s="369">
        <v>27069706</v>
      </c>
      <c r="Z22" s="369">
        <v>10683164</v>
      </c>
      <c r="AA22" s="369">
        <v>16386542</v>
      </c>
      <c r="AB22" s="369">
        <v>2529778</v>
      </c>
      <c r="AC22" s="369">
        <v>9227594</v>
      </c>
      <c r="AD22" s="372">
        <v>8153386</v>
      </c>
      <c r="AE22" s="369">
        <v>10683164</v>
      </c>
      <c r="AF22" s="369">
        <v>15852579</v>
      </c>
      <c r="AG22" s="369">
        <v>1297838</v>
      </c>
      <c r="AH22" s="369">
        <v>-563697</v>
      </c>
      <c r="AI22" s="369">
        <v>-9227594</v>
      </c>
      <c r="AJ22" s="369">
        <v>5151389</v>
      </c>
      <c r="AK22" s="369">
        <v>4075241</v>
      </c>
      <c r="AL22" s="369">
        <v>2199153</v>
      </c>
      <c r="AM22" s="369">
        <v>2011516</v>
      </c>
      <c r="AN22" s="369">
        <v>56811882</v>
      </c>
      <c r="AO22" s="369">
        <v>16049924</v>
      </c>
      <c r="AP22" s="369">
        <v>27446682</v>
      </c>
      <c r="AQ22" s="369">
        <v>108594398</v>
      </c>
      <c r="AR22" s="370">
        <v>19973322</v>
      </c>
      <c r="AS22" s="370">
        <v>7035579</v>
      </c>
      <c r="AT22" s="371">
        <v>0.60151666819898797</v>
      </c>
      <c r="AU22" s="371">
        <v>8.9107956269984606E-2</v>
      </c>
      <c r="AV22" s="371">
        <v>0.65951093381293002</v>
      </c>
      <c r="AW22" s="371">
        <v>0.30937537553102701</v>
      </c>
      <c r="AX22" s="371">
        <v>0.35013555828190301</v>
      </c>
      <c r="AY22" s="371">
        <f t="shared" si="1"/>
        <v>2.6810607960794739E-2</v>
      </c>
    </row>
    <row r="23" spans="1:51" ht="15.4" x14ac:dyDescent="0.45">
      <c r="A23" s="334" t="s">
        <v>35</v>
      </c>
      <c r="B23" s="369"/>
      <c r="C23" s="369">
        <v>2102069</v>
      </c>
      <c r="D23" s="369">
        <v>16561588</v>
      </c>
      <c r="E23" s="369">
        <v>576041</v>
      </c>
      <c r="F23" s="369"/>
      <c r="G23" s="369"/>
      <c r="H23" s="369"/>
      <c r="I23" s="369"/>
      <c r="J23" s="369"/>
      <c r="K23" s="369"/>
      <c r="L23" s="369">
        <v>140402</v>
      </c>
      <c r="M23" s="369"/>
      <c r="N23" s="369">
        <v>969046</v>
      </c>
      <c r="O23" s="369"/>
      <c r="P23" s="369">
        <v>356028</v>
      </c>
      <c r="Q23" s="369"/>
      <c r="R23" s="369">
        <v>2210489</v>
      </c>
      <c r="S23" s="369"/>
      <c r="T23" s="369"/>
      <c r="U23" s="369"/>
      <c r="V23" s="369"/>
      <c r="W23" s="369"/>
      <c r="X23" s="369"/>
      <c r="Y23" s="369">
        <v>22915663</v>
      </c>
      <c r="Z23" s="369">
        <v>22004250</v>
      </c>
      <c r="AA23" s="369">
        <v>911413</v>
      </c>
      <c r="AB23" s="369">
        <v>18125791</v>
      </c>
      <c r="AC23" s="369">
        <v>12767352</v>
      </c>
      <c r="AD23" s="372">
        <v>3878459</v>
      </c>
      <c r="AE23" s="369">
        <v>22004250</v>
      </c>
      <c r="AF23" s="369">
        <v>9912691</v>
      </c>
      <c r="AG23" s="369">
        <v>2683101</v>
      </c>
      <c r="AH23" s="369">
        <v>-85933</v>
      </c>
      <c r="AI23" s="369">
        <v>-12447964</v>
      </c>
      <c r="AJ23" s="369">
        <v>43945</v>
      </c>
      <c r="AK23" s="369">
        <v>7063656</v>
      </c>
      <c r="AL23" s="369">
        <v>34582189</v>
      </c>
      <c r="AM23" s="369">
        <v>0</v>
      </c>
      <c r="AN23" s="369">
        <v>63039652</v>
      </c>
      <c r="AO23" s="369">
        <v>3959597</v>
      </c>
      <c r="AP23" s="369">
        <v>31361693</v>
      </c>
      <c r="AQ23" s="369">
        <v>141460840</v>
      </c>
      <c r="AR23" s="370">
        <v>71909460</v>
      </c>
      <c r="AS23" s="370">
        <v>0</v>
      </c>
      <c r="AT23" s="371">
        <v>0.43257273420367498</v>
      </c>
      <c r="AU23" s="371">
        <v>0.39817800602147002</v>
      </c>
      <c r="AV23" s="371">
        <v>0.72639447525476297</v>
      </c>
      <c r="AW23" s="371">
        <v>0.169249259774853</v>
      </c>
      <c r="AX23" s="371">
        <v>0.55714521547990903</v>
      </c>
      <c r="AY23" s="371">
        <f t="shared" si="1"/>
        <v>2.2696325436807087E-2</v>
      </c>
    </row>
    <row r="24" spans="1:51" ht="15.4" x14ac:dyDescent="0.45">
      <c r="A24" s="334" t="s">
        <v>36</v>
      </c>
      <c r="B24" s="369"/>
      <c r="C24" s="369"/>
      <c r="D24" s="369"/>
      <c r="E24" s="369"/>
      <c r="F24" s="369"/>
      <c r="G24" s="369"/>
      <c r="H24" s="369"/>
      <c r="I24" s="369"/>
      <c r="J24" s="369"/>
      <c r="K24" s="369"/>
      <c r="L24" s="369"/>
      <c r="M24" s="369"/>
      <c r="N24" s="369"/>
      <c r="O24" s="369"/>
      <c r="P24" s="369"/>
      <c r="Q24" s="369"/>
      <c r="R24" s="369"/>
      <c r="S24" s="369"/>
      <c r="T24" s="369"/>
      <c r="U24" s="369"/>
      <c r="V24" s="369"/>
      <c r="W24" s="369"/>
      <c r="X24" s="369"/>
      <c r="Y24" s="369"/>
      <c r="Z24" s="369"/>
      <c r="AA24" s="369"/>
      <c r="AB24" s="369"/>
      <c r="AC24" s="369"/>
      <c r="AD24" s="369"/>
      <c r="AE24" s="369"/>
      <c r="AF24" s="369"/>
      <c r="AG24" s="369"/>
      <c r="AH24" s="369"/>
      <c r="AI24" s="369"/>
      <c r="AJ24" s="369"/>
      <c r="AK24" s="369"/>
      <c r="AL24" s="369"/>
      <c r="AM24" s="369"/>
      <c r="AN24" s="369"/>
      <c r="AO24" s="369"/>
      <c r="AP24" s="369"/>
      <c r="AQ24" s="369"/>
      <c r="AR24" s="370"/>
      <c r="AS24" s="370"/>
      <c r="AT24" s="371"/>
      <c r="AU24" s="371"/>
      <c r="AV24" s="371"/>
      <c r="AW24" s="371"/>
      <c r="AX24" s="371"/>
      <c r="AY24" s="371"/>
    </row>
    <row r="25" spans="1:51" ht="15.4" x14ac:dyDescent="0.45">
      <c r="A25" s="334" t="s">
        <v>146</v>
      </c>
      <c r="B25" s="369"/>
      <c r="C25" s="369">
        <v>7298359</v>
      </c>
      <c r="D25" s="369">
        <v>5918374</v>
      </c>
      <c r="E25" s="369"/>
      <c r="F25" s="369"/>
      <c r="G25" s="369"/>
      <c r="H25" s="369">
        <v>1157337</v>
      </c>
      <c r="I25" s="369">
        <v>3177425</v>
      </c>
      <c r="J25" s="369"/>
      <c r="K25" s="369">
        <v>140959</v>
      </c>
      <c r="L25" s="369"/>
      <c r="M25" s="369"/>
      <c r="N25" s="369">
        <v>343952</v>
      </c>
      <c r="O25" s="369"/>
      <c r="P25" s="369">
        <v>2396839</v>
      </c>
      <c r="Q25" s="369">
        <v>3677151</v>
      </c>
      <c r="R25" s="369"/>
      <c r="S25" s="369"/>
      <c r="T25" s="369"/>
      <c r="U25" s="369"/>
      <c r="V25" s="369"/>
      <c r="W25" s="369"/>
      <c r="X25" s="369"/>
      <c r="Y25" s="369">
        <v>24110396</v>
      </c>
      <c r="Z25" s="369">
        <v>27043205</v>
      </c>
      <c r="AA25" s="369">
        <v>-2932809</v>
      </c>
      <c r="AB25" s="369">
        <v>23860658</v>
      </c>
      <c r="AC25" s="369">
        <v>5535000</v>
      </c>
      <c r="AD25" s="372">
        <v>3182547</v>
      </c>
      <c r="AE25" s="369">
        <v>27043205</v>
      </c>
      <c r="AF25" s="369">
        <v>5640847</v>
      </c>
      <c r="AG25" s="369">
        <v>4743405</v>
      </c>
      <c r="AH25" s="369">
        <v>0</v>
      </c>
      <c r="AI25" s="369">
        <v>-5535000</v>
      </c>
      <c r="AJ25" s="369">
        <v>3394252</v>
      </c>
      <c r="AK25" s="369">
        <v>28886047</v>
      </c>
      <c r="AL25" s="369">
        <v>3839422</v>
      </c>
      <c r="AM25" s="369">
        <v>50834806</v>
      </c>
      <c r="AN25" s="369">
        <v>78840624</v>
      </c>
      <c r="AO25" s="369">
        <v>9845469</v>
      </c>
      <c r="AP25" s="369">
        <v>2838158</v>
      </c>
      <c r="AQ25" s="369">
        <v>175163390</v>
      </c>
      <c r="AR25" s="370">
        <v>67627865</v>
      </c>
      <c r="AS25" s="370">
        <v>4759437</v>
      </c>
      <c r="AT25" s="371">
        <v>0.78921288395247802</v>
      </c>
      <c r="AU25" s="371">
        <v>-0.23448415193480601</v>
      </c>
      <c r="AV25" s="371">
        <v>1.2196750610078999</v>
      </c>
      <c r="AW25" s="371">
        <v>0.44527126798232702</v>
      </c>
      <c r="AX25" s="371">
        <v>0.77440379302558005</v>
      </c>
      <c r="AY25" s="371">
        <f t="shared" si="1"/>
        <v>2.3879623034528473E-2</v>
      </c>
    </row>
    <row r="26" spans="1:51" ht="15.4" x14ac:dyDescent="0.45">
      <c r="A26" s="334" t="s">
        <v>77</v>
      </c>
      <c r="B26" s="369">
        <v>542899</v>
      </c>
      <c r="C26" s="369">
        <v>5550630</v>
      </c>
      <c r="D26" s="369">
        <v>4851185</v>
      </c>
      <c r="E26" s="369">
        <v>7372889</v>
      </c>
      <c r="F26" s="369">
        <v>174365</v>
      </c>
      <c r="G26" s="369">
        <v>700715</v>
      </c>
      <c r="H26" s="369">
        <v>310420</v>
      </c>
      <c r="I26" s="369">
        <v>733642</v>
      </c>
      <c r="J26" s="369">
        <v>721530</v>
      </c>
      <c r="K26" s="369">
        <v>180138</v>
      </c>
      <c r="L26" s="369">
        <v>7101</v>
      </c>
      <c r="M26" s="369">
        <v>558632</v>
      </c>
      <c r="N26" s="369">
        <v>156653</v>
      </c>
      <c r="O26" s="369">
        <v>22325</v>
      </c>
      <c r="P26" s="369">
        <v>71557</v>
      </c>
      <c r="Q26" s="369">
        <v>11521</v>
      </c>
      <c r="R26" s="369">
        <v>533798</v>
      </c>
      <c r="S26" s="369"/>
      <c r="T26" s="369"/>
      <c r="U26" s="369"/>
      <c r="V26" s="369"/>
      <c r="W26" s="369"/>
      <c r="X26" s="369"/>
      <c r="Y26" s="369">
        <v>22500000</v>
      </c>
      <c r="Z26" s="369">
        <v>4561008</v>
      </c>
      <c r="AA26" s="369">
        <v>17938992</v>
      </c>
      <c r="AB26" s="369">
        <v>3147096</v>
      </c>
      <c r="AC26" s="369">
        <v>12243196</v>
      </c>
      <c r="AD26" s="372">
        <v>1413912</v>
      </c>
      <c r="AE26" s="369">
        <v>4561008</v>
      </c>
      <c r="AF26" s="369">
        <v>11188989</v>
      </c>
      <c r="AG26" s="369">
        <v>1624354</v>
      </c>
      <c r="AH26" s="369">
        <v>0</v>
      </c>
      <c r="AI26" s="369">
        <v>-12243196</v>
      </c>
      <c r="AJ26" s="369">
        <v>399102</v>
      </c>
      <c r="AK26" s="369">
        <v>666089</v>
      </c>
      <c r="AL26" s="369">
        <v>0</v>
      </c>
      <c r="AM26" s="369">
        <v>47852750</v>
      </c>
      <c r="AN26" s="369">
        <v>60841189</v>
      </c>
      <c r="AO26" s="369">
        <v>32170494</v>
      </c>
      <c r="AP26" s="369">
        <v>2002637</v>
      </c>
      <c r="AQ26" s="369">
        <v>143533159</v>
      </c>
      <c r="AR26" s="370">
        <v>44963482</v>
      </c>
      <c r="AS26" s="370">
        <v>0</v>
      </c>
      <c r="AT26" s="371">
        <v>0.73373575938741997</v>
      </c>
      <c r="AU26" s="371">
        <v>0.17354471116921399</v>
      </c>
      <c r="AV26" s="371">
        <v>0.89558659047890798</v>
      </c>
      <c r="AW26" s="371">
        <v>9.2719529443364895E-2</v>
      </c>
      <c r="AX26" s="371">
        <v>0.80286706103554295</v>
      </c>
      <c r="AY26" s="371">
        <f t="shared" si="1"/>
        <v>2.22846409605587E-2</v>
      </c>
    </row>
    <row r="27" spans="1:51" ht="15.4" x14ac:dyDescent="0.45">
      <c r="A27" s="334" t="s">
        <v>39</v>
      </c>
      <c r="B27" s="369">
        <v>391226</v>
      </c>
      <c r="C27" s="369">
        <v>19081310</v>
      </c>
      <c r="D27" s="369">
        <v>13742395</v>
      </c>
      <c r="E27" s="369">
        <v>5487303</v>
      </c>
      <c r="F27" s="369">
        <v>85935</v>
      </c>
      <c r="G27" s="369">
        <v>0</v>
      </c>
      <c r="H27" s="369">
        <v>1218825</v>
      </c>
      <c r="I27" s="369">
        <v>170684</v>
      </c>
      <c r="J27" s="369">
        <v>145959</v>
      </c>
      <c r="K27" s="369">
        <v>449050</v>
      </c>
      <c r="L27" s="369">
        <v>715094</v>
      </c>
      <c r="M27" s="369">
        <v>1999981</v>
      </c>
      <c r="N27" s="369">
        <v>460818</v>
      </c>
      <c r="O27" s="369">
        <v>920434</v>
      </c>
      <c r="P27" s="369">
        <v>8167458</v>
      </c>
      <c r="Q27" s="369">
        <v>174695</v>
      </c>
      <c r="R27" s="369">
        <v>736617</v>
      </c>
      <c r="S27" s="369">
        <v>2643695</v>
      </c>
      <c r="T27" s="369"/>
      <c r="U27" s="369"/>
      <c r="V27" s="369"/>
      <c r="W27" s="369"/>
      <c r="X27" s="369"/>
      <c r="Y27" s="369">
        <v>56591479</v>
      </c>
      <c r="Z27" s="369">
        <v>643015</v>
      </c>
      <c r="AA27" s="369">
        <v>55948464</v>
      </c>
      <c r="AB27" s="369">
        <v>-11141632</v>
      </c>
      <c r="AC27" s="369">
        <v>41125024</v>
      </c>
      <c r="AD27" s="369">
        <v>11784647</v>
      </c>
      <c r="AE27" s="369">
        <v>643015</v>
      </c>
      <c r="AF27" s="369">
        <v>49621601</v>
      </c>
      <c r="AG27" s="369">
        <v>3337652</v>
      </c>
      <c r="AH27" s="369">
        <v>0</v>
      </c>
      <c r="AI27" s="369">
        <v>-43488948</v>
      </c>
      <c r="AJ27" s="369">
        <v>6629213</v>
      </c>
      <c r="AK27" s="369">
        <v>85393497</v>
      </c>
      <c r="AL27" s="369">
        <v>0</v>
      </c>
      <c r="AM27" s="369">
        <v>64804452</v>
      </c>
      <c r="AN27" s="369">
        <v>575781555</v>
      </c>
      <c r="AO27" s="369">
        <v>18554928</v>
      </c>
      <c r="AP27" s="369">
        <v>148543325</v>
      </c>
      <c r="AQ27" s="369">
        <v>893100630</v>
      </c>
      <c r="AR27" s="370">
        <v>167921074</v>
      </c>
      <c r="AS27" s="370">
        <v>0</v>
      </c>
      <c r="AT27" s="371">
        <v>1.04814534742615</v>
      </c>
      <c r="AU27" s="371">
        <v>-0.29706966012839597</v>
      </c>
      <c r="AV27" s="371">
        <v>1.1175984727396999</v>
      </c>
      <c r="AW27" s="371">
        <v>0.248924312702237</v>
      </c>
      <c r="AX27" s="371">
        <v>0.86867416003746301</v>
      </c>
      <c r="AY27" s="371">
        <f t="shared" si="1"/>
        <v>5.6049812930755442E-2</v>
      </c>
    </row>
    <row r="28" spans="1:51" ht="15.4" x14ac:dyDescent="0.45">
      <c r="A28" s="334" t="s">
        <v>40</v>
      </c>
      <c r="B28" s="369">
        <v>383288</v>
      </c>
      <c r="C28" s="369">
        <v>43793369</v>
      </c>
      <c r="D28" s="369">
        <v>25538142</v>
      </c>
      <c r="E28" s="369">
        <v>9804699</v>
      </c>
      <c r="F28" s="369">
        <v>81329</v>
      </c>
      <c r="G28" s="369">
        <v>0</v>
      </c>
      <c r="H28" s="369">
        <v>3977169</v>
      </c>
      <c r="I28" s="369">
        <v>576702</v>
      </c>
      <c r="J28" s="369">
        <v>1385543</v>
      </c>
      <c r="K28" s="369">
        <v>1788460</v>
      </c>
      <c r="L28" s="369">
        <v>2604089</v>
      </c>
      <c r="M28" s="369">
        <v>2210485</v>
      </c>
      <c r="N28" s="369">
        <v>15543718</v>
      </c>
      <c r="O28" s="369">
        <v>4557200</v>
      </c>
      <c r="P28" s="369">
        <v>4938555</v>
      </c>
      <c r="Q28" s="369">
        <v>1061026</v>
      </c>
      <c r="R28" s="369">
        <v>125213</v>
      </c>
      <c r="S28" s="369">
        <v>558312</v>
      </c>
      <c r="T28" s="369"/>
      <c r="U28" s="369"/>
      <c r="V28" s="369"/>
      <c r="W28" s="369"/>
      <c r="X28" s="369"/>
      <c r="Y28" s="369">
        <v>118927299</v>
      </c>
      <c r="Z28" s="369">
        <v>0</v>
      </c>
      <c r="AA28" s="369">
        <v>118927299</v>
      </c>
      <c r="AB28" s="369">
        <v>0</v>
      </c>
      <c r="AC28" s="369">
        <v>22113293</v>
      </c>
      <c r="AD28" s="372">
        <v>0</v>
      </c>
      <c r="AE28" s="369">
        <v>0</v>
      </c>
      <c r="AF28" s="369">
        <v>118927299</v>
      </c>
      <c r="AG28" s="369">
        <v>0</v>
      </c>
      <c r="AH28" s="369">
        <v>0</v>
      </c>
      <c r="AI28" s="369">
        <v>-22113293</v>
      </c>
      <c r="AJ28" s="369">
        <v>96814006</v>
      </c>
      <c r="AK28" s="369">
        <v>3933461</v>
      </c>
      <c r="AL28" s="369">
        <v>6660983</v>
      </c>
      <c r="AM28" s="369">
        <v>4385979</v>
      </c>
      <c r="AN28" s="369">
        <v>831732551</v>
      </c>
      <c r="AO28" s="369">
        <v>61378988</v>
      </c>
      <c r="AP28" s="369">
        <v>2990513</v>
      </c>
      <c r="AQ28" s="369">
        <v>916581538</v>
      </c>
      <c r="AR28" s="370">
        <v>132214892</v>
      </c>
      <c r="AS28" s="370">
        <v>64637632</v>
      </c>
      <c r="AT28" s="371">
        <v>1</v>
      </c>
      <c r="AU28" s="371">
        <v>0</v>
      </c>
      <c r="AV28" s="371">
        <v>0.18593958818487899</v>
      </c>
      <c r="AW28" s="371">
        <v>0</v>
      </c>
      <c r="AX28" s="371">
        <v>0.18593958818487899</v>
      </c>
      <c r="AY28" s="371">
        <f t="shared" si="1"/>
        <v>0.11778898482773385</v>
      </c>
    </row>
    <row r="29" spans="1:51" ht="15.4" x14ac:dyDescent="0.45">
      <c r="A29" s="334" t="s">
        <v>90</v>
      </c>
      <c r="B29" s="369">
        <v>4578822</v>
      </c>
      <c r="C29" s="369"/>
      <c r="D29" s="369">
        <v>18297477</v>
      </c>
      <c r="E29" s="369"/>
      <c r="F29" s="369"/>
      <c r="G29" s="369"/>
      <c r="H29" s="369">
        <v>1973188</v>
      </c>
      <c r="I29" s="369"/>
      <c r="J29" s="369"/>
      <c r="K29" s="369"/>
      <c r="L29" s="369"/>
      <c r="M29" s="369"/>
      <c r="N29" s="369">
        <v>914834</v>
      </c>
      <c r="O29" s="369"/>
      <c r="P29" s="369">
        <v>584458</v>
      </c>
      <c r="Q29" s="369">
        <v>232040</v>
      </c>
      <c r="R29" s="369"/>
      <c r="S29" s="369"/>
      <c r="T29" s="369"/>
      <c r="U29" s="369"/>
      <c r="V29" s="369"/>
      <c r="W29" s="369"/>
      <c r="X29" s="369"/>
      <c r="Y29" s="369">
        <v>26580819</v>
      </c>
      <c r="Z29" s="369">
        <v>15698729.1</v>
      </c>
      <c r="AA29" s="369">
        <v>10882089.9</v>
      </c>
      <c r="AB29" s="369">
        <v>2958548</v>
      </c>
      <c r="AC29" s="369">
        <v>2658850</v>
      </c>
      <c r="AD29" s="369">
        <v>12740181.099999901</v>
      </c>
      <c r="AE29" s="369">
        <v>15698729.099999901</v>
      </c>
      <c r="AF29" s="369">
        <v>6611228.3499999996</v>
      </c>
      <c r="AG29" s="369">
        <v>6270668.1791340802</v>
      </c>
      <c r="AH29" s="369">
        <v>0</v>
      </c>
      <c r="AI29" s="369">
        <v>-2538975</v>
      </c>
      <c r="AJ29" s="369">
        <v>7878426.5291340798</v>
      </c>
      <c r="AK29" s="369">
        <v>6034303</v>
      </c>
      <c r="AL29" s="369">
        <v>0</v>
      </c>
      <c r="AM29" s="369">
        <v>20955723.772994898</v>
      </c>
      <c r="AN29" s="369">
        <v>114118696</v>
      </c>
      <c r="AO29" s="369">
        <v>13951379</v>
      </c>
      <c r="AP29" s="369">
        <v>13630196.390799999</v>
      </c>
      <c r="AQ29" s="369">
        <v>168690298.16</v>
      </c>
      <c r="AR29" s="370">
        <v>67847406.929999903</v>
      </c>
      <c r="AS29" s="370">
        <v>0</v>
      </c>
      <c r="AT29" s="371">
        <v>0.28028573678810698</v>
      </c>
      <c r="AU29" s="371">
        <v>0.17958906145155201</v>
      </c>
      <c r="AV29" s="371">
        <v>0.65284823775395395</v>
      </c>
      <c r="AW29" s="371">
        <v>0.54012520176033896</v>
      </c>
      <c r="AX29" s="371">
        <v>0.112723035993615</v>
      </c>
      <c r="AY29" s="371">
        <f t="shared" si="1"/>
        <v>2.6326400349004308E-2</v>
      </c>
    </row>
    <row r="30" spans="1:51" ht="15.4" x14ac:dyDescent="0.45">
      <c r="A30" s="334" t="s">
        <v>41</v>
      </c>
      <c r="B30" s="369">
        <v>181812</v>
      </c>
      <c r="C30" s="369">
        <v>1236401</v>
      </c>
      <c r="D30" s="369">
        <v>10265754</v>
      </c>
      <c r="E30" s="369">
        <v>1109347</v>
      </c>
      <c r="F30" s="369">
        <v>1986</v>
      </c>
      <c r="G30" s="369">
        <v>2272928</v>
      </c>
      <c r="H30" s="369">
        <v>467002</v>
      </c>
      <c r="I30" s="369">
        <v>0</v>
      </c>
      <c r="J30" s="369">
        <v>401433</v>
      </c>
      <c r="K30" s="369">
        <v>23386</v>
      </c>
      <c r="L30" s="369">
        <v>135461</v>
      </c>
      <c r="M30" s="369">
        <v>0</v>
      </c>
      <c r="N30" s="369">
        <v>71443</v>
      </c>
      <c r="O30" s="369">
        <v>0</v>
      </c>
      <c r="P30" s="369">
        <v>212101</v>
      </c>
      <c r="Q30" s="369">
        <v>201513</v>
      </c>
      <c r="R30" s="369">
        <v>34896</v>
      </c>
      <c r="S30" s="369"/>
      <c r="T30" s="369"/>
      <c r="U30" s="369"/>
      <c r="V30" s="369"/>
      <c r="W30" s="369"/>
      <c r="X30" s="369"/>
      <c r="Y30" s="369">
        <v>16615463</v>
      </c>
      <c r="Z30" s="369">
        <v>10404012</v>
      </c>
      <c r="AA30" s="369">
        <v>6211451</v>
      </c>
      <c r="AB30" s="369">
        <v>5600696</v>
      </c>
      <c r="AC30" s="369">
        <v>3170834</v>
      </c>
      <c r="AD30" s="372">
        <v>4803316</v>
      </c>
      <c r="AE30" s="369">
        <v>10404012</v>
      </c>
      <c r="AF30" s="369">
        <v>6888214</v>
      </c>
      <c r="AG30" s="369">
        <v>3864385</v>
      </c>
      <c r="AH30" s="369">
        <v>-685833</v>
      </c>
      <c r="AI30" s="369">
        <v>-3002471</v>
      </c>
      <c r="AJ30" s="369">
        <v>4945007</v>
      </c>
      <c r="AK30" s="369">
        <v>12388971</v>
      </c>
      <c r="AL30" s="369">
        <v>183786</v>
      </c>
      <c r="AM30" s="369">
        <v>14074737</v>
      </c>
      <c r="AN30" s="369">
        <v>69708938</v>
      </c>
      <c r="AO30" s="369">
        <v>20717309</v>
      </c>
      <c r="AP30" s="369">
        <v>5908545</v>
      </c>
      <c r="AQ30" s="369">
        <v>123405797</v>
      </c>
      <c r="AR30" s="370">
        <v>30642356</v>
      </c>
      <c r="AS30" s="370">
        <v>0</v>
      </c>
      <c r="AT30" s="371">
        <v>0.40254182538514199</v>
      </c>
      <c r="AU30" s="371">
        <v>0.31675615366404802</v>
      </c>
      <c r="AV30" s="371">
        <v>0.46600307378588002</v>
      </c>
      <c r="AW30" s="371">
        <v>0.28070202095080898</v>
      </c>
      <c r="AX30" s="371">
        <v>0.18530105283507001</v>
      </c>
      <c r="AY30" s="371">
        <f t="shared" si="1"/>
        <v>1.6456427882153225E-2</v>
      </c>
    </row>
    <row r="31" spans="1:51" ht="15.4" x14ac:dyDescent="0.45">
      <c r="A31" s="334" t="s">
        <v>42</v>
      </c>
      <c r="B31" s="369">
        <v>2444917</v>
      </c>
      <c r="C31" s="369">
        <v>13954154</v>
      </c>
      <c r="D31" s="369">
        <v>69472686</v>
      </c>
      <c r="E31" s="369">
        <v>16034802</v>
      </c>
      <c r="F31" s="369">
        <v>209353</v>
      </c>
      <c r="G31" s="369">
        <v>0</v>
      </c>
      <c r="H31" s="369">
        <v>1864025</v>
      </c>
      <c r="I31" s="369">
        <v>396765</v>
      </c>
      <c r="J31" s="369">
        <v>1135620</v>
      </c>
      <c r="K31" s="369">
        <v>1260720</v>
      </c>
      <c r="L31" s="369">
        <v>19207</v>
      </c>
      <c r="M31" s="369">
        <v>10189768</v>
      </c>
      <c r="N31" s="369">
        <v>1212299</v>
      </c>
      <c r="O31" s="369">
        <v>5321615</v>
      </c>
      <c r="P31" s="369">
        <v>3219079</v>
      </c>
      <c r="Q31" s="369">
        <v>685403</v>
      </c>
      <c r="R31" s="369">
        <v>22757</v>
      </c>
      <c r="S31" s="369"/>
      <c r="T31" s="369"/>
      <c r="U31" s="369"/>
      <c r="V31" s="369"/>
      <c r="W31" s="369"/>
      <c r="X31" s="369"/>
      <c r="Y31" s="369">
        <v>127443170</v>
      </c>
      <c r="Z31" s="369">
        <v>68298589</v>
      </c>
      <c r="AA31" s="369">
        <v>59144581</v>
      </c>
      <c r="AB31" s="369">
        <v>34342500</v>
      </c>
      <c r="AC31" s="369">
        <v>20755776</v>
      </c>
      <c r="AD31" s="369">
        <v>33956089</v>
      </c>
      <c r="AE31" s="369">
        <v>68298589</v>
      </c>
      <c r="AF31" s="369">
        <v>41014326</v>
      </c>
      <c r="AG31" s="369">
        <v>1291398</v>
      </c>
      <c r="AH31" s="369">
        <v>0</v>
      </c>
      <c r="AI31" s="369">
        <v>-20712382</v>
      </c>
      <c r="AJ31" s="369">
        <v>12091609</v>
      </c>
      <c r="AK31" s="369">
        <v>66960203</v>
      </c>
      <c r="AL31" s="369">
        <v>0</v>
      </c>
      <c r="AM31" s="369">
        <v>28253463</v>
      </c>
      <c r="AN31" s="369">
        <v>162580266</v>
      </c>
      <c r="AO31" s="369">
        <v>94564790</v>
      </c>
      <c r="AP31" s="369">
        <v>11012251</v>
      </c>
      <c r="AQ31" s="369">
        <v>363370973</v>
      </c>
      <c r="AR31" s="370">
        <v>121057060</v>
      </c>
      <c r="AS31" s="370">
        <v>0</v>
      </c>
      <c r="AT31" s="371">
        <v>0.41264801280532698</v>
      </c>
      <c r="AU31" s="371">
        <v>0.24571739228530201</v>
      </c>
      <c r="AV31" s="371">
        <v>0.55045991415592999</v>
      </c>
      <c r="AW31" s="371">
        <v>0.34163459490936998</v>
      </c>
      <c r="AX31" s="371">
        <v>0.20882531924656</v>
      </c>
      <c r="AY31" s="371">
        <f t="shared" si="1"/>
        <v>0.1262233460589087</v>
      </c>
    </row>
    <row r="32" spans="1:51" ht="15.4" x14ac:dyDescent="0.45">
      <c r="A32" s="332" t="s">
        <v>44</v>
      </c>
      <c r="B32" s="373">
        <f>SUM(B6:B31)</f>
        <v>18533842.757979717</v>
      </c>
      <c r="C32" s="373">
        <f t="shared" ref="C32:Y32" si="2">SUM(C6:C31)</f>
        <v>268412034.03202027</v>
      </c>
      <c r="D32" s="373">
        <f t="shared" si="2"/>
        <v>353688935.3725822</v>
      </c>
      <c r="E32" s="373">
        <f t="shared" si="2"/>
        <v>84551580.982317969</v>
      </c>
      <c r="F32" s="373">
        <f t="shared" si="2"/>
        <v>1721784.3650998678</v>
      </c>
      <c r="G32" s="373">
        <f t="shared" si="2"/>
        <v>3240656</v>
      </c>
      <c r="H32" s="373">
        <f t="shared" si="2"/>
        <v>22769029.64023244</v>
      </c>
      <c r="I32" s="373">
        <f t="shared" si="2"/>
        <v>8704383.7399652861</v>
      </c>
      <c r="J32" s="373">
        <f t="shared" si="2"/>
        <v>4686485.53</v>
      </c>
      <c r="K32" s="373">
        <f t="shared" si="2"/>
        <v>21050368.871106889</v>
      </c>
      <c r="L32" s="373">
        <f t="shared" si="2"/>
        <v>6915548.0486953836</v>
      </c>
      <c r="M32" s="373">
        <f t="shared" si="2"/>
        <v>46171929.469999999</v>
      </c>
      <c r="N32" s="373">
        <f t="shared" si="2"/>
        <v>59238610.920000002</v>
      </c>
      <c r="O32" s="373">
        <f t="shared" si="2"/>
        <v>16836056.300000001</v>
      </c>
      <c r="P32" s="373">
        <f t="shared" si="2"/>
        <v>50796971.590000004</v>
      </c>
      <c r="Q32" s="373">
        <f t="shared" si="2"/>
        <v>26021125.210000001</v>
      </c>
      <c r="R32" s="373">
        <f t="shared" si="2"/>
        <v>12216016</v>
      </c>
      <c r="S32" s="373">
        <f t="shared" si="2"/>
        <v>4058079.25</v>
      </c>
      <c r="T32" s="373">
        <f t="shared" si="2"/>
        <v>0</v>
      </c>
      <c r="U32" s="373">
        <f t="shared" si="2"/>
        <v>50574</v>
      </c>
      <c r="V32" s="373">
        <f t="shared" si="2"/>
        <v>0</v>
      </c>
      <c r="W32" s="373">
        <f t="shared" si="2"/>
        <v>0</v>
      </c>
      <c r="X32" s="373">
        <f t="shared" si="2"/>
        <v>0</v>
      </c>
      <c r="Y32" s="373">
        <f t="shared" si="2"/>
        <v>1009664012.0799999</v>
      </c>
      <c r="Z32" s="373">
        <f t="shared" ref="Z32:AS32" si="3">SUM(Z6:Z31)</f>
        <v>696219119.89999998</v>
      </c>
      <c r="AA32" s="373">
        <f t="shared" si="3"/>
        <v>313444892.20000005</v>
      </c>
      <c r="AB32" s="373">
        <f t="shared" si="3"/>
        <v>535172540.40999997</v>
      </c>
      <c r="AC32" s="373">
        <f t="shared" si="3"/>
        <v>221919682.07999998</v>
      </c>
      <c r="AD32" s="373">
        <f t="shared" si="3"/>
        <v>161046579.43999991</v>
      </c>
      <c r="AE32" s="373">
        <f t="shared" si="3"/>
        <v>696219119.8499999</v>
      </c>
      <c r="AF32" s="373">
        <f t="shared" si="3"/>
        <v>446610334.10000002</v>
      </c>
      <c r="AG32" s="373">
        <f t="shared" si="3"/>
        <v>63943300.809134074</v>
      </c>
      <c r="AH32" s="373">
        <f t="shared" si="3"/>
        <v>-5215095</v>
      </c>
      <c r="AI32" s="373">
        <f t="shared" si="3"/>
        <v>-215437064.80000001</v>
      </c>
      <c r="AJ32" s="373">
        <f t="shared" si="3"/>
        <v>250145829.10913408</v>
      </c>
      <c r="AK32" s="373">
        <f t="shared" si="3"/>
        <v>611031160.39999986</v>
      </c>
      <c r="AL32" s="373">
        <f t="shared" si="3"/>
        <v>54747361.030000001</v>
      </c>
      <c r="AM32" s="373">
        <f t="shared" si="3"/>
        <v>1073506811.3429948</v>
      </c>
      <c r="AN32" s="373">
        <f t="shared" si="3"/>
        <v>3216271046.4099998</v>
      </c>
      <c r="AO32" s="373">
        <f t="shared" si="3"/>
        <v>500418612.31</v>
      </c>
      <c r="AP32" s="373">
        <f t="shared" si="3"/>
        <v>495994154.1408</v>
      </c>
      <c r="AQ32" s="373">
        <f t="shared" si="3"/>
        <v>5971683335.1599998</v>
      </c>
      <c r="AR32" s="373">
        <f t="shared" si="3"/>
        <v>2140525066.0299997</v>
      </c>
      <c r="AS32" s="373">
        <f t="shared" si="3"/>
        <v>115101011</v>
      </c>
      <c r="AT32" s="374">
        <f>AVERAGE(AT6:AT31)</f>
        <v>0.55971051185570975</v>
      </c>
      <c r="AU32" s="374">
        <f t="shared" ref="AU32:AX32" si="4">AVERAGE(AU6:AU31)</f>
        <v>0.19994493114383075</v>
      </c>
      <c r="AV32" s="374">
        <f t="shared" si="4"/>
        <v>0.65919688681872146</v>
      </c>
      <c r="AW32" s="374">
        <f t="shared" si="4"/>
        <v>0.26564398402956807</v>
      </c>
      <c r="AX32" s="374">
        <f t="shared" si="4"/>
        <v>0.41885232983958837</v>
      </c>
      <c r="AY32" s="374">
        <f>SUM(AY6:AY31)</f>
        <v>1</v>
      </c>
    </row>
  </sheetData>
  <mergeCells count="1">
    <mergeCell ref="Z1:AY1"/>
  </mergeCells>
  <dataValidations count="1">
    <dataValidation type="list" allowBlank="1" showInputMessage="1" showErrorMessage="1" sqref="A3:Y3" xr:uid="{00000000-0002-0000-2F00-000000000000}">
      <formula1>$A$6:$A$31</formula1>
    </dataValidation>
  </dataValidations>
  <pageMargins left="0.7" right="0.7" top="0.75" bottom="0.75" header="0.3" footer="0.3"/>
  <pageSetup paperSize="9" orientation="portrait" r:id="rId1"/>
  <customProperties>
    <customPr name="LastActive" r:id="rId2"/>
  </customProperties>
  <legacyDrawing r:id="rId3"/>
</worksheet>
</file>

<file path=xl/worksheets/sheet4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000-000000000000}">
  <dimension ref="A1:AY32"/>
  <sheetViews>
    <sheetView topLeftCell="AM1" workbookViewId="0">
      <selection activeCell="AO37" sqref="AO37"/>
    </sheetView>
  </sheetViews>
  <sheetFormatPr defaultRowHeight="12.75" x14ac:dyDescent="0.35"/>
  <cols>
    <col min="1" max="1" width="50.73046875" bestFit="1" customWidth="1"/>
    <col min="2" max="2" width="45.73046875" bestFit="1" customWidth="1"/>
    <col min="3" max="3" width="36.3984375" bestFit="1" customWidth="1"/>
    <col min="4" max="4" width="21.1328125" bestFit="1" customWidth="1"/>
    <col min="5" max="5" width="17.1328125" bestFit="1" customWidth="1"/>
    <col min="6" max="6" width="29.1328125" bestFit="1" customWidth="1"/>
    <col min="7" max="7" width="14.3984375" bestFit="1" customWidth="1"/>
    <col min="8" max="8" width="23.3984375" bestFit="1" customWidth="1"/>
    <col min="9" max="9" width="31.3984375" bestFit="1" customWidth="1"/>
    <col min="10" max="10" width="15.73046875" bestFit="1" customWidth="1"/>
    <col min="11" max="11" width="43.265625" bestFit="1" customWidth="1"/>
    <col min="12" max="12" width="18" bestFit="1" customWidth="1"/>
    <col min="13" max="13" width="16.265625" bestFit="1" customWidth="1"/>
    <col min="14" max="14" width="13.1328125" bestFit="1" customWidth="1"/>
    <col min="15" max="15" width="19.3984375" bestFit="1" customWidth="1"/>
    <col min="16" max="17" width="13.1328125" bestFit="1" customWidth="1"/>
    <col min="18" max="18" width="11.3984375" bestFit="1" customWidth="1"/>
    <col min="19" max="19" width="10.73046875" bestFit="1" customWidth="1"/>
    <col min="20" max="20" width="25.3984375" bestFit="1" customWidth="1"/>
    <col min="21" max="21" width="21.73046875" bestFit="1" customWidth="1"/>
    <col min="22" max="22" width="23.86328125" bestFit="1" customWidth="1"/>
    <col min="23" max="23" width="13" bestFit="1" customWidth="1"/>
    <col min="24" max="24" width="23" bestFit="1" customWidth="1"/>
    <col min="25" max="25" width="26" bestFit="1" customWidth="1"/>
    <col min="26" max="27" width="20" bestFit="1" customWidth="1"/>
    <col min="28" max="28" width="17.73046875" customWidth="1"/>
    <col min="29" max="29" width="17.73046875" bestFit="1" customWidth="1"/>
    <col min="30" max="31" width="17.73046875" customWidth="1"/>
    <col min="32" max="32" width="16.265625" bestFit="1" customWidth="1"/>
    <col min="33" max="33" width="17.73046875" bestFit="1" customWidth="1"/>
    <col min="34" max="34" width="17" customWidth="1"/>
    <col min="35" max="37" width="17.73046875" bestFit="1" customWidth="1"/>
    <col min="38" max="39" width="20" bestFit="1" customWidth="1"/>
    <col min="40" max="40" width="17.73046875" customWidth="1"/>
    <col min="41" max="41" width="20" bestFit="1" customWidth="1"/>
    <col min="42" max="42" width="20" customWidth="1"/>
    <col min="43" max="43" width="17.73046875" bestFit="1" customWidth="1"/>
    <col min="44" max="44" width="18.265625" customWidth="1"/>
    <col min="45" max="45" width="18.3984375" customWidth="1"/>
    <col min="46" max="50" width="13" customWidth="1"/>
    <col min="51" max="51" width="9.1328125" bestFit="1" customWidth="1"/>
  </cols>
  <sheetData>
    <row r="1" spans="1:51" ht="23.25" x14ac:dyDescent="0.7">
      <c r="A1" s="351" t="s">
        <v>194</v>
      </c>
      <c r="B1" s="351" t="s">
        <v>92</v>
      </c>
      <c r="C1" s="351"/>
      <c r="D1" s="351"/>
      <c r="E1" s="351"/>
      <c r="F1" s="351"/>
      <c r="G1" s="351"/>
      <c r="H1" s="351"/>
      <c r="I1" s="351"/>
      <c r="J1" s="351"/>
      <c r="K1" s="351"/>
      <c r="L1" s="351"/>
      <c r="M1" s="351"/>
      <c r="N1" s="351"/>
      <c r="O1" s="351"/>
      <c r="P1" s="351"/>
      <c r="Q1" s="351"/>
      <c r="R1" s="351"/>
      <c r="S1" s="351"/>
      <c r="T1" s="351"/>
      <c r="U1" s="351"/>
      <c r="V1" s="351"/>
      <c r="W1" s="351"/>
      <c r="X1" s="351"/>
      <c r="Y1" s="351"/>
      <c r="Z1" s="413"/>
      <c r="AA1" s="413"/>
      <c r="AB1" s="413"/>
      <c r="AC1" s="413"/>
      <c r="AD1" s="413"/>
      <c r="AE1" s="413"/>
      <c r="AF1" s="413"/>
      <c r="AG1" s="413"/>
      <c r="AH1" s="413"/>
      <c r="AI1" s="413"/>
      <c r="AJ1" s="413"/>
      <c r="AK1" s="413"/>
      <c r="AL1" s="413"/>
      <c r="AM1" s="413"/>
      <c r="AN1" s="413"/>
      <c r="AO1" s="413"/>
      <c r="AP1" s="413"/>
      <c r="AQ1" s="413"/>
      <c r="AR1" s="413"/>
      <c r="AS1" s="413"/>
      <c r="AT1" s="413"/>
      <c r="AU1" s="413"/>
      <c r="AV1" s="413"/>
      <c r="AW1" s="413"/>
      <c r="AX1" s="413"/>
      <c r="AY1" s="413"/>
    </row>
    <row r="2" spans="1:51" ht="42.75" x14ac:dyDescent="0.45">
      <c r="A2" s="350"/>
      <c r="B2" s="350" t="s">
        <v>153</v>
      </c>
      <c r="C2" s="350" t="s">
        <v>154</v>
      </c>
      <c r="D2" s="350" t="s">
        <v>155</v>
      </c>
      <c r="E2" s="350" t="s">
        <v>156</v>
      </c>
      <c r="F2" s="350" t="s">
        <v>157</v>
      </c>
      <c r="G2" s="350" t="s">
        <v>158</v>
      </c>
      <c r="H2" s="350" t="s">
        <v>159</v>
      </c>
      <c r="I2" s="350" t="s">
        <v>160</v>
      </c>
      <c r="J2" s="350" t="s">
        <v>161</v>
      </c>
      <c r="K2" s="350" t="s">
        <v>162</v>
      </c>
      <c r="L2" s="350" t="s">
        <v>163</v>
      </c>
      <c r="M2" s="350" t="s">
        <v>164</v>
      </c>
      <c r="N2" s="350" t="s">
        <v>106</v>
      </c>
      <c r="O2" s="350" t="s">
        <v>165</v>
      </c>
      <c r="P2" s="350" t="s">
        <v>166</v>
      </c>
      <c r="Q2" s="350" t="s">
        <v>167</v>
      </c>
      <c r="R2" s="350" t="s">
        <v>168</v>
      </c>
      <c r="S2" s="350" t="s">
        <v>169</v>
      </c>
      <c r="T2" s="350" t="s">
        <v>170</v>
      </c>
      <c r="U2" s="350" t="s">
        <v>171</v>
      </c>
      <c r="V2" s="350" t="s">
        <v>172</v>
      </c>
      <c r="W2" s="350" t="s">
        <v>173</v>
      </c>
      <c r="X2" s="350" t="s">
        <v>174</v>
      </c>
      <c r="Y2" s="350" t="s">
        <v>175</v>
      </c>
      <c r="Z2" s="348" t="s">
        <v>176</v>
      </c>
      <c r="AA2" s="348" t="s">
        <v>177</v>
      </c>
      <c r="AB2" s="349" t="s">
        <v>178</v>
      </c>
      <c r="AC2" s="348" t="s">
        <v>179</v>
      </c>
      <c r="AD2" s="377" t="s">
        <v>180</v>
      </c>
      <c r="AE2" s="348" t="s">
        <v>181</v>
      </c>
      <c r="AF2" s="348" t="s">
        <v>182</v>
      </c>
      <c r="AG2" s="348" t="s">
        <v>115</v>
      </c>
      <c r="AH2" s="348" t="s">
        <v>183</v>
      </c>
      <c r="AI2" s="348" t="s">
        <v>184</v>
      </c>
      <c r="AJ2" s="348" t="s">
        <v>134</v>
      </c>
      <c r="AK2" s="348" t="s">
        <v>185</v>
      </c>
      <c r="AL2" s="348" t="s">
        <v>186</v>
      </c>
      <c r="AM2" s="348" t="s">
        <v>187</v>
      </c>
      <c r="AN2" s="349" t="s">
        <v>188</v>
      </c>
      <c r="AO2" s="348" t="s">
        <v>120</v>
      </c>
      <c r="AP2" s="348" t="s">
        <v>121</v>
      </c>
      <c r="AQ2" s="348" t="s">
        <v>9</v>
      </c>
      <c r="AR2" s="347" t="s">
        <v>189</v>
      </c>
      <c r="AS2" s="347" t="s">
        <v>190</v>
      </c>
      <c r="AT2" s="347" t="s">
        <v>191</v>
      </c>
      <c r="AU2" s="347" t="s">
        <v>17</v>
      </c>
      <c r="AV2" s="347" t="s">
        <v>18</v>
      </c>
      <c r="AW2" s="347" t="s">
        <v>192</v>
      </c>
      <c r="AX2" s="347" t="s">
        <v>193</v>
      </c>
      <c r="AY2" s="347" t="s">
        <v>19</v>
      </c>
    </row>
    <row r="3" spans="1:51" ht="15.4" x14ac:dyDescent="0.45">
      <c r="A3" s="346" t="s">
        <v>22</v>
      </c>
      <c r="B3" s="375">
        <f t="shared" ref="B3:AY3" si="0">INDEX(B6:B31,MATCH($A$3,$A$6:$A$31,0))</f>
        <v>2436220</v>
      </c>
      <c r="C3" s="375">
        <f t="shared" si="0"/>
        <v>2402850</v>
      </c>
      <c r="D3" s="375">
        <f t="shared" si="0"/>
        <v>19662443</v>
      </c>
      <c r="E3" s="375">
        <f t="shared" si="0"/>
        <v>14566190</v>
      </c>
      <c r="F3" s="375">
        <f t="shared" si="0"/>
        <v>0</v>
      </c>
      <c r="G3" s="375">
        <f t="shared" si="0"/>
        <v>0</v>
      </c>
      <c r="H3" s="375">
        <f t="shared" si="0"/>
        <v>443305</v>
      </c>
      <c r="I3" s="375">
        <f t="shared" si="0"/>
        <v>206439</v>
      </c>
      <c r="J3" s="375">
        <f t="shared" si="0"/>
        <v>0</v>
      </c>
      <c r="K3" s="375">
        <f t="shared" si="0"/>
        <v>239245</v>
      </c>
      <c r="L3" s="375">
        <f t="shared" si="0"/>
        <v>1091461</v>
      </c>
      <c r="M3" s="375">
        <f t="shared" si="0"/>
        <v>0</v>
      </c>
      <c r="N3" s="375">
        <f t="shared" si="0"/>
        <v>746014</v>
      </c>
      <c r="O3" s="375">
        <f t="shared" si="0"/>
        <v>0</v>
      </c>
      <c r="P3" s="375">
        <f t="shared" si="0"/>
        <v>1601302</v>
      </c>
      <c r="Q3" s="375">
        <f t="shared" si="0"/>
        <v>561211</v>
      </c>
      <c r="R3" s="375">
        <f t="shared" si="0"/>
        <v>140114</v>
      </c>
      <c r="S3" s="375">
        <f t="shared" si="0"/>
        <v>0</v>
      </c>
      <c r="T3" s="375">
        <f t="shared" si="0"/>
        <v>0</v>
      </c>
      <c r="U3" s="375">
        <f t="shared" si="0"/>
        <v>0</v>
      </c>
      <c r="V3" s="375">
        <f t="shared" si="0"/>
        <v>0</v>
      </c>
      <c r="W3" s="375">
        <f t="shared" si="0"/>
        <v>0</v>
      </c>
      <c r="X3" s="375">
        <f t="shared" si="0"/>
        <v>0</v>
      </c>
      <c r="Y3" s="375">
        <f t="shared" si="0"/>
        <v>44096794</v>
      </c>
      <c r="Z3" s="376">
        <f t="shared" si="0"/>
        <v>23392708</v>
      </c>
      <c r="AA3" s="376">
        <f t="shared" si="0"/>
        <v>20704086</v>
      </c>
      <c r="AB3" s="376">
        <f t="shared" si="0"/>
        <v>9018929</v>
      </c>
      <c r="AC3" s="376">
        <f t="shared" si="0"/>
        <v>10848089</v>
      </c>
      <c r="AD3" s="376">
        <f t="shared" si="0"/>
        <v>14373779</v>
      </c>
      <c r="AE3" s="376">
        <f t="shared" si="0"/>
        <v>23392708</v>
      </c>
      <c r="AF3" s="345">
        <f t="shared" si="0"/>
        <v>14300535</v>
      </c>
      <c r="AG3" s="345">
        <f t="shared" si="0"/>
        <v>6771468</v>
      </c>
      <c r="AH3" s="345">
        <f t="shared" si="0"/>
        <v>3137325</v>
      </c>
      <c r="AI3" s="345">
        <f t="shared" si="0"/>
        <v>-10404844</v>
      </c>
      <c r="AJ3" s="345">
        <f t="shared" si="0"/>
        <v>9663140</v>
      </c>
      <c r="AK3" s="345">
        <f t="shared" si="0"/>
        <v>29009287</v>
      </c>
      <c r="AL3" s="345">
        <f t="shared" si="0"/>
        <v>1229652</v>
      </c>
      <c r="AM3" s="345">
        <f t="shared" si="0"/>
        <v>9776392</v>
      </c>
      <c r="AN3" s="345">
        <f t="shared" si="0"/>
        <v>58032497</v>
      </c>
      <c r="AO3" s="345">
        <f t="shared" si="0"/>
        <v>13595139</v>
      </c>
      <c r="AP3" s="345">
        <f t="shared" si="0"/>
        <v>11311511</v>
      </c>
      <c r="AQ3" s="345">
        <f t="shared" si="0"/>
        <v>123802555</v>
      </c>
      <c r="AR3" s="345">
        <f t="shared" si="0"/>
        <v>48196163</v>
      </c>
      <c r="AS3" s="345">
        <f t="shared" si="0"/>
        <v>1411703</v>
      </c>
      <c r="AT3" s="365">
        <f t="shared" si="0"/>
        <v>0.392421946147399</v>
      </c>
      <c r="AU3" s="365">
        <f t="shared" si="0"/>
        <v>0.21314621415760901</v>
      </c>
      <c r="AV3" s="365">
        <f t="shared" si="0"/>
        <v>0.69211498213408096</v>
      </c>
      <c r="AW3" s="365">
        <f t="shared" si="0"/>
        <v>0.39443183969499102</v>
      </c>
      <c r="AX3" s="365">
        <f t="shared" si="0"/>
        <v>0.297683142439089</v>
      </c>
      <c r="AY3" s="365">
        <f t="shared" si="0"/>
        <v>2.2701638285256877E-2</v>
      </c>
    </row>
    <row r="4" spans="1:51" ht="14.25" x14ac:dyDescent="0.45">
      <c r="A4" s="330"/>
      <c r="B4" s="330"/>
      <c r="C4" s="330"/>
      <c r="D4" s="330"/>
      <c r="E4" s="330"/>
      <c r="F4" s="330"/>
      <c r="G4" s="330"/>
      <c r="H4" s="330"/>
      <c r="I4" s="330"/>
      <c r="J4" s="330"/>
      <c r="K4" s="330"/>
      <c r="L4" s="330"/>
      <c r="M4" s="330"/>
      <c r="N4" s="330"/>
      <c r="O4" s="330"/>
      <c r="P4" s="330"/>
      <c r="Q4" s="330"/>
      <c r="R4" s="330"/>
      <c r="S4" s="330"/>
      <c r="T4" s="330"/>
      <c r="U4" s="330"/>
      <c r="V4" s="330"/>
      <c r="W4" s="330"/>
      <c r="X4" s="330"/>
      <c r="Y4" s="330"/>
      <c r="Z4" s="330"/>
      <c r="AA4" s="330"/>
      <c r="AB4" s="330"/>
      <c r="AC4" s="330"/>
      <c r="AD4" s="330"/>
      <c r="AE4" s="330"/>
      <c r="AF4" s="330"/>
      <c r="AG4" s="330"/>
      <c r="AH4" s="330"/>
      <c r="AI4" s="330"/>
      <c r="AJ4" s="330"/>
      <c r="AK4" s="330"/>
      <c r="AL4" s="330"/>
      <c r="AM4" s="330"/>
      <c r="AN4" s="330"/>
      <c r="AO4" s="330"/>
      <c r="AP4" s="330"/>
      <c r="AQ4" s="330"/>
      <c r="AR4" s="330"/>
      <c r="AS4" s="330"/>
      <c r="AT4" s="330"/>
      <c r="AU4" s="330"/>
      <c r="AV4" s="330"/>
      <c r="AW4" s="330"/>
      <c r="AX4" s="330"/>
      <c r="AY4" s="330"/>
    </row>
    <row r="5" spans="1:51" ht="51" x14ac:dyDescent="0.35">
      <c r="A5" s="344" t="s">
        <v>136</v>
      </c>
      <c r="B5" s="344" t="s">
        <v>153</v>
      </c>
      <c r="C5" s="344" t="s">
        <v>154</v>
      </c>
      <c r="D5" s="344" t="s">
        <v>155</v>
      </c>
      <c r="E5" s="344" t="s">
        <v>156</v>
      </c>
      <c r="F5" s="344" t="s">
        <v>157</v>
      </c>
      <c r="G5" s="344" t="s">
        <v>158</v>
      </c>
      <c r="H5" s="344" t="s">
        <v>159</v>
      </c>
      <c r="I5" s="344" t="s">
        <v>160</v>
      </c>
      <c r="J5" s="344" t="s">
        <v>161</v>
      </c>
      <c r="K5" s="344" t="s">
        <v>162</v>
      </c>
      <c r="L5" s="344" t="s">
        <v>163</v>
      </c>
      <c r="M5" s="344" t="s">
        <v>164</v>
      </c>
      <c r="N5" s="344" t="s">
        <v>106</v>
      </c>
      <c r="O5" s="344" t="s">
        <v>165</v>
      </c>
      <c r="P5" s="344" t="s">
        <v>166</v>
      </c>
      <c r="Q5" s="344" t="s">
        <v>167</v>
      </c>
      <c r="R5" s="344" t="s">
        <v>168</v>
      </c>
      <c r="S5" s="344" t="s">
        <v>169</v>
      </c>
      <c r="T5" s="344" t="s">
        <v>170</v>
      </c>
      <c r="U5" s="344" t="s">
        <v>171</v>
      </c>
      <c r="V5" s="344" t="s">
        <v>172</v>
      </c>
      <c r="W5" s="344" t="s">
        <v>173</v>
      </c>
      <c r="X5" s="344" t="s">
        <v>174</v>
      </c>
      <c r="Y5" s="344" t="s">
        <v>175</v>
      </c>
      <c r="Z5" s="342" t="s">
        <v>176</v>
      </c>
      <c r="AA5" s="342" t="s">
        <v>177</v>
      </c>
      <c r="AB5" s="342" t="s">
        <v>178</v>
      </c>
      <c r="AC5" s="342" t="s">
        <v>179</v>
      </c>
      <c r="AD5" s="342" t="s">
        <v>180</v>
      </c>
      <c r="AE5" s="342" t="s">
        <v>181</v>
      </c>
      <c r="AF5" s="342" t="s">
        <v>182</v>
      </c>
      <c r="AG5" s="342" t="s">
        <v>115</v>
      </c>
      <c r="AH5" s="342" t="s">
        <v>183</v>
      </c>
      <c r="AI5" s="342" t="s">
        <v>184</v>
      </c>
      <c r="AJ5" s="342" t="s">
        <v>134</v>
      </c>
      <c r="AK5" s="342" t="s">
        <v>185</v>
      </c>
      <c r="AL5" s="342" t="s">
        <v>186</v>
      </c>
      <c r="AM5" s="342" t="s">
        <v>187</v>
      </c>
      <c r="AN5" s="342" t="s">
        <v>188</v>
      </c>
      <c r="AO5" s="342" t="s">
        <v>120</v>
      </c>
      <c r="AP5" s="342" t="s">
        <v>121</v>
      </c>
      <c r="AQ5" s="342" t="s">
        <v>9</v>
      </c>
      <c r="AR5" s="341" t="s">
        <v>189</v>
      </c>
      <c r="AS5" s="341" t="s">
        <v>190</v>
      </c>
      <c r="AT5" s="341" t="s">
        <v>191</v>
      </c>
      <c r="AU5" s="341" t="s">
        <v>17</v>
      </c>
      <c r="AV5" s="341" t="s">
        <v>18</v>
      </c>
      <c r="AW5" s="341" t="s">
        <v>192</v>
      </c>
      <c r="AX5" s="341" t="s">
        <v>193</v>
      </c>
      <c r="AY5" s="341" t="s">
        <v>19</v>
      </c>
    </row>
    <row r="6" spans="1:51" ht="15.4" x14ac:dyDescent="0.45">
      <c r="A6" s="334" t="s">
        <v>20</v>
      </c>
      <c r="B6" s="369">
        <v>412294.73</v>
      </c>
      <c r="C6" s="369">
        <v>74421361.379999995</v>
      </c>
      <c r="D6" s="369">
        <v>9654854.75</v>
      </c>
      <c r="E6" s="369">
        <v>2195693.19</v>
      </c>
      <c r="F6" s="369">
        <v>158549.49</v>
      </c>
      <c r="G6" s="369"/>
      <c r="H6" s="369">
        <v>8077570.1200000001</v>
      </c>
      <c r="I6" s="369"/>
      <c r="J6" s="369">
        <v>118918.39</v>
      </c>
      <c r="K6" s="369">
        <v>634359.18999999994</v>
      </c>
      <c r="L6" s="369"/>
      <c r="M6" s="369">
        <v>6643432.3099999996</v>
      </c>
      <c r="N6" s="369">
        <v>4555429.9400000004</v>
      </c>
      <c r="O6" s="369">
        <v>1006738.35</v>
      </c>
      <c r="P6" s="369">
        <v>586198.66</v>
      </c>
      <c r="Q6" s="369">
        <v>5413999.9900000002</v>
      </c>
      <c r="R6" s="369">
        <v>106609.11</v>
      </c>
      <c r="S6" s="369">
        <v>59457.59</v>
      </c>
      <c r="T6" s="369"/>
      <c r="U6" s="369"/>
      <c r="V6" s="369"/>
      <c r="W6" s="369"/>
      <c r="X6" s="369"/>
      <c r="Y6" s="369">
        <v>114045467.2</v>
      </c>
      <c r="Z6" s="369">
        <v>186898647.40000001</v>
      </c>
      <c r="AA6" s="369">
        <v>-72853180.159999996</v>
      </c>
      <c r="AB6" s="369">
        <v>179162043.94999999</v>
      </c>
      <c r="AC6" s="369">
        <v>4921539.08</v>
      </c>
      <c r="AD6" s="369">
        <v>7736603.4199999999</v>
      </c>
      <c r="AE6" s="369">
        <v>186898647.37</v>
      </c>
      <c r="AF6" s="369">
        <v>20572322.489999998</v>
      </c>
      <c r="AG6" s="369">
        <v>2141543.037</v>
      </c>
      <c r="AH6" s="404">
        <v>-521801.47</v>
      </c>
      <c r="AI6" s="369">
        <v>-4770484.95</v>
      </c>
      <c r="AJ6" s="369">
        <v>17421579.109999999</v>
      </c>
      <c r="AK6" s="369">
        <v>46091233.640000001</v>
      </c>
      <c r="AL6" s="369">
        <v>0</v>
      </c>
      <c r="AM6" s="369">
        <v>75719005.150000006</v>
      </c>
      <c r="AN6" s="369">
        <v>47807129.780000001</v>
      </c>
      <c r="AO6" s="369">
        <v>14890750.029999999</v>
      </c>
      <c r="AP6" s="369">
        <v>55712316.670000002</v>
      </c>
      <c r="AQ6" s="369">
        <v>240274494.80000001</v>
      </c>
      <c r="AR6" s="370">
        <v>116267916.09999999</v>
      </c>
      <c r="AS6" s="370">
        <v>0</v>
      </c>
      <c r="AT6" s="371">
        <v>0.49875810451455899</v>
      </c>
      <c r="AU6" s="371">
        <v>0.31367466047633602</v>
      </c>
      <c r="AV6" s="371">
        <v>0.30688567919562998</v>
      </c>
      <c r="AW6" s="371">
        <v>0.18756723549398599</v>
      </c>
      <c r="AX6" s="371">
        <v>0.119318443701644</v>
      </c>
      <c r="AY6" s="371">
        <f>Y6/$Y$32</f>
        <v>5.8712180854860505E-2</v>
      </c>
    </row>
    <row r="7" spans="1:51" ht="15.4" x14ac:dyDescent="0.45">
      <c r="A7" s="334" t="s">
        <v>21</v>
      </c>
      <c r="B7" s="369"/>
      <c r="C7" s="369">
        <v>6317870</v>
      </c>
      <c r="D7" s="369">
        <v>22420871</v>
      </c>
      <c r="E7" s="369"/>
      <c r="F7" s="369"/>
      <c r="G7" s="369"/>
      <c r="H7" s="369"/>
      <c r="I7" s="369">
        <v>3630527</v>
      </c>
      <c r="J7" s="369">
        <v>323170</v>
      </c>
      <c r="K7" s="369">
        <v>589325</v>
      </c>
      <c r="L7" s="369">
        <v>137953</v>
      </c>
      <c r="M7" s="369"/>
      <c r="N7" s="369">
        <v>1055989</v>
      </c>
      <c r="O7" s="369">
        <v>406401</v>
      </c>
      <c r="P7" s="369"/>
      <c r="Q7" s="369">
        <v>2924694</v>
      </c>
      <c r="R7" s="369"/>
      <c r="S7" s="369">
        <v>57733</v>
      </c>
      <c r="T7" s="369"/>
      <c r="U7" s="369"/>
      <c r="V7" s="369"/>
      <c r="W7" s="369"/>
      <c r="X7" s="369"/>
      <c r="Y7" s="369">
        <v>37864533</v>
      </c>
      <c r="Z7" s="369">
        <v>18414736</v>
      </c>
      <c r="AA7" s="369">
        <v>19449797</v>
      </c>
      <c r="AB7" s="369">
        <v>11980738</v>
      </c>
      <c r="AC7" s="369">
        <v>13069653</v>
      </c>
      <c r="AD7" s="369">
        <v>6433998</v>
      </c>
      <c r="AE7" s="369">
        <v>18414736</v>
      </c>
      <c r="AF7" s="369">
        <v>11715596</v>
      </c>
      <c r="AG7" s="369">
        <v>8700281</v>
      </c>
      <c r="AH7" s="369">
        <v>0</v>
      </c>
      <c r="AI7" s="369">
        <v>-13069653</v>
      </c>
      <c r="AJ7" s="369">
        <v>5142357</v>
      </c>
      <c r="AK7" s="369">
        <v>12662307</v>
      </c>
      <c r="AL7" s="369">
        <v>795584</v>
      </c>
      <c r="AM7" s="369">
        <v>5616739</v>
      </c>
      <c r="AN7" s="369">
        <v>123444313</v>
      </c>
      <c r="AO7" s="369">
        <v>25583167</v>
      </c>
      <c r="AP7" s="369">
        <v>1544255</v>
      </c>
      <c r="AQ7" s="369">
        <v>169646365</v>
      </c>
      <c r="AR7" s="370">
        <v>29883382</v>
      </c>
      <c r="AS7" s="370">
        <v>4426477</v>
      </c>
      <c r="AT7" s="371">
        <v>0.420223098239288</v>
      </c>
      <c r="AU7" s="371">
        <v>0.34899781261958801</v>
      </c>
      <c r="AV7" s="371">
        <v>0.69957044013789704</v>
      </c>
      <c r="AW7" s="371">
        <v>0.23077908914112299</v>
      </c>
      <c r="AX7" s="371">
        <v>0.46879135099677399</v>
      </c>
      <c r="AY7" s="371">
        <f>Y7/$Y$32</f>
        <v>1.949318428922911E-2</v>
      </c>
    </row>
    <row r="8" spans="1:51" ht="15.4" x14ac:dyDescent="0.45">
      <c r="A8" s="334" t="s">
        <v>87</v>
      </c>
      <c r="B8" s="369"/>
      <c r="C8" s="369"/>
      <c r="D8" s="369"/>
      <c r="E8" s="369"/>
      <c r="F8" s="369"/>
      <c r="G8" s="369"/>
      <c r="H8" s="369"/>
      <c r="I8" s="369"/>
      <c r="J8" s="369"/>
      <c r="K8" s="369"/>
      <c r="L8" s="369"/>
      <c r="M8" s="369"/>
      <c r="N8" s="369"/>
      <c r="O8" s="369"/>
      <c r="P8" s="369"/>
      <c r="Q8" s="369"/>
      <c r="R8" s="369"/>
      <c r="S8" s="369"/>
      <c r="T8" s="369"/>
      <c r="U8" s="369"/>
      <c r="V8" s="369"/>
      <c r="W8" s="369"/>
      <c r="X8" s="369"/>
      <c r="Y8" s="369"/>
      <c r="Z8" s="369"/>
      <c r="AA8" s="369"/>
      <c r="AB8" s="369"/>
      <c r="AC8" s="369"/>
      <c r="AD8" s="369"/>
      <c r="AE8" s="369"/>
      <c r="AF8" s="369"/>
      <c r="AG8" s="369"/>
      <c r="AH8" s="369"/>
      <c r="AI8" s="369"/>
      <c r="AJ8" s="369"/>
      <c r="AK8" s="369"/>
      <c r="AL8" s="369"/>
      <c r="AM8" s="369"/>
      <c r="AN8" s="369"/>
      <c r="AO8" s="369"/>
      <c r="AP8" s="369"/>
      <c r="AQ8" s="369"/>
      <c r="AR8" s="370"/>
      <c r="AS8" s="370"/>
      <c r="AT8" s="371"/>
      <c r="AU8" s="371"/>
      <c r="AV8" s="371"/>
      <c r="AW8" s="371"/>
      <c r="AX8" s="371"/>
      <c r="AY8" s="371"/>
    </row>
    <row r="9" spans="1:51" ht="15.4" x14ac:dyDescent="0.45">
      <c r="A9" s="334" t="s">
        <v>60</v>
      </c>
      <c r="B9" s="369">
        <v>109745</v>
      </c>
      <c r="C9" s="369"/>
      <c r="D9" s="369">
        <v>2212456</v>
      </c>
      <c r="E9" s="369"/>
      <c r="F9" s="369">
        <v>0</v>
      </c>
      <c r="G9" s="369">
        <v>0</v>
      </c>
      <c r="H9" s="369">
        <v>0</v>
      </c>
      <c r="I9" s="369">
        <v>0</v>
      </c>
      <c r="J9" s="369">
        <v>0</v>
      </c>
      <c r="K9" s="369">
        <v>0</v>
      </c>
      <c r="L9" s="369">
        <v>190442</v>
      </c>
      <c r="M9" s="369">
        <v>0</v>
      </c>
      <c r="N9" s="369">
        <v>130590</v>
      </c>
      <c r="O9" s="369">
        <v>0</v>
      </c>
      <c r="P9" s="369">
        <v>56109</v>
      </c>
      <c r="Q9" s="369">
        <v>4842</v>
      </c>
      <c r="R9" s="369"/>
      <c r="S9" s="369"/>
      <c r="T9" s="369"/>
      <c r="U9" s="369"/>
      <c r="V9" s="369"/>
      <c r="W9" s="369"/>
      <c r="X9" s="369"/>
      <c r="Y9" s="369">
        <v>2704184</v>
      </c>
      <c r="Z9" s="369">
        <v>959671</v>
      </c>
      <c r="AA9" s="369">
        <v>1744513</v>
      </c>
      <c r="AB9" s="369">
        <v>501891</v>
      </c>
      <c r="AC9" s="369">
        <v>3572341</v>
      </c>
      <c r="AD9" s="369">
        <v>457780</v>
      </c>
      <c r="AE9" s="369">
        <v>959671</v>
      </c>
      <c r="AF9" s="369">
        <v>1503540</v>
      </c>
      <c r="AG9" s="369">
        <v>120998</v>
      </c>
      <c r="AH9" s="369">
        <v>0</v>
      </c>
      <c r="AI9" s="369">
        <v>-3572341</v>
      </c>
      <c r="AJ9" s="369">
        <v>-1947803</v>
      </c>
      <c r="AK9" s="369">
        <v>79513</v>
      </c>
      <c r="AL9" s="369">
        <v>0</v>
      </c>
      <c r="AM9" s="369">
        <v>2602140</v>
      </c>
      <c r="AN9" s="369">
        <v>2315459</v>
      </c>
      <c r="AO9" s="369">
        <v>23378726</v>
      </c>
      <c r="AP9" s="369">
        <v>624502</v>
      </c>
      <c r="AQ9" s="369">
        <v>29747867</v>
      </c>
      <c r="AR9" s="370">
        <v>2947419</v>
      </c>
      <c r="AS9" s="370">
        <v>3012798</v>
      </c>
      <c r="AT9" s="371">
        <v>0.62356218514265205</v>
      </c>
      <c r="AU9" s="371">
        <v>0.18658300745973699</v>
      </c>
      <c r="AV9" s="371">
        <v>1.67140951165202</v>
      </c>
      <c r="AW9" s="371">
        <v>0.18985480739760999</v>
      </c>
      <c r="AX9" s="371">
        <v>1.4815547042544099</v>
      </c>
      <c r="AY9" s="371">
        <f t="shared" ref="AY9:AY31" si="1">Y9/$Y$32</f>
        <v>1.3921512530996943E-3</v>
      </c>
    </row>
    <row r="10" spans="1:51" ht="15.4" x14ac:dyDescent="0.45">
      <c r="A10" s="334" t="s">
        <v>128</v>
      </c>
      <c r="B10" s="369">
        <v>297031</v>
      </c>
      <c r="C10" s="369">
        <v>7877162</v>
      </c>
      <c r="D10" s="369">
        <v>13748211</v>
      </c>
      <c r="E10" s="369">
        <v>3428338</v>
      </c>
      <c r="F10" s="369">
        <v>1415</v>
      </c>
      <c r="G10" s="369"/>
      <c r="H10" s="369">
        <v>185012</v>
      </c>
      <c r="I10" s="369">
        <v>517335</v>
      </c>
      <c r="J10" s="369">
        <v>17193</v>
      </c>
      <c r="K10" s="369">
        <v>307741</v>
      </c>
      <c r="L10" s="369">
        <v>159190</v>
      </c>
      <c r="M10" s="369">
        <v>4412404</v>
      </c>
      <c r="N10" s="369">
        <v>430906</v>
      </c>
      <c r="O10" s="369">
        <v>320124</v>
      </c>
      <c r="P10" s="369"/>
      <c r="Q10" s="369">
        <v>442056</v>
      </c>
      <c r="R10" s="369">
        <v>23944</v>
      </c>
      <c r="S10" s="369"/>
      <c r="T10" s="369"/>
      <c r="U10" s="369"/>
      <c r="V10" s="369"/>
      <c r="W10" s="369"/>
      <c r="X10" s="369"/>
      <c r="Y10" s="369">
        <v>32168062</v>
      </c>
      <c r="Z10" s="369">
        <v>9759633</v>
      </c>
      <c r="AA10" s="369">
        <v>22408429</v>
      </c>
      <c r="AB10" s="369">
        <v>5099191</v>
      </c>
      <c r="AC10" s="369">
        <v>13038458</v>
      </c>
      <c r="AD10" s="372">
        <v>4660442</v>
      </c>
      <c r="AE10" s="369">
        <v>9759633</v>
      </c>
      <c r="AF10" s="369">
        <v>15296222</v>
      </c>
      <c r="AG10" s="369">
        <v>4981870</v>
      </c>
      <c r="AH10" s="369">
        <v>-1514398</v>
      </c>
      <c r="AI10" s="369">
        <v>1731498</v>
      </c>
      <c r="AJ10" s="369">
        <v>15639785</v>
      </c>
      <c r="AK10" s="369">
        <v>19204612</v>
      </c>
      <c r="AL10" s="369">
        <v>0</v>
      </c>
      <c r="AM10" s="369">
        <v>20724110</v>
      </c>
      <c r="AN10" s="369">
        <v>84636012</v>
      </c>
      <c r="AO10" s="369">
        <v>960027</v>
      </c>
      <c r="AP10" s="369">
        <v>11003273</v>
      </c>
      <c r="AQ10" s="369">
        <v>136528034</v>
      </c>
      <c r="AR10" s="370">
        <v>51113502</v>
      </c>
      <c r="AS10" s="370">
        <v>0</v>
      </c>
      <c r="AT10" s="371">
        <v>0.60618315279144497</v>
      </c>
      <c r="AU10" s="371">
        <v>0.20912539693006901</v>
      </c>
      <c r="AV10" s="371">
        <v>0.70140031982672002</v>
      </c>
      <c r="AW10" s="371">
        <v>0.18469145027848499</v>
      </c>
      <c r="AX10" s="371">
        <v>0.51670886954823503</v>
      </c>
      <c r="AY10" s="371">
        <f t="shared" si="1"/>
        <v>1.6560562381512746E-2</v>
      </c>
    </row>
    <row r="11" spans="1:51" ht="15.4" x14ac:dyDescent="0.45">
      <c r="A11" s="334" t="s">
        <v>22</v>
      </c>
      <c r="B11" s="369">
        <v>2436220</v>
      </c>
      <c r="C11" s="369">
        <v>2402850</v>
      </c>
      <c r="D11" s="369">
        <v>19662443</v>
      </c>
      <c r="E11" s="369">
        <v>14566190</v>
      </c>
      <c r="F11" s="369"/>
      <c r="G11" s="369"/>
      <c r="H11" s="369">
        <v>443305</v>
      </c>
      <c r="I11" s="369">
        <v>206439</v>
      </c>
      <c r="J11" s="369">
        <v>0</v>
      </c>
      <c r="K11" s="369">
        <v>239245</v>
      </c>
      <c r="L11" s="369">
        <v>1091461</v>
      </c>
      <c r="M11" s="369"/>
      <c r="N11" s="369">
        <v>746014</v>
      </c>
      <c r="O11" s="369"/>
      <c r="P11" s="369">
        <v>1601302</v>
      </c>
      <c r="Q11" s="369">
        <v>561211</v>
      </c>
      <c r="R11" s="369">
        <v>140114</v>
      </c>
      <c r="S11" s="369"/>
      <c r="T11" s="369"/>
      <c r="U11" s="369"/>
      <c r="V11" s="369"/>
      <c r="W11" s="369"/>
      <c r="X11" s="369"/>
      <c r="Y11" s="369">
        <v>44096794</v>
      </c>
      <c r="Z11" s="369">
        <v>23392708</v>
      </c>
      <c r="AA11" s="369">
        <v>20704086</v>
      </c>
      <c r="AB11" s="369">
        <v>9018929</v>
      </c>
      <c r="AC11" s="369">
        <v>10848089</v>
      </c>
      <c r="AD11" s="372">
        <v>14373779</v>
      </c>
      <c r="AE11" s="369">
        <v>23392708</v>
      </c>
      <c r="AF11" s="369">
        <v>14300535</v>
      </c>
      <c r="AG11" s="369">
        <v>6771468</v>
      </c>
      <c r="AH11" s="369">
        <v>3137325</v>
      </c>
      <c r="AI11" s="369">
        <v>-10404844</v>
      </c>
      <c r="AJ11" s="369">
        <v>9663140</v>
      </c>
      <c r="AK11" s="369">
        <v>29009287</v>
      </c>
      <c r="AL11" s="369">
        <v>1229652</v>
      </c>
      <c r="AM11" s="369">
        <v>9776392</v>
      </c>
      <c r="AN11" s="369">
        <v>58032497</v>
      </c>
      <c r="AO11" s="369">
        <v>13595139</v>
      </c>
      <c r="AP11" s="369">
        <v>11311511</v>
      </c>
      <c r="AQ11" s="369">
        <v>123802555</v>
      </c>
      <c r="AR11" s="370">
        <v>48196163</v>
      </c>
      <c r="AS11" s="370">
        <v>1411703</v>
      </c>
      <c r="AT11" s="371">
        <v>0.392421946147399</v>
      </c>
      <c r="AU11" s="371">
        <v>0.21314621415760901</v>
      </c>
      <c r="AV11" s="371">
        <v>0.69211498213408096</v>
      </c>
      <c r="AW11" s="371">
        <v>0.39443183969499102</v>
      </c>
      <c r="AX11" s="371">
        <v>0.297683142439089</v>
      </c>
      <c r="AY11" s="371">
        <f t="shared" si="1"/>
        <v>2.2701638285256877E-2</v>
      </c>
    </row>
    <row r="12" spans="1:51" ht="15.4" x14ac:dyDescent="0.45">
      <c r="A12" s="334" t="s">
        <v>23</v>
      </c>
      <c r="B12" s="369">
        <v>5551111</v>
      </c>
      <c r="C12" s="369">
        <v>93543277</v>
      </c>
      <c r="D12" s="369">
        <v>109654699</v>
      </c>
      <c r="E12" s="369">
        <v>13481908</v>
      </c>
      <c r="F12" s="369">
        <v>891292</v>
      </c>
      <c r="G12" s="369">
        <v>0</v>
      </c>
      <c r="H12" s="369">
        <v>7097835</v>
      </c>
      <c r="I12" s="369">
        <v>2596159</v>
      </c>
      <c r="J12" s="369">
        <v>1167323</v>
      </c>
      <c r="K12" s="369">
        <v>7161599</v>
      </c>
      <c r="L12" s="369">
        <v>5029674</v>
      </c>
      <c r="M12" s="369">
        <v>13993174</v>
      </c>
      <c r="N12" s="369">
        <v>27433186</v>
      </c>
      <c r="O12" s="369">
        <v>6879758</v>
      </c>
      <c r="P12" s="369">
        <v>6580887</v>
      </c>
      <c r="Q12" s="369">
        <v>8928819</v>
      </c>
      <c r="R12" s="369">
        <v>10977957</v>
      </c>
      <c r="S12" s="369">
        <v>884672</v>
      </c>
      <c r="T12" s="369">
        <v>0</v>
      </c>
      <c r="U12" s="369">
        <v>3340</v>
      </c>
      <c r="V12" s="369">
        <v>0</v>
      </c>
      <c r="W12" s="369">
        <v>0</v>
      </c>
      <c r="X12" s="369">
        <v>0</v>
      </c>
      <c r="Y12" s="369">
        <v>321856670</v>
      </c>
      <c r="Z12" s="369">
        <v>374876146</v>
      </c>
      <c r="AA12" s="369">
        <v>-53019476</v>
      </c>
      <c r="AB12" s="369">
        <v>324941161</v>
      </c>
      <c r="AC12" s="369">
        <v>68665147</v>
      </c>
      <c r="AD12" s="369">
        <v>49934985</v>
      </c>
      <c r="AE12" s="369">
        <v>374876146</v>
      </c>
      <c r="AF12" s="369">
        <v>91151962</v>
      </c>
      <c r="AG12" s="369">
        <v>24742966</v>
      </c>
      <c r="AH12" s="369">
        <v>-6019450</v>
      </c>
      <c r="AI12" s="369">
        <v>-65368091</v>
      </c>
      <c r="AJ12" s="369">
        <v>36909534</v>
      </c>
      <c r="AK12" s="369">
        <v>120834628</v>
      </c>
      <c r="AL12" s="369">
        <v>0</v>
      </c>
      <c r="AM12" s="369">
        <v>199090439</v>
      </c>
      <c r="AN12" s="369">
        <v>350811268</v>
      </c>
      <c r="AO12" s="369">
        <v>76159851</v>
      </c>
      <c r="AP12" s="369">
        <v>19259430</v>
      </c>
      <c r="AQ12" s="369">
        <v>766155616</v>
      </c>
      <c r="AR12" s="370">
        <v>411841748</v>
      </c>
      <c r="AS12" s="370">
        <v>0</v>
      </c>
      <c r="AT12" s="371">
        <v>0.47631690205681998</v>
      </c>
      <c r="AU12" s="371">
        <v>0.262746560346173</v>
      </c>
      <c r="AV12" s="371">
        <v>0.61974801439567395</v>
      </c>
      <c r="AW12" s="371">
        <v>0.26093653759700502</v>
      </c>
      <c r="AX12" s="371">
        <v>0.35881147679866898</v>
      </c>
      <c r="AY12" s="371">
        <f t="shared" si="1"/>
        <v>0.16569625678540914</v>
      </c>
    </row>
    <row r="13" spans="1:51" ht="15.4" x14ac:dyDescent="0.45">
      <c r="A13" s="334" t="s">
        <v>25</v>
      </c>
      <c r="B13" s="369"/>
      <c r="C13" s="369">
        <v>66028133</v>
      </c>
      <c r="D13" s="369">
        <v>49684362</v>
      </c>
      <c r="E13" s="369"/>
      <c r="F13" s="369"/>
      <c r="G13" s="369"/>
      <c r="H13" s="369"/>
      <c r="I13" s="369"/>
      <c r="J13" s="369"/>
      <c r="K13" s="369"/>
      <c r="L13" s="369"/>
      <c r="M13" s="369">
        <v>22794742</v>
      </c>
      <c r="N13" s="369">
        <v>8687962</v>
      </c>
      <c r="O13" s="369"/>
      <c r="P13" s="369">
        <v>13854446</v>
      </c>
      <c r="Q13" s="369">
        <v>8885610</v>
      </c>
      <c r="R13" s="369"/>
      <c r="S13" s="369"/>
      <c r="T13" s="369"/>
      <c r="U13" s="369"/>
      <c r="V13" s="369"/>
      <c r="W13" s="369"/>
      <c r="X13" s="369"/>
      <c r="Y13" s="369">
        <v>169935255</v>
      </c>
      <c r="Z13" s="369">
        <v>42392332</v>
      </c>
      <c r="AA13" s="369">
        <v>127542923</v>
      </c>
      <c r="AB13" s="369">
        <v>25014894</v>
      </c>
      <c r="AC13" s="369">
        <v>3612478</v>
      </c>
      <c r="AD13" s="372">
        <v>17377438</v>
      </c>
      <c r="AE13" s="369">
        <v>42392332</v>
      </c>
      <c r="AF13" s="369">
        <v>30632868</v>
      </c>
      <c r="AG13" s="369">
        <v>16348405</v>
      </c>
      <c r="AH13" s="369">
        <v>0</v>
      </c>
      <c r="AI13" s="369">
        <v>-3612478</v>
      </c>
      <c r="AJ13" s="369">
        <v>32164295</v>
      </c>
      <c r="AK13" s="369">
        <v>64643105</v>
      </c>
      <c r="AL13" s="369">
        <v>0</v>
      </c>
      <c r="AM13" s="369">
        <v>230308451</v>
      </c>
      <c r="AN13" s="369">
        <v>170067236</v>
      </c>
      <c r="AO13" s="369">
        <v>584878</v>
      </c>
      <c r="AP13" s="369">
        <v>48688149</v>
      </c>
      <c r="AQ13" s="369">
        <v>514950796</v>
      </c>
      <c r="AR13" s="370">
        <v>287317833</v>
      </c>
      <c r="AS13" s="370">
        <v>4354622</v>
      </c>
      <c r="AT13" s="371">
        <v>0.43989446565631102</v>
      </c>
      <c r="AU13" s="371">
        <v>0.310561848016776</v>
      </c>
      <c r="AV13" s="371">
        <v>0.30141963472015898</v>
      </c>
      <c r="AW13" s="371">
        <v>0.24954368632691101</v>
      </c>
      <c r="AX13" s="371">
        <v>5.1875948393248099E-2</v>
      </c>
      <c r="AY13" s="371">
        <f t="shared" si="1"/>
        <v>8.7485015144703956E-2</v>
      </c>
    </row>
    <row r="14" spans="1:51" ht="15.4" x14ac:dyDescent="0.45">
      <c r="A14" s="334" t="s">
        <v>26</v>
      </c>
      <c r="B14" s="369">
        <v>587741</v>
      </c>
      <c r="C14" s="369">
        <v>77224055</v>
      </c>
      <c r="D14" s="369">
        <v>17490674</v>
      </c>
      <c r="E14" s="369">
        <v>5941280</v>
      </c>
      <c r="F14" s="369"/>
      <c r="G14" s="369">
        <v>868412</v>
      </c>
      <c r="H14" s="369">
        <v>9140856</v>
      </c>
      <c r="I14" s="369">
        <v>211886</v>
      </c>
      <c r="J14" s="369"/>
      <c r="K14" s="369">
        <v>812676</v>
      </c>
      <c r="L14" s="369">
        <v>203441</v>
      </c>
      <c r="M14" s="369">
        <v>7222763</v>
      </c>
      <c r="N14" s="369">
        <v>10469223</v>
      </c>
      <c r="O14" s="369">
        <v>165560</v>
      </c>
      <c r="P14" s="369">
        <v>6881060</v>
      </c>
      <c r="Q14" s="369">
        <v>13597886</v>
      </c>
      <c r="R14" s="369">
        <v>5109496</v>
      </c>
      <c r="S14" s="369"/>
      <c r="T14" s="369"/>
      <c r="U14" s="369">
        <v>97808</v>
      </c>
      <c r="V14" s="369"/>
      <c r="W14" s="369"/>
      <c r="X14" s="369"/>
      <c r="Y14" s="369">
        <v>156024817</v>
      </c>
      <c r="Z14" s="369">
        <v>115628019</v>
      </c>
      <c r="AA14" s="369">
        <v>40396798</v>
      </c>
      <c r="AB14" s="369">
        <v>71021403</v>
      </c>
      <c r="AC14" s="369">
        <v>9291055</v>
      </c>
      <c r="AD14" s="372">
        <v>44606616</v>
      </c>
      <c r="AE14" s="369">
        <v>115628019</v>
      </c>
      <c r="AF14" s="369">
        <v>7407445</v>
      </c>
      <c r="AG14" s="369">
        <v>3839262</v>
      </c>
      <c r="AH14" s="369">
        <v>2121796</v>
      </c>
      <c r="AI14" s="369">
        <v>-9291055</v>
      </c>
      <c r="AJ14" s="369">
        <v>2458370</v>
      </c>
      <c r="AK14" s="369">
        <v>46560791</v>
      </c>
      <c r="AL14" s="369">
        <v>0</v>
      </c>
      <c r="AM14" s="369">
        <v>156134841</v>
      </c>
      <c r="AN14" s="369">
        <v>182027613</v>
      </c>
      <c r="AO14" s="369">
        <v>12487285</v>
      </c>
      <c r="AP14" s="369">
        <v>12500362</v>
      </c>
      <c r="AQ14" s="369">
        <v>413802368</v>
      </c>
      <c r="AR14" s="370">
        <v>264687202</v>
      </c>
      <c r="AS14" s="370">
        <v>0</v>
      </c>
      <c r="AT14" s="371">
        <v>6.0725702412631401E-2</v>
      </c>
      <c r="AU14" s="371">
        <v>0.57359246142786602</v>
      </c>
      <c r="AV14" s="371">
        <v>0.44184923814890398</v>
      </c>
      <c r="AW14" s="371">
        <v>0.36568183615950201</v>
      </c>
      <c r="AX14" s="371">
        <v>7.6167401989402694E-2</v>
      </c>
      <c r="AY14" s="371">
        <f t="shared" si="1"/>
        <v>8.0323729635705443E-2</v>
      </c>
    </row>
    <row r="15" spans="1:51" ht="15.4" x14ac:dyDescent="0.45">
      <c r="A15" s="334" t="s">
        <v>28</v>
      </c>
      <c r="B15" s="369"/>
      <c r="C15" s="369"/>
      <c r="D15" s="369"/>
      <c r="E15" s="369"/>
      <c r="F15" s="369"/>
      <c r="G15" s="369"/>
      <c r="H15" s="369"/>
      <c r="I15" s="369"/>
      <c r="J15" s="369"/>
      <c r="K15" s="369"/>
      <c r="L15" s="369"/>
      <c r="M15" s="369"/>
      <c r="N15" s="369"/>
      <c r="O15" s="369"/>
      <c r="P15" s="369"/>
      <c r="Q15" s="369"/>
      <c r="R15" s="369"/>
      <c r="S15" s="369"/>
      <c r="T15" s="369"/>
      <c r="U15" s="369"/>
      <c r="V15" s="369"/>
      <c r="W15" s="369"/>
      <c r="X15" s="369"/>
      <c r="Y15" s="369"/>
      <c r="Z15" s="369"/>
      <c r="AA15" s="369"/>
      <c r="AB15" s="369"/>
      <c r="AC15" s="369"/>
      <c r="AD15" s="369"/>
      <c r="AE15" s="369"/>
      <c r="AF15" s="369"/>
      <c r="AG15" s="369"/>
      <c r="AH15" s="369"/>
      <c r="AI15" s="369"/>
      <c r="AJ15" s="369"/>
      <c r="AK15" s="369"/>
      <c r="AL15" s="369"/>
      <c r="AM15" s="369"/>
      <c r="AN15" s="369"/>
      <c r="AO15" s="369"/>
      <c r="AP15" s="369"/>
      <c r="AQ15" s="369"/>
      <c r="AR15" s="370"/>
      <c r="AS15" s="370"/>
      <c r="AT15" s="371"/>
      <c r="AU15" s="371"/>
      <c r="AV15" s="371"/>
      <c r="AW15" s="371"/>
      <c r="AX15" s="371"/>
      <c r="AY15" s="371"/>
    </row>
    <row r="16" spans="1:51" ht="15.4" x14ac:dyDescent="0.45">
      <c r="A16" s="334" t="s">
        <v>46</v>
      </c>
      <c r="B16" s="369">
        <v>627037</v>
      </c>
      <c r="C16" s="369">
        <v>2508148</v>
      </c>
      <c r="D16" s="369">
        <v>13696695</v>
      </c>
      <c r="E16" s="369">
        <v>5870012</v>
      </c>
      <c r="F16" s="369"/>
      <c r="G16" s="369"/>
      <c r="H16" s="369">
        <v>629034</v>
      </c>
      <c r="I16" s="369">
        <v>419356</v>
      </c>
      <c r="J16" s="369">
        <v>104839</v>
      </c>
      <c r="K16" s="369">
        <v>209678</v>
      </c>
      <c r="L16" s="369">
        <v>733873</v>
      </c>
      <c r="M16" s="369"/>
      <c r="N16" s="369">
        <v>2195837</v>
      </c>
      <c r="O16" s="369"/>
      <c r="P16" s="369">
        <v>6090875</v>
      </c>
      <c r="Q16" s="369">
        <v>142886</v>
      </c>
      <c r="R16" s="369"/>
      <c r="S16" s="369"/>
      <c r="T16" s="369"/>
      <c r="U16" s="369"/>
      <c r="V16" s="369"/>
      <c r="W16" s="369"/>
      <c r="X16" s="369"/>
      <c r="Y16" s="369">
        <v>33228270</v>
      </c>
      <c r="Z16" s="369">
        <v>20640380</v>
      </c>
      <c r="AA16" s="369">
        <v>12587890</v>
      </c>
      <c r="AB16" s="369">
        <v>20640380</v>
      </c>
      <c r="AC16" s="369">
        <v>5758305</v>
      </c>
      <c r="AD16" s="372">
        <v>0</v>
      </c>
      <c r="AE16" s="369">
        <v>20640380</v>
      </c>
      <c r="AF16" s="369">
        <v>4273496</v>
      </c>
      <c r="AG16" s="369">
        <v>5284929</v>
      </c>
      <c r="AH16" s="369">
        <v>302951</v>
      </c>
      <c r="AI16" s="369">
        <v>-5709467</v>
      </c>
      <c r="AJ16" s="369">
        <v>4151909</v>
      </c>
      <c r="AK16" s="369">
        <v>5982467</v>
      </c>
      <c r="AL16" s="369">
        <v>0</v>
      </c>
      <c r="AM16" s="369">
        <v>0</v>
      </c>
      <c r="AN16" s="369">
        <v>71861894</v>
      </c>
      <c r="AO16" s="369">
        <v>17374476</v>
      </c>
      <c r="AP16" s="369">
        <v>7962755</v>
      </c>
      <c r="AQ16" s="369">
        <v>103181592</v>
      </c>
      <c r="AR16" s="370">
        <v>30595899</v>
      </c>
      <c r="AS16" s="370">
        <v>6045951</v>
      </c>
      <c r="AT16" s="371">
        <v>0.17153075659524</v>
      </c>
      <c r="AU16" s="371">
        <v>0.82846924340475903</v>
      </c>
      <c r="AV16" s="371">
        <v>0.231128428189977</v>
      </c>
      <c r="AW16" s="371"/>
      <c r="AX16" s="371">
        <v>0.231128428189977</v>
      </c>
      <c r="AY16" s="371">
        <f t="shared" si="1"/>
        <v>1.7106372095550815E-2</v>
      </c>
    </row>
    <row r="17" spans="1:51" ht="15.4" x14ac:dyDescent="0.45">
      <c r="A17" s="334" t="s">
        <v>69</v>
      </c>
      <c r="B17" s="369">
        <v>126165</v>
      </c>
      <c r="C17" s="369">
        <v>504662</v>
      </c>
      <c r="D17" s="369">
        <v>13759476</v>
      </c>
      <c r="E17" s="369">
        <v>6350527</v>
      </c>
      <c r="F17" s="369">
        <v>1058421</v>
      </c>
      <c r="G17" s="369"/>
      <c r="H17" s="369">
        <v>1537764</v>
      </c>
      <c r="I17" s="369">
        <v>41709</v>
      </c>
      <c r="J17" s="369"/>
      <c r="K17" s="369">
        <v>121918</v>
      </c>
      <c r="L17" s="369">
        <v>19250</v>
      </c>
      <c r="M17" s="369">
        <v>137960</v>
      </c>
      <c r="N17" s="369">
        <v>483003</v>
      </c>
      <c r="O17" s="369">
        <v>322002</v>
      </c>
      <c r="P17" s="369">
        <v>829883</v>
      </c>
      <c r="Q17" s="369">
        <v>13541</v>
      </c>
      <c r="R17" s="369">
        <v>1505</v>
      </c>
      <c r="S17" s="369"/>
      <c r="T17" s="369"/>
      <c r="U17" s="369"/>
      <c r="V17" s="369"/>
      <c r="W17" s="369"/>
      <c r="X17" s="369"/>
      <c r="Y17" s="369">
        <v>25307786</v>
      </c>
      <c r="Z17" s="369">
        <v>10762367</v>
      </c>
      <c r="AA17" s="369">
        <v>14545419</v>
      </c>
      <c r="AB17" s="369">
        <v>10762367</v>
      </c>
      <c r="AC17" s="369">
        <v>12967057</v>
      </c>
      <c r="AD17" s="372">
        <v>0</v>
      </c>
      <c r="AE17" s="369">
        <v>10762367</v>
      </c>
      <c r="AF17" s="369">
        <v>15876576</v>
      </c>
      <c r="AG17" s="369">
        <v>1173694</v>
      </c>
      <c r="AH17" s="369">
        <v>0</v>
      </c>
      <c r="AI17" s="369">
        <v>-12700885</v>
      </c>
      <c r="AJ17" s="369">
        <v>2800539</v>
      </c>
      <c r="AK17" s="369">
        <v>12469316</v>
      </c>
      <c r="AL17" s="369">
        <v>0</v>
      </c>
      <c r="AM17" s="369">
        <v>0</v>
      </c>
      <c r="AN17" s="369">
        <v>69118580</v>
      </c>
      <c r="AO17" s="369">
        <v>5198426</v>
      </c>
      <c r="AP17" s="369">
        <v>47304844</v>
      </c>
      <c r="AQ17" s="369">
        <v>135946758</v>
      </c>
      <c r="AR17" s="370">
        <v>23653477</v>
      </c>
      <c r="AS17" s="370">
        <v>4246190</v>
      </c>
      <c r="AT17" s="371">
        <v>0.69504783687123795</v>
      </c>
      <c r="AU17" s="371">
        <v>0.304952163128761</v>
      </c>
      <c r="AV17" s="371">
        <v>0.56767434731746003</v>
      </c>
      <c r="AW17" s="371"/>
      <c r="AX17" s="371">
        <v>0.56767434731746003</v>
      </c>
      <c r="AY17" s="371">
        <f t="shared" si="1"/>
        <v>1.3028797594053844E-2</v>
      </c>
    </row>
    <row r="18" spans="1:51" ht="15.4" x14ac:dyDescent="0.45">
      <c r="A18" s="334" t="s">
        <v>29</v>
      </c>
      <c r="B18" s="369"/>
      <c r="C18" s="369">
        <v>2067532</v>
      </c>
      <c r="D18" s="369">
        <v>26422835</v>
      </c>
      <c r="E18" s="369"/>
      <c r="F18" s="369"/>
      <c r="G18" s="369"/>
      <c r="H18" s="369">
        <v>1372148</v>
      </c>
      <c r="I18" s="369"/>
      <c r="J18" s="369">
        <v>144180</v>
      </c>
      <c r="K18" s="369"/>
      <c r="L18" s="369">
        <v>418600</v>
      </c>
      <c r="M18" s="369"/>
      <c r="N18" s="369">
        <v>284406</v>
      </c>
      <c r="O18" s="369"/>
      <c r="P18" s="369">
        <v>3461001</v>
      </c>
      <c r="Q18" s="369">
        <v>13237</v>
      </c>
      <c r="R18" s="369"/>
      <c r="S18" s="369"/>
      <c r="T18" s="369"/>
      <c r="U18" s="369"/>
      <c r="V18" s="369"/>
      <c r="W18" s="369"/>
      <c r="X18" s="369"/>
      <c r="Y18" s="369">
        <v>34183939</v>
      </c>
      <c r="Z18" s="369">
        <v>26003046</v>
      </c>
      <c r="AA18" s="369">
        <v>8180893</v>
      </c>
      <c r="AB18" s="369">
        <v>14138992</v>
      </c>
      <c r="AC18" s="369">
        <v>7444652</v>
      </c>
      <c r="AD18" s="372">
        <v>11864054</v>
      </c>
      <c r="AE18" s="369">
        <v>26003046</v>
      </c>
      <c r="AF18" s="369">
        <v>5936856</v>
      </c>
      <c r="AG18" s="369">
        <v>10362479</v>
      </c>
      <c r="AH18" s="369">
        <v>2726478</v>
      </c>
      <c r="AI18" s="369">
        <v>-7232501</v>
      </c>
      <c r="AJ18" s="369">
        <v>8255319</v>
      </c>
      <c r="AK18" s="369">
        <v>17680387</v>
      </c>
      <c r="AL18" s="369">
        <v>0</v>
      </c>
      <c r="AM18" s="369">
        <v>0</v>
      </c>
      <c r="AN18" s="369">
        <v>87268849</v>
      </c>
      <c r="AO18" s="369">
        <v>25949618</v>
      </c>
      <c r="AP18" s="369">
        <v>26369318</v>
      </c>
      <c r="AQ18" s="369">
        <v>158868250</v>
      </c>
      <c r="AR18" s="370">
        <v>28134745</v>
      </c>
      <c r="AS18" s="370">
        <v>23753031</v>
      </c>
      <c r="AT18" s="371">
        <v>0.23542073088231799</v>
      </c>
      <c r="AU18" s="371">
        <v>0.29412078673116399</v>
      </c>
      <c r="AV18" s="371">
        <v>0.76566951917172998</v>
      </c>
      <c r="AW18" s="371">
        <v>0.470458482386517</v>
      </c>
      <c r="AX18" s="371">
        <v>0.29521103678521199</v>
      </c>
      <c r="AY18" s="371">
        <f t="shared" si="1"/>
        <v>1.7598363689280579E-2</v>
      </c>
    </row>
    <row r="19" spans="1:51" ht="15.4" x14ac:dyDescent="0.45">
      <c r="A19" s="334" t="s">
        <v>31</v>
      </c>
      <c r="B19" s="369"/>
      <c r="C19" s="369"/>
      <c r="D19" s="369"/>
      <c r="E19" s="369"/>
      <c r="F19" s="369"/>
      <c r="G19" s="369"/>
      <c r="H19" s="369"/>
      <c r="I19" s="369"/>
      <c r="J19" s="369"/>
      <c r="K19" s="369"/>
      <c r="L19" s="369"/>
      <c r="M19" s="369"/>
      <c r="N19" s="369"/>
      <c r="O19" s="369"/>
      <c r="P19" s="369"/>
      <c r="Q19" s="369"/>
      <c r="R19" s="369"/>
      <c r="S19" s="369"/>
      <c r="T19" s="369"/>
      <c r="U19" s="369"/>
      <c r="V19" s="369"/>
      <c r="W19" s="369"/>
      <c r="X19" s="369"/>
      <c r="Y19" s="369"/>
      <c r="Z19" s="369"/>
      <c r="AA19" s="369"/>
      <c r="AB19" s="369"/>
      <c r="AC19" s="369"/>
      <c r="AD19" s="372"/>
      <c r="AE19" s="369"/>
      <c r="AF19" s="369"/>
      <c r="AG19" s="369"/>
      <c r="AH19" s="369"/>
      <c r="AI19" s="369"/>
      <c r="AJ19" s="369"/>
      <c r="AK19" s="369"/>
      <c r="AL19" s="369"/>
      <c r="AM19" s="369"/>
      <c r="AN19" s="369"/>
      <c r="AO19" s="369"/>
      <c r="AP19" s="369"/>
      <c r="AQ19" s="369"/>
      <c r="AR19" s="370"/>
      <c r="AS19" s="370"/>
      <c r="AT19" s="371"/>
      <c r="AU19" s="371"/>
      <c r="AV19" s="371"/>
      <c r="AW19" s="371"/>
      <c r="AX19" s="371"/>
      <c r="AY19" s="371"/>
    </row>
    <row r="20" spans="1:51" ht="15.4" x14ac:dyDescent="0.45">
      <c r="A20" s="334" t="s">
        <v>32</v>
      </c>
      <c r="B20" s="369"/>
      <c r="C20" s="369">
        <v>8727258</v>
      </c>
      <c r="D20" s="369">
        <v>43739233</v>
      </c>
      <c r="E20" s="369"/>
      <c r="F20" s="369"/>
      <c r="G20" s="369"/>
      <c r="H20" s="369"/>
      <c r="I20" s="369"/>
      <c r="J20" s="369"/>
      <c r="K20" s="369">
        <v>1769263</v>
      </c>
      <c r="L20" s="369"/>
      <c r="M20" s="369">
        <v>1869049</v>
      </c>
      <c r="N20" s="369">
        <v>19799246</v>
      </c>
      <c r="O20" s="369"/>
      <c r="P20" s="369">
        <v>27834679</v>
      </c>
      <c r="Q20" s="369">
        <v>346313</v>
      </c>
      <c r="R20" s="369"/>
      <c r="S20" s="369"/>
      <c r="T20" s="369"/>
      <c r="U20" s="369"/>
      <c r="V20" s="369"/>
      <c r="W20" s="369"/>
      <c r="X20" s="369"/>
      <c r="Y20" s="369">
        <v>104085041</v>
      </c>
      <c r="Z20" s="369">
        <v>59791398</v>
      </c>
      <c r="AA20" s="369">
        <v>44293643</v>
      </c>
      <c r="AB20" s="369">
        <v>38475255</v>
      </c>
      <c r="AC20" s="369">
        <v>17020052</v>
      </c>
      <c r="AD20" s="372">
        <v>21316143</v>
      </c>
      <c r="AE20" s="369">
        <v>59791398</v>
      </c>
      <c r="AF20" s="369">
        <v>14942953</v>
      </c>
      <c r="AG20" s="369">
        <v>7917855</v>
      </c>
      <c r="AH20" s="369">
        <v>0</v>
      </c>
      <c r="AI20" s="369">
        <v>-16994853</v>
      </c>
      <c r="AJ20" s="369">
        <v>3773196</v>
      </c>
      <c r="AK20" s="369">
        <v>11476169</v>
      </c>
      <c r="AL20" s="369">
        <v>0</v>
      </c>
      <c r="AM20" s="369">
        <v>0</v>
      </c>
      <c r="AN20" s="369">
        <v>123755092</v>
      </c>
      <c r="AO20" s="369">
        <v>15612327</v>
      </c>
      <c r="AP20" s="369">
        <v>5823344</v>
      </c>
      <c r="AQ20" s="369">
        <v>156666932</v>
      </c>
      <c r="AR20" s="370">
        <v>53464810</v>
      </c>
      <c r="AS20" s="370">
        <v>0</v>
      </c>
      <c r="AT20" s="371">
        <v>0.20593116701185901</v>
      </c>
      <c r="AU20" s="371">
        <v>0.50030774010498102</v>
      </c>
      <c r="AV20" s="371">
        <v>0.52831708532739197</v>
      </c>
      <c r="AW20" s="371">
        <v>0.29376109288315799</v>
      </c>
      <c r="AX20" s="371">
        <v>0.234555992444233</v>
      </c>
      <c r="AY20" s="371">
        <f t="shared" si="1"/>
        <v>5.3584415948427722E-2</v>
      </c>
    </row>
    <row r="21" spans="1:51" ht="15.4" x14ac:dyDescent="0.45">
      <c r="A21" s="334" t="s">
        <v>33</v>
      </c>
      <c r="B21" s="369"/>
      <c r="C21" s="369"/>
      <c r="D21" s="369"/>
      <c r="E21" s="369"/>
      <c r="F21" s="369"/>
      <c r="G21" s="369"/>
      <c r="H21" s="369"/>
      <c r="I21" s="369"/>
      <c r="J21" s="369"/>
      <c r="K21" s="369"/>
      <c r="L21" s="369"/>
      <c r="M21" s="369"/>
      <c r="N21" s="369"/>
      <c r="O21" s="369"/>
      <c r="P21" s="369"/>
      <c r="Q21" s="369"/>
      <c r="R21" s="369"/>
      <c r="S21" s="369"/>
      <c r="T21" s="369"/>
      <c r="U21" s="369"/>
      <c r="V21" s="369"/>
      <c r="W21" s="369"/>
      <c r="X21" s="369"/>
      <c r="Y21" s="369"/>
      <c r="Z21" s="369"/>
      <c r="AA21" s="369"/>
      <c r="AB21" s="369"/>
      <c r="AC21" s="369"/>
      <c r="AD21" s="369"/>
      <c r="AE21" s="369"/>
      <c r="AF21" s="369"/>
      <c r="AG21" s="369"/>
      <c r="AH21" s="369"/>
      <c r="AI21" s="369"/>
      <c r="AJ21" s="369"/>
      <c r="AK21" s="369"/>
      <c r="AL21" s="369"/>
      <c r="AM21" s="369"/>
      <c r="AN21" s="369"/>
      <c r="AO21" s="369"/>
      <c r="AP21" s="369"/>
      <c r="AQ21" s="369"/>
      <c r="AR21" s="370"/>
      <c r="AS21" s="370"/>
      <c r="AT21" s="371"/>
      <c r="AU21" s="371"/>
      <c r="AV21" s="371"/>
      <c r="AW21" s="371"/>
      <c r="AX21" s="371"/>
      <c r="AY21" s="371"/>
    </row>
    <row r="22" spans="1:51" ht="15.4" x14ac:dyDescent="0.45">
      <c r="A22" s="334" t="s">
        <v>34</v>
      </c>
      <c r="B22" s="369">
        <v>29712</v>
      </c>
      <c r="C22" s="369">
        <v>1644704</v>
      </c>
      <c r="D22" s="369">
        <v>10416526</v>
      </c>
      <c r="E22" s="369">
        <v>29407383</v>
      </c>
      <c r="F22" s="369">
        <v>39623</v>
      </c>
      <c r="G22" s="369">
        <v>0</v>
      </c>
      <c r="H22" s="369">
        <v>1071077</v>
      </c>
      <c r="I22" s="369">
        <v>0</v>
      </c>
      <c r="J22" s="369">
        <v>0</v>
      </c>
      <c r="K22" s="369">
        <v>265491</v>
      </c>
      <c r="L22" s="369">
        <v>598618</v>
      </c>
      <c r="M22" s="369">
        <v>114843</v>
      </c>
      <c r="N22" s="369">
        <v>306635</v>
      </c>
      <c r="O22" s="369">
        <v>111564</v>
      </c>
      <c r="P22" s="369">
        <v>2164460</v>
      </c>
      <c r="Q22" s="369">
        <v>5842</v>
      </c>
      <c r="R22" s="369">
        <v>0</v>
      </c>
      <c r="S22" s="369">
        <v>0</v>
      </c>
      <c r="T22" s="369">
        <v>0</v>
      </c>
      <c r="U22" s="369">
        <v>0</v>
      </c>
      <c r="V22" s="369">
        <v>0</v>
      </c>
      <c r="W22" s="369">
        <v>0</v>
      </c>
      <c r="X22" s="369">
        <v>0</v>
      </c>
      <c r="Y22" s="369">
        <v>46176478</v>
      </c>
      <c r="Z22" s="369">
        <v>20637446</v>
      </c>
      <c r="AA22" s="369">
        <v>25539032</v>
      </c>
      <c r="AB22" s="369">
        <v>4394330</v>
      </c>
      <c r="AC22" s="369">
        <v>12640323</v>
      </c>
      <c r="AD22" s="372">
        <v>16243116</v>
      </c>
      <c r="AE22" s="369">
        <v>20637446</v>
      </c>
      <c r="AF22" s="369">
        <v>24727835</v>
      </c>
      <c r="AG22" s="369">
        <v>2310522</v>
      </c>
      <c r="AH22" s="369">
        <v>463619</v>
      </c>
      <c r="AI22" s="369">
        <v>-12634823</v>
      </c>
      <c r="AJ22" s="369">
        <v>10407014</v>
      </c>
      <c r="AK22" s="369">
        <v>4658877</v>
      </c>
      <c r="AL22" s="369">
        <v>2203048</v>
      </c>
      <c r="AM22" s="369">
        <v>642599</v>
      </c>
      <c r="AN22" s="369">
        <v>62573262</v>
      </c>
      <c r="AO22" s="369">
        <v>16636804</v>
      </c>
      <c r="AP22" s="369">
        <v>27269430</v>
      </c>
      <c r="AQ22" s="369">
        <v>113984020</v>
      </c>
      <c r="AR22" s="370">
        <v>13163899</v>
      </c>
      <c r="AS22" s="370">
        <v>7943635</v>
      </c>
      <c r="AT22" s="371">
        <v>0.55945671069612202</v>
      </c>
      <c r="AU22" s="371">
        <v>7.3049723902153293E-2</v>
      </c>
      <c r="AV22" s="371">
        <v>0.65347547719127397</v>
      </c>
      <c r="AW22" s="371">
        <v>0.36749356540172401</v>
      </c>
      <c r="AX22" s="371">
        <v>0.28598191178954901</v>
      </c>
      <c r="AY22" s="371">
        <f t="shared" si="1"/>
        <v>2.3772288317448247E-2</v>
      </c>
    </row>
    <row r="23" spans="1:51" ht="15.4" x14ac:dyDescent="0.45">
      <c r="A23" s="334" t="s">
        <v>35</v>
      </c>
      <c r="B23" s="369"/>
      <c r="C23" s="369">
        <v>5396887</v>
      </c>
      <c r="D23" s="369">
        <v>36647224</v>
      </c>
      <c r="E23" s="369"/>
      <c r="F23" s="369"/>
      <c r="G23" s="369"/>
      <c r="H23" s="369"/>
      <c r="I23" s="369"/>
      <c r="J23" s="369"/>
      <c r="K23" s="369"/>
      <c r="L23" s="369">
        <v>248604</v>
      </c>
      <c r="M23" s="369"/>
      <c r="N23" s="369">
        <v>3906348</v>
      </c>
      <c r="O23" s="369"/>
      <c r="P23" s="369">
        <v>3110022</v>
      </c>
      <c r="Q23" s="369"/>
      <c r="R23" s="369">
        <v>3591591</v>
      </c>
      <c r="S23" s="369"/>
      <c r="T23" s="369"/>
      <c r="U23" s="369"/>
      <c r="V23" s="369"/>
      <c r="W23" s="369"/>
      <c r="X23" s="369"/>
      <c r="Y23" s="369">
        <v>52900676</v>
      </c>
      <c r="Z23" s="369">
        <v>38351667</v>
      </c>
      <c r="AA23" s="369">
        <v>14549009</v>
      </c>
      <c r="AB23" s="369">
        <v>29561660</v>
      </c>
      <c r="AC23" s="369">
        <v>23378698</v>
      </c>
      <c r="AD23" s="372">
        <v>8790007</v>
      </c>
      <c r="AE23" s="369">
        <v>38351667</v>
      </c>
      <c r="AF23" s="369">
        <v>20730770</v>
      </c>
      <c r="AG23" s="369">
        <v>5799578</v>
      </c>
      <c r="AH23" s="369">
        <v>-198378</v>
      </c>
      <c r="AI23" s="369">
        <v>-23378698</v>
      </c>
      <c r="AJ23" s="369">
        <v>2096824</v>
      </c>
      <c r="AK23" s="369">
        <v>7282511</v>
      </c>
      <c r="AL23" s="369">
        <v>0</v>
      </c>
      <c r="AM23" s="369">
        <v>30879765</v>
      </c>
      <c r="AN23" s="369">
        <v>56907149</v>
      </c>
      <c r="AO23" s="369">
        <v>5942059</v>
      </c>
      <c r="AP23" s="369">
        <v>32807386</v>
      </c>
      <c r="AQ23" s="369">
        <v>135087431</v>
      </c>
      <c r="AR23" s="370">
        <v>62310140</v>
      </c>
      <c r="AS23" s="370">
        <v>0</v>
      </c>
      <c r="AT23" s="371">
        <v>0.391881003562222</v>
      </c>
      <c r="AU23" s="371">
        <v>0.44195841656163298</v>
      </c>
      <c r="AV23" s="371">
        <v>0.60809629351428296</v>
      </c>
      <c r="AW23" s="371">
        <v>0.16616057987614299</v>
      </c>
      <c r="AX23" s="371">
        <v>0.44193571363813899</v>
      </c>
      <c r="AY23" s="371">
        <f t="shared" si="1"/>
        <v>2.7233998272018816E-2</v>
      </c>
    </row>
    <row r="24" spans="1:51" ht="15.4" x14ac:dyDescent="0.45">
      <c r="A24" s="334" t="s">
        <v>36</v>
      </c>
      <c r="B24" s="369"/>
      <c r="C24" s="369"/>
      <c r="D24" s="369"/>
      <c r="E24" s="369"/>
      <c r="F24" s="369"/>
      <c r="G24" s="369"/>
      <c r="H24" s="369"/>
      <c r="I24" s="369"/>
      <c r="J24" s="369"/>
      <c r="K24" s="369"/>
      <c r="L24" s="369"/>
      <c r="M24" s="369"/>
      <c r="N24" s="369"/>
      <c r="O24" s="369"/>
      <c r="P24" s="369"/>
      <c r="Q24" s="369"/>
      <c r="R24" s="369"/>
      <c r="S24" s="369"/>
      <c r="T24" s="369"/>
      <c r="U24" s="369"/>
      <c r="V24" s="369"/>
      <c r="W24" s="369"/>
      <c r="X24" s="369"/>
      <c r="Y24" s="369"/>
      <c r="Z24" s="369"/>
      <c r="AA24" s="369"/>
      <c r="AB24" s="369"/>
      <c r="AC24" s="369"/>
      <c r="AD24" s="369"/>
      <c r="AE24" s="369"/>
      <c r="AF24" s="369"/>
      <c r="AG24" s="369"/>
      <c r="AH24" s="369"/>
      <c r="AI24" s="369"/>
      <c r="AJ24" s="369"/>
      <c r="AK24" s="369"/>
      <c r="AL24" s="369"/>
      <c r="AM24" s="369"/>
      <c r="AN24" s="369"/>
      <c r="AO24" s="369"/>
      <c r="AP24" s="369"/>
      <c r="AQ24" s="369"/>
      <c r="AR24" s="370"/>
      <c r="AS24" s="370"/>
      <c r="AT24" s="371"/>
      <c r="AU24" s="371"/>
      <c r="AV24" s="371"/>
      <c r="AW24" s="371"/>
      <c r="AX24" s="371"/>
      <c r="AY24" s="371"/>
    </row>
    <row r="25" spans="1:51" ht="15.4" x14ac:dyDescent="0.45">
      <c r="A25" s="334" t="s">
        <v>146</v>
      </c>
      <c r="B25" s="369"/>
      <c r="C25" s="369">
        <v>16041031</v>
      </c>
      <c r="D25" s="369">
        <v>11889299</v>
      </c>
      <c r="E25" s="369">
        <v>0</v>
      </c>
      <c r="F25" s="369">
        <v>0</v>
      </c>
      <c r="G25" s="369">
        <v>0</v>
      </c>
      <c r="H25" s="369">
        <v>2965528</v>
      </c>
      <c r="I25" s="369">
        <v>6363910</v>
      </c>
      <c r="J25" s="369">
        <v>0</v>
      </c>
      <c r="K25" s="369">
        <v>0</v>
      </c>
      <c r="L25" s="369">
        <v>0</v>
      </c>
      <c r="M25" s="369">
        <v>0</v>
      </c>
      <c r="N25" s="369">
        <v>867928</v>
      </c>
      <c r="O25" s="369">
        <v>0</v>
      </c>
      <c r="P25" s="369">
        <v>7331426</v>
      </c>
      <c r="Q25" s="369">
        <v>6635569</v>
      </c>
      <c r="R25" s="369">
        <v>0</v>
      </c>
      <c r="S25" s="369">
        <v>0</v>
      </c>
      <c r="T25" s="369">
        <v>0</v>
      </c>
      <c r="U25" s="369">
        <v>0</v>
      </c>
      <c r="V25" s="369">
        <v>0</v>
      </c>
      <c r="W25" s="369">
        <v>0</v>
      </c>
      <c r="X25" s="369">
        <v>0</v>
      </c>
      <c r="Y25" s="369">
        <v>52094691</v>
      </c>
      <c r="Z25" s="369">
        <v>34643128</v>
      </c>
      <c r="AA25" s="369">
        <v>17451563</v>
      </c>
      <c r="AB25" s="369">
        <v>28690240</v>
      </c>
      <c r="AC25" s="369">
        <v>12802675</v>
      </c>
      <c r="AD25" s="372">
        <v>5952888</v>
      </c>
      <c r="AE25" s="369">
        <v>34643128</v>
      </c>
      <c r="AF25" s="369">
        <v>13593715</v>
      </c>
      <c r="AG25" s="369">
        <v>9306843</v>
      </c>
      <c r="AH25" s="369">
        <v>0</v>
      </c>
      <c r="AI25" s="369">
        <v>-12802675</v>
      </c>
      <c r="AJ25" s="369">
        <v>7068517</v>
      </c>
      <c r="AK25" s="369">
        <v>37008972</v>
      </c>
      <c r="AL25" s="369">
        <v>3278254</v>
      </c>
      <c r="AM25" s="369">
        <v>54145606</v>
      </c>
      <c r="AN25" s="369">
        <v>77913269</v>
      </c>
      <c r="AO25" s="369">
        <v>3679968</v>
      </c>
      <c r="AP25" s="369">
        <v>3304640</v>
      </c>
      <c r="AQ25" s="369">
        <v>179443839</v>
      </c>
      <c r="AR25" s="370">
        <v>74309205</v>
      </c>
      <c r="AS25" s="370">
        <v>4619141</v>
      </c>
      <c r="AT25" s="371">
        <v>0.81028163688905597</v>
      </c>
      <c r="AU25" s="371">
        <v>-0.165115899109297</v>
      </c>
      <c r="AV25" s="371">
        <v>1.1179643157456001</v>
      </c>
      <c r="AW25" s="371">
        <v>0.35483426222024</v>
      </c>
      <c r="AX25" s="371">
        <v>0.763130053525368</v>
      </c>
      <c r="AY25" s="371">
        <f t="shared" si="1"/>
        <v>2.6819066067801368E-2</v>
      </c>
    </row>
    <row r="26" spans="1:51" ht="15.4" x14ac:dyDescent="0.45">
      <c r="A26" s="334" t="s">
        <v>77</v>
      </c>
      <c r="B26" s="369">
        <v>1185338</v>
      </c>
      <c r="C26" s="369">
        <v>12009801</v>
      </c>
      <c r="D26" s="369">
        <v>10591835</v>
      </c>
      <c r="E26" s="369">
        <v>13988430</v>
      </c>
      <c r="F26" s="369">
        <v>380700</v>
      </c>
      <c r="G26" s="369">
        <v>1529906</v>
      </c>
      <c r="H26" s="369">
        <v>677756</v>
      </c>
      <c r="I26" s="369">
        <v>1558130</v>
      </c>
      <c r="J26" s="369">
        <v>1575353</v>
      </c>
      <c r="K26" s="369">
        <v>393304</v>
      </c>
      <c r="L26" s="369">
        <v>59171</v>
      </c>
      <c r="M26" s="369">
        <v>1219689</v>
      </c>
      <c r="N26" s="369">
        <v>342028</v>
      </c>
      <c r="O26" s="369">
        <v>48743</v>
      </c>
      <c r="P26" s="369">
        <v>265401</v>
      </c>
      <c r="Q26" s="369">
        <v>134322</v>
      </c>
      <c r="R26" s="369">
        <v>1165468</v>
      </c>
      <c r="S26" s="369">
        <v>0</v>
      </c>
      <c r="T26" s="369">
        <v>0</v>
      </c>
      <c r="U26" s="369">
        <v>0</v>
      </c>
      <c r="V26" s="369">
        <v>0</v>
      </c>
      <c r="W26" s="369">
        <v>0</v>
      </c>
      <c r="X26" s="369">
        <v>0</v>
      </c>
      <c r="Y26" s="369">
        <v>47125375</v>
      </c>
      <c r="Z26" s="369">
        <v>9158279</v>
      </c>
      <c r="AA26" s="369">
        <v>37967096</v>
      </c>
      <c r="AB26" s="369">
        <v>6872817</v>
      </c>
      <c r="AC26" s="369">
        <v>23978443</v>
      </c>
      <c r="AD26" s="372">
        <v>2285462</v>
      </c>
      <c r="AE26" s="369">
        <v>9158279</v>
      </c>
      <c r="AF26" s="369">
        <v>24753281</v>
      </c>
      <c r="AG26" s="369">
        <v>3393921</v>
      </c>
      <c r="AH26" s="369">
        <v>0</v>
      </c>
      <c r="AI26" s="369">
        <v>-23978443</v>
      </c>
      <c r="AJ26" s="369">
        <v>2918131</v>
      </c>
      <c r="AK26" s="369">
        <v>4082851</v>
      </c>
      <c r="AL26" s="369">
        <v>0</v>
      </c>
      <c r="AM26" s="369">
        <v>38676712</v>
      </c>
      <c r="AN26" s="369">
        <v>63147481</v>
      </c>
      <c r="AO26" s="369">
        <v>28961708</v>
      </c>
      <c r="AP26" s="369">
        <v>3426122</v>
      </c>
      <c r="AQ26" s="369">
        <v>138294874</v>
      </c>
      <c r="AR26" s="370">
        <v>47563931</v>
      </c>
      <c r="AS26" s="370">
        <v>0</v>
      </c>
      <c r="AT26" s="371">
        <v>0.74795402012941303</v>
      </c>
      <c r="AU26" s="371">
        <v>0.182987640058866</v>
      </c>
      <c r="AV26" s="371">
        <v>0.79359957692262995</v>
      </c>
      <c r="AW26" s="371">
        <v>6.9058339811720604E-2</v>
      </c>
      <c r="AX26" s="371">
        <v>0.72454123711091001</v>
      </c>
      <c r="AY26" s="371">
        <f t="shared" si="1"/>
        <v>2.426079359209396E-2</v>
      </c>
    </row>
    <row r="27" spans="1:51" ht="15.4" x14ac:dyDescent="0.45">
      <c r="A27" s="334" t="s">
        <v>39</v>
      </c>
      <c r="B27" s="369">
        <v>1290983</v>
      </c>
      <c r="C27" s="369">
        <v>62965308</v>
      </c>
      <c r="D27" s="369">
        <v>45347730</v>
      </c>
      <c r="E27" s="369">
        <v>18107231</v>
      </c>
      <c r="F27" s="369">
        <v>283572</v>
      </c>
      <c r="G27" s="369">
        <v>0</v>
      </c>
      <c r="H27" s="369">
        <v>4021929</v>
      </c>
      <c r="I27" s="369">
        <v>563229</v>
      </c>
      <c r="J27" s="369">
        <v>481642</v>
      </c>
      <c r="K27" s="369">
        <v>1481795</v>
      </c>
      <c r="L27" s="369">
        <v>2359699</v>
      </c>
      <c r="M27" s="369">
        <v>6599622</v>
      </c>
      <c r="N27" s="369">
        <v>1520628</v>
      </c>
      <c r="O27" s="369">
        <v>3037286</v>
      </c>
      <c r="P27" s="369">
        <v>26951319</v>
      </c>
      <c r="Q27" s="369">
        <v>576465</v>
      </c>
      <c r="R27" s="369">
        <v>2430721</v>
      </c>
      <c r="S27" s="369">
        <v>8723773</v>
      </c>
      <c r="T27" s="369"/>
      <c r="U27" s="369"/>
      <c r="V27" s="369"/>
      <c r="W27" s="369"/>
      <c r="X27" s="369"/>
      <c r="Y27" s="369">
        <v>186742932</v>
      </c>
      <c r="Z27" s="369">
        <v>41218156</v>
      </c>
      <c r="AA27" s="369">
        <v>145524776</v>
      </c>
      <c r="AB27" s="369">
        <v>17732027</v>
      </c>
      <c r="AC27" s="369">
        <v>82534069</v>
      </c>
      <c r="AD27" s="369">
        <v>23486129</v>
      </c>
      <c r="AE27" s="369">
        <v>41218156</v>
      </c>
      <c r="AF27" s="369">
        <v>80538884</v>
      </c>
      <c r="AG27" s="369">
        <v>6148453</v>
      </c>
      <c r="AH27" s="369">
        <v>0</v>
      </c>
      <c r="AI27" s="369">
        <v>-84185918</v>
      </c>
      <c r="AJ27" s="369">
        <v>1750994</v>
      </c>
      <c r="AK27" s="369">
        <v>102392320</v>
      </c>
      <c r="AL27" s="369">
        <v>0</v>
      </c>
      <c r="AM27" s="369">
        <v>22365602</v>
      </c>
      <c r="AN27" s="369">
        <v>589820077</v>
      </c>
      <c r="AO27" s="369">
        <v>18114190</v>
      </c>
      <c r="AP27" s="369">
        <v>151111687</v>
      </c>
      <c r="AQ27" s="369">
        <v>883823481</v>
      </c>
      <c r="AR27" s="370">
        <v>159217818</v>
      </c>
      <c r="AS27" s="370">
        <v>0</v>
      </c>
      <c r="AT27" s="371">
        <v>0.69416280117033302</v>
      </c>
      <c r="AU27" s="371">
        <v>0.10341078955277901</v>
      </c>
      <c r="AV27" s="371">
        <v>0.91378566437937403</v>
      </c>
      <c r="AW27" s="371">
        <v>0.20242640927688699</v>
      </c>
      <c r="AX27" s="371">
        <v>0.71135925510248599</v>
      </c>
      <c r="AY27" s="371">
        <f t="shared" si="1"/>
        <v>9.6137839285829294E-2</v>
      </c>
    </row>
    <row r="28" spans="1:51" ht="15.4" x14ac:dyDescent="0.45">
      <c r="A28" s="334" t="s">
        <v>40</v>
      </c>
      <c r="B28" s="369">
        <v>704486</v>
      </c>
      <c r="C28" s="369">
        <v>80492598</v>
      </c>
      <c r="D28" s="369">
        <v>46939330</v>
      </c>
      <c r="E28" s="369">
        <v>18021124</v>
      </c>
      <c r="F28" s="369">
        <v>149483</v>
      </c>
      <c r="G28" s="369">
        <v>0</v>
      </c>
      <c r="H28" s="369">
        <v>7310072</v>
      </c>
      <c r="I28" s="369">
        <v>1059984</v>
      </c>
      <c r="J28" s="369">
        <v>2546639</v>
      </c>
      <c r="K28" s="369">
        <v>3287206</v>
      </c>
      <c r="L28" s="369">
        <v>4786339</v>
      </c>
      <c r="M28" s="369">
        <v>4062891</v>
      </c>
      <c r="N28" s="369">
        <v>28569492</v>
      </c>
      <c r="O28" s="369">
        <v>8376175</v>
      </c>
      <c r="P28" s="369">
        <v>9077107</v>
      </c>
      <c r="Q28" s="369">
        <v>1950175</v>
      </c>
      <c r="R28" s="369">
        <v>230143</v>
      </c>
      <c r="S28" s="369">
        <v>1026183</v>
      </c>
      <c r="T28" s="369"/>
      <c r="U28" s="369"/>
      <c r="V28" s="369"/>
      <c r="W28" s="369"/>
      <c r="X28" s="369"/>
      <c r="Y28" s="369">
        <v>218589427</v>
      </c>
      <c r="Z28" s="369">
        <v>53670076</v>
      </c>
      <c r="AA28" s="369">
        <v>164919351</v>
      </c>
      <c r="AB28" s="369">
        <v>53670076</v>
      </c>
      <c r="AC28" s="369">
        <v>42504492</v>
      </c>
      <c r="AD28" s="372">
        <v>0</v>
      </c>
      <c r="AE28" s="369">
        <v>53670076</v>
      </c>
      <c r="AF28" s="369">
        <v>137059369</v>
      </c>
      <c r="AG28" s="369">
        <v>0</v>
      </c>
      <c r="AH28" s="369">
        <v>0</v>
      </c>
      <c r="AI28" s="369">
        <v>-42504492</v>
      </c>
      <c r="AJ28" s="369">
        <v>94554877</v>
      </c>
      <c r="AK28" s="369">
        <v>47726808</v>
      </c>
      <c r="AL28" s="369">
        <v>7674092</v>
      </c>
      <c r="AM28" s="369">
        <v>6138837</v>
      </c>
      <c r="AN28" s="369">
        <v>833497270</v>
      </c>
      <c r="AO28" s="369">
        <v>53179563</v>
      </c>
      <c r="AP28" s="369">
        <v>3280281</v>
      </c>
      <c r="AQ28" s="369">
        <v>951855791</v>
      </c>
      <c r="AR28" s="370">
        <v>152681282</v>
      </c>
      <c r="AS28" s="370">
        <v>73331764</v>
      </c>
      <c r="AT28" s="371">
        <v>0.718606238276423</v>
      </c>
      <c r="AU28" s="371">
        <v>0.281393761723576</v>
      </c>
      <c r="AV28" s="371">
        <v>0.22285228167050899</v>
      </c>
      <c r="AW28" s="371">
        <v>0</v>
      </c>
      <c r="AX28" s="371">
        <v>0.22285228167050899</v>
      </c>
      <c r="AY28" s="371">
        <f t="shared" si="1"/>
        <v>0.11253285453667139</v>
      </c>
    </row>
    <row r="29" spans="1:51" ht="15.4" x14ac:dyDescent="0.45">
      <c r="A29" s="334" t="s">
        <v>90</v>
      </c>
      <c r="B29" s="369">
        <v>9714476</v>
      </c>
      <c r="C29" s="369"/>
      <c r="D29" s="369">
        <v>37698591</v>
      </c>
      <c r="E29" s="369"/>
      <c r="F29" s="369"/>
      <c r="G29" s="369"/>
      <c r="H29" s="369">
        <v>4235208</v>
      </c>
      <c r="I29" s="369"/>
      <c r="J29" s="369"/>
      <c r="K29" s="369"/>
      <c r="L29" s="369"/>
      <c r="M29" s="369"/>
      <c r="N29" s="369">
        <v>2959435</v>
      </c>
      <c r="O29" s="369"/>
      <c r="P29" s="369">
        <v>1424919</v>
      </c>
      <c r="Q29" s="369">
        <v>434403</v>
      </c>
      <c r="R29" s="369"/>
      <c r="S29" s="369"/>
      <c r="T29" s="369"/>
      <c r="U29" s="369"/>
      <c r="V29" s="369"/>
      <c r="W29" s="369"/>
      <c r="X29" s="369"/>
      <c r="Y29" s="369">
        <v>56467032</v>
      </c>
      <c r="Z29" s="369">
        <v>36604663</v>
      </c>
      <c r="AA29" s="369">
        <v>19862369</v>
      </c>
      <c r="AB29" s="369">
        <v>8470450</v>
      </c>
      <c r="AC29" s="369">
        <v>5335175</v>
      </c>
      <c r="AD29" s="369">
        <v>28134212.999999899</v>
      </c>
      <c r="AE29" s="369">
        <v>36604663</v>
      </c>
      <c r="AF29" s="369">
        <v>12271542</v>
      </c>
      <c r="AG29" s="369">
        <v>11150794</v>
      </c>
      <c r="AH29" s="369">
        <v>0</v>
      </c>
      <c r="AI29" s="369">
        <v>-4978665</v>
      </c>
      <c r="AJ29" s="369">
        <v>12437415</v>
      </c>
      <c r="AK29" s="369">
        <v>8393754</v>
      </c>
      <c r="AL29" s="369">
        <v>0</v>
      </c>
      <c r="AM29" s="369">
        <v>27799229</v>
      </c>
      <c r="AN29" s="369">
        <v>123706835</v>
      </c>
      <c r="AO29" s="369">
        <v>11314717</v>
      </c>
      <c r="AP29" s="369">
        <v>14882989</v>
      </c>
      <c r="AQ29" s="369">
        <v>186097524</v>
      </c>
      <c r="AR29" s="370">
        <v>81696318</v>
      </c>
      <c r="AS29" s="370">
        <v>0</v>
      </c>
      <c r="AT29" s="371">
        <v>0.25997148723243801</v>
      </c>
      <c r="AU29" s="371">
        <v>0.14400780113049</v>
      </c>
      <c r="AV29" s="371">
        <v>0.70904590271699597</v>
      </c>
      <c r="AW29" s="371">
        <v>0.59602071163707104</v>
      </c>
      <c r="AX29" s="371">
        <v>0.11302519107992499</v>
      </c>
      <c r="AY29" s="371">
        <f t="shared" si="1"/>
        <v>2.9070007572569227E-2</v>
      </c>
    </row>
    <row r="30" spans="1:51" ht="15.4" x14ac:dyDescent="0.45">
      <c r="A30" s="334" t="s">
        <v>41</v>
      </c>
      <c r="B30" s="369">
        <v>338712</v>
      </c>
      <c r="C30" s="369">
        <v>2303387</v>
      </c>
      <c r="D30" s="369">
        <v>19124861</v>
      </c>
      <c r="E30" s="369">
        <v>2066689</v>
      </c>
      <c r="F30" s="369">
        <v>3700</v>
      </c>
      <c r="G30" s="369">
        <v>4234413</v>
      </c>
      <c r="H30" s="369">
        <v>870013</v>
      </c>
      <c r="I30" s="369">
        <v>0</v>
      </c>
      <c r="J30" s="369">
        <v>747861</v>
      </c>
      <c r="K30" s="369">
        <v>43567</v>
      </c>
      <c r="L30" s="369">
        <v>252360</v>
      </c>
      <c r="M30" s="369">
        <v>0</v>
      </c>
      <c r="N30" s="369">
        <v>133097</v>
      </c>
      <c r="O30" s="369">
        <v>0</v>
      </c>
      <c r="P30" s="369">
        <v>395139</v>
      </c>
      <c r="Q30" s="369">
        <v>375414</v>
      </c>
      <c r="R30" s="369">
        <v>65011</v>
      </c>
      <c r="S30" s="369"/>
      <c r="T30" s="369"/>
      <c r="U30" s="369"/>
      <c r="V30" s="369"/>
      <c r="W30" s="369"/>
      <c r="X30" s="369"/>
      <c r="Y30" s="369">
        <v>30954224</v>
      </c>
      <c r="Z30" s="369">
        <v>18384300</v>
      </c>
      <c r="AA30" s="369">
        <v>12569924</v>
      </c>
      <c r="AB30" s="369">
        <v>7410800</v>
      </c>
      <c r="AC30" s="369">
        <v>4898507</v>
      </c>
      <c r="AD30" s="372">
        <v>10973500</v>
      </c>
      <c r="AE30" s="369">
        <v>18384300</v>
      </c>
      <c r="AF30" s="369">
        <v>14620509</v>
      </c>
      <c r="AG30" s="369">
        <v>8283336</v>
      </c>
      <c r="AH30" s="369">
        <v>-5175647</v>
      </c>
      <c r="AI30" s="369">
        <v>-4533314</v>
      </c>
      <c r="AJ30" s="369">
        <v>9236420</v>
      </c>
      <c r="AK30" s="369">
        <v>5500734</v>
      </c>
      <c r="AL30" s="369">
        <v>662811</v>
      </c>
      <c r="AM30" s="369">
        <v>18566417</v>
      </c>
      <c r="AN30" s="369">
        <v>78027983</v>
      </c>
      <c r="AO30" s="369">
        <v>19803664</v>
      </c>
      <c r="AP30" s="369">
        <v>5908544</v>
      </c>
      <c r="AQ30" s="369">
        <v>128829730</v>
      </c>
      <c r="AR30" s="370">
        <v>28181654</v>
      </c>
      <c r="AS30" s="370">
        <v>0</v>
      </c>
      <c r="AT30" s="371">
        <v>0.48536903975867302</v>
      </c>
      <c r="AU30" s="371">
        <v>0.15033467221251701</v>
      </c>
      <c r="AV30" s="371">
        <v>0.52691604626302202</v>
      </c>
      <c r="AW30" s="371">
        <v>0.36429628802880898</v>
      </c>
      <c r="AX30" s="371">
        <v>0.16261975823421301</v>
      </c>
      <c r="AY30" s="371">
        <f t="shared" si="1"/>
        <v>1.5935661822689816E-2</v>
      </c>
    </row>
    <row r="31" spans="1:51" ht="15.4" x14ac:dyDescent="0.45">
      <c r="A31" s="334" t="s">
        <v>42</v>
      </c>
      <c r="B31" s="369">
        <v>3046517</v>
      </c>
      <c r="C31" s="369">
        <v>20902429</v>
      </c>
      <c r="D31" s="369">
        <v>94781870</v>
      </c>
      <c r="E31" s="369">
        <v>20700826</v>
      </c>
      <c r="F31" s="369">
        <v>256758</v>
      </c>
      <c r="G31" s="369">
        <v>0</v>
      </c>
      <c r="H31" s="369">
        <v>3121162</v>
      </c>
      <c r="I31" s="369">
        <v>539182</v>
      </c>
      <c r="J31" s="369">
        <v>2121993</v>
      </c>
      <c r="K31" s="369">
        <v>1934030</v>
      </c>
      <c r="L31" s="369">
        <v>24591</v>
      </c>
      <c r="M31" s="369">
        <v>12408103</v>
      </c>
      <c r="N31" s="369">
        <v>1242029</v>
      </c>
      <c r="O31" s="369">
        <v>8521563</v>
      </c>
      <c r="P31" s="369">
        <v>4380939</v>
      </c>
      <c r="Q31" s="369">
        <v>1880375</v>
      </c>
      <c r="R31" s="369">
        <v>28263</v>
      </c>
      <c r="S31" s="369">
        <v>0</v>
      </c>
      <c r="T31" s="369">
        <v>0</v>
      </c>
      <c r="U31" s="369">
        <v>0</v>
      </c>
      <c r="V31" s="369">
        <v>0</v>
      </c>
      <c r="W31" s="369">
        <v>7572</v>
      </c>
      <c r="X31" s="369">
        <v>0</v>
      </c>
      <c r="Y31" s="369">
        <v>175898202</v>
      </c>
      <c r="Z31" s="369">
        <v>76364946</v>
      </c>
      <c r="AA31" s="369">
        <v>99533256</v>
      </c>
      <c r="AB31" s="369">
        <v>45705172</v>
      </c>
      <c r="AC31" s="369">
        <v>42294238</v>
      </c>
      <c r="AD31" s="369">
        <v>30659774</v>
      </c>
      <c r="AE31" s="369">
        <v>76364946</v>
      </c>
      <c r="AF31" s="369">
        <v>77552952</v>
      </c>
      <c r="AG31" s="369">
        <v>2543188</v>
      </c>
      <c r="AH31" s="369">
        <v>0</v>
      </c>
      <c r="AI31" s="369">
        <v>-42210437</v>
      </c>
      <c r="AJ31" s="369">
        <v>35785703</v>
      </c>
      <c r="AK31" s="369">
        <v>68958337</v>
      </c>
      <c r="AL31" s="369">
        <v>0</v>
      </c>
      <c r="AM31" s="369">
        <v>32421885</v>
      </c>
      <c r="AN31" s="369">
        <v>163627619</v>
      </c>
      <c r="AO31" s="369">
        <v>85088897</v>
      </c>
      <c r="AP31" s="369">
        <v>12411428</v>
      </c>
      <c r="AQ31" s="369">
        <v>362508166</v>
      </c>
      <c r="AR31" s="370">
        <v>105720015</v>
      </c>
      <c r="AS31" s="370">
        <v>0</v>
      </c>
      <c r="AT31" s="371">
        <v>0.54761602408531895</v>
      </c>
      <c r="AU31" s="371">
        <v>0.23588952787310999</v>
      </c>
      <c r="AV31" s="371">
        <v>0.51514204117610696</v>
      </c>
      <c r="AW31" s="371">
        <v>0.21649444804157</v>
      </c>
      <c r="AX31" s="371">
        <v>0.29864759313453598</v>
      </c>
      <c r="AY31" s="371">
        <f t="shared" si="1"/>
        <v>9.0554822575787439E-2</v>
      </c>
    </row>
    <row r="32" spans="1:51" ht="15.4" x14ac:dyDescent="0.45">
      <c r="A32" s="332" t="s">
        <v>44</v>
      </c>
      <c r="B32" s="361">
        <f t="shared" ref="B32:Y32" si="2">SUM(B6:B31)</f>
        <v>26457568.73</v>
      </c>
      <c r="C32" s="361">
        <f t="shared" si="2"/>
        <v>543378453.38</v>
      </c>
      <c r="D32" s="361">
        <f t="shared" si="2"/>
        <v>655584075.75</v>
      </c>
      <c r="E32" s="361">
        <f t="shared" si="2"/>
        <v>154125631.19</v>
      </c>
      <c r="F32" s="361">
        <f t="shared" si="2"/>
        <v>3223513.49</v>
      </c>
      <c r="G32" s="361">
        <f t="shared" si="2"/>
        <v>6632731</v>
      </c>
      <c r="H32" s="361">
        <f t="shared" si="2"/>
        <v>52756269.120000005</v>
      </c>
      <c r="I32" s="361">
        <f t="shared" si="2"/>
        <v>17707846</v>
      </c>
      <c r="J32" s="361">
        <f t="shared" si="2"/>
        <v>9349111.3900000006</v>
      </c>
      <c r="K32" s="361">
        <f t="shared" si="2"/>
        <v>19251197.189999998</v>
      </c>
      <c r="L32" s="361">
        <f t="shared" si="2"/>
        <v>16313266</v>
      </c>
      <c r="M32" s="361">
        <f t="shared" si="2"/>
        <v>81478672.310000002</v>
      </c>
      <c r="N32" s="361">
        <f t="shared" si="2"/>
        <v>116119411.94</v>
      </c>
      <c r="O32" s="361">
        <f t="shared" si="2"/>
        <v>29195914.350000001</v>
      </c>
      <c r="P32" s="361">
        <f t="shared" si="2"/>
        <v>122877172.66</v>
      </c>
      <c r="Q32" s="361">
        <f t="shared" si="2"/>
        <v>53267659.990000002</v>
      </c>
      <c r="R32" s="361">
        <f t="shared" si="2"/>
        <v>23870822.109999999</v>
      </c>
      <c r="S32" s="361">
        <f t="shared" si="2"/>
        <v>10751818.59</v>
      </c>
      <c r="T32" s="361">
        <f t="shared" si="2"/>
        <v>0</v>
      </c>
      <c r="U32" s="361">
        <f t="shared" si="2"/>
        <v>101148</v>
      </c>
      <c r="V32" s="361">
        <f t="shared" si="2"/>
        <v>0</v>
      </c>
      <c r="W32" s="361">
        <f t="shared" si="2"/>
        <v>7572</v>
      </c>
      <c r="X32" s="361">
        <f t="shared" si="2"/>
        <v>0</v>
      </c>
      <c r="Y32" s="361">
        <f t="shared" si="2"/>
        <v>1942449855.2</v>
      </c>
      <c r="Z32" s="361">
        <f t="shared" ref="Z32:AQ32" si="3">SUM(Z6:Z31)</f>
        <v>1218551744.4000001</v>
      </c>
      <c r="AA32" s="361">
        <f t="shared" si="3"/>
        <v>723898110.84000003</v>
      </c>
      <c r="AB32" s="361">
        <f t="shared" si="3"/>
        <v>913264816.95000005</v>
      </c>
      <c r="AC32" s="361">
        <f t="shared" si="3"/>
        <v>420575446.07999998</v>
      </c>
      <c r="AD32" s="361">
        <f t="shared" si="3"/>
        <v>305286927.41999996</v>
      </c>
      <c r="AE32" s="361">
        <f t="shared" si="3"/>
        <v>1218551744.3699999</v>
      </c>
      <c r="AF32" s="361">
        <f t="shared" si="3"/>
        <v>639459228.49000001</v>
      </c>
      <c r="AG32" s="361">
        <f t="shared" si="3"/>
        <v>141322385.037</v>
      </c>
      <c r="AH32" s="361">
        <f t="shared" si="3"/>
        <v>-4677505.47</v>
      </c>
      <c r="AI32" s="361">
        <f t="shared" si="3"/>
        <v>-402202619.94999999</v>
      </c>
      <c r="AJ32" s="361">
        <f t="shared" si="3"/>
        <v>312688115.11000001</v>
      </c>
      <c r="AK32" s="361">
        <f t="shared" si="3"/>
        <v>672698979.63999999</v>
      </c>
      <c r="AL32" s="361">
        <f t="shared" si="3"/>
        <v>15843441</v>
      </c>
      <c r="AM32" s="361">
        <f t="shared" si="3"/>
        <v>931608769.14999998</v>
      </c>
      <c r="AN32" s="361">
        <f t="shared" si="3"/>
        <v>3420366887.7799997</v>
      </c>
      <c r="AO32" s="361">
        <f t="shared" si="3"/>
        <v>474496240.02999997</v>
      </c>
      <c r="AP32" s="361">
        <f t="shared" si="3"/>
        <v>502506566.67000002</v>
      </c>
      <c r="AQ32" s="361">
        <f t="shared" si="3"/>
        <v>6029496483.8000002</v>
      </c>
      <c r="AR32" s="368">
        <f>SUM(AR6:AR31)</f>
        <v>2072948358.0999999</v>
      </c>
      <c r="AS32" s="368">
        <f>SUM(AS6:AS31)</f>
        <v>133145312</v>
      </c>
      <c r="AT32" s="367">
        <f>AVERAGE(AT6:AT31)</f>
        <v>0.47815785762484575</v>
      </c>
      <c r="AU32" s="367">
        <f t="shared" ref="AU32:AV32" si="4">AVERAGE(AU6:AU31)</f>
        <v>0.27591401565284029</v>
      </c>
      <c r="AV32" s="367">
        <f t="shared" si="4"/>
        <v>0.6470507047522589</v>
      </c>
      <c r="AW32" s="367">
        <f>AVERAGE(AW6:AW31)</f>
        <v>0.27181529798176074</v>
      </c>
      <c r="AX32" s="367">
        <f t="shared" ref="AX32" si="5">AVERAGE(AX6:AX31)</f>
        <v>0.40112257800685663</v>
      </c>
      <c r="AY32" s="367">
        <f>SUM(AY6:AY31)</f>
        <v>0.99999999999999989</v>
      </c>
    </row>
  </sheetData>
  <mergeCells count="1">
    <mergeCell ref="Z1:AY1"/>
  </mergeCells>
  <dataValidations count="1">
    <dataValidation type="list" allowBlank="1" showInputMessage="1" showErrorMessage="1" sqref="A3:Y3" xr:uid="{00000000-0002-0000-3000-000000000000}">
      <formula1>$A$6:$A$31</formula1>
    </dataValidation>
  </dataValidations>
  <pageMargins left="0.7" right="0.7" top="0.75" bottom="0.75" header="0.3" footer="0.3"/>
  <customProperties>
    <customPr name="LastActive" r:id="rId1"/>
  </customProperties>
  <legacyDrawing r:id="rId2"/>
</worksheet>
</file>

<file path=xl/worksheets/sheet5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100-000000000000}">
  <dimension ref="A1:BC31"/>
  <sheetViews>
    <sheetView topLeftCell="A5" zoomScaleNormal="100" workbookViewId="0">
      <pane ySplit="1" topLeftCell="A6" activePane="bottomLeft" state="frozen"/>
      <selection activeCell="A5" sqref="A5"/>
      <selection pane="bottomLeft" activeCell="C18" sqref="C17:C18"/>
    </sheetView>
  </sheetViews>
  <sheetFormatPr defaultRowHeight="12.75" x14ac:dyDescent="0.35"/>
  <cols>
    <col min="1" max="1" width="50.73046875" bestFit="1" customWidth="1"/>
    <col min="2" max="2" width="33.3984375" bestFit="1" customWidth="1"/>
    <col min="3" max="3" width="37.265625" bestFit="1" customWidth="1"/>
    <col min="4" max="4" width="21.73046875" bestFit="1" customWidth="1"/>
    <col min="5" max="5" width="17.73046875" bestFit="1" customWidth="1"/>
    <col min="6" max="6" width="30.1328125" bestFit="1" customWidth="1"/>
    <col min="7" max="7" width="15.73046875" bestFit="1" customWidth="1"/>
    <col min="8" max="8" width="23.86328125" bestFit="1" customWidth="1"/>
    <col min="9" max="9" width="31.3984375" bestFit="1" customWidth="1"/>
    <col min="10" max="11" width="50.73046875" customWidth="1"/>
    <col min="12" max="12" width="18" bestFit="1" customWidth="1"/>
    <col min="13" max="13" width="16.1328125" bestFit="1" customWidth="1"/>
    <col min="14" max="14" width="15.1328125" bestFit="1" customWidth="1"/>
    <col min="15" max="15" width="19.3984375" bestFit="1" customWidth="1"/>
    <col min="16" max="16" width="15.1328125" bestFit="1" customWidth="1"/>
    <col min="17" max="18" width="14.3984375" bestFit="1" customWidth="1"/>
    <col min="19" max="19" width="13.265625" bestFit="1" customWidth="1"/>
    <col min="20" max="20" width="25.3984375" bestFit="1" customWidth="1"/>
    <col min="21" max="21" width="21.73046875" bestFit="1" customWidth="1"/>
    <col min="22" max="22" width="25" bestFit="1" customWidth="1"/>
    <col min="23" max="23" width="13" bestFit="1" customWidth="1"/>
    <col min="24" max="24" width="23" bestFit="1" customWidth="1"/>
    <col min="25" max="25" width="27" bestFit="1" customWidth="1"/>
    <col min="26" max="27" width="20" bestFit="1" customWidth="1"/>
    <col min="28" max="28" width="17.73046875" customWidth="1"/>
    <col min="29" max="29" width="17.73046875" bestFit="1" customWidth="1"/>
    <col min="30" max="31" width="17.73046875" customWidth="1"/>
    <col min="32" max="32" width="16.265625" bestFit="1" customWidth="1"/>
    <col min="33" max="33" width="17.73046875" bestFit="1" customWidth="1"/>
    <col min="34" max="34" width="17" customWidth="1"/>
    <col min="35" max="37" width="17.73046875" bestFit="1" customWidth="1"/>
    <col min="38" max="39" width="20" bestFit="1" customWidth="1"/>
    <col min="40" max="40" width="17.73046875" customWidth="1"/>
    <col min="41" max="41" width="12.1328125" bestFit="1" customWidth="1"/>
    <col min="42" max="42" width="12.265625" bestFit="1" customWidth="1"/>
    <col min="43" max="43" width="17.73046875" bestFit="1" customWidth="1"/>
    <col min="44" max="44" width="18.265625" customWidth="1"/>
    <col min="45" max="45" width="18.86328125" bestFit="1" customWidth="1"/>
    <col min="46" max="46" width="18.86328125" customWidth="1"/>
    <col min="47" max="50" width="13" customWidth="1"/>
    <col min="51" max="51" width="9.1328125" bestFit="1" customWidth="1"/>
  </cols>
  <sheetData>
    <row r="1" spans="1:51" ht="23.25" x14ac:dyDescent="0.7">
      <c r="A1" s="351" t="s">
        <v>195</v>
      </c>
      <c r="B1" s="351" t="s">
        <v>92</v>
      </c>
      <c r="C1" s="351"/>
      <c r="D1" s="351"/>
      <c r="E1" s="351"/>
      <c r="F1" s="351"/>
      <c r="G1" s="351"/>
      <c r="H1" s="351"/>
      <c r="I1" s="351"/>
      <c r="J1" s="351"/>
      <c r="K1" s="351"/>
      <c r="L1" s="351"/>
      <c r="M1" s="351"/>
      <c r="N1" s="351"/>
      <c r="O1" s="351"/>
      <c r="P1" s="351"/>
      <c r="Q1" s="351"/>
      <c r="R1" s="351"/>
      <c r="S1" s="351"/>
      <c r="T1" s="351"/>
      <c r="U1" s="351"/>
      <c r="V1" s="351"/>
      <c r="W1" s="351"/>
      <c r="X1" s="351"/>
      <c r="Y1" s="351"/>
      <c r="Z1" s="413"/>
      <c r="AA1" s="413"/>
      <c r="AB1" s="413"/>
      <c r="AC1" s="413"/>
      <c r="AD1" s="413"/>
      <c r="AE1" s="413"/>
      <c r="AF1" s="413"/>
      <c r="AG1" s="413"/>
      <c r="AH1" s="413"/>
      <c r="AI1" s="413"/>
      <c r="AJ1" s="413"/>
      <c r="AK1" s="413"/>
      <c r="AL1" s="413"/>
      <c r="AM1" s="413"/>
      <c r="AN1" s="413"/>
      <c r="AO1" s="413"/>
      <c r="AP1" s="413"/>
      <c r="AQ1" s="413"/>
      <c r="AR1" s="413"/>
      <c r="AS1" s="413"/>
      <c r="AT1" s="413"/>
      <c r="AU1" s="413"/>
      <c r="AV1" s="413"/>
      <c r="AW1" s="413"/>
      <c r="AX1" s="413"/>
      <c r="AY1" s="413"/>
    </row>
    <row r="2" spans="1:51" ht="42.75" x14ac:dyDescent="0.45">
      <c r="A2" s="350"/>
      <c r="B2" s="350" t="s">
        <v>153</v>
      </c>
      <c r="C2" s="350" t="s">
        <v>154</v>
      </c>
      <c r="D2" s="350" t="s">
        <v>155</v>
      </c>
      <c r="E2" s="350" t="s">
        <v>156</v>
      </c>
      <c r="F2" s="350" t="s">
        <v>157</v>
      </c>
      <c r="G2" s="350" t="s">
        <v>158</v>
      </c>
      <c r="H2" s="350" t="s">
        <v>159</v>
      </c>
      <c r="I2" s="350" t="s">
        <v>160</v>
      </c>
      <c r="J2" s="350" t="s">
        <v>161</v>
      </c>
      <c r="K2" s="350" t="s">
        <v>162</v>
      </c>
      <c r="L2" s="350" t="s">
        <v>163</v>
      </c>
      <c r="M2" s="350" t="s">
        <v>164</v>
      </c>
      <c r="N2" s="350" t="s">
        <v>106</v>
      </c>
      <c r="O2" s="350" t="s">
        <v>165</v>
      </c>
      <c r="P2" s="350" t="s">
        <v>166</v>
      </c>
      <c r="Q2" s="350" t="s">
        <v>167</v>
      </c>
      <c r="R2" s="350" t="s">
        <v>168</v>
      </c>
      <c r="S2" s="350" t="s">
        <v>169</v>
      </c>
      <c r="T2" s="350" t="s">
        <v>170</v>
      </c>
      <c r="U2" s="350" t="s">
        <v>171</v>
      </c>
      <c r="V2" s="350" t="s">
        <v>172</v>
      </c>
      <c r="W2" s="350" t="s">
        <v>173</v>
      </c>
      <c r="X2" s="350" t="s">
        <v>174</v>
      </c>
      <c r="Y2" s="350" t="s">
        <v>175</v>
      </c>
      <c r="Z2" s="348" t="s">
        <v>176</v>
      </c>
      <c r="AA2" s="348" t="s">
        <v>177</v>
      </c>
      <c r="AB2" s="349" t="s">
        <v>178</v>
      </c>
      <c r="AC2" s="348" t="s">
        <v>179</v>
      </c>
      <c r="AD2" s="377" t="s">
        <v>180</v>
      </c>
      <c r="AE2" s="348" t="s">
        <v>181</v>
      </c>
      <c r="AF2" s="348" t="s">
        <v>182</v>
      </c>
      <c r="AG2" s="348" t="s">
        <v>115</v>
      </c>
      <c r="AH2" s="348" t="s">
        <v>183</v>
      </c>
      <c r="AI2" s="348" t="s">
        <v>184</v>
      </c>
      <c r="AJ2" s="348" t="s">
        <v>134</v>
      </c>
      <c r="AK2" s="348" t="s">
        <v>185</v>
      </c>
      <c r="AL2" s="348" t="s">
        <v>186</v>
      </c>
      <c r="AM2" s="348" t="s">
        <v>187</v>
      </c>
      <c r="AN2" s="349" t="s">
        <v>188</v>
      </c>
      <c r="AO2" s="348" t="s">
        <v>120</v>
      </c>
      <c r="AP2" s="348" t="s">
        <v>121</v>
      </c>
      <c r="AQ2" s="348" t="s">
        <v>9</v>
      </c>
      <c r="AR2" s="347" t="s">
        <v>189</v>
      </c>
      <c r="AS2" s="347" t="s">
        <v>190</v>
      </c>
      <c r="AT2" s="347" t="s">
        <v>191</v>
      </c>
      <c r="AU2" s="347" t="s">
        <v>17</v>
      </c>
      <c r="AV2" s="347" t="s">
        <v>18</v>
      </c>
      <c r="AW2" s="347" t="s">
        <v>192</v>
      </c>
      <c r="AX2" s="347" t="s">
        <v>193</v>
      </c>
      <c r="AY2" s="347" t="s">
        <v>19</v>
      </c>
    </row>
    <row r="3" spans="1:51" ht="15.4" x14ac:dyDescent="0.45">
      <c r="A3" s="346" t="s">
        <v>22</v>
      </c>
      <c r="B3" s="345">
        <f t="shared" ref="B3:AG3" si="0">INDEX(B6:B30,MATCH($A$3,$A$6:$A$30,0))</f>
        <v>810605</v>
      </c>
      <c r="C3" s="345">
        <f t="shared" si="0"/>
        <v>7014209</v>
      </c>
      <c r="D3" s="345">
        <f t="shared" si="0"/>
        <v>25473362</v>
      </c>
      <c r="E3" s="345">
        <f t="shared" si="0"/>
        <v>24417319</v>
      </c>
      <c r="F3" s="345">
        <f t="shared" si="0"/>
        <v>0</v>
      </c>
      <c r="G3" s="345">
        <f t="shared" si="0"/>
        <v>0</v>
      </c>
      <c r="H3" s="345">
        <f t="shared" si="0"/>
        <v>443248</v>
      </c>
      <c r="I3" s="345">
        <f t="shared" si="0"/>
        <v>95851</v>
      </c>
      <c r="J3" s="345">
        <f t="shared" si="0"/>
        <v>0</v>
      </c>
      <c r="K3" s="345">
        <f t="shared" si="0"/>
        <v>1411152</v>
      </c>
      <c r="L3" s="345">
        <f t="shared" si="0"/>
        <v>201662</v>
      </c>
      <c r="M3" s="345">
        <f t="shared" si="0"/>
        <v>956535</v>
      </c>
      <c r="N3" s="345">
        <f t="shared" si="0"/>
        <v>1426453</v>
      </c>
      <c r="O3" s="345">
        <f t="shared" si="0"/>
        <v>18657</v>
      </c>
      <c r="P3" s="345">
        <f t="shared" si="0"/>
        <v>2520439</v>
      </c>
      <c r="Q3" s="345">
        <f t="shared" si="0"/>
        <v>0</v>
      </c>
      <c r="R3" s="345">
        <f t="shared" si="0"/>
        <v>882337</v>
      </c>
      <c r="S3" s="345">
        <f t="shared" si="0"/>
        <v>0</v>
      </c>
      <c r="T3" s="345">
        <f t="shared" si="0"/>
        <v>0</v>
      </c>
      <c r="U3" s="345">
        <f t="shared" si="0"/>
        <v>0</v>
      </c>
      <c r="V3" s="345">
        <f t="shared" si="0"/>
        <v>0</v>
      </c>
      <c r="W3" s="345">
        <f t="shared" si="0"/>
        <v>0</v>
      </c>
      <c r="X3" s="345">
        <f t="shared" si="0"/>
        <v>0</v>
      </c>
      <c r="Y3" s="345">
        <f t="shared" si="0"/>
        <v>65671829</v>
      </c>
      <c r="Z3" s="345">
        <f t="shared" si="0"/>
        <v>40925522</v>
      </c>
      <c r="AA3" s="345">
        <f t="shared" si="0"/>
        <v>24746307</v>
      </c>
      <c r="AB3" s="345">
        <f t="shared" si="0"/>
        <v>13889706</v>
      </c>
      <c r="AC3" s="345">
        <f t="shared" si="0"/>
        <v>10680002</v>
      </c>
      <c r="AD3" s="345">
        <f t="shared" si="0"/>
        <v>27035816</v>
      </c>
      <c r="AE3" s="345">
        <f t="shared" si="0"/>
        <v>40925522</v>
      </c>
      <c r="AF3" s="345">
        <f t="shared" si="0"/>
        <v>13588452</v>
      </c>
      <c r="AG3" s="345">
        <f t="shared" si="0"/>
        <v>10143286</v>
      </c>
      <c r="AH3" s="345">
        <f t="shared" ref="AH3:AY3" si="1">INDEX(AH6:AH30,MATCH($A$3,$A$6:$A$30,0))</f>
        <v>3566403</v>
      </c>
      <c r="AI3" s="345">
        <f t="shared" si="1"/>
        <v>-10225608</v>
      </c>
      <c r="AJ3" s="345">
        <f t="shared" si="1"/>
        <v>11950773</v>
      </c>
      <c r="AK3" s="345">
        <f t="shared" si="1"/>
        <v>30762954</v>
      </c>
      <c r="AL3" s="345">
        <f t="shared" si="1"/>
        <v>1229652</v>
      </c>
      <c r="AM3" s="345">
        <f t="shared" si="1"/>
        <v>11536474</v>
      </c>
      <c r="AN3" s="345">
        <f t="shared" si="1"/>
        <v>63774264</v>
      </c>
      <c r="AO3" s="345">
        <f t="shared" si="1"/>
        <v>13570134</v>
      </c>
      <c r="AP3" s="345">
        <f t="shared" si="1"/>
        <v>11317502</v>
      </c>
      <c r="AQ3" s="345">
        <f t="shared" si="1"/>
        <v>132276956</v>
      </c>
      <c r="AR3" s="345">
        <f t="shared" si="1"/>
        <v>52879176</v>
      </c>
      <c r="AS3" s="345">
        <f t="shared" si="1"/>
        <v>1411703</v>
      </c>
      <c r="AT3" s="365">
        <f t="shared" si="1"/>
        <v>0.25874802682153603</v>
      </c>
      <c r="AU3" s="365">
        <f t="shared" si="1"/>
        <v>0.22644248321521299</v>
      </c>
      <c r="AV3" s="365">
        <f t="shared" si="1"/>
        <v>0.718175513109232</v>
      </c>
      <c r="AW3" s="365">
        <f t="shared" si="1"/>
        <v>0.51480948996325004</v>
      </c>
      <c r="AX3" s="365">
        <f t="shared" si="1"/>
        <v>0.20336602314598101</v>
      </c>
      <c r="AY3" s="365">
        <f t="shared" si="1"/>
        <v>1.9625669593892427E-2</v>
      </c>
    </row>
    <row r="4" spans="1:51" ht="14.25" x14ac:dyDescent="0.45">
      <c r="A4" s="330"/>
      <c r="B4" s="330"/>
      <c r="C4" s="330"/>
      <c r="D4" s="330"/>
      <c r="E4" s="330"/>
      <c r="F4" s="330"/>
      <c r="G4" s="330"/>
      <c r="H4" s="330"/>
      <c r="I4" s="330"/>
      <c r="J4" s="330"/>
      <c r="K4" s="330"/>
      <c r="L4" s="330"/>
      <c r="M4" s="330"/>
      <c r="N4" s="330"/>
      <c r="O4" s="330"/>
      <c r="P4" s="330"/>
      <c r="Q4" s="330"/>
      <c r="R4" s="330"/>
      <c r="S4" s="330"/>
      <c r="T4" s="330"/>
      <c r="U4" s="330"/>
      <c r="V4" s="330"/>
      <c r="W4" s="330"/>
      <c r="X4" s="330"/>
      <c r="Y4" s="330"/>
      <c r="Z4" s="330"/>
      <c r="AA4" s="330"/>
      <c r="AB4" s="330"/>
      <c r="AC4" s="330"/>
      <c r="AD4" s="330"/>
      <c r="AE4" s="330"/>
      <c r="AF4" s="330"/>
      <c r="AG4" s="330"/>
      <c r="AH4" s="330"/>
      <c r="AI4" s="330"/>
      <c r="AJ4" s="330"/>
      <c r="AK4" s="330"/>
      <c r="AL4" s="330"/>
      <c r="AM4" s="330"/>
      <c r="AN4" s="330"/>
      <c r="AO4" s="330"/>
      <c r="AP4" s="330"/>
      <c r="AQ4" s="330"/>
      <c r="AR4" s="330"/>
      <c r="AS4" s="330"/>
      <c r="AT4" s="330"/>
      <c r="AU4" s="330"/>
      <c r="AV4" s="330"/>
      <c r="AW4" s="330"/>
      <c r="AX4" s="330"/>
      <c r="AY4" s="330"/>
    </row>
    <row r="5" spans="1:51" ht="51" x14ac:dyDescent="0.35">
      <c r="A5" s="344" t="s">
        <v>136</v>
      </c>
      <c r="B5" s="344" t="s">
        <v>153</v>
      </c>
      <c r="C5" s="344" t="s">
        <v>154</v>
      </c>
      <c r="D5" s="344" t="s">
        <v>155</v>
      </c>
      <c r="E5" s="344" t="s">
        <v>156</v>
      </c>
      <c r="F5" s="344" t="s">
        <v>157</v>
      </c>
      <c r="G5" s="344" t="s">
        <v>158</v>
      </c>
      <c r="H5" s="344" t="s">
        <v>159</v>
      </c>
      <c r="I5" s="344" t="s">
        <v>160</v>
      </c>
      <c r="J5" s="344" t="s">
        <v>161</v>
      </c>
      <c r="K5" s="344" t="s">
        <v>162</v>
      </c>
      <c r="L5" s="344" t="s">
        <v>163</v>
      </c>
      <c r="M5" s="344" t="s">
        <v>164</v>
      </c>
      <c r="N5" s="344" t="s">
        <v>106</v>
      </c>
      <c r="O5" s="344" t="s">
        <v>165</v>
      </c>
      <c r="P5" s="344" t="s">
        <v>166</v>
      </c>
      <c r="Q5" s="344" t="s">
        <v>167</v>
      </c>
      <c r="R5" s="344" t="s">
        <v>168</v>
      </c>
      <c r="S5" s="344" t="s">
        <v>169</v>
      </c>
      <c r="T5" s="344" t="s">
        <v>170</v>
      </c>
      <c r="U5" s="344" t="s">
        <v>171</v>
      </c>
      <c r="V5" s="344" t="s">
        <v>172</v>
      </c>
      <c r="W5" s="344" t="s">
        <v>173</v>
      </c>
      <c r="X5" s="344" t="s">
        <v>174</v>
      </c>
      <c r="Y5" s="344" t="s">
        <v>175</v>
      </c>
      <c r="Z5" s="342" t="s">
        <v>176</v>
      </c>
      <c r="AA5" s="342" t="s">
        <v>177</v>
      </c>
      <c r="AB5" s="342" t="s">
        <v>178</v>
      </c>
      <c r="AC5" s="342" t="s">
        <v>179</v>
      </c>
      <c r="AD5" s="342" t="s">
        <v>180</v>
      </c>
      <c r="AE5" s="342" t="s">
        <v>181</v>
      </c>
      <c r="AF5" s="342" t="s">
        <v>182</v>
      </c>
      <c r="AG5" s="342" t="s">
        <v>115</v>
      </c>
      <c r="AH5" s="342" t="s">
        <v>183</v>
      </c>
      <c r="AI5" s="342" t="s">
        <v>184</v>
      </c>
      <c r="AJ5" s="342" t="s">
        <v>134</v>
      </c>
      <c r="AK5" s="342" t="s">
        <v>185</v>
      </c>
      <c r="AL5" s="342" t="s">
        <v>186</v>
      </c>
      <c r="AM5" s="342" t="s">
        <v>187</v>
      </c>
      <c r="AN5" s="342" t="s">
        <v>188</v>
      </c>
      <c r="AO5" s="342" t="s">
        <v>120</v>
      </c>
      <c r="AP5" s="342" t="s">
        <v>121</v>
      </c>
      <c r="AQ5" s="342" t="s">
        <v>9</v>
      </c>
      <c r="AR5" s="341" t="s">
        <v>189</v>
      </c>
      <c r="AS5" s="341" t="s">
        <v>190</v>
      </c>
      <c r="AT5" s="341" t="s">
        <v>191</v>
      </c>
      <c r="AU5" s="341" t="s">
        <v>17</v>
      </c>
      <c r="AV5" s="341" t="s">
        <v>18</v>
      </c>
      <c r="AW5" s="341" t="s">
        <v>192</v>
      </c>
      <c r="AX5" s="341" t="s">
        <v>193</v>
      </c>
      <c r="AY5" s="341" t="s">
        <v>19</v>
      </c>
    </row>
    <row r="6" spans="1:51" ht="15.4" x14ac:dyDescent="0.45">
      <c r="A6" s="334" t="s">
        <v>20</v>
      </c>
      <c r="B6" s="370">
        <v>654961.63</v>
      </c>
      <c r="C6" s="370">
        <v>119596885.40000001</v>
      </c>
      <c r="D6" s="370">
        <v>35661480.729999997</v>
      </c>
      <c r="E6" s="370">
        <v>9350668.2899999991</v>
      </c>
      <c r="F6" s="370">
        <v>331512.56</v>
      </c>
      <c r="G6" s="370"/>
      <c r="H6" s="370">
        <v>12931153.890000001</v>
      </c>
      <c r="I6" s="370"/>
      <c r="J6" s="370">
        <v>291962.36</v>
      </c>
      <c r="K6" s="370">
        <v>1150820.8400000001</v>
      </c>
      <c r="L6" s="370"/>
      <c r="M6" s="370">
        <v>10988502.6</v>
      </c>
      <c r="N6" s="370">
        <v>7376342.04</v>
      </c>
      <c r="O6" s="370">
        <v>1623351.66</v>
      </c>
      <c r="P6" s="370">
        <v>1108914.3500000001</v>
      </c>
      <c r="Q6" s="370">
        <v>11521351.42</v>
      </c>
      <c r="R6" s="370">
        <v>116553.3</v>
      </c>
      <c r="S6" s="370">
        <v>89186.38</v>
      </c>
      <c r="T6" s="370"/>
      <c r="U6" s="370"/>
      <c r="V6" s="370"/>
      <c r="W6" s="370"/>
      <c r="X6" s="370"/>
      <c r="Y6" s="370">
        <v>212793647.5</v>
      </c>
      <c r="Z6" s="370">
        <v>254141416.40000001</v>
      </c>
      <c r="AA6" s="370">
        <v>-41347768.990000002</v>
      </c>
      <c r="AB6" s="370">
        <v>238844305.84</v>
      </c>
      <c r="AC6" s="370">
        <v>28709627.579999998</v>
      </c>
      <c r="AD6" s="370">
        <v>15297110.630000001</v>
      </c>
      <c r="AE6" s="369">
        <v>254141416.47</v>
      </c>
      <c r="AF6" s="369">
        <v>27374096.859999999</v>
      </c>
      <c r="AG6" s="369">
        <v>4616139.97</v>
      </c>
      <c r="AH6" s="369">
        <v>-1108234.2</v>
      </c>
      <c r="AI6" s="369">
        <v>34622435.659999996</v>
      </c>
      <c r="AJ6" s="369">
        <v>65504438.289999999</v>
      </c>
      <c r="AK6" s="369">
        <v>63046156.229999997</v>
      </c>
      <c r="AL6" s="369">
        <v>0</v>
      </c>
      <c r="AM6" s="369">
        <v>263340518.09999999</v>
      </c>
      <c r="AN6" s="369">
        <v>53533829.619999997</v>
      </c>
      <c r="AO6" s="369">
        <v>84709604.349999994</v>
      </c>
      <c r="AP6" s="369">
        <v>55501247.229999997</v>
      </c>
      <c r="AQ6" s="369">
        <v>520298782</v>
      </c>
      <c r="AR6" s="370">
        <v>361896991.89999998</v>
      </c>
      <c r="AS6" s="370">
        <v>0</v>
      </c>
      <c r="AT6" s="371">
        <v>0.390683904240611</v>
      </c>
      <c r="AU6" s="371">
        <v>0.39099528822949098</v>
      </c>
      <c r="AV6" s="371">
        <v>0.62806544393798402</v>
      </c>
      <c r="AW6" s="371">
        <v>0.218320806530855</v>
      </c>
      <c r="AX6" s="371">
        <v>0.40974463740712902</v>
      </c>
      <c r="AY6" s="371">
        <f>Y6/$Y$31</f>
        <v>6.359222639458105E-2</v>
      </c>
    </row>
    <row r="7" spans="1:51" ht="15.4" x14ac:dyDescent="0.45">
      <c r="A7" s="334" t="s">
        <v>87</v>
      </c>
      <c r="B7" s="370"/>
      <c r="C7" s="370"/>
      <c r="D7" s="370"/>
      <c r="E7" s="370"/>
      <c r="F7" s="370"/>
      <c r="G7" s="370"/>
      <c r="H7" s="370"/>
      <c r="I7" s="370"/>
      <c r="J7" s="370"/>
      <c r="K7" s="370"/>
      <c r="L7" s="370"/>
      <c r="M7" s="370"/>
      <c r="N7" s="370"/>
      <c r="O7" s="370"/>
      <c r="P7" s="370"/>
      <c r="Q7" s="370"/>
      <c r="R7" s="370"/>
      <c r="S7" s="370"/>
      <c r="T7" s="370"/>
      <c r="U7" s="370"/>
      <c r="V7" s="370"/>
      <c r="W7" s="370"/>
      <c r="X7" s="370"/>
      <c r="Y7" s="370"/>
      <c r="Z7" s="370"/>
      <c r="AA7" s="370"/>
      <c r="AB7" s="370"/>
      <c r="AC7" s="370"/>
      <c r="AD7" s="370"/>
      <c r="AE7" s="369"/>
      <c r="AF7" s="369"/>
      <c r="AG7" s="369"/>
      <c r="AH7" s="369"/>
      <c r="AI7" s="369"/>
      <c r="AJ7" s="369"/>
      <c r="AK7" s="369"/>
      <c r="AL7" s="369"/>
      <c r="AM7" s="369"/>
      <c r="AN7" s="369"/>
      <c r="AO7" s="369"/>
      <c r="AP7" s="369"/>
      <c r="AQ7" s="369"/>
      <c r="AR7" s="370"/>
      <c r="AS7" s="370"/>
      <c r="AT7" s="371"/>
      <c r="AU7" s="371"/>
      <c r="AV7" s="371"/>
      <c r="AW7" s="371"/>
      <c r="AX7" s="371"/>
      <c r="AY7" s="371"/>
    </row>
    <row r="8" spans="1:51" ht="15.4" x14ac:dyDescent="0.45">
      <c r="A8" s="334" t="s">
        <v>60</v>
      </c>
      <c r="B8" s="370">
        <v>134786</v>
      </c>
      <c r="C8" s="370"/>
      <c r="D8" s="370">
        <v>2650965</v>
      </c>
      <c r="E8" s="370"/>
      <c r="F8" s="370"/>
      <c r="G8" s="370"/>
      <c r="H8" s="370">
        <v>218721</v>
      </c>
      <c r="I8" s="370"/>
      <c r="J8" s="370"/>
      <c r="K8" s="370"/>
      <c r="L8" s="370"/>
      <c r="M8" s="370"/>
      <c r="N8" s="370">
        <v>164292</v>
      </c>
      <c r="O8" s="370"/>
      <c r="P8" s="370">
        <v>52408</v>
      </c>
      <c r="Q8" s="370">
        <v>4459</v>
      </c>
      <c r="R8" s="370"/>
      <c r="S8" s="370"/>
      <c r="T8" s="370"/>
      <c r="U8" s="370"/>
      <c r="V8" s="370"/>
      <c r="W8" s="370"/>
      <c r="X8" s="370"/>
      <c r="Y8" s="370">
        <v>3225631</v>
      </c>
      <c r="Z8" s="370">
        <v>1479406</v>
      </c>
      <c r="AA8" s="370">
        <v>1746225</v>
      </c>
      <c r="AB8" s="370">
        <v>854827</v>
      </c>
      <c r="AC8" s="370">
        <v>5478800</v>
      </c>
      <c r="AD8" s="370">
        <v>624579</v>
      </c>
      <c r="AE8" s="369">
        <v>1479406</v>
      </c>
      <c r="AF8" s="369">
        <v>1396837</v>
      </c>
      <c r="AG8" s="369">
        <v>1697580</v>
      </c>
      <c r="AH8" s="369">
        <v>-17675</v>
      </c>
      <c r="AI8" s="369">
        <v>-5558799</v>
      </c>
      <c r="AJ8" s="369">
        <v>-2482057</v>
      </c>
      <c r="AK8" s="369">
        <v>2297071</v>
      </c>
      <c r="AL8" s="369">
        <v>0</v>
      </c>
      <c r="AM8" s="369">
        <v>2575770</v>
      </c>
      <c r="AN8" s="369">
        <v>37653758</v>
      </c>
      <c r="AO8" s="369">
        <v>23001141</v>
      </c>
      <c r="AP8" s="369">
        <v>530953</v>
      </c>
      <c r="AQ8" s="369">
        <v>66777598</v>
      </c>
      <c r="AR8" s="370">
        <v>4155900</v>
      </c>
      <c r="AS8" s="370">
        <v>2976114</v>
      </c>
      <c r="AT8" s="371">
        <v>0.52687369397777595</v>
      </c>
      <c r="AU8" s="371">
        <v>0.23754101947057499</v>
      </c>
      <c r="AV8" s="371">
        <v>2.30213678437525</v>
      </c>
      <c r="AW8" s="371">
        <v>0.23558528655164801</v>
      </c>
      <c r="AX8" s="371">
        <v>2.0665514978236099</v>
      </c>
      <c r="AY8" s="371">
        <f t="shared" ref="AY8:AY30" si="2">Y8/$Y$31</f>
        <v>9.6396231385327828E-4</v>
      </c>
    </row>
    <row r="9" spans="1:51" ht="15.4" x14ac:dyDescent="0.45">
      <c r="A9" s="334" t="s">
        <v>128</v>
      </c>
      <c r="B9" s="370">
        <v>483508</v>
      </c>
      <c r="C9" s="370">
        <v>12307969</v>
      </c>
      <c r="D9" s="370">
        <v>22908477</v>
      </c>
      <c r="E9" s="370">
        <v>4668981</v>
      </c>
      <c r="F9" s="370">
        <v>3338</v>
      </c>
      <c r="G9" s="370"/>
      <c r="H9" s="370">
        <v>284749</v>
      </c>
      <c r="I9" s="370">
        <v>853479</v>
      </c>
      <c r="J9" s="370">
        <v>46495</v>
      </c>
      <c r="K9" s="370">
        <v>574992</v>
      </c>
      <c r="L9" s="370">
        <v>134665</v>
      </c>
      <c r="M9" s="370">
        <v>6707534</v>
      </c>
      <c r="N9" s="370">
        <v>497124</v>
      </c>
      <c r="O9" s="370">
        <v>864303</v>
      </c>
      <c r="P9" s="370"/>
      <c r="Q9" s="370">
        <v>841731</v>
      </c>
      <c r="R9" s="370">
        <v>55627</v>
      </c>
      <c r="S9" s="370"/>
      <c r="T9" s="370"/>
      <c r="U9" s="370"/>
      <c r="V9" s="370"/>
      <c r="W9" s="370"/>
      <c r="X9" s="370"/>
      <c r="Y9" s="370">
        <v>51232972</v>
      </c>
      <c r="Z9" s="370">
        <v>15031268</v>
      </c>
      <c r="AA9" s="370">
        <v>36201704</v>
      </c>
      <c r="AB9" s="370">
        <v>7576797</v>
      </c>
      <c r="AC9" s="370">
        <v>22699608</v>
      </c>
      <c r="AD9" s="370">
        <v>7454471</v>
      </c>
      <c r="AE9" s="369">
        <v>15031268</v>
      </c>
      <c r="AF9" s="369">
        <v>24112159</v>
      </c>
      <c r="AG9" s="369">
        <v>31293167</v>
      </c>
      <c r="AH9" s="369">
        <v>-1635612</v>
      </c>
      <c r="AI9" s="369">
        <v>-30850330</v>
      </c>
      <c r="AJ9" s="369">
        <v>16832929</v>
      </c>
      <c r="AK9" s="369">
        <v>22064339</v>
      </c>
      <c r="AL9" s="369">
        <v>0</v>
      </c>
      <c r="AM9" s="369">
        <v>20032111</v>
      </c>
      <c r="AN9" s="369">
        <v>86058201</v>
      </c>
      <c r="AO9" s="369">
        <v>911174</v>
      </c>
      <c r="AP9" s="369">
        <v>11382987</v>
      </c>
      <c r="AQ9" s="369">
        <v>140448812</v>
      </c>
      <c r="AR9" s="370">
        <v>52316013</v>
      </c>
      <c r="AS9" s="370">
        <v>0</v>
      </c>
      <c r="AT9" s="371">
        <v>0.60528666417829302</v>
      </c>
      <c r="AU9" s="371">
        <v>0.20758401717364</v>
      </c>
      <c r="AV9" s="371">
        <v>0.75695676564171299</v>
      </c>
      <c r="AW9" s="371">
        <v>0.18712931864806501</v>
      </c>
      <c r="AX9" s="371">
        <v>0.56982744699364696</v>
      </c>
      <c r="AY9" s="371">
        <f t="shared" si="2"/>
        <v>1.5310695561488657E-2</v>
      </c>
    </row>
    <row r="10" spans="1:51" ht="15.4" x14ac:dyDescent="0.45">
      <c r="A10" s="334" t="s">
        <v>22</v>
      </c>
      <c r="B10" s="370">
        <v>810605</v>
      </c>
      <c r="C10" s="370">
        <v>7014209</v>
      </c>
      <c r="D10" s="370">
        <v>25473362</v>
      </c>
      <c r="E10" s="370">
        <v>24417319</v>
      </c>
      <c r="F10" s="370"/>
      <c r="G10" s="370"/>
      <c r="H10" s="370">
        <v>443248</v>
      </c>
      <c r="I10" s="370">
        <v>95851</v>
      </c>
      <c r="J10" s="370"/>
      <c r="K10" s="370">
        <v>1411152</v>
      </c>
      <c r="L10" s="370">
        <v>201662</v>
      </c>
      <c r="M10" s="370">
        <v>956535</v>
      </c>
      <c r="N10" s="370">
        <v>1426453</v>
      </c>
      <c r="O10" s="370">
        <v>18657</v>
      </c>
      <c r="P10" s="370">
        <v>2520439</v>
      </c>
      <c r="Q10" s="370"/>
      <c r="R10" s="370">
        <v>882337</v>
      </c>
      <c r="S10" s="370"/>
      <c r="T10" s="370"/>
      <c r="U10" s="370"/>
      <c r="V10" s="370"/>
      <c r="W10" s="370"/>
      <c r="X10" s="370"/>
      <c r="Y10" s="370">
        <v>65671829</v>
      </c>
      <c r="Z10" s="370">
        <v>40925522</v>
      </c>
      <c r="AA10" s="370">
        <v>24746307</v>
      </c>
      <c r="AB10" s="370">
        <v>13889706</v>
      </c>
      <c r="AC10" s="370">
        <v>10680002</v>
      </c>
      <c r="AD10" s="370">
        <v>27035816</v>
      </c>
      <c r="AE10" s="369">
        <v>40925522</v>
      </c>
      <c r="AF10" s="369">
        <v>13588452</v>
      </c>
      <c r="AG10" s="369">
        <v>10143286</v>
      </c>
      <c r="AH10" s="369">
        <v>3566403</v>
      </c>
      <c r="AI10" s="369">
        <v>-10225608</v>
      </c>
      <c r="AJ10" s="369">
        <v>11950773</v>
      </c>
      <c r="AK10" s="369">
        <v>30762954</v>
      </c>
      <c r="AL10" s="369">
        <v>1229652</v>
      </c>
      <c r="AM10" s="369">
        <v>11536474</v>
      </c>
      <c r="AN10" s="369">
        <v>63774264</v>
      </c>
      <c r="AO10" s="369">
        <v>13570134</v>
      </c>
      <c r="AP10" s="369">
        <v>11317502</v>
      </c>
      <c r="AQ10" s="369">
        <v>132276956</v>
      </c>
      <c r="AR10" s="370">
        <v>52879176</v>
      </c>
      <c r="AS10" s="370">
        <v>1411703</v>
      </c>
      <c r="AT10" s="371">
        <v>0.25874802682153603</v>
      </c>
      <c r="AU10" s="371">
        <v>0.22644248321521299</v>
      </c>
      <c r="AV10" s="371">
        <v>0.718175513109232</v>
      </c>
      <c r="AW10" s="371">
        <v>0.51480948996325004</v>
      </c>
      <c r="AX10" s="371">
        <v>0.20336602314598101</v>
      </c>
      <c r="AY10" s="371">
        <f t="shared" si="2"/>
        <v>1.9625669593892427E-2</v>
      </c>
    </row>
    <row r="11" spans="1:51" ht="15.4" x14ac:dyDescent="0.45">
      <c r="A11" s="334" t="s">
        <v>23</v>
      </c>
      <c r="B11" s="370">
        <v>8761916</v>
      </c>
      <c r="C11" s="370">
        <v>146128990</v>
      </c>
      <c r="D11" s="370">
        <v>174396453</v>
      </c>
      <c r="E11" s="370">
        <v>18450321</v>
      </c>
      <c r="F11" s="370">
        <v>1349214</v>
      </c>
      <c r="G11" s="370">
        <v>0</v>
      </c>
      <c r="H11" s="370">
        <v>12694335</v>
      </c>
      <c r="I11" s="370">
        <v>4316534</v>
      </c>
      <c r="J11" s="370">
        <v>2207496</v>
      </c>
      <c r="K11" s="370">
        <v>11754847</v>
      </c>
      <c r="L11" s="370">
        <v>9216840</v>
      </c>
      <c r="M11" s="370">
        <v>21619376</v>
      </c>
      <c r="N11" s="370">
        <v>26998588</v>
      </c>
      <c r="O11" s="370">
        <v>20760745</v>
      </c>
      <c r="P11" s="370">
        <v>11838755</v>
      </c>
      <c r="Q11" s="370">
        <v>15760499</v>
      </c>
      <c r="R11" s="370">
        <v>16520580</v>
      </c>
      <c r="S11" s="370">
        <v>1347506</v>
      </c>
      <c r="T11" s="370">
        <v>0</v>
      </c>
      <c r="U11" s="370">
        <v>0</v>
      </c>
      <c r="V11" s="370">
        <v>0</v>
      </c>
      <c r="W11" s="370">
        <v>0</v>
      </c>
      <c r="X11" s="370">
        <v>0</v>
      </c>
      <c r="Y11" s="370">
        <v>504122995</v>
      </c>
      <c r="Z11" s="370">
        <v>477471465</v>
      </c>
      <c r="AA11" s="370">
        <v>26651530</v>
      </c>
      <c r="AB11" s="370">
        <v>400179937</v>
      </c>
      <c r="AC11" s="370">
        <v>99429990</v>
      </c>
      <c r="AD11" s="370">
        <v>77291528</v>
      </c>
      <c r="AE11" s="369">
        <v>477471465</v>
      </c>
      <c r="AF11" s="369">
        <v>117078386</v>
      </c>
      <c r="AG11" s="369">
        <v>37657688</v>
      </c>
      <c r="AH11" s="369">
        <v>-8084433</v>
      </c>
      <c r="AI11" s="369">
        <v>-94394726</v>
      </c>
      <c r="AJ11" s="369">
        <v>37801915</v>
      </c>
      <c r="AK11" s="369">
        <v>88360137</v>
      </c>
      <c r="AL11" s="369">
        <v>0</v>
      </c>
      <c r="AM11" s="369">
        <v>211212980</v>
      </c>
      <c r="AN11" s="369">
        <v>378713638</v>
      </c>
      <c r="AO11" s="369">
        <v>91424456</v>
      </c>
      <c r="AP11" s="369">
        <v>19719530</v>
      </c>
      <c r="AQ11" s="369">
        <v>789430741</v>
      </c>
      <c r="AR11" s="370">
        <v>441444969</v>
      </c>
      <c r="AS11" s="370">
        <v>0</v>
      </c>
      <c r="AT11" s="371">
        <v>0.38791126976595902</v>
      </c>
      <c r="AU11" s="371">
        <v>0.35600171201505598</v>
      </c>
      <c r="AV11" s="371">
        <v>0.58552454286778299</v>
      </c>
      <c r="AW11" s="371">
        <v>0.256087018218983</v>
      </c>
      <c r="AX11" s="371">
        <v>0.329437524648799</v>
      </c>
      <c r="AY11" s="371">
        <f t="shared" si="2"/>
        <v>0.15065442039924737</v>
      </c>
    </row>
    <row r="12" spans="1:51" ht="15.4" x14ac:dyDescent="0.45">
      <c r="A12" s="334" t="s">
        <v>25</v>
      </c>
      <c r="B12" s="370"/>
      <c r="C12" s="370">
        <v>148044323</v>
      </c>
      <c r="D12" s="370">
        <v>68910107</v>
      </c>
      <c r="E12" s="370"/>
      <c r="F12" s="370"/>
      <c r="G12" s="370"/>
      <c r="H12" s="370"/>
      <c r="I12" s="370"/>
      <c r="J12" s="370"/>
      <c r="K12" s="370"/>
      <c r="L12" s="370"/>
      <c r="M12" s="370">
        <v>45737418</v>
      </c>
      <c r="N12" s="370"/>
      <c r="O12" s="370">
        <v>12624026</v>
      </c>
      <c r="P12" s="370">
        <v>23603890</v>
      </c>
      <c r="Q12" s="370">
        <v>14520404</v>
      </c>
      <c r="R12" s="370"/>
      <c r="S12" s="370"/>
      <c r="T12" s="370"/>
      <c r="U12" s="370"/>
      <c r="V12" s="370"/>
      <c r="W12" s="370"/>
      <c r="X12" s="370"/>
      <c r="Y12" s="370">
        <v>313440168</v>
      </c>
      <c r="Z12" s="370">
        <v>75132814</v>
      </c>
      <c r="AA12" s="370">
        <v>238307354</v>
      </c>
      <c r="AB12" s="370">
        <v>45694526</v>
      </c>
      <c r="AC12" s="370">
        <v>6720988</v>
      </c>
      <c r="AD12" s="370">
        <v>29438288</v>
      </c>
      <c r="AE12" s="369">
        <v>75132814</v>
      </c>
      <c r="AF12" s="369">
        <v>38914089</v>
      </c>
      <c r="AG12" s="369">
        <v>21101366</v>
      </c>
      <c r="AH12" s="369">
        <v>0</v>
      </c>
      <c r="AI12" s="369">
        <v>-6720988</v>
      </c>
      <c r="AJ12" s="369">
        <v>39135838</v>
      </c>
      <c r="AK12" s="369">
        <v>75093843</v>
      </c>
      <c r="AL12" s="369">
        <v>0</v>
      </c>
      <c r="AM12" s="369">
        <v>321673784</v>
      </c>
      <c r="AN12" s="369">
        <v>181752929</v>
      </c>
      <c r="AO12" s="369">
        <v>551181</v>
      </c>
      <c r="AP12" s="369">
        <v>50320395</v>
      </c>
      <c r="AQ12" s="369">
        <v>630156300</v>
      </c>
      <c r="AR12" s="370">
        <v>388384562</v>
      </c>
      <c r="AS12" s="370">
        <v>6049493</v>
      </c>
      <c r="AT12" s="371">
        <v>0.36361396432530302</v>
      </c>
      <c r="AU12" s="371">
        <v>0.361314130416165</v>
      </c>
      <c r="AV12" s="371">
        <v>0.33787294091589298</v>
      </c>
      <c r="AW12" s="371">
        <v>0.27507190525852998</v>
      </c>
      <c r="AX12" s="371">
        <v>6.2801035657362905E-2</v>
      </c>
      <c r="AY12" s="371">
        <f t="shared" si="2"/>
        <v>9.366989268141343E-2</v>
      </c>
    </row>
    <row r="13" spans="1:51" ht="15.4" x14ac:dyDescent="0.45">
      <c r="A13" s="334" t="s">
        <v>26</v>
      </c>
      <c r="B13" s="370">
        <v>1734895</v>
      </c>
      <c r="C13" s="370">
        <v>141594283</v>
      </c>
      <c r="D13" s="370">
        <v>33725915</v>
      </c>
      <c r="E13" s="370">
        <v>10417933</v>
      </c>
      <c r="F13" s="370"/>
      <c r="G13" s="370">
        <v>1686983</v>
      </c>
      <c r="H13" s="370">
        <v>15093078</v>
      </c>
      <c r="I13" s="370">
        <v>379604</v>
      </c>
      <c r="J13" s="370"/>
      <c r="K13" s="370">
        <v>1895952</v>
      </c>
      <c r="L13" s="370">
        <v>332129</v>
      </c>
      <c r="M13" s="370">
        <v>16162568</v>
      </c>
      <c r="N13" s="370">
        <v>31542467</v>
      </c>
      <c r="O13" s="370">
        <v>454073</v>
      </c>
      <c r="P13" s="370">
        <v>14761833</v>
      </c>
      <c r="Q13" s="370">
        <v>30618171</v>
      </c>
      <c r="R13" s="370">
        <v>8548078</v>
      </c>
      <c r="S13" s="370"/>
      <c r="T13" s="370"/>
      <c r="U13" s="370">
        <v>146712</v>
      </c>
      <c r="V13" s="370"/>
      <c r="W13" s="370"/>
      <c r="X13" s="370"/>
      <c r="Y13" s="370">
        <v>309094674</v>
      </c>
      <c r="Z13" s="370">
        <v>257147169</v>
      </c>
      <c r="AA13" s="370">
        <v>51947505</v>
      </c>
      <c r="AB13" s="370">
        <v>123389044</v>
      </c>
      <c r="AC13" s="370">
        <v>21808802</v>
      </c>
      <c r="AD13" s="370">
        <v>133758125</v>
      </c>
      <c r="AE13" s="369">
        <v>257147169</v>
      </c>
      <c r="AF13" s="369">
        <v>45286122</v>
      </c>
      <c r="AG13" s="369">
        <v>7710779</v>
      </c>
      <c r="AH13" s="369">
        <v>-1716976</v>
      </c>
      <c r="AI13" s="369">
        <v>-21805117</v>
      </c>
      <c r="AJ13" s="369">
        <v>20317634</v>
      </c>
      <c r="AK13" s="369">
        <v>46698610</v>
      </c>
      <c r="AL13" s="369">
        <v>0</v>
      </c>
      <c r="AM13" s="369">
        <v>199822776</v>
      </c>
      <c r="AN13" s="369">
        <v>183354190</v>
      </c>
      <c r="AO13" s="369">
        <v>2233309</v>
      </c>
      <c r="AP13" s="369">
        <v>12462604</v>
      </c>
      <c r="AQ13" s="369">
        <v>448330975</v>
      </c>
      <c r="AR13" s="370">
        <v>271630680</v>
      </c>
      <c r="AS13" s="370">
        <v>2055879</v>
      </c>
      <c r="AT13" s="371">
        <v>0.195595535230152</v>
      </c>
      <c r="AU13" s="371">
        <v>0.226689021377351</v>
      </c>
      <c r="AV13" s="371">
        <v>0.67190995843439705</v>
      </c>
      <c r="AW13" s="371">
        <v>0.57771544339249503</v>
      </c>
      <c r="AX13" s="371">
        <v>9.4194515041902196E-2</v>
      </c>
      <c r="AY13" s="371">
        <f t="shared" si="2"/>
        <v>9.2371265389241591E-2</v>
      </c>
    </row>
    <row r="14" spans="1:51" ht="15.4" x14ac:dyDescent="0.45">
      <c r="A14" s="334" t="s">
        <v>28</v>
      </c>
      <c r="B14" s="370"/>
      <c r="C14" s="370"/>
      <c r="D14" s="370"/>
      <c r="E14" s="370"/>
      <c r="F14" s="370"/>
      <c r="G14" s="370"/>
      <c r="H14" s="370"/>
      <c r="I14" s="370"/>
      <c r="J14" s="370"/>
      <c r="K14" s="370"/>
      <c r="L14" s="370"/>
      <c r="M14" s="370"/>
      <c r="N14" s="370"/>
      <c r="O14" s="370"/>
      <c r="P14" s="370"/>
      <c r="Q14" s="370"/>
      <c r="R14" s="370"/>
      <c r="S14" s="370"/>
      <c r="T14" s="370"/>
      <c r="U14" s="370"/>
      <c r="V14" s="370"/>
      <c r="W14" s="370"/>
      <c r="X14" s="370"/>
      <c r="Y14" s="370"/>
      <c r="Z14" s="370"/>
      <c r="AA14" s="370"/>
      <c r="AB14" s="370"/>
      <c r="AC14" s="370"/>
      <c r="AD14" s="370"/>
      <c r="AE14" s="369"/>
      <c r="AF14" s="369"/>
      <c r="AG14" s="369"/>
      <c r="AH14" s="369"/>
      <c r="AI14" s="369"/>
      <c r="AJ14" s="369"/>
      <c r="AK14" s="369"/>
      <c r="AL14" s="369"/>
      <c r="AM14" s="369"/>
      <c r="AN14" s="369"/>
      <c r="AO14" s="369"/>
      <c r="AP14" s="369"/>
      <c r="AQ14" s="369"/>
      <c r="AR14" s="370"/>
      <c r="AS14" s="370"/>
      <c r="AT14" s="371"/>
      <c r="AU14" s="371"/>
      <c r="AV14" s="371"/>
      <c r="AW14" s="371"/>
      <c r="AX14" s="371"/>
      <c r="AY14" s="371"/>
    </row>
    <row r="15" spans="1:51" ht="15.4" x14ac:dyDescent="0.45">
      <c r="A15" s="334" t="s">
        <v>46</v>
      </c>
      <c r="B15" s="370">
        <v>940555.6</v>
      </c>
      <c r="C15" s="370">
        <v>3762222.4</v>
      </c>
      <c r="D15" s="370">
        <v>20545043.399999999</v>
      </c>
      <c r="E15" s="370">
        <v>8805018.5999999996</v>
      </c>
      <c r="F15" s="370"/>
      <c r="G15" s="370"/>
      <c r="H15" s="370">
        <v>943550.7</v>
      </c>
      <c r="I15" s="370">
        <v>629033.80000000005</v>
      </c>
      <c r="J15" s="370">
        <v>157258.45000000001</v>
      </c>
      <c r="K15" s="370">
        <v>314516.90000000002</v>
      </c>
      <c r="L15" s="370">
        <v>1100809.1499999999</v>
      </c>
      <c r="M15" s="370"/>
      <c r="N15" s="370">
        <v>3293756</v>
      </c>
      <c r="O15" s="370"/>
      <c r="P15" s="370">
        <v>9136313</v>
      </c>
      <c r="Q15" s="370">
        <v>214329</v>
      </c>
      <c r="R15" s="370"/>
      <c r="S15" s="370"/>
      <c r="T15" s="370"/>
      <c r="U15" s="370"/>
      <c r="V15" s="370"/>
      <c r="W15" s="370"/>
      <c r="X15" s="370"/>
      <c r="Y15" s="370">
        <v>49842407</v>
      </c>
      <c r="Z15" s="370">
        <v>30960570</v>
      </c>
      <c r="AA15" s="370">
        <v>18881837</v>
      </c>
      <c r="AB15" s="370">
        <v>30960570</v>
      </c>
      <c r="AC15" s="370">
        <v>8637458</v>
      </c>
      <c r="AD15" s="370">
        <v>0</v>
      </c>
      <c r="AE15" s="369">
        <v>30960570</v>
      </c>
      <c r="AF15" s="369">
        <v>6410246</v>
      </c>
      <c r="AG15" s="369">
        <v>7927394</v>
      </c>
      <c r="AH15" s="369">
        <v>454428</v>
      </c>
      <c r="AI15" s="369">
        <v>-8588620</v>
      </c>
      <c r="AJ15" s="369">
        <v>6203448</v>
      </c>
      <c r="AK15" s="369">
        <v>7623701</v>
      </c>
      <c r="AL15" s="369">
        <v>0</v>
      </c>
      <c r="AM15" s="369">
        <v>0</v>
      </c>
      <c r="AN15" s="369">
        <v>78922035</v>
      </c>
      <c r="AO15" s="369">
        <v>36595047</v>
      </c>
      <c r="AP15" s="369">
        <v>5290438</v>
      </c>
      <c r="AQ15" s="369">
        <v>130097971</v>
      </c>
      <c r="AR15" s="370">
        <v>45893848</v>
      </c>
      <c r="AS15" s="370">
        <v>9068926</v>
      </c>
      <c r="AT15" s="371">
        <v>0.17153080093300599</v>
      </c>
      <c r="AU15" s="371">
        <v>0.82846919906699301</v>
      </c>
      <c r="AV15" s="371">
        <v>0.23112842919994001</v>
      </c>
      <c r="AW15" s="371"/>
      <c r="AX15" s="371">
        <v>0.23112842919994001</v>
      </c>
      <c r="AY15" s="371">
        <f t="shared" si="2"/>
        <v>1.4895132759989235E-2</v>
      </c>
    </row>
    <row r="16" spans="1:51" ht="15.4" x14ac:dyDescent="0.45">
      <c r="A16" s="334" t="s">
        <v>69</v>
      </c>
      <c r="B16" s="370">
        <v>493862</v>
      </c>
      <c r="C16" s="370">
        <v>808138</v>
      </c>
      <c r="D16" s="370">
        <v>26440658</v>
      </c>
      <c r="E16" s="370">
        <v>8081384</v>
      </c>
      <c r="F16" s="370">
        <v>2288660</v>
      </c>
      <c r="G16" s="370"/>
      <c r="H16" s="370">
        <v>1750966</v>
      </c>
      <c r="I16" s="370">
        <v>269379</v>
      </c>
      <c r="J16" s="370"/>
      <c r="K16" s="370">
        <v>538759</v>
      </c>
      <c r="L16" s="370">
        <v>224483</v>
      </c>
      <c r="M16" s="370">
        <v>1481587</v>
      </c>
      <c r="N16" s="370">
        <v>897932</v>
      </c>
      <c r="O16" s="370"/>
      <c r="P16" s="370">
        <v>1571380</v>
      </c>
      <c r="Q16" s="370">
        <v>44897</v>
      </c>
      <c r="R16" s="370">
        <v>4490</v>
      </c>
      <c r="S16" s="370"/>
      <c r="T16" s="370"/>
      <c r="U16" s="370"/>
      <c r="V16" s="370"/>
      <c r="W16" s="370"/>
      <c r="X16" s="370"/>
      <c r="Y16" s="370">
        <v>44896575</v>
      </c>
      <c r="Z16" s="370">
        <v>13652471</v>
      </c>
      <c r="AA16" s="370">
        <v>31244104</v>
      </c>
      <c r="AB16" s="370">
        <v>13652471</v>
      </c>
      <c r="AC16" s="370">
        <v>21043732</v>
      </c>
      <c r="AD16" s="370">
        <v>0</v>
      </c>
      <c r="AE16" s="369">
        <v>13652471</v>
      </c>
      <c r="AF16" s="369">
        <v>30851250</v>
      </c>
      <c r="AG16" s="369">
        <v>1882806</v>
      </c>
      <c r="AH16" s="369">
        <v>0</v>
      </c>
      <c r="AI16" s="369">
        <v>-20726168</v>
      </c>
      <c r="AJ16" s="369">
        <v>9005916</v>
      </c>
      <c r="AK16" s="369">
        <v>9499999</v>
      </c>
      <c r="AL16" s="369">
        <v>0</v>
      </c>
      <c r="AM16" s="369">
        <v>0</v>
      </c>
      <c r="AN16" s="369">
        <v>69044744</v>
      </c>
      <c r="AO16" s="369">
        <v>5502267</v>
      </c>
      <c r="AP16" s="369">
        <v>47915962</v>
      </c>
      <c r="AQ16" s="369">
        <v>133625185</v>
      </c>
      <c r="AR16" s="370">
        <v>23647447</v>
      </c>
      <c r="AS16" s="370">
        <v>1789997</v>
      </c>
      <c r="AT16" s="371">
        <v>0.78461950700220995</v>
      </c>
      <c r="AU16" s="371">
        <v>0.215380492997789</v>
      </c>
      <c r="AV16" s="371">
        <v>0.53519136590337901</v>
      </c>
      <c r="AW16" s="371"/>
      <c r="AX16" s="371">
        <v>0.53519136590337901</v>
      </c>
      <c r="AY16" s="371">
        <f t="shared" si="2"/>
        <v>1.3417097715481791E-2</v>
      </c>
    </row>
    <row r="17" spans="1:55" ht="15.4" x14ac:dyDescent="0.45">
      <c r="A17" s="334" t="s">
        <v>29</v>
      </c>
      <c r="B17" s="370"/>
      <c r="C17" s="370">
        <v>2591504</v>
      </c>
      <c r="D17" s="370">
        <v>36464787</v>
      </c>
      <c r="E17" s="370"/>
      <c r="F17" s="370"/>
      <c r="G17" s="370"/>
      <c r="H17" s="370">
        <v>2250870</v>
      </c>
      <c r="I17" s="370"/>
      <c r="J17" s="370">
        <v>239357</v>
      </c>
      <c r="K17" s="370"/>
      <c r="L17" s="370">
        <v>627139</v>
      </c>
      <c r="M17" s="370"/>
      <c r="N17" s="370">
        <v>431136</v>
      </c>
      <c r="O17" s="370"/>
      <c r="P17" s="370">
        <v>5149368</v>
      </c>
      <c r="Q17" s="370">
        <v>24049</v>
      </c>
      <c r="R17" s="370"/>
      <c r="S17" s="370"/>
      <c r="T17" s="370"/>
      <c r="U17" s="370"/>
      <c r="V17" s="370"/>
      <c r="W17" s="370"/>
      <c r="X17" s="370"/>
      <c r="Y17" s="370">
        <v>47778210</v>
      </c>
      <c r="Z17" s="370">
        <v>34777211</v>
      </c>
      <c r="AA17" s="370">
        <v>13000999</v>
      </c>
      <c r="AB17" s="370">
        <v>17689378</v>
      </c>
      <c r="AC17" s="370">
        <v>11258240</v>
      </c>
      <c r="AD17" s="370">
        <v>17087833</v>
      </c>
      <c r="AE17" s="369">
        <v>34777211</v>
      </c>
      <c r="AF17" s="369">
        <v>6312153</v>
      </c>
      <c r="AG17" s="369">
        <v>15574781</v>
      </c>
      <c r="AH17" s="369">
        <v>4026277</v>
      </c>
      <c r="AI17" s="369">
        <v>-11258240</v>
      </c>
      <c r="AJ17" s="369">
        <v>10258480</v>
      </c>
      <c r="AK17" s="369">
        <v>15748524</v>
      </c>
      <c r="AL17" s="369">
        <v>0</v>
      </c>
      <c r="AM17" s="369">
        <v>0</v>
      </c>
      <c r="AN17" s="369">
        <v>89047492</v>
      </c>
      <c r="AO17" s="369">
        <v>24252412</v>
      </c>
      <c r="AP17" s="369">
        <v>26556034</v>
      </c>
      <c r="AQ17" s="369">
        <v>157189134</v>
      </c>
      <c r="AR17" s="370">
        <v>30791167</v>
      </c>
      <c r="AS17" s="370">
        <v>22326304</v>
      </c>
      <c r="AT17" s="371">
        <v>0.182671736861374</v>
      </c>
      <c r="AU17" s="371">
        <v>0.32281171176429801</v>
      </c>
      <c r="AV17" s="371">
        <v>0.82032650160877096</v>
      </c>
      <c r="AW17" s="371">
        <v>0.49451655137432698</v>
      </c>
      <c r="AX17" s="371">
        <v>0.32580995023444398</v>
      </c>
      <c r="AY17" s="371">
        <f t="shared" si="2"/>
        <v>1.4278258692134296E-2</v>
      </c>
    </row>
    <row r="18" spans="1:55" ht="15.4" x14ac:dyDescent="0.45">
      <c r="A18" s="334" t="s">
        <v>31</v>
      </c>
      <c r="B18" s="370">
        <v>342906</v>
      </c>
      <c r="C18" s="370">
        <v>1927826</v>
      </c>
      <c r="D18" s="370">
        <v>9256720</v>
      </c>
      <c r="E18" s="370">
        <v>6901706</v>
      </c>
      <c r="F18" s="370">
        <v>35219</v>
      </c>
      <c r="G18" s="370">
        <v>0</v>
      </c>
      <c r="H18" s="370">
        <v>179298</v>
      </c>
      <c r="I18" s="370">
        <v>168476</v>
      </c>
      <c r="J18" s="370">
        <v>63874</v>
      </c>
      <c r="K18" s="370">
        <v>499663</v>
      </c>
      <c r="L18" s="370">
        <v>118228</v>
      </c>
      <c r="M18" s="370">
        <v>6057700</v>
      </c>
      <c r="N18" s="370">
        <v>124350</v>
      </c>
      <c r="O18" s="370">
        <v>30908</v>
      </c>
      <c r="P18" s="370">
        <v>117339</v>
      </c>
      <c r="Q18" s="370">
        <v>2454443</v>
      </c>
      <c r="R18" s="370">
        <v>113708</v>
      </c>
      <c r="S18" s="370">
        <v>1740484</v>
      </c>
      <c r="T18" s="370">
        <v>0</v>
      </c>
      <c r="U18" s="370"/>
      <c r="V18" s="370"/>
      <c r="W18" s="370"/>
      <c r="X18" s="370"/>
      <c r="Y18" s="370">
        <v>30132848</v>
      </c>
      <c r="Z18" s="370">
        <v>14651280</v>
      </c>
      <c r="AA18" s="370">
        <v>15481567.999999899</v>
      </c>
      <c r="AB18" s="370">
        <v>10908054.846554199</v>
      </c>
      <c r="AC18" s="370">
        <v>12429870</v>
      </c>
      <c r="AD18" s="370">
        <v>3743225.1534457598</v>
      </c>
      <c r="AE18" s="369">
        <v>14651280</v>
      </c>
      <c r="AF18" s="369">
        <v>4916797.7899999795</v>
      </c>
      <c r="AG18" s="369">
        <v>19966668.774296999</v>
      </c>
      <c r="AH18" s="369">
        <v>-1810014</v>
      </c>
      <c r="AI18" s="369">
        <v>-8461417.7300000004</v>
      </c>
      <c r="AJ18" s="369">
        <v>14612034.834296901</v>
      </c>
      <c r="AK18" s="369">
        <v>16524453.5599999</v>
      </c>
      <c r="AL18" s="369">
        <v>0</v>
      </c>
      <c r="AM18" s="369">
        <v>0</v>
      </c>
      <c r="AN18" s="369">
        <v>95191982.709999993</v>
      </c>
      <c r="AO18" s="369">
        <v>30659396.316868301</v>
      </c>
      <c r="AP18" s="369">
        <v>11219626.23</v>
      </c>
      <c r="AQ18" s="369">
        <v>153595458.81999999</v>
      </c>
      <c r="AR18" s="370">
        <v>47958462</v>
      </c>
      <c r="AS18" s="370">
        <v>22773</v>
      </c>
      <c r="AT18" s="371">
        <v>0.28365518996682798</v>
      </c>
      <c r="AU18" s="371">
        <v>0.50039424884702999</v>
      </c>
      <c r="AV18" s="371">
        <v>0.93304271886728796</v>
      </c>
      <c r="AW18" s="371">
        <v>0.21595056118614001</v>
      </c>
      <c r="AX18" s="371">
        <v>0.71709215768114798</v>
      </c>
      <c r="AY18" s="371">
        <f t="shared" si="2"/>
        <v>9.0050380471508144E-3</v>
      </c>
      <c r="BC18" t="s">
        <v>196</v>
      </c>
    </row>
    <row r="19" spans="1:55" ht="15.4" x14ac:dyDescent="0.45">
      <c r="A19" s="334" t="s">
        <v>32</v>
      </c>
      <c r="B19" s="370"/>
      <c r="C19" s="370">
        <v>9829898</v>
      </c>
      <c r="D19" s="370"/>
      <c r="E19" s="370"/>
      <c r="F19" s="370"/>
      <c r="G19" s="370">
        <v>60657587</v>
      </c>
      <c r="H19" s="370"/>
      <c r="I19" s="370"/>
      <c r="J19" s="370"/>
      <c r="K19" s="370">
        <v>5279939</v>
      </c>
      <c r="L19" s="370"/>
      <c r="M19" s="370"/>
      <c r="N19" s="370"/>
      <c r="O19" s="370">
        <v>23604650</v>
      </c>
      <c r="P19" s="370">
        <v>27942002</v>
      </c>
      <c r="Q19" s="370">
        <v>486545</v>
      </c>
      <c r="R19" s="370"/>
      <c r="S19" s="370"/>
      <c r="T19" s="370"/>
      <c r="U19" s="370"/>
      <c r="V19" s="370"/>
      <c r="W19" s="370"/>
      <c r="X19" s="370"/>
      <c r="Y19" s="370">
        <v>127800621</v>
      </c>
      <c r="Z19" s="370">
        <v>56134600</v>
      </c>
      <c r="AA19" s="370">
        <v>71666021</v>
      </c>
      <c r="AB19" s="370">
        <v>33924146</v>
      </c>
      <c r="AC19" s="370">
        <v>42927332</v>
      </c>
      <c r="AD19" s="370">
        <v>22210454</v>
      </c>
      <c r="AE19" s="369">
        <v>56134600</v>
      </c>
      <c r="AF19" s="369">
        <v>43464720</v>
      </c>
      <c r="AG19" s="369">
        <v>12425235</v>
      </c>
      <c r="AH19" s="369">
        <v>0</v>
      </c>
      <c r="AI19" s="369">
        <v>-42813055</v>
      </c>
      <c r="AJ19" s="369">
        <v>9153830</v>
      </c>
      <c r="AK19" s="369">
        <v>20790583</v>
      </c>
      <c r="AL19" s="369">
        <v>0</v>
      </c>
      <c r="AM19" s="369">
        <v>0</v>
      </c>
      <c r="AN19" s="369">
        <v>128260105</v>
      </c>
      <c r="AO19" s="369">
        <v>14117862</v>
      </c>
      <c r="AP19" s="369">
        <v>6091493</v>
      </c>
      <c r="AQ19" s="369">
        <v>169260043</v>
      </c>
      <c r="AR19" s="370">
        <v>0</v>
      </c>
      <c r="AS19" s="370">
        <v>0</v>
      </c>
      <c r="AT19" s="371">
        <v>0.45346370831916299</v>
      </c>
      <c r="AU19" s="371">
        <v>0.31481652368757201</v>
      </c>
      <c r="AV19" s="371">
        <v>0.67957695324529999</v>
      </c>
      <c r="AW19" s="371">
        <v>0.23171976799326399</v>
      </c>
      <c r="AX19" s="371">
        <v>0.44785718525203599</v>
      </c>
      <c r="AY19" s="371">
        <f t="shared" si="2"/>
        <v>3.8192521813885674E-2</v>
      </c>
    </row>
    <row r="20" spans="1:55" ht="15.4" x14ac:dyDescent="0.45">
      <c r="A20" s="334" t="s">
        <v>33</v>
      </c>
      <c r="B20" s="370"/>
      <c r="C20" s="370">
        <v>14700772</v>
      </c>
      <c r="D20" s="370"/>
      <c r="E20" s="370">
        <v>65254813</v>
      </c>
      <c r="F20" s="370"/>
      <c r="G20" s="370"/>
      <c r="H20" s="370">
        <v>8637269</v>
      </c>
      <c r="I20" s="370"/>
      <c r="J20" s="370"/>
      <c r="K20" s="370"/>
      <c r="L20" s="370"/>
      <c r="M20" s="370"/>
      <c r="N20" s="370">
        <v>9028046</v>
      </c>
      <c r="O20" s="370"/>
      <c r="P20" s="370">
        <v>17334060</v>
      </c>
      <c r="Q20" s="370"/>
      <c r="R20" s="370">
        <v>589555</v>
      </c>
      <c r="S20" s="370"/>
      <c r="T20" s="370"/>
      <c r="U20" s="370"/>
      <c r="V20" s="370"/>
      <c r="W20" s="370"/>
      <c r="X20" s="370"/>
      <c r="Y20" s="370">
        <v>115544515</v>
      </c>
      <c r="Z20" s="370">
        <v>45330286</v>
      </c>
      <c r="AA20" s="370">
        <v>70214229</v>
      </c>
      <c r="AB20" s="370">
        <v>34269495</v>
      </c>
      <c r="AC20" s="370">
        <v>53650179</v>
      </c>
      <c r="AD20" s="370">
        <v>11060791</v>
      </c>
      <c r="AE20" s="369">
        <v>45330286</v>
      </c>
      <c r="AF20" s="369">
        <v>57694857</v>
      </c>
      <c r="AG20" s="369">
        <v>-923244</v>
      </c>
      <c r="AH20" s="369">
        <v>-731691</v>
      </c>
      <c r="AI20" s="369">
        <v>-43681688</v>
      </c>
      <c r="AJ20" s="369">
        <v>11286851</v>
      </c>
      <c r="AK20" s="369">
        <v>2756290</v>
      </c>
      <c r="AL20" s="369">
        <v>0</v>
      </c>
      <c r="AM20" s="369">
        <v>5794625</v>
      </c>
      <c r="AN20" s="369">
        <v>111110791</v>
      </c>
      <c r="AO20" s="369">
        <v>21947279</v>
      </c>
      <c r="AP20" s="369">
        <v>7813909</v>
      </c>
      <c r="AQ20" s="369">
        <v>150437894</v>
      </c>
      <c r="AR20" s="370">
        <v>40526541</v>
      </c>
      <c r="AS20" s="370">
        <v>11070269</v>
      </c>
      <c r="AT20" s="371">
        <v>0.58876119194990995</v>
      </c>
      <c r="AU20" s="371">
        <v>0.29836627778159602</v>
      </c>
      <c r="AV20" s="371">
        <v>0.66035882244122601</v>
      </c>
      <c r="AW20" s="371">
        <v>0.11287253026849201</v>
      </c>
      <c r="AX20" s="371">
        <v>0.54748629217273304</v>
      </c>
      <c r="AY20" s="371">
        <f t="shared" si="2"/>
        <v>3.4529851068660619E-2</v>
      </c>
    </row>
    <row r="21" spans="1:55" ht="15.4" x14ac:dyDescent="0.45">
      <c r="A21" s="334" t="s">
        <v>34</v>
      </c>
      <c r="B21" s="370">
        <v>43459</v>
      </c>
      <c r="C21" s="370">
        <v>2129490</v>
      </c>
      <c r="D21" s="370">
        <v>13234244</v>
      </c>
      <c r="E21" s="370">
        <v>37362216</v>
      </c>
      <c r="F21" s="370">
        <v>50341</v>
      </c>
      <c r="G21" s="370">
        <v>0</v>
      </c>
      <c r="H21" s="370">
        <v>1322096</v>
      </c>
      <c r="I21" s="370">
        <v>0</v>
      </c>
      <c r="J21" s="370">
        <v>0</v>
      </c>
      <c r="K21" s="370">
        <v>330524</v>
      </c>
      <c r="L21" s="370">
        <v>966734</v>
      </c>
      <c r="M21" s="370">
        <v>184140</v>
      </c>
      <c r="N21" s="370">
        <v>609234</v>
      </c>
      <c r="O21" s="370">
        <v>225333</v>
      </c>
      <c r="P21" s="370">
        <v>4876581</v>
      </c>
      <c r="Q21" s="370">
        <v>33642</v>
      </c>
      <c r="R21" s="370">
        <v>0</v>
      </c>
      <c r="S21" s="370">
        <v>0</v>
      </c>
      <c r="T21" s="370">
        <v>0</v>
      </c>
      <c r="U21" s="370">
        <v>0</v>
      </c>
      <c r="V21" s="370">
        <v>0</v>
      </c>
      <c r="W21" s="370">
        <v>0</v>
      </c>
      <c r="X21" s="370">
        <v>0</v>
      </c>
      <c r="Y21" s="370">
        <v>61368034</v>
      </c>
      <c r="Z21" s="370">
        <v>33438960</v>
      </c>
      <c r="AA21" s="370">
        <v>27929074</v>
      </c>
      <c r="AB21" s="370">
        <v>5894959</v>
      </c>
      <c r="AC21" s="370">
        <v>13751875</v>
      </c>
      <c r="AD21" s="370">
        <v>27544001</v>
      </c>
      <c r="AE21" s="369">
        <v>33438960</v>
      </c>
      <c r="AF21" s="369">
        <v>25499426</v>
      </c>
      <c r="AG21" s="369">
        <v>4157190</v>
      </c>
      <c r="AH21" s="369">
        <v>-341479</v>
      </c>
      <c r="AI21" s="369">
        <v>-13587975</v>
      </c>
      <c r="AJ21" s="369">
        <v>11009001</v>
      </c>
      <c r="AK21" s="369">
        <v>7912406</v>
      </c>
      <c r="AL21" s="369">
        <v>500450</v>
      </c>
      <c r="AM21" s="369">
        <v>2199152</v>
      </c>
      <c r="AN21" s="369">
        <v>64095014</v>
      </c>
      <c r="AO21" s="369">
        <v>15824992</v>
      </c>
      <c r="AP21" s="369">
        <v>27219134</v>
      </c>
      <c r="AQ21" s="369">
        <v>117751148</v>
      </c>
      <c r="AR21" s="370">
        <v>20019522</v>
      </c>
      <c r="AS21" s="370">
        <v>8193188</v>
      </c>
      <c r="AT21" s="371">
        <v>0.44910079894541</v>
      </c>
      <c r="AU21" s="371">
        <v>6.5788953661053501E-2</v>
      </c>
      <c r="AV21" s="371">
        <v>0.72731091691046601</v>
      </c>
      <c r="AW21" s="371">
        <v>0.48511024739353598</v>
      </c>
      <c r="AX21" s="371">
        <v>0.24220066951692901</v>
      </c>
      <c r="AY21" s="371">
        <f t="shared" si="2"/>
        <v>1.8339503821505513E-2</v>
      </c>
    </row>
    <row r="22" spans="1:55" ht="15.4" x14ac:dyDescent="0.45">
      <c r="A22" s="334" t="s">
        <v>35</v>
      </c>
      <c r="B22" s="370"/>
      <c r="C22" s="370">
        <v>10962755</v>
      </c>
      <c r="D22" s="370">
        <v>56183617</v>
      </c>
      <c r="E22" s="370"/>
      <c r="F22" s="370"/>
      <c r="G22" s="370"/>
      <c r="H22" s="370"/>
      <c r="I22" s="370"/>
      <c r="J22" s="370"/>
      <c r="K22" s="370">
        <v>190447</v>
      </c>
      <c r="L22" s="370">
        <v>-413511</v>
      </c>
      <c r="M22" s="370"/>
      <c r="N22" s="370">
        <v>3269459</v>
      </c>
      <c r="O22" s="370"/>
      <c r="P22" s="370">
        <v>3996066</v>
      </c>
      <c r="Q22" s="370"/>
      <c r="R22" s="370">
        <v>5314085</v>
      </c>
      <c r="S22" s="370"/>
      <c r="T22" s="370"/>
      <c r="U22" s="370"/>
      <c r="V22" s="370"/>
      <c r="W22" s="370"/>
      <c r="X22" s="370"/>
      <c r="Y22" s="370">
        <v>79502918</v>
      </c>
      <c r="Z22" s="370">
        <v>46055960</v>
      </c>
      <c r="AA22" s="370">
        <v>33446958</v>
      </c>
      <c r="AB22" s="370">
        <v>32575572</v>
      </c>
      <c r="AC22" s="370">
        <v>36209931</v>
      </c>
      <c r="AD22" s="370">
        <v>13480388</v>
      </c>
      <c r="AE22" s="369">
        <v>46055960</v>
      </c>
      <c r="AF22" s="369">
        <v>35582217</v>
      </c>
      <c r="AG22" s="369">
        <v>7840183</v>
      </c>
      <c r="AH22" s="369">
        <v>-298136</v>
      </c>
      <c r="AI22" s="369">
        <v>-36209931</v>
      </c>
      <c r="AJ22" s="369">
        <v>4450593</v>
      </c>
      <c r="AK22" s="369">
        <v>4016126</v>
      </c>
      <c r="AL22" s="369">
        <v>0</v>
      </c>
      <c r="AM22" s="369">
        <v>23659883</v>
      </c>
      <c r="AN22" s="369">
        <v>65376183</v>
      </c>
      <c r="AO22" s="369">
        <v>5479319</v>
      </c>
      <c r="AP22" s="369">
        <v>33271315</v>
      </c>
      <c r="AQ22" s="369">
        <v>133030426</v>
      </c>
      <c r="AR22" s="370">
        <v>59172386</v>
      </c>
      <c r="AS22" s="370">
        <v>0</v>
      </c>
      <c r="AT22" s="371">
        <v>0.44755862923169598</v>
      </c>
      <c r="AU22" s="371">
        <v>0.38288296537744598</v>
      </c>
      <c r="AV22" s="371">
        <v>0.62501251840844296</v>
      </c>
      <c r="AW22" s="371">
        <v>0.16955840539085601</v>
      </c>
      <c r="AX22" s="371">
        <v>0.45545411301758698</v>
      </c>
      <c r="AY22" s="371">
        <f t="shared" si="2"/>
        <v>2.3759015458794712E-2</v>
      </c>
    </row>
    <row r="23" spans="1:55" ht="15.4" x14ac:dyDescent="0.45">
      <c r="A23" s="334" t="s">
        <v>36</v>
      </c>
      <c r="B23" s="370">
        <v>2681130</v>
      </c>
      <c r="C23" s="370">
        <v>3788308</v>
      </c>
      <c r="D23" s="370">
        <v>40289199</v>
      </c>
      <c r="E23" s="370">
        <v>9816495</v>
      </c>
      <c r="F23" s="370">
        <v>178183</v>
      </c>
      <c r="G23" s="370">
        <v>4027376</v>
      </c>
      <c r="H23" s="370">
        <v>884552</v>
      </c>
      <c r="I23" s="370">
        <v>377649</v>
      </c>
      <c r="J23" s="370">
        <v>311740</v>
      </c>
      <c r="K23" s="370">
        <v>427070</v>
      </c>
      <c r="L23" s="370">
        <v>243303</v>
      </c>
      <c r="M23" s="370">
        <v>2801464</v>
      </c>
      <c r="N23" s="370">
        <v>338928</v>
      </c>
      <c r="O23" s="370">
        <v>16513112</v>
      </c>
      <c r="P23" s="370">
        <v>5376297</v>
      </c>
      <c r="Q23" s="370">
        <v>202265</v>
      </c>
      <c r="R23" s="370">
        <v>0</v>
      </c>
      <c r="S23" s="370">
        <v>8702813</v>
      </c>
      <c r="T23" s="370"/>
      <c r="U23" s="370"/>
      <c r="V23" s="370"/>
      <c r="W23" s="370"/>
      <c r="X23" s="370"/>
      <c r="Y23" s="370">
        <v>96959884</v>
      </c>
      <c r="Z23" s="370">
        <v>51147979</v>
      </c>
      <c r="AA23" s="370">
        <v>45811905</v>
      </c>
      <c r="AB23" s="370">
        <v>40173954</v>
      </c>
      <c r="AC23" s="370">
        <v>697514</v>
      </c>
      <c r="AD23" s="370">
        <v>10974025</v>
      </c>
      <c r="AE23" s="369">
        <v>51147979</v>
      </c>
      <c r="AF23" s="369">
        <v>29300515</v>
      </c>
      <c r="AG23" s="369">
        <v>6146908</v>
      </c>
      <c r="AH23" s="369">
        <v>-491875</v>
      </c>
      <c r="AI23" s="369">
        <v>-498205</v>
      </c>
      <c r="AJ23" s="369">
        <v>22953468</v>
      </c>
      <c r="AK23" s="369">
        <v>34043361</v>
      </c>
      <c r="AL23" s="369">
        <v>0</v>
      </c>
      <c r="AM23" s="369">
        <v>14313986</v>
      </c>
      <c r="AN23" s="369">
        <v>57070662</v>
      </c>
      <c r="AO23" s="369">
        <v>43045942</v>
      </c>
      <c r="AP23" s="369">
        <v>18055491</v>
      </c>
      <c r="AQ23" s="369">
        <v>166529442</v>
      </c>
      <c r="AR23" s="370">
        <v>62593026</v>
      </c>
      <c r="AS23" s="370">
        <v>0</v>
      </c>
      <c r="AT23" s="371">
        <v>0.37161405304485501</v>
      </c>
      <c r="AU23" s="371">
        <v>0.48920402785011902</v>
      </c>
      <c r="AV23" s="371">
        <v>0.14802838492979001</v>
      </c>
      <c r="AW23" s="371">
        <v>0.139181919105025</v>
      </c>
      <c r="AX23" s="371">
        <v>8.8464658247655106E-3</v>
      </c>
      <c r="AY23" s="371">
        <f t="shared" si="2"/>
        <v>2.8975934981895157E-2</v>
      </c>
    </row>
    <row r="24" spans="1:55" ht="15.4" x14ac:dyDescent="0.45">
      <c r="A24" s="334" t="s">
        <v>197</v>
      </c>
      <c r="B24" s="370"/>
      <c r="C24" s="370">
        <v>33365739</v>
      </c>
      <c r="D24" s="370">
        <v>55441023</v>
      </c>
      <c r="E24" s="370"/>
      <c r="F24" s="370"/>
      <c r="G24" s="370"/>
      <c r="H24" s="370">
        <v>14513024</v>
      </c>
      <c r="I24" s="370"/>
      <c r="J24" s="370">
        <v>1468720</v>
      </c>
      <c r="K24" s="370">
        <v>554700</v>
      </c>
      <c r="L24" s="370">
        <v>4894247</v>
      </c>
      <c r="M24" s="370"/>
      <c r="N24" s="370">
        <v>2332575</v>
      </c>
      <c r="O24" s="370"/>
      <c r="P24" s="370">
        <v>10406212</v>
      </c>
      <c r="Q24" s="370">
        <v>12014216</v>
      </c>
      <c r="R24" s="370"/>
      <c r="S24" s="370"/>
      <c r="T24" s="370"/>
      <c r="U24" s="370"/>
      <c r="V24" s="370"/>
      <c r="W24" s="370"/>
      <c r="X24" s="370"/>
      <c r="Y24" s="370">
        <v>134990456</v>
      </c>
      <c r="Z24" s="370">
        <v>77771661</v>
      </c>
      <c r="AA24" s="370">
        <v>57218795</v>
      </c>
      <c r="AB24" s="370">
        <v>59679060</v>
      </c>
      <c r="AC24" s="370">
        <v>40569377</v>
      </c>
      <c r="AD24" s="370">
        <v>18092601</v>
      </c>
      <c r="AE24" s="369">
        <v>77771661</v>
      </c>
      <c r="AF24" s="369">
        <v>45020780</v>
      </c>
      <c r="AG24" s="369">
        <v>25235181</v>
      </c>
      <c r="AH24" s="369">
        <v>0</v>
      </c>
      <c r="AI24" s="369">
        <v>-40569377</v>
      </c>
      <c r="AJ24" s="369">
        <v>20256497</v>
      </c>
      <c r="AK24" s="369">
        <v>33897424</v>
      </c>
      <c r="AL24" s="369">
        <v>7198455</v>
      </c>
      <c r="AM24" s="369">
        <v>59194730</v>
      </c>
      <c r="AN24" s="369">
        <v>221240942</v>
      </c>
      <c r="AO24" s="369">
        <v>21185444</v>
      </c>
      <c r="AP24" s="369">
        <v>6290630</v>
      </c>
      <c r="AQ24" s="369">
        <v>349172077</v>
      </c>
      <c r="AR24" s="370">
        <v>124608167</v>
      </c>
      <c r="AS24" s="370">
        <v>5278819</v>
      </c>
      <c r="AT24" s="371">
        <v>0.681614177329257</v>
      </c>
      <c r="AU24" s="371">
        <v>4.4464017087598701E-2</v>
      </c>
      <c r="AV24" s="371">
        <v>0.88814178419336498</v>
      </c>
      <c r="AW24" s="371">
        <v>0.273921805583144</v>
      </c>
      <c r="AX24" s="371">
        <v>0.61421997861022104</v>
      </c>
      <c r="AY24" s="371">
        <f t="shared" si="2"/>
        <v>4.0341164973262331E-2</v>
      </c>
    </row>
    <row r="25" spans="1:55" ht="15.4" x14ac:dyDescent="0.45">
      <c r="A25" s="334" t="s">
        <v>77</v>
      </c>
      <c r="B25" s="370">
        <v>1888412</v>
      </c>
      <c r="C25" s="370">
        <v>19133324</v>
      </c>
      <c r="D25" s="370">
        <v>16874299</v>
      </c>
      <c r="E25" s="370">
        <v>22285568</v>
      </c>
      <c r="F25" s="370">
        <v>606509</v>
      </c>
      <c r="G25" s="370">
        <v>2437358</v>
      </c>
      <c r="H25" s="370">
        <v>1079762</v>
      </c>
      <c r="I25" s="370">
        <v>2482323</v>
      </c>
      <c r="J25" s="370">
        <v>2509761</v>
      </c>
      <c r="K25" s="370">
        <v>626589</v>
      </c>
      <c r="L25" s="370">
        <v>94268</v>
      </c>
      <c r="M25" s="370">
        <v>1943138</v>
      </c>
      <c r="N25" s="370">
        <v>544899</v>
      </c>
      <c r="O25" s="370">
        <v>77655</v>
      </c>
      <c r="P25" s="370">
        <v>422822</v>
      </c>
      <c r="Q25" s="370">
        <v>213994</v>
      </c>
      <c r="R25" s="370">
        <v>1856756</v>
      </c>
      <c r="S25" s="370">
        <v>0</v>
      </c>
      <c r="T25" s="370">
        <v>0</v>
      </c>
      <c r="U25" s="370">
        <v>0</v>
      </c>
      <c r="V25" s="370">
        <v>0</v>
      </c>
      <c r="W25" s="370">
        <v>0</v>
      </c>
      <c r="X25" s="370">
        <v>0</v>
      </c>
      <c r="Y25" s="370">
        <v>75077437</v>
      </c>
      <c r="Z25" s="370">
        <v>14524305</v>
      </c>
      <c r="AA25" s="370">
        <v>60553132</v>
      </c>
      <c r="AB25" s="370">
        <v>8272265</v>
      </c>
      <c r="AC25" s="370">
        <v>38188451</v>
      </c>
      <c r="AD25" s="370">
        <v>6252040</v>
      </c>
      <c r="AE25" s="369">
        <v>14524305</v>
      </c>
      <c r="AF25" s="369">
        <v>37826613</v>
      </c>
      <c r="AG25" s="369">
        <v>6207289</v>
      </c>
      <c r="AH25" s="369">
        <v>0</v>
      </c>
      <c r="AI25" s="369">
        <v>-38188451</v>
      </c>
      <c r="AJ25" s="369">
        <v>4091816</v>
      </c>
      <c r="AK25" s="369">
        <v>2992020</v>
      </c>
      <c r="AL25" s="369">
        <v>0</v>
      </c>
      <c r="AM25" s="369">
        <v>21290257</v>
      </c>
      <c r="AN25" s="369">
        <v>69348631</v>
      </c>
      <c r="AO25" s="369">
        <v>32438564</v>
      </c>
      <c r="AP25" s="369">
        <v>3972245</v>
      </c>
      <c r="AQ25" s="369">
        <v>130041717</v>
      </c>
      <c r="AR25" s="370">
        <v>38708129</v>
      </c>
      <c r="AS25" s="370">
        <v>0</v>
      </c>
      <c r="AT25" s="371">
        <v>0.73963668014452399</v>
      </c>
      <c r="AU25" s="371">
        <v>0.13811504693368901</v>
      </c>
      <c r="AV25" s="371">
        <v>0.86896009503236804</v>
      </c>
      <c r="AW25" s="371">
        <v>0.122248272921785</v>
      </c>
      <c r="AX25" s="371">
        <v>0.74671182211058196</v>
      </c>
      <c r="AY25" s="371">
        <f t="shared" si="2"/>
        <v>2.2436484485886244E-2</v>
      </c>
    </row>
    <row r="26" spans="1:55" ht="15.4" x14ac:dyDescent="0.45">
      <c r="A26" s="334" t="s">
        <v>39</v>
      </c>
      <c r="B26" s="370">
        <v>2181692</v>
      </c>
      <c r="C26" s="370">
        <v>106407984</v>
      </c>
      <c r="D26" s="370">
        <v>76635225</v>
      </c>
      <c r="E26" s="370">
        <v>30600247</v>
      </c>
      <c r="F26" s="370">
        <v>479221</v>
      </c>
      <c r="G26" s="370">
        <v>0</v>
      </c>
      <c r="H26" s="370">
        <v>6796845</v>
      </c>
      <c r="I26" s="370">
        <v>951826</v>
      </c>
      <c r="J26" s="370">
        <v>813948</v>
      </c>
      <c r="K26" s="370">
        <v>2504154</v>
      </c>
      <c r="L26" s="370">
        <v>3987764</v>
      </c>
      <c r="M26" s="370">
        <v>11153006</v>
      </c>
      <c r="N26" s="370">
        <v>2569781</v>
      </c>
      <c r="O26" s="370">
        <v>5132850</v>
      </c>
      <c r="P26" s="370">
        <v>45546279</v>
      </c>
      <c r="Q26" s="370">
        <v>974195</v>
      </c>
      <c r="R26" s="370">
        <v>4107787</v>
      </c>
      <c r="S26" s="370">
        <v>14742709</v>
      </c>
      <c r="T26" s="370"/>
      <c r="U26" s="370"/>
      <c r="V26" s="370"/>
      <c r="W26" s="370"/>
      <c r="X26" s="370"/>
      <c r="Y26" s="370">
        <v>315585513</v>
      </c>
      <c r="Z26" s="370">
        <v>99702328</v>
      </c>
      <c r="AA26" s="370">
        <v>215883185</v>
      </c>
      <c r="AB26" s="370">
        <v>56450168</v>
      </c>
      <c r="AC26" s="370">
        <v>116482827</v>
      </c>
      <c r="AD26" s="370">
        <v>43252160</v>
      </c>
      <c r="AE26" s="369">
        <v>99702328</v>
      </c>
      <c r="AF26" s="369">
        <v>131343968</v>
      </c>
      <c r="AG26" s="369">
        <v>15770419</v>
      </c>
      <c r="AH26" s="369">
        <v>0</v>
      </c>
      <c r="AI26" s="369">
        <v>-109149247</v>
      </c>
      <c r="AJ26" s="369">
        <v>26575597</v>
      </c>
      <c r="AK26" s="369">
        <v>153951213</v>
      </c>
      <c r="AL26" s="369">
        <v>0</v>
      </c>
      <c r="AM26" s="369">
        <v>16589928</v>
      </c>
      <c r="AN26" s="369">
        <v>617318167</v>
      </c>
      <c r="AO26" s="369">
        <v>17936300</v>
      </c>
      <c r="AP26" s="369">
        <v>149139676</v>
      </c>
      <c r="AQ26" s="369">
        <v>954951622</v>
      </c>
      <c r="AR26" s="370">
        <v>173817181</v>
      </c>
      <c r="AS26" s="370">
        <v>0</v>
      </c>
      <c r="AT26" s="371">
        <v>0.59377749836529603</v>
      </c>
      <c r="AU26" s="371">
        <v>0.210688898114399</v>
      </c>
      <c r="AV26" s="371">
        <v>0.72212711726718304</v>
      </c>
      <c r="AW26" s="371">
        <v>0.19553360352030399</v>
      </c>
      <c r="AX26" s="371">
        <v>0.52659351374687802</v>
      </c>
      <c r="AY26" s="371">
        <f t="shared" si="2"/>
        <v>9.4311017388552451E-2</v>
      </c>
    </row>
    <row r="27" spans="1:55" ht="15.4" x14ac:dyDescent="0.45">
      <c r="A27" s="334" t="s">
        <v>40</v>
      </c>
      <c r="B27" s="370">
        <v>1112793</v>
      </c>
      <c r="C27" s="370">
        <v>127144650</v>
      </c>
      <c r="D27" s="370">
        <v>74144516</v>
      </c>
      <c r="E27" s="370">
        <v>28465841</v>
      </c>
      <c r="F27" s="370">
        <v>236121</v>
      </c>
      <c r="G27" s="370">
        <v>0</v>
      </c>
      <c r="H27" s="370">
        <v>11546857</v>
      </c>
      <c r="I27" s="370">
        <v>1674332</v>
      </c>
      <c r="J27" s="370">
        <v>4022626</v>
      </c>
      <c r="K27" s="370">
        <v>5192410</v>
      </c>
      <c r="L27" s="370">
        <v>7560415</v>
      </c>
      <c r="M27" s="370">
        <v>6417669</v>
      </c>
      <c r="N27" s="370">
        <v>45127853</v>
      </c>
      <c r="O27" s="370">
        <v>13230855</v>
      </c>
      <c r="P27" s="370">
        <v>14338034</v>
      </c>
      <c r="Q27" s="370">
        <v>3080461</v>
      </c>
      <c r="R27" s="370">
        <v>363529</v>
      </c>
      <c r="S27" s="370">
        <v>1620940</v>
      </c>
      <c r="T27" s="370"/>
      <c r="U27" s="370"/>
      <c r="V27" s="370"/>
      <c r="W27" s="370"/>
      <c r="X27" s="370"/>
      <c r="Y27" s="370">
        <v>345279902</v>
      </c>
      <c r="Z27" s="370">
        <v>100184142</v>
      </c>
      <c r="AA27" s="370">
        <v>245095760</v>
      </c>
      <c r="AB27" s="370">
        <v>100184142</v>
      </c>
      <c r="AC27" s="370">
        <v>68844474</v>
      </c>
      <c r="AD27" s="370">
        <v>0</v>
      </c>
      <c r="AE27" s="369">
        <v>100184142</v>
      </c>
      <c r="AF27" s="369">
        <v>224789955</v>
      </c>
      <c r="AG27" s="369">
        <v>16469394</v>
      </c>
      <c r="AH27" s="369">
        <v>-2963270</v>
      </c>
      <c r="AI27" s="369">
        <v>-68844474</v>
      </c>
      <c r="AJ27" s="369">
        <v>169451605</v>
      </c>
      <c r="AK27" s="369">
        <v>3933461</v>
      </c>
      <c r="AL27" s="369">
        <v>6660983</v>
      </c>
      <c r="AM27" s="369">
        <v>4385979</v>
      </c>
      <c r="AN27" s="369">
        <v>838150893</v>
      </c>
      <c r="AO27" s="369">
        <v>8921114</v>
      </c>
      <c r="AP27" s="369">
        <v>2990513</v>
      </c>
      <c r="AQ27" s="369">
        <v>865479932</v>
      </c>
      <c r="AR27" s="370">
        <v>132214892</v>
      </c>
      <c r="AS27" s="370">
        <v>64637632</v>
      </c>
      <c r="AT27" s="371">
        <v>0.76648285759160195</v>
      </c>
      <c r="AU27" s="371">
        <v>0.23351714240839699</v>
      </c>
      <c r="AV27" s="371">
        <v>0.23474407101914599</v>
      </c>
      <c r="AW27" s="371">
        <v>0</v>
      </c>
      <c r="AX27" s="371">
        <v>0.23474407101914599</v>
      </c>
      <c r="AY27" s="371">
        <f t="shared" si="2"/>
        <v>0.10318502434374954</v>
      </c>
    </row>
    <row r="28" spans="1:55" ht="15.4" x14ac:dyDescent="0.45">
      <c r="A28" s="334" t="s">
        <v>90</v>
      </c>
      <c r="B28" s="370">
        <v>15305912</v>
      </c>
      <c r="C28" s="370"/>
      <c r="D28" s="370">
        <v>61396747</v>
      </c>
      <c r="E28" s="370"/>
      <c r="F28" s="370"/>
      <c r="G28" s="370"/>
      <c r="H28" s="370">
        <v>5216540</v>
      </c>
      <c r="I28" s="370"/>
      <c r="J28" s="370"/>
      <c r="K28" s="370"/>
      <c r="L28" s="370"/>
      <c r="M28" s="370"/>
      <c r="N28" s="370">
        <v>3096191</v>
      </c>
      <c r="O28" s="370"/>
      <c r="P28" s="370">
        <v>1484606</v>
      </c>
      <c r="Q28" s="370">
        <v>563280</v>
      </c>
      <c r="R28" s="370"/>
      <c r="S28" s="370"/>
      <c r="T28" s="370"/>
      <c r="U28" s="370"/>
      <c r="V28" s="370"/>
      <c r="W28" s="370"/>
      <c r="X28" s="370"/>
      <c r="Y28" s="370">
        <v>87063276</v>
      </c>
      <c r="Z28" s="370">
        <v>52694878.600000001</v>
      </c>
      <c r="AA28" s="370">
        <v>34368397.399999902</v>
      </c>
      <c r="AB28" s="370">
        <v>11430427</v>
      </c>
      <c r="AC28" s="370">
        <v>7948133</v>
      </c>
      <c r="AD28" s="370">
        <v>41264451.599999897</v>
      </c>
      <c r="AE28" s="369">
        <v>52694878.599999897</v>
      </c>
      <c r="AF28" s="369">
        <v>17866305.999999899</v>
      </c>
      <c r="AG28" s="369">
        <v>16217084</v>
      </c>
      <c r="AH28" s="369">
        <v>0</v>
      </c>
      <c r="AI28" s="369">
        <v>-7556123</v>
      </c>
      <c r="AJ28" s="369">
        <v>17682239.999999899</v>
      </c>
      <c r="AK28" s="369">
        <v>14307398</v>
      </c>
      <c r="AL28" s="369">
        <v>0</v>
      </c>
      <c r="AM28" s="369">
        <v>22157488</v>
      </c>
      <c r="AN28" s="369">
        <v>133788903</v>
      </c>
      <c r="AO28" s="369">
        <v>10546861</v>
      </c>
      <c r="AP28" s="369">
        <v>15296650</v>
      </c>
      <c r="AQ28" s="369">
        <v>196097300</v>
      </c>
      <c r="AR28" s="370">
        <v>84485495</v>
      </c>
      <c r="AS28" s="370">
        <v>0</v>
      </c>
      <c r="AT28" s="371">
        <v>0.25992326977104802</v>
      </c>
      <c r="AU28" s="371">
        <v>0.13975167225775001</v>
      </c>
      <c r="AV28" s="371">
        <v>0.71595638757762003</v>
      </c>
      <c r="AW28" s="371">
        <v>0.60032505797119895</v>
      </c>
      <c r="AX28" s="371">
        <v>0.115631329606421</v>
      </c>
      <c r="AY28" s="371">
        <f t="shared" si="2"/>
        <v>2.6018387405319018E-2</v>
      </c>
    </row>
    <row r="29" spans="1:55" ht="15.4" x14ac:dyDescent="0.45">
      <c r="A29" s="334" t="s">
        <v>41</v>
      </c>
      <c r="B29" s="370">
        <v>467525</v>
      </c>
      <c r="C29" s="370">
        <v>3179374</v>
      </c>
      <c r="D29" s="370">
        <v>26398117</v>
      </c>
      <c r="E29" s="370">
        <v>2852658</v>
      </c>
      <c r="F29" s="370">
        <v>5107</v>
      </c>
      <c r="G29" s="370">
        <v>5844776</v>
      </c>
      <c r="H29" s="370">
        <v>1200883</v>
      </c>
      <c r="I29" s="370">
        <v>0</v>
      </c>
      <c r="J29" s="370">
        <v>1032275</v>
      </c>
      <c r="K29" s="370">
        <v>60136</v>
      </c>
      <c r="L29" s="370">
        <v>348334</v>
      </c>
      <c r="M29" s="370">
        <v>0</v>
      </c>
      <c r="N29" s="370">
        <v>183714</v>
      </c>
      <c r="O29" s="370">
        <v>0</v>
      </c>
      <c r="P29" s="370">
        <v>545412</v>
      </c>
      <c r="Q29" s="370">
        <v>518186</v>
      </c>
      <c r="R29" s="370">
        <v>89735</v>
      </c>
      <c r="S29" s="370">
        <v>0</v>
      </c>
      <c r="T29" s="370">
        <v>0</v>
      </c>
      <c r="U29" s="370">
        <v>0</v>
      </c>
      <c r="V29" s="370">
        <v>0</v>
      </c>
      <c r="W29" s="370">
        <v>0</v>
      </c>
      <c r="X29" s="370">
        <v>0</v>
      </c>
      <c r="Y29" s="370">
        <v>42726232</v>
      </c>
      <c r="Z29" s="370">
        <v>29793126</v>
      </c>
      <c r="AA29" s="370">
        <v>12933106</v>
      </c>
      <c r="AB29" s="370">
        <v>12770448</v>
      </c>
      <c r="AC29" s="370">
        <v>9081716</v>
      </c>
      <c r="AD29" s="370">
        <v>17022678</v>
      </c>
      <c r="AE29" s="369">
        <v>29793126</v>
      </c>
      <c r="AF29" s="369">
        <v>15302630</v>
      </c>
      <c r="AG29" s="369">
        <v>13716887</v>
      </c>
      <c r="AH29" s="369">
        <v>-4083737</v>
      </c>
      <c r="AI29" s="369">
        <v>-8448637</v>
      </c>
      <c r="AJ29" s="369">
        <v>11541000</v>
      </c>
      <c r="AK29" s="369">
        <v>2925424</v>
      </c>
      <c r="AL29" s="369">
        <v>662811</v>
      </c>
      <c r="AM29" s="369">
        <v>14770483</v>
      </c>
      <c r="AN29" s="369">
        <v>81097006</v>
      </c>
      <c r="AO29" s="369">
        <v>21603509</v>
      </c>
      <c r="AP29" s="369">
        <v>5604359</v>
      </c>
      <c r="AQ29" s="369">
        <v>126958532</v>
      </c>
      <c r="AR29" s="370">
        <v>31312313</v>
      </c>
      <c r="AS29" s="370">
        <v>0</v>
      </c>
      <c r="AT29" s="371">
        <v>0.39029489643736198</v>
      </c>
      <c r="AU29" s="371">
        <v>0.17554023470698399</v>
      </c>
      <c r="AV29" s="371">
        <v>0.66579481780518202</v>
      </c>
      <c r="AW29" s="371">
        <v>0.43416486885565198</v>
      </c>
      <c r="AX29" s="371">
        <v>0.23162994894952901</v>
      </c>
      <c r="AY29" s="371">
        <f t="shared" si="2"/>
        <v>1.276850249174564E-2</v>
      </c>
    </row>
    <row r="30" spans="1:55" ht="15.4" x14ac:dyDescent="0.45">
      <c r="A30" s="334" t="s">
        <v>42</v>
      </c>
      <c r="B30" s="370">
        <v>3864918</v>
      </c>
      <c r="C30" s="370">
        <v>25393001</v>
      </c>
      <c r="D30" s="370">
        <v>129728237</v>
      </c>
      <c r="E30" s="370">
        <v>27428736</v>
      </c>
      <c r="F30" s="370">
        <v>348321</v>
      </c>
      <c r="G30" s="370">
        <v>0</v>
      </c>
      <c r="H30" s="370">
        <v>4016662</v>
      </c>
      <c r="I30" s="370">
        <v>757137</v>
      </c>
      <c r="J30" s="370">
        <v>3111486</v>
      </c>
      <c r="K30" s="370">
        <v>2740738</v>
      </c>
      <c r="L30" s="370">
        <v>24113</v>
      </c>
      <c r="M30" s="370">
        <v>14258369</v>
      </c>
      <c r="N30" s="370">
        <v>1414448</v>
      </c>
      <c r="O30" s="370">
        <v>10213015</v>
      </c>
      <c r="P30" s="370">
        <v>5931384</v>
      </c>
      <c r="Q30" s="370">
        <v>2809230</v>
      </c>
      <c r="R30" s="370">
        <v>33830</v>
      </c>
      <c r="S30" s="370">
        <v>0</v>
      </c>
      <c r="T30" s="370"/>
      <c r="U30" s="370"/>
      <c r="V30" s="370"/>
      <c r="W30" s="370">
        <v>16695</v>
      </c>
      <c r="X30" s="370"/>
      <c r="Y30" s="370">
        <v>232090320</v>
      </c>
      <c r="Z30" s="370">
        <v>114467883</v>
      </c>
      <c r="AA30" s="370">
        <v>117622437</v>
      </c>
      <c r="AB30" s="370">
        <v>74223629</v>
      </c>
      <c r="AC30" s="370">
        <v>64652709</v>
      </c>
      <c r="AD30" s="370">
        <v>40244254</v>
      </c>
      <c r="AE30" s="369">
        <v>114467883</v>
      </c>
      <c r="AF30" s="369">
        <v>96409009</v>
      </c>
      <c r="AG30" s="369">
        <v>7604251</v>
      </c>
      <c r="AH30" s="369">
        <v>0</v>
      </c>
      <c r="AI30" s="369">
        <v>-62063647</v>
      </c>
      <c r="AJ30" s="369">
        <v>38799613</v>
      </c>
      <c r="AK30" s="369">
        <v>72539332</v>
      </c>
      <c r="AL30" s="369">
        <v>0</v>
      </c>
      <c r="AM30" s="369">
        <v>42669064</v>
      </c>
      <c r="AN30" s="369">
        <v>168507500</v>
      </c>
      <c r="AO30" s="369">
        <v>84212325</v>
      </c>
      <c r="AP30" s="369">
        <v>15139347</v>
      </c>
      <c r="AQ30" s="369">
        <v>383067568</v>
      </c>
      <c r="AR30" s="370">
        <v>108694840</v>
      </c>
      <c r="AS30" s="370">
        <v>0</v>
      </c>
      <c r="AT30" s="371">
        <v>0.51092455475124998</v>
      </c>
      <c r="AU30" s="371">
        <v>0.27579892918948501</v>
      </c>
      <c r="AV30" s="371">
        <v>0.55590690819706901</v>
      </c>
      <c r="AW30" s="371">
        <v>0.21327651605926401</v>
      </c>
      <c r="AX30" s="371">
        <v>0.342630392137805</v>
      </c>
      <c r="AY30" s="371">
        <f t="shared" si="2"/>
        <v>6.9358932218269165E-2</v>
      </c>
    </row>
    <row r="31" spans="1:55" ht="15.4" x14ac:dyDescent="0.45">
      <c r="A31" s="332" t="s">
        <v>44</v>
      </c>
      <c r="B31" s="366">
        <f t="shared" ref="B31:Y31" si="3">SUM(B6:B30)</f>
        <v>41903836.229999997</v>
      </c>
      <c r="C31" s="366">
        <f t="shared" si="3"/>
        <v>939811644.79999995</v>
      </c>
      <c r="D31" s="366">
        <f t="shared" si="3"/>
        <v>1006759192.13</v>
      </c>
      <c r="E31" s="366">
        <f t="shared" si="3"/>
        <v>315159904.88999999</v>
      </c>
      <c r="F31" s="366">
        <f t="shared" si="3"/>
        <v>5911746.5600000005</v>
      </c>
      <c r="G31" s="366">
        <f t="shared" si="3"/>
        <v>74654080</v>
      </c>
      <c r="H31" s="366">
        <f t="shared" si="3"/>
        <v>102004459.59</v>
      </c>
      <c r="I31" s="366">
        <f t="shared" si="3"/>
        <v>12955623.800000001</v>
      </c>
      <c r="J31" s="366">
        <f t="shared" si="3"/>
        <v>16276998.810000001</v>
      </c>
      <c r="K31" s="366">
        <f t="shared" si="3"/>
        <v>36047409.739999995</v>
      </c>
      <c r="L31" s="366">
        <f t="shared" si="3"/>
        <v>29661622.149999999</v>
      </c>
      <c r="M31" s="366">
        <f t="shared" si="3"/>
        <v>146469006.59999999</v>
      </c>
      <c r="N31" s="366">
        <f t="shared" si="3"/>
        <v>141267568.03999999</v>
      </c>
      <c r="O31" s="366">
        <f t="shared" si="3"/>
        <v>105373533.66</v>
      </c>
      <c r="P31" s="366">
        <f t="shared" si="3"/>
        <v>208060394.34999999</v>
      </c>
      <c r="Q31" s="366">
        <f t="shared" si="3"/>
        <v>96900347.420000002</v>
      </c>
      <c r="R31" s="366">
        <f t="shared" si="3"/>
        <v>38596650.299999997</v>
      </c>
      <c r="S31" s="366">
        <f t="shared" si="3"/>
        <v>28243638.379999999</v>
      </c>
      <c r="T31" s="366">
        <f t="shared" si="3"/>
        <v>0</v>
      </c>
      <c r="U31" s="366">
        <f t="shared" si="3"/>
        <v>146712</v>
      </c>
      <c r="V31" s="366">
        <f t="shared" si="3"/>
        <v>0</v>
      </c>
      <c r="W31" s="366">
        <f t="shared" si="3"/>
        <v>16695</v>
      </c>
      <c r="X31" s="366">
        <f t="shared" si="3"/>
        <v>0</v>
      </c>
      <c r="Y31" s="366">
        <f t="shared" si="3"/>
        <v>3346221064.5</v>
      </c>
      <c r="Z31" s="361">
        <f t="shared" ref="Z31:AQ31" si="4">SUM(Z6:Z30)</f>
        <v>1936616701</v>
      </c>
      <c r="AA31" s="361">
        <f t="shared" si="4"/>
        <v>1409604363.4099996</v>
      </c>
      <c r="AB31" s="361">
        <f t="shared" si="4"/>
        <v>1373487881.6865542</v>
      </c>
      <c r="AC31" s="361">
        <f t="shared" si="4"/>
        <v>741901635.57999992</v>
      </c>
      <c r="AD31" s="361">
        <f t="shared" si="4"/>
        <v>563128819.38344574</v>
      </c>
      <c r="AE31" s="361">
        <f t="shared" si="4"/>
        <v>1936616701.0699999</v>
      </c>
      <c r="AF31" s="361">
        <f t="shared" si="4"/>
        <v>1076341584.6499999</v>
      </c>
      <c r="AG31" s="361">
        <f t="shared" si="4"/>
        <v>290438432.74429703</v>
      </c>
      <c r="AH31" s="361">
        <f t="shared" si="4"/>
        <v>-15236024.199999999</v>
      </c>
      <c r="AI31" s="361">
        <f t="shared" si="4"/>
        <v>-655578388.06999993</v>
      </c>
      <c r="AJ31" s="361">
        <f t="shared" si="4"/>
        <v>576393460.12429678</v>
      </c>
      <c r="AK31" s="361">
        <f t="shared" si="4"/>
        <v>731784825.78999996</v>
      </c>
      <c r="AL31" s="361">
        <f t="shared" si="4"/>
        <v>16252351</v>
      </c>
      <c r="AM31" s="361">
        <f t="shared" si="4"/>
        <v>1257219988.0999999</v>
      </c>
      <c r="AN31" s="361">
        <f t="shared" si="4"/>
        <v>3872411860.3299999</v>
      </c>
      <c r="AO31" s="361">
        <f t="shared" si="4"/>
        <v>610669632.66686833</v>
      </c>
      <c r="AP31" s="361">
        <f t="shared" si="4"/>
        <v>543102040.46000004</v>
      </c>
      <c r="AQ31" s="361">
        <f t="shared" si="4"/>
        <v>7045005613.8199997</v>
      </c>
      <c r="AR31" s="368">
        <f>SUM(AR6:AR30)</f>
        <v>2597151707.9000001</v>
      </c>
      <c r="AS31" s="368">
        <f>SUM(AS6:AS30)</f>
        <v>134881097</v>
      </c>
      <c r="AT31" s="367">
        <f>AVERAGE(AT6:AT30)</f>
        <v>0.45236272213845313</v>
      </c>
      <c r="AU31" s="367">
        <f>AVERAGE(AU6:AU30)</f>
        <v>0.28880687015781265</v>
      </c>
      <c r="AV31" s="367">
        <f>AVERAGE(AV6:AV30)</f>
        <v>0.69618477138646906</v>
      </c>
      <c r="AW31" s="367">
        <f>AVERAGE(AW6:AW30)</f>
        <v>0.28348092267556257</v>
      </c>
      <c r="AX31" s="367">
        <f>AVERAGE(AX6:AX30)</f>
        <v>0.43735436372617281</v>
      </c>
      <c r="AY31" s="367">
        <f>SUM(AY6:AY30)</f>
        <v>0.99999999999999989</v>
      </c>
    </row>
  </sheetData>
  <mergeCells count="1">
    <mergeCell ref="Z1:AY1"/>
  </mergeCells>
  <dataValidations count="1">
    <dataValidation type="list" allowBlank="1" showInputMessage="1" showErrorMessage="1" sqref="A3" xr:uid="{00000000-0002-0000-3100-000000000000}">
      <formula1>$A$6:$A$30</formula1>
    </dataValidation>
  </dataValidations>
  <pageMargins left="0.7" right="0.7" top="0.75" bottom="0.75" header="0.3" footer="0.3"/>
  <customProperties>
    <customPr name="LastActive" r:id="rId1"/>
  </customProperties>
  <legacyDrawing r:id="rId2"/>
</worksheet>
</file>

<file path=xl/worksheets/sheet5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200-000000000000}">
  <dimension ref="A1:BD31"/>
  <sheetViews>
    <sheetView topLeftCell="AS1" workbookViewId="0">
      <selection activeCell="AW9" sqref="AW9"/>
    </sheetView>
  </sheetViews>
  <sheetFormatPr defaultRowHeight="12.75" x14ac:dyDescent="0.35"/>
  <cols>
    <col min="1" max="1" width="50.73046875" bestFit="1" customWidth="1"/>
    <col min="2" max="2" width="33.3984375" bestFit="1" customWidth="1"/>
    <col min="3" max="3" width="37.265625" bestFit="1" customWidth="1"/>
    <col min="4" max="4" width="21.73046875" bestFit="1" customWidth="1"/>
    <col min="5" max="5" width="17.73046875" bestFit="1" customWidth="1"/>
    <col min="6" max="6" width="30.1328125" bestFit="1" customWidth="1"/>
    <col min="7" max="7" width="15.73046875" bestFit="1" customWidth="1"/>
    <col min="8" max="8" width="23.86328125" bestFit="1" customWidth="1"/>
    <col min="9" max="9" width="31.59765625" bestFit="1" customWidth="1"/>
    <col min="10" max="11" width="50.73046875" customWidth="1"/>
    <col min="12" max="12" width="18" bestFit="1" customWidth="1"/>
    <col min="13" max="13" width="16.1328125" bestFit="1" customWidth="1"/>
    <col min="14" max="14" width="15.265625" bestFit="1" customWidth="1"/>
    <col min="15" max="15" width="19.3984375" bestFit="1" customWidth="1"/>
    <col min="16" max="16" width="15.265625" bestFit="1" customWidth="1"/>
    <col min="17" max="18" width="14.3984375" bestFit="1" customWidth="1"/>
    <col min="19" max="19" width="13.265625" bestFit="1" customWidth="1"/>
    <col min="20" max="20" width="25.3984375" bestFit="1" customWidth="1"/>
    <col min="21" max="21" width="21.73046875" bestFit="1" customWidth="1"/>
    <col min="22" max="22" width="25" bestFit="1" customWidth="1"/>
    <col min="23" max="23" width="13" bestFit="1" customWidth="1"/>
    <col min="24" max="24" width="23" bestFit="1" customWidth="1"/>
    <col min="25" max="25" width="27" bestFit="1" customWidth="1"/>
    <col min="26" max="27" width="20" bestFit="1" customWidth="1"/>
    <col min="28" max="28" width="17.73046875" customWidth="1"/>
    <col min="29" max="29" width="17.73046875" bestFit="1" customWidth="1"/>
    <col min="30" max="31" width="17.73046875" customWidth="1"/>
    <col min="32" max="32" width="16.265625" bestFit="1" customWidth="1"/>
    <col min="33" max="33" width="17.73046875" bestFit="1" customWidth="1"/>
    <col min="34" max="34" width="17" customWidth="1"/>
    <col min="35" max="37" width="17.73046875" bestFit="1" customWidth="1"/>
    <col min="38" max="39" width="20" bestFit="1" customWidth="1"/>
    <col min="40" max="40" width="14" bestFit="1" customWidth="1"/>
    <col min="41" max="42" width="13.73046875" bestFit="1" customWidth="1"/>
    <col min="43" max="43" width="17.73046875" bestFit="1" customWidth="1"/>
    <col min="44" max="44" width="17.73046875" customWidth="1"/>
    <col min="45" max="45" width="18.265625" customWidth="1"/>
    <col min="46" max="46" width="18.86328125" bestFit="1" customWidth="1"/>
    <col min="47" max="47" width="18.86328125" customWidth="1"/>
    <col min="48" max="51" width="13" customWidth="1"/>
    <col min="52" max="52" width="9.1328125" bestFit="1" customWidth="1"/>
    <col min="53" max="53" width="11.265625" bestFit="1" customWidth="1"/>
  </cols>
  <sheetData>
    <row r="1" spans="1:53" ht="23.25" x14ac:dyDescent="0.7">
      <c r="A1" s="351" t="s">
        <v>198</v>
      </c>
      <c r="B1" s="351" t="s">
        <v>92</v>
      </c>
      <c r="C1" s="351"/>
      <c r="D1" s="351"/>
      <c r="E1" s="351"/>
      <c r="F1" s="351"/>
      <c r="G1" s="351"/>
      <c r="H1" s="351"/>
      <c r="I1" s="351"/>
      <c r="J1" s="351"/>
      <c r="K1" s="351"/>
      <c r="L1" s="351"/>
      <c r="M1" s="351"/>
      <c r="N1" s="351"/>
      <c r="O1" s="351"/>
      <c r="P1" s="351"/>
      <c r="Q1" s="351"/>
      <c r="R1" s="351"/>
      <c r="S1" s="351"/>
      <c r="T1" s="351"/>
      <c r="U1" s="351"/>
      <c r="V1" s="351"/>
      <c r="W1" s="351"/>
      <c r="X1" s="351"/>
      <c r="Y1" s="351"/>
      <c r="Z1" s="413"/>
      <c r="AA1" s="413"/>
      <c r="AB1" s="413"/>
      <c r="AC1" s="413"/>
      <c r="AD1" s="413"/>
      <c r="AE1" s="413"/>
      <c r="AF1" s="413"/>
      <c r="AG1" s="413"/>
      <c r="AH1" s="413"/>
      <c r="AI1" s="413"/>
      <c r="AJ1" s="413"/>
      <c r="AK1" s="413"/>
      <c r="AL1" s="413"/>
      <c r="AM1" s="413"/>
      <c r="AN1" s="413"/>
      <c r="AO1" s="413"/>
      <c r="AP1" s="413"/>
      <c r="AQ1" s="413"/>
      <c r="AR1" s="413"/>
      <c r="AS1" s="413"/>
      <c r="AT1" s="413"/>
      <c r="AU1" s="413"/>
      <c r="AV1" s="413"/>
      <c r="AW1" s="413"/>
      <c r="AX1" s="413"/>
      <c r="AY1" s="413"/>
      <c r="AZ1" s="413"/>
      <c r="BA1" s="413"/>
    </row>
    <row r="2" spans="1:53" ht="51.75" x14ac:dyDescent="0.45">
      <c r="A2" s="350"/>
      <c r="B2" s="350" t="s">
        <v>153</v>
      </c>
      <c r="C2" s="350" t="s">
        <v>154</v>
      </c>
      <c r="D2" s="350" t="s">
        <v>155</v>
      </c>
      <c r="E2" s="350" t="s">
        <v>156</v>
      </c>
      <c r="F2" s="350" t="s">
        <v>157</v>
      </c>
      <c r="G2" s="350" t="s">
        <v>158</v>
      </c>
      <c r="H2" s="350" t="s">
        <v>159</v>
      </c>
      <c r="I2" s="350" t="s">
        <v>160</v>
      </c>
      <c r="J2" s="350" t="s">
        <v>161</v>
      </c>
      <c r="K2" s="350" t="s">
        <v>162</v>
      </c>
      <c r="L2" s="350" t="s">
        <v>163</v>
      </c>
      <c r="M2" s="350" t="s">
        <v>164</v>
      </c>
      <c r="N2" s="350" t="s">
        <v>106</v>
      </c>
      <c r="O2" s="350" t="s">
        <v>165</v>
      </c>
      <c r="P2" s="350" t="s">
        <v>166</v>
      </c>
      <c r="Q2" s="350" t="s">
        <v>167</v>
      </c>
      <c r="R2" s="350" t="s">
        <v>168</v>
      </c>
      <c r="S2" s="350" t="s">
        <v>169</v>
      </c>
      <c r="T2" s="350" t="s">
        <v>170</v>
      </c>
      <c r="U2" s="350" t="s">
        <v>171</v>
      </c>
      <c r="V2" s="350" t="s">
        <v>172</v>
      </c>
      <c r="W2" s="350" t="s">
        <v>173</v>
      </c>
      <c r="X2" s="350" t="s">
        <v>174</v>
      </c>
      <c r="Y2" s="350" t="s">
        <v>175</v>
      </c>
      <c r="Z2" s="348" t="s">
        <v>176</v>
      </c>
      <c r="AA2" s="348" t="s">
        <v>177</v>
      </c>
      <c r="AB2" s="349" t="s">
        <v>178</v>
      </c>
      <c r="AC2" s="348" t="s">
        <v>179</v>
      </c>
      <c r="AD2" s="377" t="s">
        <v>180</v>
      </c>
      <c r="AE2" s="348" t="s">
        <v>181</v>
      </c>
      <c r="AF2" s="348" t="s">
        <v>182</v>
      </c>
      <c r="AG2" s="348" t="s">
        <v>115</v>
      </c>
      <c r="AH2" s="348" t="s">
        <v>183</v>
      </c>
      <c r="AI2" s="348" t="s">
        <v>184</v>
      </c>
      <c r="AJ2" s="348" t="s">
        <v>134</v>
      </c>
      <c r="AK2" s="348" t="s">
        <v>185</v>
      </c>
      <c r="AL2" s="348" t="s">
        <v>186</v>
      </c>
      <c r="AM2" s="348" t="s">
        <v>187</v>
      </c>
      <c r="AN2" s="349" t="s">
        <v>188</v>
      </c>
      <c r="AO2" s="348" t="s">
        <v>120</v>
      </c>
      <c r="AP2" s="348" t="s">
        <v>121</v>
      </c>
      <c r="AQ2" s="348" t="s">
        <v>9</v>
      </c>
      <c r="AR2" s="348" t="s">
        <v>199</v>
      </c>
      <c r="AS2" s="347" t="s">
        <v>189</v>
      </c>
      <c r="AT2" s="347" t="s">
        <v>190</v>
      </c>
      <c r="AU2" s="347" t="s">
        <v>191</v>
      </c>
      <c r="AV2" s="347" t="s">
        <v>17</v>
      </c>
      <c r="AW2" s="347" t="s">
        <v>18</v>
      </c>
      <c r="AX2" s="347" t="s">
        <v>192</v>
      </c>
      <c r="AY2" s="347" t="s">
        <v>193</v>
      </c>
      <c r="AZ2" s="347" t="s">
        <v>19</v>
      </c>
      <c r="BA2" s="347" t="s">
        <v>200</v>
      </c>
    </row>
    <row r="3" spans="1:53" ht="15.4" x14ac:dyDescent="0.45">
      <c r="A3" s="346" t="s">
        <v>22</v>
      </c>
      <c r="B3" s="345">
        <f t="shared" ref="B3:BA3" si="0">INDEX(B6:B30,MATCH($A$3,$A$6:$A$30,0))</f>
        <v>1127964</v>
      </c>
      <c r="C3" s="345">
        <f t="shared" si="0"/>
        <v>9870704</v>
      </c>
      <c r="D3" s="345">
        <f t="shared" si="0"/>
        <v>33932554</v>
      </c>
      <c r="E3" s="345">
        <f t="shared" si="0"/>
        <v>31523946</v>
      </c>
      <c r="F3" s="345">
        <f t="shared" si="0"/>
        <v>0</v>
      </c>
      <c r="G3" s="345">
        <f t="shared" si="0"/>
        <v>0</v>
      </c>
      <c r="H3" s="345">
        <f t="shared" si="0"/>
        <v>624515</v>
      </c>
      <c r="I3" s="345">
        <f t="shared" si="0"/>
        <v>120085</v>
      </c>
      <c r="J3" s="345">
        <f t="shared" si="0"/>
        <v>0</v>
      </c>
      <c r="K3" s="345">
        <f t="shared" si="0"/>
        <v>2037801</v>
      </c>
      <c r="L3" s="345">
        <f t="shared" si="0"/>
        <v>269298</v>
      </c>
      <c r="M3" s="345">
        <f t="shared" si="0"/>
        <v>1370319</v>
      </c>
      <c r="N3" s="345">
        <f t="shared" si="0"/>
        <v>2014786</v>
      </c>
      <c r="O3" s="345">
        <f t="shared" si="0"/>
        <v>25963</v>
      </c>
      <c r="P3" s="345">
        <f t="shared" si="0"/>
        <v>3876454</v>
      </c>
      <c r="Q3" s="345">
        <f t="shared" si="0"/>
        <v>2075970</v>
      </c>
      <c r="R3" s="345">
        <f t="shared" si="0"/>
        <v>0</v>
      </c>
      <c r="S3" s="345">
        <f t="shared" si="0"/>
        <v>0</v>
      </c>
      <c r="T3" s="345">
        <f t="shared" si="0"/>
        <v>0</v>
      </c>
      <c r="U3" s="345">
        <f t="shared" si="0"/>
        <v>0</v>
      </c>
      <c r="V3" s="345">
        <f t="shared" si="0"/>
        <v>0</v>
      </c>
      <c r="W3" s="345">
        <f t="shared" si="0"/>
        <v>0</v>
      </c>
      <c r="X3" s="345">
        <f t="shared" si="0"/>
        <v>0</v>
      </c>
      <c r="Y3" s="345">
        <f t="shared" si="0"/>
        <v>88870359</v>
      </c>
      <c r="Z3" s="345">
        <f t="shared" si="0"/>
        <v>53101422</v>
      </c>
      <c r="AA3" s="345">
        <f t="shared" si="0"/>
        <v>35768937</v>
      </c>
      <c r="AB3" s="345">
        <f t="shared" si="0"/>
        <v>17932901</v>
      </c>
      <c r="AC3" s="345">
        <f t="shared" si="0"/>
        <v>19276156</v>
      </c>
      <c r="AD3" s="345">
        <f t="shared" si="0"/>
        <v>35168521</v>
      </c>
      <c r="AE3" s="345">
        <f t="shared" si="0"/>
        <v>53101422</v>
      </c>
      <c r="AF3" s="345">
        <f t="shared" si="0"/>
        <v>26726953</v>
      </c>
      <c r="AG3" s="345">
        <f t="shared" si="0"/>
        <v>22678129</v>
      </c>
      <c r="AH3" s="345">
        <f t="shared" si="0"/>
        <v>0</v>
      </c>
      <c r="AI3" s="345">
        <f t="shared" si="0"/>
        <v>-18371621</v>
      </c>
      <c r="AJ3" s="345">
        <f t="shared" si="0"/>
        <v>22709919</v>
      </c>
      <c r="AK3" s="345">
        <f t="shared" si="0"/>
        <v>27592480</v>
      </c>
      <c r="AL3" s="345">
        <f t="shared" si="0"/>
        <v>0</v>
      </c>
      <c r="AM3" s="345">
        <f t="shared" si="0"/>
        <v>7703152</v>
      </c>
      <c r="AN3" s="345">
        <f t="shared" si="0"/>
        <v>63567755</v>
      </c>
      <c r="AO3" s="345">
        <f t="shared" si="0"/>
        <v>16197715</v>
      </c>
      <c r="AP3" s="345">
        <f t="shared" si="0"/>
        <v>10486273</v>
      </c>
      <c r="AQ3" s="345">
        <f t="shared" si="0"/>
        <v>126401537</v>
      </c>
      <c r="AR3" s="345">
        <f t="shared" si="0"/>
        <v>55221180</v>
      </c>
      <c r="AS3" s="345">
        <f t="shared" si="0"/>
        <v>44207885</v>
      </c>
      <c r="AT3" s="345">
        <f t="shared" si="0"/>
        <v>0</v>
      </c>
      <c r="AU3" s="365">
        <f t="shared" si="0"/>
        <v>0.354403096592391</v>
      </c>
      <c r="AV3" s="365">
        <f t="shared" si="0"/>
        <v>0.179257446568868</v>
      </c>
      <c r="AW3" s="365">
        <f t="shared" si="0"/>
        <v>0.72194395379722198</v>
      </c>
      <c r="AX3" s="365">
        <f t="shared" si="0"/>
        <v>0.46633945683874001</v>
      </c>
      <c r="AY3" s="365">
        <f t="shared" si="0"/>
        <v>0.25560449695848197</v>
      </c>
      <c r="AZ3" s="365">
        <f t="shared" si="0"/>
        <v>1.7585934929663101E-2</v>
      </c>
      <c r="BA3" s="365">
        <f t="shared" si="0"/>
        <v>2.1041039503696259E-2</v>
      </c>
    </row>
    <row r="4" spans="1:53" ht="14.25" x14ac:dyDescent="0.45">
      <c r="A4" s="330"/>
      <c r="B4" s="330"/>
      <c r="C4" s="330"/>
      <c r="D4" s="330"/>
      <c r="E4" s="330"/>
      <c r="F4" s="330"/>
      <c r="G4" s="330"/>
      <c r="H4" s="330"/>
      <c r="I4" s="330"/>
      <c r="J4" s="330"/>
      <c r="K4" s="330"/>
      <c r="L4" s="330"/>
      <c r="M4" s="330"/>
      <c r="N4" s="330"/>
      <c r="O4" s="330"/>
      <c r="P4" s="330"/>
      <c r="Q4" s="330"/>
      <c r="R4" s="330"/>
      <c r="S4" s="330"/>
      <c r="T4" s="330"/>
      <c r="U4" s="330"/>
      <c r="V4" s="330"/>
      <c r="W4" s="330"/>
      <c r="X4" s="330"/>
      <c r="Y4" s="330"/>
      <c r="Z4" s="330"/>
      <c r="AA4" s="330"/>
      <c r="AB4" s="330"/>
      <c r="AC4" s="330"/>
      <c r="AD4" s="330"/>
      <c r="AE4" s="330"/>
      <c r="AF4" s="330"/>
      <c r="AG4" s="330"/>
      <c r="AH4" s="330"/>
      <c r="AI4" s="330"/>
      <c r="AJ4" s="330"/>
      <c r="AK4" s="330"/>
      <c r="AL4" s="330"/>
      <c r="AM4" s="330"/>
      <c r="AN4" s="330"/>
      <c r="AO4" s="330"/>
      <c r="AP4" s="330"/>
      <c r="AQ4" s="330"/>
      <c r="AR4" s="330"/>
      <c r="AS4" s="330"/>
      <c r="AT4" s="330"/>
      <c r="AU4" s="330"/>
      <c r="AV4" s="330"/>
      <c r="AW4" s="330"/>
      <c r="AX4" s="330"/>
      <c r="AY4" s="330"/>
      <c r="AZ4" s="330"/>
    </row>
    <row r="5" spans="1:53" ht="51" x14ac:dyDescent="0.35">
      <c r="A5" s="344" t="s">
        <v>136</v>
      </c>
      <c r="B5" s="344" t="s">
        <v>153</v>
      </c>
      <c r="C5" s="344" t="s">
        <v>154</v>
      </c>
      <c r="D5" s="344" t="s">
        <v>155</v>
      </c>
      <c r="E5" s="344" t="s">
        <v>156</v>
      </c>
      <c r="F5" s="344" t="s">
        <v>157</v>
      </c>
      <c r="G5" s="344" t="s">
        <v>158</v>
      </c>
      <c r="H5" s="344" t="s">
        <v>159</v>
      </c>
      <c r="I5" s="344" t="s">
        <v>160</v>
      </c>
      <c r="J5" s="344" t="s">
        <v>161</v>
      </c>
      <c r="K5" s="344" t="s">
        <v>162</v>
      </c>
      <c r="L5" s="344" t="s">
        <v>163</v>
      </c>
      <c r="M5" s="344" t="s">
        <v>164</v>
      </c>
      <c r="N5" s="344" t="s">
        <v>106</v>
      </c>
      <c r="O5" s="344" t="s">
        <v>165</v>
      </c>
      <c r="P5" s="344" t="s">
        <v>166</v>
      </c>
      <c r="Q5" s="344" t="s">
        <v>167</v>
      </c>
      <c r="R5" s="344" t="s">
        <v>168</v>
      </c>
      <c r="S5" s="344" t="s">
        <v>169</v>
      </c>
      <c r="T5" s="344" t="s">
        <v>170</v>
      </c>
      <c r="U5" s="344" t="s">
        <v>171</v>
      </c>
      <c r="V5" s="344" t="s">
        <v>172</v>
      </c>
      <c r="W5" s="344" t="s">
        <v>173</v>
      </c>
      <c r="X5" s="344" t="s">
        <v>174</v>
      </c>
      <c r="Y5" s="344" t="s">
        <v>175</v>
      </c>
      <c r="Z5" s="342" t="s">
        <v>176</v>
      </c>
      <c r="AA5" s="342" t="s">
        <v>177</v>
      </c>
      <c r="AB5" s="342" t="s">
        <v>178</v>
      </c>
      <c r="AC5" s="342" t="s">
        <v>179</v>
      </c>
      <c r="AD5" s="342" t="s">
        <v>180</v>
      </c>
      <c r="AE5" s="342" t="s">
        <v>181</v>
      </c>
      <c r="AF5" s="342" t="s">
        <v>182</v>
      </c>
      <c r="AG5" s="342" t="s">
        <v>115</v>
      </c>
      <c r="AH5" s="342" t="s">
        <v>183</v>
      </c>
      <c r="AI5" s="342" t="s">
        <v>184</v>
      </c>
      <c r="AJ5" s="342" t="s">
        <v>134</v>
      </c>
      <c r="AK5" s="342" t="s">
        <v>185</v>
      </c>
      <c r="AL5" s="342" t="s">
        <v>186</v>
      </c>
      <c r="AM5" s="342" t="s">
        <v>187</v>
      </c>
      <c r="AN5" s="342" t="s">
        <v>188</v>
      </c>
      <c r="AO5" s="342" t="s">
        <v>120</v>
      </c>
      <c r="AP5" s="342" t="s">
        <v>121</v>
      </c>
      <c r="AQ5" s="342" t="s">
        <v>9</v>
      </c>
      <c r="AR5" s="342" t="s">
        <v>199</v>
      </c>
      <c r="AS5" s="341" t="s">
        <v>189</v>
      </c>
      <c r="AT5" s="341" t="s">
        <v>190</v>
      </c>
      <c r="AU5" s="341" t="s">
        <v>191</v>
      </c>
      <c r="AV5" s="341" t="s">
        <v>17</v>
      </c>
      <c r="AW5" s="341" t="s">
        <v>18</v>
      </c>
      <c r="AX5" s="341" t="s">
        <v>192</v>
      </c>
      <c r="AY5" s="341" t="s">
        <v>193</v>
      </c>
      <c r="AZ5" s="341" t="s">
        <v>19</v>
      </c>
      <c r="BA5" s="341" t="s">
        <v>200</v>
      </c>
    </row>
    <row r="6" spans="1:53" ht="15.4" x14ac:dyDescent="0.45">
      <c r="A6" s="334" t="s">
        <v>20</v>
      </c>
      <c r="B6" s="370"/>
      <c r="C6" s="370">
        <v>164646243.81</v>
      </c>
      <c r="D6" s="370">
        <v>20967057.850000001</v>
      </c>
      <c r="E6" s="370">
        <v>4868914.37</v>
      </c>
      <c r="F6" s="370">
        <v>0</v>
      </c>
      <c r="G6" s="370"/>
      <c r="H6" s="370">
        <v>16899250.09</v>
      </c>
      <c r="I6" s="370"/>
      <c r="J6" s="370">
        <v>505783.37</v>
      </c>
      <c r="K6" s="370">
        <v>1628748.71</v>
      </c>
      <c r="L6" s="370">
        <v>14360250.789999999</v>
      </c>
      <c r="M6" s="370">
        <v>0</v>
      </c>
      <c r="N6" s="370">
        <v>9176075.5999999996</v>
      </c>
      <c r="O6" s="370">
        <v>0</v>
      </c>
      <c r="P6" s="370">
        <v>1625103.16</v>
      </c>
      <c r="Q6" s="370">
        <v>15612706.15</v>
      </c>
      <c r="R6" s="370">
        <v>0</v>
      </c>
      <c r="S6" s="370">
        <v>125207.55</v>
      </c>
      <c r="T6" s="370"/>
      <c r="U6" s="370"/>
      <c r="V6" s="370"/>
      <c r="W6" s="370"/>
      <c r="X6" s="370"/>
      <c r="Y6" s="370">
        <v>250415341.5</v>
      </c>
      <c r="Z6" s="370">
        <v>226012447.80000001</v>
      </c>
      <c r="AA6" s="370">
        <v>24402893.649999999</v>
      </c>
      <c r="AB6" s="370">
        <v>206410491.12</v>
      </c>
      <c r="AC6" s="370">
        <v>47847746.119999997</v>
      </c>
      <c r="AD6" s="370">
        <v>19601956.68</v>
      </c>
      <c r="AE6" s="369">
        <v>226012447.80000001</v>
      </c>
      <c r="AF6" s="369">
        <v>40356281.439999998</v>
      </c>
      <c r="AG6" s="369">
        <v>8442024.4900000002</v>
      </c>
      <c r="AH6" s="369">
        <v>-1201488.57</v>
      </c>
      <c r="AI6" s="369">
        <v>-40318461</v>
      </c>
      <c r="AJ6" s="369">
        <v>7278356.3600000003</v>
      </c>
      <c r="AK6" s="369">
        <v>83891632.510000005</v>
      </c>
      <c r="AL6" s="369">
        <v>0</v>
      </c>
      <c r="AM6" s="369">
        <v>95556149.75</v>
      </c>
      <c r="AN6" s="369">
        <v>59356339.939999998</v>
      </c>
      <c r="AO6" s="369">
        <v>6236926.29</v>
      </c>
      <c r="AP6" s="369">
        <v>62233537.880000003</v>
      </c>
      <c r="AQ6" s="369">
        <v>307800055.5</v>
      </c>
      <c r="AR6" s="369">
        <v>210916672.40000001</v>
      </c>
      <c r="AS6" s="370">
        <v>154345487.19999999</v>
      </c>
      <c r="AT6" s="370">
        <v>0</v>
      </c>
      <c r="AU6" s="371">
        <v>0.49509021102478001</v>
      </c>
      <c r="AV6" s="371">
        <v>0.26443329925369102</v>
      </c>
      <c r="AW6" s="371">
        <v>0.82747186810209505</v>
      </c>
      <c r="AX6" s="371">
        <v>0.24047648898544799</v>
      </c>
      <c r="AY6" s="371">
        <v>0.58699537911664701</v>
      </c>
      <c r="AZ6" s="371">
        <f>Y6/$Y$31</f>
        <v>4.9552943754940432E-2</v>
      </c>
      <c r="BA6" s="371">
        <f>AF6/$AF$31</f>
        <v>3.1770853639819102E-2</v>
      </c>
    </row>
    <row r="7" spans="1:53" ht="15.4" x14ac:dyDescent="0.45">
      <c r="A7" s="334" t="s">
        <v>87</v>
      </c>
      <c r="B7" s="370">
        <v>64548</v>
      </c>
      <c r="C7" s="370">
        <v>262815</v>
      </c>
      <c r="D7" s="370">
        <v>2217732</v>
      </c>
      <c r="E7" s="370">
        <v>5689346</v>
      </c>
      <c r="F7" s="370">
        <v>20435</v>
      </c>
      <c r="G7" s="370">
        <v>0</v>
      </c>
      <c r="H7" s="370">
        <v>18873</v>
      </c>
      <c r="I7" s="370">
        <v>-5644</v>
      </c>
      <c r="J7" s="370">
        <v>0</v>
      </c>
      <c r="K7" s="370">
        <v>14697</v>
      </c>
      <c r="L7" s="370">
        <v>20316</v>
      </c>
      <c r="M7" s="370">
        <v>30905</v>
      </c>
      <c r="N7" s="370">
        <v>19410</v>
      </c>
      <c r="O7" s="370">
        <v>16352</v>
      </c>
      <c r="P7" s="370">
        <v>375710</v>
      </c>
      <c r="Q7" s="370">
        <v>26044</v>
      </c>
      <c r="R7" s="370"/>
      <c r="S7" s="370"/>
      <c r="T7" s="370"/>
      <c r="U7" s="370"/>
      <c r="V7" s="370"/>
      <c r="W7" s="370"/>
      <c r="X7" s="370"/>
      <c r="Y7" s="370">
        <v>8771539</v>
      </c>
      <c r="Z7" s="370">
        <v>6352042</v>
      </c>
      <c r="AA7" s="370">
        <v>2419497</v>
      </c>
      <c r="AB7" s="370">
        <v>1120507</v>
      </c>
      <c r="AC7" s="370">
        <v>5266058</v>
      </c>
      <c r="AD7" s="370">
        <v>5231535</v>
      </c>
      <c r="AE7" s="369">
        <v>6352042</v>
      </c>
      <c r="AF7" s="369">
        <v>1011283</v>
      </c>
      <c r="AG7" s="369">
        <v>3991959</v>
      </c>
      <c r="AH7" s="369">
        <v>-169062</v>
      </c>
      <c r="AI7" s="369">
        <v>-5216527</v>
      </c>
      <c r="AJ7" s="369">
        <v>-382347</v>
      </c>
      <c r="AK7" s="369">
        <v>761680</v>
      </c>
      <c r="AL7" s="369">
        <v>0</v>
      </c>
      <c r="AM7" s="369">
        <v>271174</v>
      </c>
      <c r="AN7" s="369">
        <v>22830673</v>
      </c>
      <c r="AO7" s="369">
        <v>32539075</v>
      </c>
      <c r="AP7" s="369">
        <v>8356625</v>
      </c>
      <c r="AQ7" s="369">
        <v>64759227</v>
      </c>
      <c r="AR7" s="369">
        <v>9075977</v>
      </c>
      <c r="AS7" s="370">
        <v>6243787</v>
      </c>
      <c r="AT7" s="370">
        <v>141467</v>
      </c>
      <c r="AU7" s="371">
        <v>0.13734053569549001</v>
      </c>
      <c r="AV7" s="371">
        <v>0.152174051804042</v>
      </c>
      <c r="AW7" s="371">
        <v>1.4256593318915001</v>
      </c>
      <c r="AX7" s="371">
        <v>0.71048541250046604</v>
      </c>
      <c r="AY7" s="371">
        <v>0.71517391939103603</v>
      </c>
      <c r="AZ7" s="371">
        <f t="shared" ref="AZ7:AZ30" si="1">Y7/$Y$31</f>
        <v>1.7357386177206976E-3</v>
      </c>
      <c r="BA7" s="371">
        <f t="shared" ref="BA7:BA30" si="2">AF7/$AF$31</f>
        <v>7.9614184050147679E-4</v>
      </c>
    </row>
    <row r="8" spans="1:53" ht="15.4" x14ac:dyDescent="0.45">
      <c r="A8" s="334" t="s">
        <v>60</v>
      </c>
      <c r="B8" s="370">
        <v>134786</v>
      </c>
      <c r="C8" s="370"/>
      <c r="D8" s="370">
        <v>2650965</v>
      </c>
      <c r="E8" s="370"/>
      <c r="F8" s="370"/>
      <c r="G8" s="370"/>
      <c r="H8" s="370">
        <v>218721</v>
      </c>
      <c r="I8" s="370"/>
      <c r="J8" s="370"/>
      <c r="K8" s="370"/>
      <c r="L8" s="370"/>
      <c r="M8" s="370"/>
      <c r="N8" s="370">
        <v>164292</v>
      </c>
      <c r="O8" s="370"/>
      <c r="P8" s="370">
        <v>52408</v>
      </c>
      <c r="Q8" s="370">
        <v>4459</v>
      </c>
      <c r="R8" s="370"/>
      <c r="S8" s="370"/>
      <c r="T8" s="370"/>
      <c r="U8" s="370"/>
      <c r="V8" s="370"/>
      <c r="W8" s="370"/>
      <c r="X8" s="370"/>
      <c r="Y8" s="370">
        <v>3225631</v>
      </c>
      <c r="Z8" s="370">
        <v>1479406</v>
      </c>
      <c r="AA8" s="370">
        <v>1746225</v>
      </c>
      <c r="AB8" s="370">
        <v>854827</v>
      </c>
      <c r="AC8" s="370">
        <v>5478800</v>
      </c>
      <c r="AD8" s="370">
        <v>624579</v>
      </c>
      <c r="AE8" s="369">
        <v>1479406</v>
      </c>
      <c r="AF8" s="369">
        <v>1396837</v>
      </c>
      <c r="AG8" s="369">
        <v>1697580</v>
      </c>
      <c r="AH8" s="369">
        <v>-17675</v>
      </c>
      <c r="AI8" s="369">
        <v>-5558799</v>
      </c>
      <c r="AJ8" s="369">
        <v>-2482057</v>
      </c>
      <c r="AK8" s="369">
        <v>2297071</v>
      </c>
      <c r="AL8" s="369">
        <v>0</v>
      </c>
      <c r="AM8" s="369">
        <v>2575770</v>
      </c>
      <c r="AN8" s="369">
        <v>37653758</v>
      </c>
      <c r="AO8" s="369">
        <v>23001141</v>
      </c>
      <c r="AP8" s="369">
        <v>530953</v>
      </c>
      <c r="AQ8" s="369">
        <v>66777598</v>
      </c>
      <c r="AR8" s="369">
        <v>13666292</v>
      </c>
      <c r="AS8" s="370">
        <v>4155900</v>
      </c>
      <c r="AT8" s="370">
        <v>2976114</v>
      </c>
      <c r="AU8" s="371">
        <v>0.52687369397777595</v>
      </c>
      <c r="AV8" s="371">
        <v>0.23754101947057499</v>
      </c>
      <c r="AW8" s="371">
        <v>2.30213678437525</v>
      </c>
      <c r="AX8" s="371">
        <v>0.23558528655164801</v>
      </c>
      <c r="AY8" s="371">
        <v>2.0665514978236099</v>
      </c>
      <c r="AZ8" s="371">
        <f t="shared" si="1"/>
        <v>6.3829760013801818E-4</v>
      </c>
      <c r="BA8" s="371">
        <f t="shared" si="2"/>
        <v>1.099672772172143E-3</v>
      </c>
    </row>
    <row r="9" spans="1:53" ht="15.4" x14ac:dyDescent="0.45">
      <c r="A9" s="334" t="s">
        <v>128</v>
      </c>
      <c r="B9" s="370">
        <v>721254</v>
      </c>
      <c r="C9" s="370">
        <v>17168494</v>
      </c>
      <c r="D9" s="370">
        <v>32811240</v>
      </c>
      <c r="E9" s="370">
        <v>7381411</v>
      </c>
      <c r="F9" s="370">
        <v>14937</v>
      </c>
      <c r="G9" s="370"/>
      <c r="H9" s="370">
        <v>410980</v>
      </c>
      <c r="I9" s="370">
        <v>1201053</v>
      </c>
      <c r="J9" s="370">
        <v>69226</v>
      </c>
      <c r="K9" s="370">
        <v>721061</v>
      </c>
      <c r="L9" s="370">
        <v>296877</v>
      </c>
      <c r="M9" s="370">
        <v>9074461</v>
      </c>
      <c r="N9" s="370">
        <v>746019</v>
      </c>
      <c r="O9" s="370">
        <v>1744773</v>
      </c>
      <c r="P9" s="370"/>
      <c r="Q9" s="370">
        <v>1375956</v>
      </c>
      <c r="R9" s="370">
        <v>95600</v>
      </c>
      <c r="S9" s="370"/>
      <c r="T9" s="370"/>
      <c r="U9" s="370"/>
      <c r="V9" s="370"/>
      <c r="W9" s="370"/>
      <c r="X9" s="370"/>
      <c r="Y9" s="370">
        <v>73833342</v>
      </c>
      <c r="Z9" s="370">
        <v>25122255</v>
      </c>
      <c r="AA9" s="370">
        <v>48711087</v>
      </c>
      <c r="AB9" s="370">
        <v>14273198</v>
      </c>
      <c r="AC9" s="370">
        <v>33214737</v>
      </c>
      <c r="AD9" s="370">
        <v>10849057</v>
      </c>
      <c r="AE9" s="369">
        <v>25122255</v>
      </c>
      <c r="AF9" s="369">
        <v>32072152</v>
      </c>
      <c r="AG9" s="369">
        <v>10073773</v>
      </c>
      <c r="AH9" s="369">
        <v>-933344</v>
      </c>
      <c r="AI9" s="369">
        <v>-37182110</v>
      </c>
      <c r="AJ9" s="369">
        <v>2667616</v>
      </c>
      <c r="AK9" s="369">
        <v>23711614</v>
      </c>
      <c r="AL9" s="369">
        <v>0</v>
      </c>
      <c r="AM9" s="369">
        <v>15927773</v>
      </c>
      <c r="AN9" s="369">
        <v>69031445</v>
      </c>
      <c r="AO9" s="369">
        <v>560633</v>
      </c>
      <c r="AP9" s="369">
        <v>20010926</v>
      </c>
      <c r="AQ9" s="369">
        <v>129242391</v>
      </c>
      <c r="AR9" s="369">
        <v>68723093</v>
      </c>
      <c r="AS9" s="370">
        <v>51592446</v>
      </c>
      <c r="AT9" s="370">
        <v>0</v>
      </c>
      <c r="AU9" s="371">
        <v>0.57436216812238094</v>
      </c>
      <c r="AV9" s="371">
        <v>0.231348159622283</v>
      </c>
      <c r="AW9" s="371">
        <v>0.78911375381165405</v>
      </c>
      <c r="AX9" s="371">
        <v>0.194289672255335</v>
      </c>
      <c r="AY9" s="371">
        <v>0.59482408155631905</v>
      </c>
      <c r="AZ9" s="371">
        <f t="shared" si="1"/>
        <v>1.4610364610449721E-2</v>
      </c>
      <c r="BA9" s="371">
        <f t="shared" si="2"/>
        <v>2.524909656557375E-2</v>
      </c>
    </row>
    <row r="10" spans="1:53" ht="15.4" x14ac:dyDescent="0.45">
      <c r="A10" s="334" t="s">
        <v>22</v>
      </c>
      <c r="B10" s="370">
        <v>1127964</v>
      </c>
      <c r="C10" s="370">
        <v>9870704</v>
      </c>
      <c r="D10" s="370">
        <v>33932554</v>
      </c>
      <c r="E10" s="370">
        <v>31523946</v>
      </c>
      <c r="F10" s="370"/>
      <c r="G10" s="370"/>
      <c r="H10" s="370">
        <v>624515</v>
      </c>
      <c r="I10" s="370">
        <v>120085</v>
      </c>
      <c r="J10" s="370"/>
      <c r="K10" s="370">
        <v>2037801</v>
      </c>
      <c r="L10" s="370">
        <v>269298</v>
      </c>
      <c r="M10" s="370">
        <v>1370319</v>
      </c>
      <c r="N10" s="370">
        <v>2014786</v>
      </c>
      <c r="O10" s="370">
        <v>25963</v>
      </c>
      <c r="P10" s="370">
        <v>3876454</v>
      </c>
      <c r="Q10" s="370">
        <v>2075970</v>
      </c>
      <c r="R10" s="370">
        <v>0</v>
      </c>
      <c r="S10" s="370"/>
      <c r="T10" s="370"/>
      <c r="U10" s="370"/>
      <c r="V10" s="370"/>
      <c r="W10" s="370"/>
      <c r="X10" s="370"/>
      <c r="Y10" s="370">
        <v>88870359</v>
      </c>
      <c r="Z10" s="370">
        <v>53101422</v>
      </c>
      <c r="AA10" s="370">
        <v>35768937</v>
      </c>
      <c r="AB10" s="370">
        <v>17932901</v>
      </c>
      <c r="AC10" s="370">
        <v>19276156</v>
      </c>
      <c r="AD10" s="370">
        <v>35168521</v>
      </c>
      <c r="AE10" s="369">
        <v>53101422</v>
      </c>
      <c r="AF10" s="369">
        <v>26726953</v>
      </c>
      <c r="AG10" s="369">
        <v>22678129</v>
      </c>
      <c r="AH10" s="369">
        <v>0</v>
      </c>
      <c r="AI10" s="369">
        <v>-18371621</v>
      </c>
      <c r="AJ10" s="369">
        <v>22709919</v>
      </c>
      <c r="AK10" s="369">
        <v>27592480</v>
      </c>
      <c r="AL10" s="369">
        <v>0</v>
      </c>
      <c r="AM10" s="369">
        <v>7703152</v>
      </c>
      <c r="AN10" s="369">
        <v>63567755</v>
      </c>
      <c r="AO10" s="369">
        <v>16197715</v>
      </c>
      <c r="AP10" s="369">
        <v>10486273</v>
      </c>
      <c r="AQ10" s="369">
        <v>126401537</v>
      </c>
      <c r="AR10" s="369">
        <v>55221180</v>
      </c>
      <c r="AS10" s="370">
        <v>44207885</v>
      </c>
      <c r="AT10" s="370">
        <v>0</v>
      </c>
      <c r="AU10" s="371">
        <v>0.354403096592391</v>
      </c>
      <c r="AV10" s="371">
        <v>0.179257446568868</v>
      </c>
      <c r="AW10" s="371">
        <v>0.72194395379722198</v>
      </c>
      <c r="AX10" s="371">
        <v>0.46633945683874001</v>
      </c>
      <c r="AY10" s="371">
        <v>0.25560449695848197</v>
      </c>
      <c r="AZ10" s="371">
        <f t="shared" si="1"/>
        <v>1.7585934929663101E-2</v>
      </c>
      <c r="BA10" s="371">
        <f t="shared" si="2"/>
        <v>2.1041039503696259E-2</v>
      </c>
    </row>
    <row r="11" spans="1:53" ht="15.4" x14ac:dyDescent="0.45">
      <c r="A11" s="334" t="s">
        <v>23</v>
      </c>
      <c r="B11" s="370">
        <v>11934906</v>
      </c>
      <c r="C11" s="370">
        <v>207922916</v>
      </c>
      <c r="D11" s="370">
        <v>240569874</v>
      </c>
      <c r="E11" s="370">
        <v>22973048</v>
      </c>
      <c r="F11" s="370">
        <v>1517571</v>
      </c>
      <c r="G11" s="370"/>
      <c r="H11" s="370">
        <v>17582891</v>
      </c>
      <c r="I11" s="370">
        <v>6076199</v>
      </c>
      <c r="J11" s="370">
        <v>3033089</v>
      </c>
      <c r="K11" s="370">
        <v>16295294</v>
      </c>
      <c r="L11" s="370">
        <v>12191932</v>
      </c>
      <c r="M11" s="370">
        <v>31894087</v>
      </c>
      <c r="N11" s="370">
        <v>29161930</v>
      </c>
      <c r="O11" s="370">
        <v>28541878</v>
      </c>
      <c r="P11" s="370">
        <v>15943234</v>
      </c>
      <c r="Q11" s="370">
        <v>20800637</v>
      </c>
      <c r="R11" s="370">
        <v>20027791</v>
      </c>
      <c r="S11" s="370">
        <v>1781459</v>
      </c>
      <c r="T11" s="370"/>
      <c r="U11" s="370">
        <v>5868</v>
      </c>
      <c r="V11" s="370"/>
      <c r="W11" s="370"/>
      <c r="X11" s="370"/>
      <c r="Y11" s="370">
        <v>688254604</v>
      </c>
      <c r="Z11" s="370">
        <v>536226015</v>
      </c>
      <c r="AA11" s="370">
        <v>152028589</v>
      </c>
      <c r="AB11" s="370">
        <v>423262256</v>
      </c>
      <c r="AC11" s="370">
        <v>136546574</v>
      </c>
      <c r="AD11" s="370">
        <v>112963759</v>
      </c>
      <c r="AE11" s="369">
        <v>536226015</v>
      </c>
      <c r="AF11" s="369">
        <v>169700406</v>
      </c>
      <c r="AG11" s="369">
        <v>51725000</v>
      </c>
      <c r="AH11" s="369">
        <v>-6998792</v>
      </c>
      <c r="AI11" s="369">
        <v>-108193967</v>
      </c>
      <c r="AJ11" s="369">
        <v>78805647</v>
      </c>
      <c r="AK11" s="369">
        <v>57614000</v>
      </c>
      <c r="AL11" s="369">
        <v>0</v>
      </c>
      <c r="AM11" s="369">
        <v>148750821</v>
      </c>
      <c r="AN11" s="369">
        <v>403629847</v>
      </c>
      <c r="AO11" s="369">
        <v>87951695</v>
      </c>
      <c r="AP11" s="369">
        <v>19749238</v>
      </c>
      <c r="AQ11" s="369">
        <v>717695601</v>
      </c>
      <c r="AR11" s="369">
        <v>437940953</v>
      </c>
      <c r="AS11" s="370">
        <v>345044334</v>
      </c>
      <c r="AT11" s="370">
        <v>0</v>
      </c>
      <c r="AU11" s="371">
        <v>0.41076790758620402</v>
      </c>
      <c r="AV11" s="371">
        <v>0.31579793859390198</v>
      </c>
      <c r="AW11" s="371">
        <v>0.60395163348959202</v>
      </c>
      <c r="AX11" s="371">
        <v>0.273434153819892</v>
      </c>
      <c r="AY11" s="371">
        <v>0.33051747966969902</v>
      </c>
      <c r="AZ11" s="371">
        <f t="shared" si="1"/>
        <v>0.13619389881147037</v>
      </c>
      <c r="BA11" s="371">
        <f t="shared" si="2"/>
        <v>0.13359820501945335</v>
      </c>
    </row>
    <row r="12" spans="1:53" ht="15.4" x14ac:dyDescent="0.45">
      <c r="A12" s="334" t="s">
        <v>25</v>
      </c>
      <c r="B12" s="370"/>
      <c r="C12" s="370">
        <v>192034040</v>
      </c>
      <c r="D12" s="370">
        <v>95258745</v>
      </c>
      <c r="E12" s="370"/>
      <c r="F12" s="370"/>
      <c r="G12" s="370"/>
      <c r="H12" s="370"/>
      <c r="I12" s="370"/>
      <c r="J12" s="370"/>
      <c r="K12" s="370"/>
      <c r="L12" s="370"/>
      <c r="M12" s="370">
        <v>56635100</v>
      </c>
      <c r="N12" s="370">
        <v>15548438</v>
      </c>
      <c r="O12" s="370"/>
      <c r="P12" s="370">
        <v>11240828</v>
      </c>
      <c r="Q12" s="370">
        <v>18094004</v>
      </c>
      <c r="R12" s="370"/>
      <c r="S12" s="370"/>
      <c r="T12" s="370"/>
      <c r="U12" s="370"/>
      <c r="V12" s="370"/>
      <c r="W12" s="370"/>
      <c r="X12" s="370"/>
      <c r="Y12" s="370">
        <v>388811155</v>
      </c>
      <c r="Z12" s="370">
        <v>124342012</v>
      </c>
      <c r="AA12" s="370">
        <v>264469143</v>
      </c>
      <c r="AB12" s="370">
        <v>82514893</v>
      </c>
      <c r="AC12" s="370">
        <v>10442795</v>
      </c>
      <c r="AD12" s="370">
        <v>41827119</v>
      </c>
      <c r="AE12" s="369">
        <v>124342012</v>
      </c>
      <c r="AF12" s="369">
        <v>31531760</v>
      </c>
      <c r="AG12" s="369">
        <v>25682571</v>
      </c>
      <c r="AH12" s="369">
        <v>0</v>
      </c>
      <c r="AI12" s="369">
        <v>123636</v>
      </c>
      <c r="AJ12" s="369">
        <v>40807651</v>
      </c>
      <c r="AK12" s="369">
        <v>86600584</v>
      </c>
      <c r="AL12" s="369">
        <v>0</v>
      </c>
      <c r="AM12" s="369">
        <v>306834472</v>
      </c>
      <c r="AN12" s="369">
        <v>178784828</v>
      </c>
      <c r="AO12" s="369">
        <v>843215</v>
      </c>
      <c r="AP12" s="369">
        <v>49834058</v>
      </c>
      <c r="AQ12" s="369">
        <v>623409894</v>
      </c>
      <c r="AR12" s="369">
        <v>424125882</v>
      </c>
      <c r="AS12" s="370">
        <v>352602082</v>
      </c>
      <c r="AT12" s="370">
        <v>10197384</v>
      </c>
      <c r="AU12" s="371">
        <v>0.23013859671871401</v>
      </c>
      <c r="AV12" s="371">
        <v>0.46458080773423299</v>
      </c>
      <c r="AW12" s="371">
        <v>0.381498674941325</v>
      </c>
      <c r="AX12" s="371">
        <v>0.305280595547051</v>
      </c>
      <c r="AY12" s="371">
        <v>7.6218079394274496E-2</v>
      </c>
      <c r="AZ12" s="371">
        <f t="shared" si="1"/>
        <v>7.693912513346722E-2</v>
      </c>
      <c r="BA12" s="371">
        <f t="shared" si="2"/>
        <v>2.4823667994667016E-2</v>
      </c>
    </row>
    <row r="13" spans="1:53" ht="15.4" x14ac:dyDescent="0.45">
      <c r="A13" s="334" t="s">
        <v>26</v>
      </c>
      <c r="B13" s="370">
        <v>2809625</v>
      </c>
      <c r="C13" s="370">
        <v>200779143</v>
      </c>
      <c r="D13" s="370">
        <v>56953092</v>
      </c>
      <c r="E13" s="370">
        <v>16948098</v>
      </c>
      <c r="F13" s="370">
        <v>111543</v>
      </c>
      <c r="G13" s="370">
        <v>0</v>
      </c>
      <c r="H13" s="370">
        <v>28298395</v>
      </c>
      <c r="I13" s="370">
        <v>733712</v>
      </c>
      <c r="J13" s="370">
        <v>0</v>
      </c>
      <c r="K13" s="370">
        <v>3695743</v>
      </c>
      <c r="L13" s="370">
        <v>797338</v>
      </c>
      <c r="M13" s="370">
        <v>28175894</v>
      </c>
      <c r="N13" s="370">
        <v>54780838</v>
      </c>
      <c r="O13" s="370">
        <v>8443532</v>
      </c>
      <c r="P13" s="370">
        <v>27857726</v>
      </c>
      <c r="Q13" s="370">
        <v>44213380</v>
      </c>
      <c r="R13" s="370">
        <v>13350023</v>
      </c>
      <c r="S13" s="370">
        <v>0</v>
      </c>
      <c r="T13" s="370">
        <v>410882</v>
      </c>
      <c r="U13" s="370">
        <v>1957258</v>
      </c>
      <c r="V13" s="370"/>
      <c r="W13" s="370"/>
      <c r="X13" s="370"/>
      <c r="Y13" s="370">
        <v>490316222</v>
      </c>
      <c r="Z13" s="370">
        <v>369811332</v>
      </c>
      <c r="AA13" s="370">
        <v>120504890</v>
      </c>
      <c r="AB13" s="370">
        <v>172048477</v>
      </c>
      <c r="AC13" s="370">
        <v>25991872</v>
      </c>
      <c r="AD13" s="370">
        <v>197762855</v>
      </c>
      <c r="AE13" s="369">
        <v>369811332</v>
      </c>
      <c r="AF13" s="369">
        <v>63468424</v>
      </c>
      <c r="AG13" s="369">
        <v>12287205</v>
      </c>
      <c r="AH13" s="369">
        <v>-194842</v>
      </c>
      <c r="AI13" s="369">
        <v>-8549297</v>
      </c>
      <c r="AJ13" s="369">
        <v>46293255</v>
      </c>
      <c r="AK13" s="369">
        <v>56292614</v>
      </c>
      <c r="AL13" s="369">
        <v>0</v>
      </c>
      <c r="AM13" s="369">
        <v>86268177</v>
      </c>
      <c r="AN13" s="369">
        <v>245161049</v>
      </c>
      <c r="AO13" s="369">
        <v>21747268</v>
      </c>
      <c r="AP13" s="369">
        <v>12998635</v>
      </c>
      <c r="AQ13" s="369">
        <v>426353968</v>
      </c>
      <c r="AR13" s="369">
        <v>272035951</v>
      </c>
      <c r="AS13" s="370">
        <v>194145666</v>
      </c>
      <c r="AT13" s="370">
        <v>0</v>
      </c>
      <c r="AU13" s="371">
        <v>0.19050468534601001</v>
      </c>
      <c r="AV13" s="371">
        <v>0.215896985114506</v>
      </c>
      <c r="AW13" s="371">
        <v>0.67161465773622198</v>
      </c>
      <c r="AX13" s="371">
        <v>0.59359832953948299</v>
      </c>
      <c r="AY13" s="371">
        <v>7.8016328196738802E-2</v>
      </c>
      <c r="AZ13" s="371">
        <f t="shared" si="1"/>
        <v>9.7025254225092616E-2</v>
      </c>
      <c r="BA13" s="371">
        <f t="shared" si="2"/>
        <v>4.9966100386428028E-2</v>
      </c>
    </row>
    <row r="14" spans="1:53" ht="15.4" x14ac:dyDescent="0.45">
      <c r="A14" s="334" t="s">
        <v>28</v>
      </c>
      <c r="B14" s="370">
        <v>6059107.1331516001</v>
      </c>
      <c r="C14" s="370">
        <v>181385590.454467</v>
      </c>
      <c r="D14" s="370">
        <v>153440630.86885601</v>
      </c>
      <c r="E14" s="370">
        <v>21896715.918925598</v>
      </c>
      <c r="F14" s="370">
        <v>651484.81229494105</v>
      </c>
      <c r="G14" s="370"/>
      <c r="H14" s="370">
        <v>29482448.739784501</v>
      </c>
      <c r="I14" s="370">
        <v>1196792.9019521</v>
      </c>
      <c r="J14" s="370">
        <v>2490189.6402558102</v>
      </c>
      <c r="K14" s="370">
        <v>5000044.3859553998</v>
      </c>
      <c r="L14" s="370">
        <v>2479836.8556048698</v>
      </c>
      <c r="M14" s="370">
        <v>15276959.122470099</v>
      </c>
      <c r="N14" s="370">
        <v>1069674.48302305</v>
      </c>
      <c r="O14" s="370">
        <v>15910367.211556399</v>
      </c>
      <c r="P14" s="370">
        <v>4393075.6749117495</v>
      </c>
      <c r="Q14" s="370">
        <v>6309449.0293428302</v>
      </c>
      <c r="R14" s="370">
        <v>1189560.9941414101</v>
      </c>
      <c r="S14" s="370">
        <v>148747.003305411</v>
      </c>
      <c r="T14" s="370"/>
      <c r="U14" s="370"/>
      <c r="V14" s="370"/>
      <c r="W14" s="370"/>
      <c r="X14" s="370"/>
      <c r="Y14" s="370">
        <v>448380675.22999901</v>
      </c>
      <c r="Z14" s="370">
        <v>262140127.209999</v>
      </c>
      <c r="AA14" s="370">
        <v>186240548.019999</v>
      </c>
      <c r="AB14" s="370">
        <v>164678387.08999899</v>
      </c>
      <c r="AC14" s="370">
        <v>29026497</v>
      </c>
      <c r="AD14" s="370">
        <v>97461740.120000005</v>
      </c>
      <c r="AE14" s="369">
        <v>262140127.21000001</v>
      </c>
      <c r="AF14" s="369">
        <v>42187937.469999999</v>
      </c>
      <c r="AG14" s="369">
        <v>55577566.43</v>
      </c>
      <c r="AH14" s="369">
        <v>-611358.09</v>
      </c>
      <c r="AI14" s="369">
        <v>-26340769.800000001</v>
      </c>
      <c r="AJ14" s="369">
        <v>52734781.009999998</v>
      </c>
      <c r="AK14" s="369">
        <v>140975741.66</v>
      </c>
      <c r="AL14" s="369">
        <v>0</v>
      </c>
      <c r="AM14" s="369">
        <v>95430312.680000007</v>
      </c>
      <c r="AN14" s="369">
        <v>158557255.11999899</v>
      </c>
      <c r="AO14" s="369">
        <v>15725972.140000001</v>
      </c>
      <c r="AP14" s="369">
        <v>16537213.1299999</v>
      </c>
      <c r="AQ14" s="369">
        <v>427468398.20999998</v>
      </c>
      <c r="AR14" s="369">
        <v>274721567.69999999</v>
      </c>
      <c r="AS14" s="370">
        <v>194303662.97</v>
      </c>
      <c r="AT14" s="370">
        <v>0</v>
      </c>
      <c r="AU14" s="371">
        <v>0.173634774232346</v>
      </c>
      <c r="AV14" s="371">
        <v>0.42523759884676698</v>
      </c>
      <c r="AW14" s="371">
        <v>0.52059327410818601</v>
      </c>
      <c r="AX14" s="371">
        <v>0.40112762692088599</v>
      </c>
      <c r="AY14" s="371">
        <v>0.119465647187299</v>
      </c>
      <c r="AZ14" s="371">
        <f t="shared" si="1"/>
        <v>8.8726921631014977E-2</v>
      </c>
      <c r="BA14" s="371">
        <f t="shared" si="2"/>
        <v>3.3212841691521576E-2</v>
      </c>
    </row>
    <row r="15" spans="1:53" ht="15.4" x14ac:dyDescent="0.45">
      <c r="A15" s="334" t="s">
        <v>46</v>
      </c>
      <c r="B15" s="370">
        <v>1156076.8</v>
      </c>
      <c r="C15" s="370">
        <v>4624307.2</v>
      </c>
      <c r="D15" s="370">
        <v>28631232</v>
      </c>
      <c r="E15" s="370">
        <v>12270528</v>
      </c>
      <c r="F15" s="370"/>
      <c r="G15" s="370"/>
      <c r="H15" s="370">
        <v>2429095</v>
      </c>
      <c r="I15" s="370"/>
      <c r="J15" s="370"/>
      <c r="K15" s="370"/>
      <c r="L15" s="370"/>
      <c r="M15" s="370">
        <v>1290394</v>
      </c>
      <c r="N15" s="370"/>
      <c r="O15" s="370">
        <v>4394460</v>
      </c>
      <c r="P15" s="370">
        <v>12227361</v>
      </c>
      <c r="Q15" s="370">
        <v>279555</v>
      </c>
      <c r="R15" s="370"/>
      <c r="S15" s="370"/>
      <c r="T15" s="370"/>
      <c r="U15" s="370"/>
      <c r="V15" s="370"/>
      <c r="W15" s="370"/>
      <c r="X15" s="370"/>
      <c r="Y15" s="370">
        <v>67303009</v>
      </c>
      <c r="Z15" s="370">
        <v>44960693</v>
      </c>
      <c r="AA15" s="370">
        <v>22342316</v>
      </c>
      <c r="AB15" s="370">
        <v>44960693</v>
      </c>
      <c r="AC15" s="370">
        <v>10739063</v>
      </c>
      <c r="AD15" s="370">
        <v>0</v>
      </c>
      <c r="AE15" s="369">
        <v>44960693</v>
      </c>
      <c r="AF15" s="369">
        <v>9273825</v>
      </c>
      <c r="AG15" s="369">
        <v>14031125</v>
      </c>
      <c r="AH15" s="369">
        <v>0</v>
      </c>
      <c r="AI15" s="369">
        <v>-9560556</v>
      </c>
      <c r="AJ15" s="369">
        <v>13744394</v>
      </c>
      <c r="AK15" s="369">
        <v>17582266</v>
      </c>
      <c r="AL15" s="369">
        <v>2801842</v>
      </c>
      <c r="AM15" s="369">
        <v>1554730</v>
      </c>
      <c r="AN15" s="369">
        <v>76512364</v>
      </c>
      <c r="AO15" s="369">
        <v>9185011</v>
      </c>
      <c r="AP15" s="369">
        <v>6790458</v>
      </c>
      <c r="AQ15" s="369">
        <v>114426671</v>
      </c>
      <c r="AR15" s="369">
        <v>40295158</v>
      </c>
      <c r="AS15" s="370">
        <v>22497262</v>
      </c>
      <c r="AT15" s="370">
        <v>7556727</v>
      </c>
      <c r="AU15" s="371">
        <v>0.20675480746882699</v>
      </c>
      <c r="AV15" s="371">
        <v>0.79324519253117198</v>
      </c>
      <c r="AW15" s="371">
        <v>0.23942147959020199</v>
      </c>
      <c r="AX15" s="371">
        <v>0</v>
      </c>
      <c r="AY15" s="371">
        <v>0.23942147959020199</v>
      </c>
      <c r="AZ15" s="371">
        <f t="shared" si="1"/>
        <v>1.3318122601986228E-2</v>
      </c>
      <c r="BA15" s="371">
        <f t="shared" si="2"/>
        <v>7.3009040041102317E-3</v>
      </c>
    </row>
    <row r="16" spans="1:53" ht="15.4" x14ac:dyDescent="0.45">
      <c r="A16" s="334" t="s">
        <v>69</v>
      </c>
      <c r="B16" s="370">
        <v>283491</v>
      </c>
      <c r="C16" s="370">
        <v>1133965</v>
      </c>
      <c r="D16" s="370">
        <v>30917287</v>
      </c>
      <c r="E16" s="370">
        <v>14269517</v>
      </c>
      <c r="F16" s="370">
        <v>2378252</v>
      </c>
      <c r="G16" s="370"/>
      <c r="H16" s="370">
        <v>3455326</v>
      </c>
      <c r="I16" s="370">
        <v>93718</v>
      </c>
      <c r="J16" s="370"/>
      <c r="K16" s="370">
        <v>273948</v>
      </c>
      <c r="L16" s="370">
        <v>43254</v>
      </c>
      <c r="M16" s="370">
        <v>309993</v>
      </c>
      <c r="N16" s="370">
        <v>1085298</v>
      </c>
      <c r="O16" s="370">
        <v>723532</v>
      </c>
      <c r="P16" s="370">
        <v>1864732</v>
      </c>
      <c r="Q16" s="370">
        <v>30426</v>
      </c>
      <c r="R16" s="370">
        <v>3388</v>
      </c>
      <c r="S16" s="370"/>
      <c r="T16" s="370"/>
      <c r="U16" s="370"/>
      <c r="V16" s="370"/>
      <c r="W16" s="370"/>
      <c r="X16" s="370"/>
      <c r="Y16" s="370">
        <v>56866127</v>
      </c>
      <c r="Z16" s="370">
        <v>23724133</v>
      </c>
      <c r="AA16" s="370">
        <v>33141994</v>
      </c>
      <c r="AB16" s="370">
        <v>23724133</v>
      </c>
      <c r="AC16" s="370">
        <v>26449870</v>
      </c>
      <c r="AD16" s="370">
        <v>0</v>
      </c>
      <c r="AE16" s="369">
        <v>23724133</v>
      </c>
      <c r="AF16" s="369">
        <v>30076725</v>
      </c>
      <c r="AG16" s="369">
        <v>2441375</v>
      </c>
      <c r="AH16" s="369">
        <v>0</v>
      </c>
      <c r="AI16" s="369">
        <v>-25537070</v>
      </c>
      <c r="AJ16" s="369">
        <v>5235773</v>
      </c>
      <c r="AK16" s="369">
        <v>10626856</v>
      </c>
      <c r="AL16" s="369">
        <v>0</v>
      </c>
      <c r="AM16" s="369">
        <v>0</v>
      </c>
      <c r="AN16" s="369">
        <v>69617538</v>
      </c>
      <c r="AO16" s="369">
        <v>7125217</v>
      </c>
      <c r="AP16" s="369">
        <v>49676903</v>
      </c>
      <c r="AQ16" s="369">
        <v>138556078</v>
      </c>
      <c r="AR16" s="369">
        <v>41374384</v>
      </c>
      <c r="AS16" s="370">
        <v>31538550</v>
      </c>
      <c r="AT16" s="370">
        <v>2823837</v>
      </c>
      <c r="AU16" s="371">
        <v>0.61431398788603397</v>
      </c>
      <c r="AV16" s="371">
        <v>0.38568601211396503</v>
      </c>
      <c r="AW16" s="371">
        <v>0.54023585077056002</v>
      </c>
      <c r="AX16" s="371">
        <v>0</v>
      </c>
      <c r="AY16" s="371">
        <v>0.54023585077056002</v>
      </c>
      <c r="AZ16" s="371">
        <f t="shared" si="1"/>
        <v>1.1252840883921242E-2</v>
      </c>
      <c r="BA16" s="371">
        <f t="shared" si="2"/>
        <v>2.3678178311864015E-2</v>
      </c>
    </row>
    <row r="17" spans="1:56" ht="15.4" x14ac:dyDescent="0.45">
      <c r="A17" s="334" t="s">
        <v>29</v>
      </c>
      <c r="B17" s="370"/>
      <c r="C17" s="370"/>
      <c r="D17" s="370"/>
      <c r="E17" s="370"/>
      <c r="F17" s="370"/>
      <c r="G17" s="370"/>
      <c r="H17" s="370"/>
      <c r="I17" s="370"/>
      <c r="J17" s="370"/>
      <c r="K17" s="370"/>
      <c r="L17" s="370"/>
      <c r="M17" s="370"/>
      <c r="N17" s="370"/>
      <c r="O17" s="370"/>
      <c r="P17" s="370"/>
      <c r="Q17" s="370"/>
      <c r="R17" s="370"/>
      <c r="S17" s="370"/>
      <c r="T17" s="370"/>
      <c r="U17" s="370"/>
      <c r="V17" s="370"/>
      <c r="W17" s="370"/>
      <c r="X17" s="370"/>
      <c r="Y17" s="370"/>
      <c r="Z17" s="370"/>
      <c r="AA17" s="370"/>
      <c r="AB17" s="370"/>
      <c r="AC17" s="370"/>
      <c r="AD17" s="370"/>
      <c r="AE17" s="369"/>
      <c r="AF17" s="369"/>
      <c r="AG17" s="369"/>
      <c r="AH17" s="369"/>
      <c r="AI17" s="369"/>
      <c r="AJ17" s="369"/>
      <c r="AK17" s="369"/>
      <c r="AL17" s="369"/>
      <c r="AM17" s="369"/>
      <c r="AN17" s="369"/>
      <c r="AO17" s="369"/>
      <c r="AP17" s="369"/>
      <c r="AQ17" s="369"/>
      <c r="AR17" s="369"/>
      <c r="AS17" s="370"/>
      <c r="AT17" s="370"/>
      <c r="AU17" s="371"/>
      <c r="AV17" s="371"/>
      <c r="AW17" s="371"/>
      <c r="AX17" s="371"/>
      <c r="AY17" s="371"/>
      <c r="AZ17" s="371"/>
      <c r="BA17" s="371"/>
    </row>
    <row r="18" spans="1:56" ht="15.4" x14ac:dyDescent="0.45">
      <c r="A18" s="334" t="s">
        <v>31</v>
      </c>
      <c r="B18" s="370">
        <v>459711</v>
      </c>
      <c r="C18" s="370">
        <v>3231639</v>
      </c>
      <c r="D18" s="370">
        <v>13632408</v>
      </c>
      <c r="E18" s="370">
        <v>9279770</v>
      </c>
      <c r="F18" s="370">
        <v>66948</v>
      </c>
      <c r="G18" s="370">
        <v>0</v>
      </c>
      <c r="H18" s="370">
        <v>274595</v>
      </c>
      <c r="I18" s="370">
        <v>433536</v>
      </c>
      <c r="J18" s="370">
        <v>361848</v>
      </c>
      <c r="K18" s="370">
        <v>671464</v>
      </c>
      <c r="L18" s="370">
        <v>96451</v>
      </c>
      <c r="M18" s="370">
        <v>6799184</v>
      </c>
      <c r="N18" s="370">
        <v>130928</v>
      </c>
      <c r="O18" s="370">
        <v>53476</v>
      </c>
      <c r="P18" s="370">
        <v>255917</v>
      </c>
      <c r="Q18" s="370">
        <v>2308231</v>
      </c>
      <c r="R18" s="370">
        <v>166847</v>
      </c>
      <c r="S18" s="370">
        <v>2779831</v>
      </c>
      <c r="T18" s="370"/>
      <c r="U18" s="370"/>
      <c r="V18" s="370"/>
      <c r="W18" s="370"/>
      <c r="X18" s="370"/>
      <c r="Y18" s="370">
        <v>41002784</v>
      </c>
      <c r="Z18" s="370">
        <v>16703038</v>
      </c>
      <c r="AA18" s="370">
        <v>24299746</v>
      </c>
      <c r="AB18" s="370">
        <v>10228837</v>
      </c>
      <c r="AC18" s="370">
        <v>19339611</v>
      </c>
      <c r="AD18" s="370">
        <v>6474201</v>
      </c>
      <c r="AE18" s="369">
        <v>16703038</v>
      </c>
      <c r="AF18" s="369">
        <v>15820084</v>
      </c>
      <c r="AG18" s="369">
        <v>13297945.9975543</v>
      </c>
      <c r="AH18" s="369">
        <v>166253</v>
      </c>
      <c r="AI18" s="369">
        <v>-13985865</v>
      </c>
      <c r="AJ18" s="369">
        <v>15298417.9975543</v>
      </c>
      <c r="AK18" s="369">
        <v>10794963</v>
      </c>
      <c r="AL18" s="369">
        <v>0</v>
      </c>
      <c r="AM18" s="369">
        <v>23793161</v>
      </c>
      <c r="AN18" s="369">
        <v>96408311</v>
      </c>
      <c r="AO18" s="369">
        <v>3355186</v>
      </c>
      <c r="AP18" s="369">
        <v>10018857</v>
      </c>
      <c r="AQ18" s="369">
        <v>149439108</v>
      </c>
      <c r="AR18" s="369">
        <v>53629380</v>
      </c>
      <c r="AS18" s="370">
        <v>39905114</v>
      </c>
      <c r="AT18" s="370">
        <v>0</v>
      </c>
      <c r="AU18" s="371">
        <v>0.523269076761115</v>
      </c>
      <c r="AV18" s="371">
        <v>0.26258862285439299</v>
      </c>
      <c r="AW18" s="371">
        <v>0.85382413727544004</v>
      </c>
      <c r="AX18" s="371">
        <v>0.214142300384491</v>
      </c>
      <c r="AY18" s="371">
        <v>0.63968183689094804</v>
      </c>
      <c r="AZ18" s="371">
        <f t="shared" si="1"/>
        <v>8.1137546812321461E-3</v>
      </c>
      <c r="BA18" s="371">
        <f t="shared" si="2"/>
        <v>1.2454506594739519E-2</v>
      </c>
      <c r="BD18" t="s">
        <v>196</v>
      </c>
    </row>
    <row r="19" spans="1:56" ht="15.4" x14ac:dyDescent="0.45">
      <c r="A19" s="334" t="s">
        <v>32</v>
      </c>
      <c r="B19" s="370"/>
      <c r="C19" s="370">
        <v>13614171</v>
      </c>
      <c r="D19" s="370"/>
      <c r="E19" s="370"/>
      <c r="F19" s="370"/>
      <c r="G19" s="370">
        <v>80417782</v>
      </c>
      <c r="H19" s="370"/>
      <c r="I19" s="370"/>
      <c r="J19" s="370">
        <v>50204</v>
      </c>
      <c r="K19" s="370">
        <v>3559714</v>
      </c>
      <c r="L19" s="370"/>
      <c r="M19" s="370">
        <v>3413163</v>
      </c>
      <c r="N19" s="370"/>
      <c r="O19" s="370">
        <v>29282512</v>
      </c>
      <c r="P19" s="370">
        <v>42379106</v>
      </c>
      <c r="Q19" s="370">
        <v>601703</v>
      </c>
      <c r="R19" s="370"/>
      <c r="S19" s="370"/>
      <c r="T19" s="370"/>
      <c r="U19" s="370"/>
      <c r="V19" s="370"/>
      <c r="W19" s="370"/>
      <c r="X19" s="370"/>
      <c r="Y19" s="370">
        <v>173318355</v>
      </c>
      <c r="Z19" s="370">
        <v>113871813</v>
      </c>
      <c r="AA19" s="370">
        <v>59446542</v>
      </c>
      <c r="AB19" s="370">
        <v>82515747</v>
      </c>
      <c r="AC19" s="370">
        <v>19437538</v>
      </c>
      <c r="AD19" s="370">
        <v>31356066</v>
      </c>
      <c r="AE19" s="369">
        <v>113871813</v>
      </c>
      <c r="AF19" s="369">
        <v>13748837</v>
      </c>
      <c r="AG19" s="369">
        <v>2327</v>
      </c>
      <c r="AH19" s="369">
        <v>0</v>
      </c>
      <c r="AI19" s="369">
        <v>-3957265</v>
      </c>
      <c r="AJ19" s="369">
        <v>6496251</v>
      </c>
      <c r="AK19" s="369">
        <v>15901265</v>
      </c>
      <c r="AL19" s="369">
        <v>0</v>
      </c>
      <c r="AM19" s="369">
        <v>48500085</v>
      </c>
      <c r="AN19" s="369">
        <v>150743106</v>
      </c>
      <c r="AO19" s="369">
        <v>5180147</v>
      </c>
      <c r="AP19" s="369">
        <v>5480230</v>
      </c>
      <c r="AQ19" s="369">
        <v>225804833</v>
      </c>
      <c r="AR19" s="369">
        <v>166753498</v>
      </c>
      <c r="AS19" s="370">
        <v>112696944</v>
      </c>
      <c r="AT19" s="370">
        <v>20624477</v>
      </c>
      <c r="AU19" s="371">
        <v>0.115517095779242</v>
      </c>
      <c r="AV19" s="371">
        <v>0.62103068063397404</v>
      </c>
      <c r="AW19" s="371">
        <v>0.42676552338506102</v>
      </c>
      <c r="AX19" s="371">
        <v>0.263452223586783</v>
      </c>
      <c r="AY19" s="371">
        <v>0.16331329979827799</v>
      </c>
      <c r="AZ19" s="371">
        <f t="shared" si="1"/>
        <v>3.4296759318213729E-2</v>
      </c>
      <c r="BA19" s="371">
        <f t="shared" si="2"/>
        <v>1.0823898348864562E-2</v>
      </c>
    </row>
    <row r="20" spans="1:56" ht="15.4" x14ac:dyDescent="0.45">
      <c r="A20" s="334" t="s">
        <v>33</v>
      </c>
      <c r="B20" s="370"/>
      <c r="C20" s="370">
        <v>22579872</v>
      </c>
      <c r="D20" s="370"/>
      <c r="E20" s="370">
        <v>83325714</v>
      </c>
      <c r="F20" s="370"/>
      <c r="G20" s="370"/>
      <c r="H20" s="370">
        <v>9053044</v>
      </c>
      <c r="I20" s="370"/>
      <c r="J20" s="370">
        <v>913771</v>
      </c>
      <c r="K20" s="370"/>
      <c r="L20" s="370"/>
      <c r="M20" s="370"/>
      <c r="N20" s="370">
        <v>11689442</v>
      </c>
      <c r="O20" s="370"/>
      <c r="P20" s="370">
        <v>36347541</v>
      </c>
      <c r="Q20" s="370"/>
      <c r="R20" s="370">
        <v>3130337</v>
      </c>
      <c r="S20" s="370"/>
      <c r="T20" s="370"/>
      <c r="U20" s="370"/>
      <c r="V20" s="370"/>
      <c r="W20" s="370"/>
      <c r="X20" s="370"/>
      <c r="Y20" s="370">
        <v>167039721</v>
      </c>
      <c r="Z20" s="370">
        <v>75739715</v>
      </c>
      <c r="AA20" s="370">
        <v>91300006</v>
      </c>
      <c r="AB20" s="370">
        <v>55470290</v>
      </c>
      <c r="AC20" s="370">
        <v>67871585</v>
      </c>
      <c r="AD20" s="370">
        <v>20269425</v>
      </c>
      <c r="AE20" s="369">
        <v>75739715</v>
      </c>
      <c r="AF20" s="369">
        <v>79259915</v>
      </c>
      <c r="AG20" s="369">
        <v>-213403</v>
      </c>
      <c r="AH20" s="369">
        <v>-853528</v>
      </c>
      <c r="AI20" s="369">
        <v>-58516928</v>
      </c>
      <c r="AJ20" s="369">
        <v>16257042</v>
      </c>
      <c r="AK20" s="369">
        <v>4191872</v>
      </c>
      <c r="AL20" s="369">
        <v>0</v>
      </c>
      <c r="AM20" s="369">
        <v>1350148</v>
      </c>
      <c r="AN20" s="369">
        <v>114210612</v>
      </c>
      <c r="AO20" s="369">
        <v>42342191</v>
      </c>
      <c r="AP20" s="369">
        <v>8486931</v>
      </c>
      <c r="AQ20" s="369">
        <v>171451754</v>
      </c>
      <c r="AR20" s="369">
        <v>78807953</v>
      </c>
      <c r="AS20" s="370">
        <v>51624098</v>
      </c>
      <c r="AT20" s="370">
        <v>15314928</v>
      </c>
      <c r="AU20" s="371">
        <v>0.52239263888796295</v>
      </c>
      <c r="AV20" s="371">
        <v>0.34401400040137098</v>
      </c>
      <c r="AW20" s="371">
        <v>0.58092687593912196</v>
      </c>
      <c r="AX20" s="371">
        <v>0.13359336071066499</v>
      </c>
      <c r="AY20" s="371">
        <v>0.44733351522845699</v>
      </c>
      <c r="AZ20" s="371">
        <f t="shared" si="1"/>
        <v>3.3054324267724394E-2</v>
      </c>
      <c r="BA20" s="371">
        <f t="shared" si="2"/>
        <v>6.2398096879004793E-2</v>
      </c>
    </row>
    <row r="21" spans="1:56" ht="15.4" x14ac:dyDescent="0.45">
      <c r="A21" s="334" t="s">
        <v>34</v>
      </c>
      <c r="B21" s="370">
        <v>43791</v>
      </c>
      <c r="C21" s="370">
        <v>2315891</v>
      </c>
      <c r="D21" s="370">
        <v>16449748</v>
      </c>
      <c r="E21" s="370">
        <v>44347044</v>
      </c>
      <c r="F21" s="370">
        <v>73911</v>
      </c>
      <c r="G21" s="370">
        <v>0</v>
      </c>
      <c r="H21" s="370">
        <v>1317885</v>
      </c>
      <c r="I21" s="370">
        <v>0</v>
      </c>
      <c r="J21" s="370">
        <v>0</v>
      </c>
      <c r="K21" s="370">
        <v>214539</v>
      </c>
      <c r="L21" s="370">
        <v>21004</v>
      </c>
      <c r="M21" s="370">
        <v>1179207</v>
      </c>
      <c r="N21" s="370">
        <v>441265</v>
      </c>
      <c r="O21" s="370">
        <v>451690</v>
      </c>
      <c r="P21" s="370">
        <v>5361500</v>
      </c>
      <c r="Q21" s="370">
        <v>39268</v>
      </c>
      <c r="R21" s="370">
        <v>0</v>
      </c>
      <c r="S21" s="370">
        <v>0</v>
      </c>
      <c r="T21" s="370">
        <v>0</v>
      </c>
      <c r="U21" s="370">
        <v>0</v>
      </c>
      <c r="V21" s="370">
        <v>0</v>
      </c>
      <c r="W21" s="370">
        <v>0</v>
      </c>
      <c r="X21" s="370">
        <v>0</v>
      </c>
      <c r="Y21" s="370">
        <v>72256743</v>
      </c>
      <c r="Z21" s="370">
        <v>45640038</v>
      </c>
      <c r="AA21" s="370">
        <v>26616705</v>
      </c>
      <c r="AB21" s="370">
        <v>10325283</v>
      </c>
      <c r="AC21" s="370">
        <v>14072032</v>
      </c>
      <c r="AD21" s="370">
        <v>35314755</v>
      </c>
      <c r="AE21" s="369">
        <v>45640038</v>
      </c>
      <c r="AF21" s="369">
        <v>23497625</v>
      </c>
      <c r="AG21" s="369">
        <v>5894138</v>
      </c>
      <c r="AH21" s="369">
        <v>1054423</v>
      </c>
      <c r="AI21" s="369">
        <v>-14063232</v>
      </c>
      <c r="AJ21" s="369">
        <v>11468065</v>
      </c>
      <c r="AK21" s="369">
        <v>10279020</v>
      </c>
      <c r="AL21" s="369">
        <v>2493218</v>
      </c>
      <c r="AM21" s="369">
        <v>6908617</v>
      </c>
      <c r="AN21" s="369">
        <v>67562251</v>
      </c>
      <c r="AO21" s="369">
        <v>12749978</v>
      </c>
      <c r="AP21" s="369">
        <v>26944054</v>
      </c>
      <c r="AQ21" s="369">
        <v>126937138</v>
      </c>
      <c r="AR21" s="369">
        <v>56259436</v>
      </c>
      <c r="AS21" s="370">
        <v>33019593</v>
      </c>
      <c r="AT21" s="370">
        <v>9718900</v>
      </c>
      <c r="AU21" s="371">
        <v>0.35460947152294697</v>
      </c>
      <c r="AV21" s="371">
        <v>0.11244532199289201</v>
      </c>
      <c r="AW21" s="371">
        <v>0.74531032128933705</v>
      </c>
      <c r="AX21" s="371">
        <v>0.532945206484159</v>
      </c>
      <c r="AY21" s="371">
        <v>0.212365114805177</v>
      </c>
      <c r="AZ21" s="371">
        <f t="shared" si="1"/>
        <v>1.4298382440734709E-2</v>
      </c>
      <c r="BA21" s="371">
        <f t="shared" si="2"/>
        <v>1.8498721342011595E-2</v>
      </c>
    </row>
    <row r="22" spans="1:56" ht="15.4" x14ac:dyDescent="0.45">
      <c r="A22" s="334" t="s">
        <v>35</v>
      </c>
      <c r="B22" s="370"/>
      <c r="C22" s="370">
        <v>20611370</v>
      </c>
      <c r="D22" s="370">
        <v>76571549</v>
      </c>
      <c r="E22" s="370"/>
      <c r="F22" s="370"/>
      <c r="G22" s="370"/>
      <c r="H22" s="370"/>
      <c r="I22" s="370"/>
      <c r="J22" s="370"/>
      <c r="K22" s="370">
        <v>316618</v>
      </c>
      <c r="L22" s="370">
        <v>-46285</v>
      </c>
      <c r="M22" s="370"/>
      <c r="N22" s="370">
        <v>4378548</v>
      </c>
      <c r="O22" s="370"/>
      <c r="P22" s="370">
        <v>5192951</v>
      </c>
      <c r="Q22" s="370"/>
      <c r="R22" s="370">
        <v>5866107</v>
      </c>
      <c r="S22" s="370"/>
      <c r="T22" s="370"/>
      <c r="U22" s="370"/>
      <c r="V22" s="370"/>
      <c r="W22" s="370"/>
      <c r="X22" s="370"/>
      <c r="Y22" s="370">
        <v>112890858</v>
      </c>
      <c r="Z22" s="370">
        <v>70794608</v>
      </c>
      <c r="AA22" s="370">
        <v>42096250</v>
      </c>
      <c r="AB22" s="370">
        <v>42420158</v>
      </c>
      <c r="AC22" s="370">
        <v>57555550</v>
      </c>
      <c r="AD22" s="370">
        <v>28374450</v>
      </c>
      <c r="AE22" s="369">
        <v>70794608</v>
      </c>
      <c r="AF22" s="369">
        <v>62437677</v>
      </c>
      <c r="AG22" s="369">
        <v>10363051</v>
      </c>
      <c r="AH22" s="369">
        <v>-423341</v>
      </c>
      <c r="AI22" s="369">
        <v>-57276112</v>
      </c>
      <c r="AJ22" s="369">
        <v>10442354</v>
      </c>
      <c r="AK22" s="369">
        <v>17541063</v>
      </c>
      <c r="AL22" s="369">
        <v>0</v>
      </c>
      <c r="AM22" s="369">
        <v>28123932</v>
      </c>
      <c r="AN22" s="369">
        <v>70498989</v>
      </c>
      <c r="AO22" s="369">
        <v>5526824</v>
      </c>
      <c r="AP22" s="369">
        <v>31748459</v>
      </c>
      <c r="AQ22" s="369">
        <v>154544001</v>
      </c>
      <c r="AR22" s="369">
        <v>84533187</v>
      </c>
      <c r="AS22" s="370">
        <v>61294349</v>
      </c>
      <c r="AT22" s="370">
        <v>0</v>
      </c>
      <c r="AU22" s="371">
        <v>0.553080011137837</v>
      </c>
      <c r="AV22" s="371">
        <v>0.19557589862590999</v>
      </c>
      <c r="AW22" s="371">
        <v>0.76117766772576001</v>
      </c>
      <c r="AX22" s="371">
        <v>0.25134409023625198</v>
      </c>
      <c r="AY22" s="371">
        <v>0.50983357748950697</v>
      </c>
      <c r="AZ22" s="371">
        <f t="shared" si="1"/>
        <v>2.2339183787271944E-2</v>
      </c>
      <c r="BA22" s="371">
        <f t="shared" si="2"/>
        <v>4.9154635332954992E-2</v>
      </c>
    </row>
    <row r="23" spans="1:56" ht="15.4" x14ac:dyDescent="0.45">
      <c r="A23" s="334" t="s">
        <v>36</v>
      </c>
      <c r="B23" s="370">
        <v>3342093</v>
      </c>
      <c r="C23" s="370">
        <v>4722217</v>
      </c>
      <c r="D23" s="370">
        <v>44218951</v>
      </c>
      <c r="E23" s="370">
        <v>12236496</v>
      </c>
      <c r="F23" s="370">
        <v>222110</v>
      </c>
      <c r="G23" s="370">
        <v>5020220</v>
      </c>
      <c r="H23" s="370">
        <v>1102615</v>
      </c>
      <c r="I23" s="370">
        <v>470748</v>
      </c>
      <c r="J23" s="370">
        <v>388592</v>
      </c>
      <c r="K23" s="370">
        <v>514317</v>
      </c>
      <c r="L23" s="370">
        <v>303283</v>
      </c>
      <c r="M23" s="370">
        <v>3439867</v>
      </c>
      <c r="N23" s="370">
        <v>422482</v>
      </c>
      <c r="O23" s="370">
        <v>13218217</v>
      </c>
      <c r="P23" s="370">
        <v>6701683</v>
      </c>
      <c r="Q23" s="370">
        <v>252129</v>
      </c>
      <c r="R23" s="370">
        <v>0</v>
      </c>
      <c r="S23" s="370">
        <v>10848260</v>
      </c>
      <c r="T23" s="370"/>
      <c r="U23" s="370"/>
      <c r="V23" s="370"/>
      <c r="W23" s="370">
        <v>68145</v>
      </c>
      <c r="X23" s="370"/>
      <c r="Y23" s="370">
        <v>107492425</v>
      </c>
      <c r="Z23" s="370">
        <v>69487027</v>
      </c>
      <c r="AA23" s="370">
        <v>38005398</v>
      </c>
      <c r="AB23" s="370">
        <v>58900848</v>
      </c>
      <c r="AC23" s="370">
        <v>1215305</v>
      </c>
      <c r="AD23" s="370">
        <v>10586179</v>
      </c>
      <c r="AE23" s="369">
        <v>69487027</v>
      </c>
      <c r="AF23" s="369">
        <v>18951409</v>
      </c>
      <c r="AG23" s="369">
        <v>8836020</v>
      </c>
      <c r="AH23" s="369">
        <v>-251466</v>
      </c>
      <c r="AI23" s="369">
        <v>-3561574</v>
      </c>
      <c r="AJ23" s="369">
        <v>18192073</v>
      </c>
      <c r="AK23" s="369">
        <v>64035611</v>
      </c>
      <c r="AL23" s="369">
        <v>0</v>
      </c>
      <c r="AM23" s="369">
        <v>18322976</v>
      </c>
      <c r="AN23" s="369">
        <v>56054063</v>
      </c>
      <c r="AO23" s="369">
        <v>9215152</v>
      </c>
      <c r="AP23" s="369">
        <v>18114450</v>
      </c>
      <c r="AQ23" s="369">
        <v>165742252</v>
      </c>
      <c r="AR23" s="369">
        <v>94740641</v>
      </c>
      <c r="AS23" s="370">
        <v>64053489</v>
      </c>
      <c r="AT23" s="370">
        <v>0</v>
      </c>
      <c r="AU23" s="371">
        <v>0.220808329328882</v>
      </c>
      <c r="AV23" s="371">
        <v>0.65584904749378503</v>
      </c>
      <c r="AW23" s="371">
        <v>0.13750249206491899</v>
      </c>
      <c r="AX23" s="371">
        <v>0.12334262317733199</v>
      </c>
      <c r="AY23" s="371">
        <v>1.4159868887586999E-2</v>
      </c>
      <c r="AZ23" s="371">
        <f t="shared" si="1"/>
        <v>2.1270925567901569E-2</v>
      </c>
      <c r="BA23" s="371">
        <f t="shared" si="2"/>
        <v>1.4919670993536182E-2</v>
      </c>
    </row>
    <row r="24" spans="1:56" ht="15.4" x14ac:dyDescent="0.45">
      <c r="A24" s="334" t="s">
        <v>197</v>
      </c>
      <c r="B24" s="370"/>
      <c r="C24" s="370">
        <v>49048749</v>
      </c>
      <c r="D24" s="370">
        <v>76028587</v>
      </c>
      <c r="E24" s="370"/>
      <c r="F24" s="370"/>
      <c r="G24" s="370"/>
      <c r="H24" s="370">
        <v>20939688</v>
      </c>
      <c r="I24" s="370"/>
      <c r="J24" s="370">
        <v>2089468</v>
      </c>
      <c r="K24" s="370">
        <v>697294</v>
      </c>
      <c r="L24" s="370">
        <v>6656773</v>
      </c>
      <c r="M24" s="370"/>
      <c r="N24" s="370">
        <v>3391398</v>
      </c>
      <c r="O24" s="370"/>
      <c r="P24" s="370">
        <v>13217692</v>
      </c>
      <c r="Q24" s="370">
        <v>19612226</v>
      </c>
      <c r="R24" s="370"/>
      <c r="S24" s="370"/>
      <c r="T24" s="370"/>
      <c r="U24" s="370"/>
      <c r="V24" s="370"/>
      <c r="W24" s="370"/>
      <c r="X24" s="370"/>
      <c r="Y24" s="370">
        <v>191681875</v>
      </c>
      <c r="Z24" s="370">
        <v>91299253</v>
      </c>
      <c r="AA24" s="370">
        <v>100382622</v>
      </c>
      <c r="AB24" s="370">
        <v>66602975</v>
      </c>
      <c r="AC24" s="370">
        <v>48693537</v>
      </c>
      <c r="AD24" s="370">
        <v>24696278</v>
      </c>
      <c r="AE24" s="369">
        <v>91299253</v>
      </c>
      <c r="AF24" s="369">
        <v>53809884</v>
      </c>
      <c r="AG24" s="369">
        <v>28793636</v>
      </c>
      <c r="AH24" s="369">
        <v>0</v>
      </c>
      <c r="AI24" s="369">
        <v>-48693537</v>
      </c>
      <c r="AJ24" s="369">
        <v>33909983</v>
      </c>
      <c r="AK24" s="369">
        <v>39109732</v>
      </c>
      <c r="AL24" s="369">
        <v>4332828</v>
      </c>
      <c r="AM24" s="369">
        <v>89462756</v>
      </c>
      <c r="AN24" s="369">
        <v>197067592</v>
      </c>
      <c r="AO24" s="369">
        <v>24321400</v>
      </c>
      <c r="AP24" s="369">
        <v>4550256</v>
      </c>
      <c r="AQ24" s="369">
        <v>359329607</v>
      </c>
      <c r="AR24" s="369">
        <v>174710190</v>
      </c>
      <c r="AS24" s="370">
        <v>126870876</v>
      </c>
      <c r="AT24" s="370">
        <v>4535697</v>
      </c>
      <c r="AU24" s="371">
        <v>0.567232442805642</v>
      </c>
      <c r="AV24" s="371">
        <v>0.172433784719633</v>
      </c>
      <c r="AW24" s="371">
        <v>0.773632666435486</v>
      </c>
      <c r="AX24" s="371">
        <v>0.260333772474723</v>
      </c>
      <c r="AY24" s="371">
        <v>0.513298893960763</v>
      </c>
      <c r="AZ24" s="371">
        <f t="shared" si="1"/>
        <v>3.7930588093447633E-2</v>
      </c>
      <c r="BA24" s="371">
        <f t="shared" si="2"/>
        <v>4.2362325961111745E-2</v>
      </c>
    </row>
    <row r="25" spans="1:56" ht="15.4" x14ac:dyDescent="0.45">
      <c r="A25" s="334" t="s">
        <v>77</v>
      </c>
      <c r="B25" s="370">
        <v>188591</v>
      </c>
      <c r="C25" s="370">
        <v>7974412</v>
      </c>
      <c r="D25" s="370">
        <v>25031695</v>
      </c>
      <c r="E25" s="370">
        <v>9194688</v>
      </c>
      <c r="F25" s="370">
        <v>25496451</v>
      </c>
      <c r="G25" s="370">
        <v>37553</v>
      </c>
      <c r="H25" s="370">
        <v>266336</v>
      </c>
      <c r="I25" s="370">
        <v>83094</v>
      </c>
      <c r="J25" s="370">
        <v>5659</v>
      </c>
      <c r="K25" s="370">
        <v>1986793</v>
      </c>
      <c r="L25" s="370">
        <v>210863</v>
      </c>
      <c r="M25" s="370">
        <v>2020667</v>
      </c>
      <c r="N25" s="370">
        <v>16631884</v>
      </c>
      <c r="O25" s="370"/>
      <c r="P25" s="370">
        <v>2921422</v>
      </c>
      <c r="Q25" s="370">
        <v>9194611</v>
      </c>
      <c r="R25" s="370">
        <v>4073250</v>
      </c>
      <c r="S25" s="370"/>
      <c r="T25" s="370"/>
      <c r="U25" s="370"/>
      <c r="V25" s="370"/>
      <c r="W25" s="370"/>
      <c r="X25" s="370"/>
      <c r="Y25" s="370">
        <v>105317969</v>
      </c>
      <c r="Z25" s="370">
        <v>15066499</v>
      </c>
      <c r="AA25" s="370">
        <v>90251470</v>
      </c>
      <c r="AB25" s="370">
        <v>1720900</v>
      </c>
      <c r="AC25" s="370">
        <v>54283542</v>
      </c>
      <c r="AD25" s="370">
        <v>13345599</v>
      </c>
      <c r="AE25" s="369">
        <v>15066499</v>
      </c>
      <c r="AF25" s="369">
        <v>59273580</v>
      </c>
      <c r="AG25" s="369">
        <v>9434090</v>
      </c>
      <c r="AH25" s="369">
        <v>-448603</v>
      </c>
      <c r="AI25" s="369">
        <v>-54283542</v>
      </c>
      <c r="AJ25" s="369">
        <v>9782867.0000000391</v>
      </c>
      <c r="AK25" s="369">
        <v>1243785</v>
      </c>
      <c r="AL25" s="369">
        <v>0</v>
      </c>
      <c r="AM25" s="369">
        <v>26569029</v>
      </c>
      <c r="AN25" s="369">
        <v>65377235</v>
      </c>
      <c r="AO25" s="369">
        <v>32924648</v>
      </c>
      <c r="AP25" s="369">
        <v>6310197</v>
      </c>
      <c r="AQ25" s="369">
        <v>132879226</v>
      </c>
      <c r="AR25" s="369">
        <v>56742358</v>
      </c>
      <c r="AS25" s="370">
        <v>41556247</v>
      </c>
      <c r="AT25" s="370">
        <v>0</v>
      </c>
      <c r="AU25" s="371">
        <v>0.82515090704598104</v>
      </c>
      <c r="AV25" s="371">
        <v>-1.09357562135525E-2</v>
      </c>
      <c r="AW25" s="371">
        <v>0.941469150992576</v>
      </c>
      <c r="AX25" s="371">
        <v>0.18578484916756999</v>
      </c>
      <c r="AY25" s="371">
        <v>0.75568430182500501</v>
      </c>
      <c r="AZ25" s="371">
        <f t="shared" si="1"/>
        <v>2.0840637650155952E-2</v>
      </c>
      <c r="BA25" s="371">
        <f t="shared" si="2"/>
        <v>4.666367087581965E-2</v>
      </c>
    </row>
    <row r="26" spans="1:56" ht="15.4" x14ac:dyDescent="0.45">
      <c r="A26" s="334" t="s">
        <v>39</v>
      </c>
      <c r="B26" s="370">
        <v>3546931</v>
      </c>
      <c r="C26" s="370">
        <v>172994944</v>
      </c>
      <c r="D26" s="370">
        <v>124591276</v>
      </c>
      <c r="E26" s="370">
        <v>49748974</v>
      </c>
      <c r="F26" s="370">
        <v>779103</v>
      </c>
      <c r="G26" s="370">
        <v>0</v>
      </c>
      <c r="H26" s="370">
        <v>11050109</v>
      </c>
      <c r="I26" s="370">
        <v>1547451</v>
      </c>
      <c r="J26" s="370">
        <v>1323293</v>
      </c>
      <c r="K26" s="370">
        <v>4071180</v>
      </c>
      <c r="L26" s="370">
        <v>6483188</v>
      </c>
      <c r="M26" s="370">
        <v>18132226</v>
      </c>
      <c r="N26" s="370">
        <v>4177873</v>
      </c>
      <c r="O26" s="370">
        <v>8344836</v>
      </c>
      <c r="P26" s="370">
        <v>74047791</v>
      </c>
      <c r="Q26" s="370">
        <v>1583817</v>
      </c>
      <c r="R26" s="370">
        <v>6678319</v>
      </c>
      <c r="S26" s="370">
        <v>23968256</v>
      </c>
      <c r="T26" s="370"/>
      <c r="U26" s="370"/>
      <c r="V26" s="370"/>
      <c r="W26" s="370"/>
      <c r="X26" s="370"/>
      <c r="Y26" s="370">
        <v>513069567</v>
      </c>
      <c r="Z26" s="370">
        <v>142417053</v>
      </c>
      <c r="AA26" s="370">
        <v>370652514</v>
      </c>
      <c r="AB26" s="370">
        <v>86723456</v>
      </c>
      <c r="AC26" s="370">
        <v>177018122</v>
      </c>
      <c r="AD26" s="370">
        <v>55693597</v>
      </c>
      <c r="AE26" s="369">
        <v>142417053</v>
      </c>
      <c r="AF26" s="369">
        <v>211272124</v>
      </c>
      <c r="AG26" s="369">
        <v>35411281</v>
      </c>
      <c r="AH26" s="369">
        <v>-1987846</v>
      </c>
      <c r="AI26" s="369">
        <v>-164150908</v>
      </c>
      <c r="AJ26" s="369">
        <v>56381256</v>
      </c>
      <c r="AK26" s="369">
        <v>116350211</v>
      </c>
      <c r="AL26" s="369">
        <v>0</v>
      </c>
      <c r="AM26" s="369">
        <v>-25552907</v>
      </c>
      <c r="AN26" s="369">
        <v>642964537</v>
      </c>
      <c r="AO26" s="369">
        <v>28352938</v>
      </c>
      <c r="AP26" s="369">
        <v>153257857</v>
      </c>
      <c r="AQ26" s="369">
        <v>915385706</v>
      </c>
      <c r="AR26" s="369">
        <v>382385990</v>
      </c>
      <c r="AS26" s="370">
        <v>159459840</v>
      </c>
      <c r="AT26" s="370">
        <v>0</v>
      </c>
      <c r="AU26" s="371">
        <v>0.68019008016407101</v>
      </c>
      <c r="AV26" s="371">
        <v>0.14050452217705101</v>
      </c>
      <c r="AW26" s="371">
        <v>0.74921480318780198</v>
      </c>
      <c r="AX26" s="371">
        <v>0.17930539765887599</v>
      </c>
      <c r="AY26" s="371">
        <v>0.56990940552892499</v>
      </c>
      <c r="AZ26" s="371">
        <f t="shared" si="1"/>
        <v>0.10152775482377002</v>
      </c>
      <c r="BA26" s="371">
        <f t="shared" si="2"/>
        <v>0.16632592226707679</v>
      </c>
    </row>
    <row r="27" spans="1:56" ht="15.4" x14ac:dyDescent="0.45">
      <c r="A27" s="334" t="s">
        <v>40</v>
      </c>
      <c r="B27" s="370">
        <v>1654644</v>
      </c>
      <c r="C27" s="370">
        <v>189055087</v>
      </c>
      <c r="D27" s="370">
        <v>110247642</v>
      </c>
      <c r="E27" s="370">
        <v>42326689</v>
      </c>
      <c r="F27" s="370">
        <v>351094</v>
      </c>
      <c r="G27" s="370">
        <v>0</v>
      </c>
      <c r="H27" s="370">
        <v>17169357</v>
      </c>
      <c r="I27" s="370">
        <v>2489612</v>
      </c>
      <c r="J27" s="370">
        <v>5981359</v>
      </c>
      <c r="K27" s="370">
        <v>7720746</v>
      </c>
      <c r="L27" s="370">
        <v>11241801</v>
      </c>
      <c r="M27" s="370">
        <v>9542618</v>
      </c>
      <c r="N27" s="370">
        <v>67101919</v>
      </c>
      <c r="O27" s="370">
        <v>19673344</v>
      </c>
      <c r="P27" s="370">
        <v>21319640</v>
      </c>
      <c r="Q27" s="370">
        <v>4580427</v>
      </c>
      <c r="R27" s="370">
        <v>540552</v>
      </c>
      <c r="S27" s="370">
        <v>2410222</v>
      </c>
      <c r="T27" s="370"/>
      <c r="U27" s="370"/>
      <c r="V27" s="370"/>
      <c r="W27" s="370"/>
      <c r="X27" s="370"/>
      <c r="Y27" s="370">
        <v>513406753</v>
      </c>
      <c r="Z27" s="370">
        <v>154253419</v>
      </c>
      <c r="AA27" s="370">
        <v>359153334</v>
      </c>
      <c r="AB27" s="370">
        <v>82487646</v>
      </c>
      <c r="AC27" s="370">
        <v>107564139</v>
      </c>
      <c r="AD27" s="370">
        <v>71765773</v>
      </c>
      <c r="AE27" s="369">
        <v>154253419</v>
      </c>
      <c r="AF27" s="369">
        <v>129049229</v>
      </c>
      <c r="AG27" s="369">
        <v>35657484</v>
      </c>
      <c r="AH27" s="369">
        <v>-4633537</v>
      </c>
      <c r="AI27" s="369">
        <v>-103158130</v>
      </c>
      <c r="AJ27" s="369">
        <v>52749753</v>
      </c>
      <c r="AK27" s="369">
        <v>11840716</v>
      </c>
      <c r="AL27" s="369">
        <v>0</v>
      </c>
      <c r="AM27" s="369">
        <v>124471841</v>
      </c>
      <c r="AN27" s="369">
        <v>834343120</v>
      </c>
      <c r="AO27" s="369">
        <v>125364964</v>
      </c>
      <c r="AP27" s="369">
        <v>19209360</v>
      </c>
      <c r="AQ27" s="369">
        <v>1115569148</v>
      </c>
      <c r="AR27" s="369">
        <v>419729136</v>
      </c>
      <c r="AS27" s="370">
        <v>268439098</v>
      </c>
      <c r="AT27" s="370">
        <v>0</v>
      </c>
      <c r="AU27" s="371">
        <v>0.56992258073297397</v>
      </c>
      <c r="AV27" s="371">
        <v>0.11313686198204601</v>
      </c>
      <c r="AW27" s="371">
        <v>0.791978123710117</v>
      </c>
      <c r="AX27" s="371">
        <v>0.316940557284978</v>
      </c>
      <c r="AY27" s="371">
        <v>0.475037566425138</v>
      </c>
      <c r="AZ27" s="371">
        <f t="shared" si="1"/>
        <v>0.10159447820738089</v>
      </c>
      <c r="BA27" s="371">
        <f t="shared" si="2"/>
        <v>0.10159519213845832</v>
      </c>
    </row>
    <row r="28" spans="1:56" ht="15.4" x14ac:dyDescent="0.45">
      <c r="A28" s="334" t="s">
        <v>90</v>
      </c>
      <c r="B28" s="370">
        <v>23851198</v>
      </c>
      <c r="C28" s="370"/>
      <c r="D28" s="370">
        <v>80251906</v>
      </c>
      <c r="E28" s="370"/>
      <c r="F28" s="370"/>
      <c r="G28" s="370"/>
      <c r="H28" s="370">
        <v>9273212</v>
      </c>
      <c r="I28" s="370"/>
      <c r="J28" s="370"/>
      <c r="K28" s="370"/>
      <c r="L28" s="370"/>
      <c r="M28" s="370"/>
      <c r="N28" s="370">
        <v>5873105</v>
      </c>
      <c r="O28" s="370"/>
      <c r="P28" s="370">
        <v>3327004</v>
      </c>
      <c r="Q28" s="370">
        <v>754325</v>
      </c>
      <c r="R28" s="370"/>
      <c r="S28" s="370"/>
      <c r="T28" s="370"/>
      <c r="U28" s="370"/>
      <c r="V28" s="370"/>
      <c r="W28" s="370"/>
      <c r="X28" s="370"/>
      <c r="Y28" s="370">
        <v>123330750</v>
      </c>
      <c r="Z28" s="370">
        <v>76384205</v>
      </c>
      <c r="AA28" s="370">
        <v>46946545</v>
      </c>
      <c r="AB28" s="370">
        <v>15251844</v>
      </c>
      <c r="AC28" s="370">
        <v>11376360</v>
      </c>
      <c r="AD28" s="370">
        <v>61132361</v>
      </c>
      <c r="AE28" s="369">
        <v>76384205</v>
      </c>
      <c r="AF28" s="369">
        <v>23982783</v>
      </c>
      <c r="AG28" s="369">
        <v>18225857</v>
      </c>
      <c r="AH28" s="369">
        <v>0</v>
      </c>
      <c r="AI28" s="369">
        <v>-10862630</v>
      </c>
      <c r="AJ28" s="369">
        <v>21723852</v>
      </c>
      <c r="AK28" s="369">
        <v>11922064</v>
      </c>
      <c r="AL28" s="369">
        <v>0</v>
      </c>
      <c r="AM28" s="369">
        <v>18088410</v>
      </c>
      <c r="AN28" s="369">
        <v>125045181</v>
      </c>
      <c r="AO28" s="369">
        <v>10140294</v>
      </c>
      <c r="AP28" s="369">
        <v>15089350</v>
      </c>
      <c r="AQ28" s="369">
        <v>180285299</v>
      </c>
      <c r="AR28" s="369">
        <v>90421857</v>
      </c>
      <c r="AS28" s="370">
        <v>70742384</v>
      </c>
      <c r="AT28" s="370">
        <v>0</v>
      </c>
      <c r="AU28" s="371">
        <v>0.24469157420819901</v>
      </c>
      <c r="AV28" s="371">
        <v>0.13158708168615901</v>
      </c>
      <c r="AW28" s="371">
        <v>0.73979208690305498</v>
      </c>
      <c r="AX28" s="371">
        <v>0.62372134410564095</v>
      </c>
      <c r="AY28" s="371">
        <v>0.116070742797413</v>
      </c>
      <c r="AZ28" s="371">
        <f t="shared" si="1"/>
        <v>2.440506113322382E-2</v>
      </c>
      <c r="BA28" s="371">
        <f t="shared" si="2"/>
        <v>1.8880666438541464E-2</v>
      </c>
    </row>
    <row r="29" spans="1:56" ht="15.4" x14ac:dyDescent="0.45">
      <c r="A29" s="334" t="s">
        <v>41</v>
      </c>
      <c r="B29" s="370">
        <v>626284</v>
      </c>
      <c r="C29" s="370">
        <v>3195619</v>
      </c>
      <c r="D29" s="370">
        <v>32131022</v>
      </c>
      <c r="E29" s="370">
        <v>12502687</v>
      </c>
      <c r="F29" s="370">
        <v>16804</v>
      </c>
      <c r="G29" s="370"/>
      <c r="H29" s="370">
        <v>224710</v>
      </c>
      <c r="I29" s="370">
        <v>26261</v>
      </c>
      <c r="J29" s="370">
        <v>1748129</v>
      </c>
      <c r="K29" s="370">
        <v>487001</v>
      </c>
      <c r="L29" s="370">
        <v>218908</v>
      </c>
      <c r="M29" s="370">
        <v>462766</v>
      </c>
      <c r="N29" s="370">
        <v>273554</v>
      </c>
      <c r="O29" s="370">
        <v>195205</v>
      </c>
      <c r="P29" s="370">
        <v>591981</v>
      </c>
      <c r="Q29" s="370">
        <v>301980</v>
      </c>
      <c r="R29" s="370">
        <v>19378</v>
      </c>
      <c r="S29" s="370"/>
      <c r="T29" s="370"/>
      <c r="U29" s="370"/>
      <c r="V29" s="370"/>
      <c r="W29" s="370"/>
      <c r="X29" s="370"/>
      <c r="Y29" s="370">
        <v>53022289</v>
      </c>
      <c r="Z29" s="370">
        <v>28383562</v>
      </c>
      <c r="AA29" s="370">
        <v>24638727</v>
      </c>
      <c r="AB29" s="370">
        <v>10932821</v>
      </c>
      <c r="AC29" s="370">
        <v>16469179</v>
      </c>
      <c r="AD29" s="370">
        <v>17450741</v>
      </c>
      <c r="AE29" s="369">
        <v>28383562</v>
      </c>
      <c r="AF29" s="369">
        <v>12451077</v>
      </c>
      <c r="AG29" s="369">
        <v>16970341</v>
      </c>
      <c r="AH29" s="369">
        <v>-165002</v>
      </c>
      <c r="AI29" s="369">
        <v>-8503833.7999999896</v>
      </c>
      <c r="AJ29" s="369">
        <v>16233910.199999999</v>
      </c>
      <c r="AK29" s="369">
        <v>1590342</v>
      </c>
      <c r="AL29" s="369">
        <v>0</v>
      </c>
      <c r="AM29" s="369">
        <v>7934892</v>
      </c>
      <c r="AN29" s="369">
        <v>88284245</v>
      </c>
      <c r="AO29" s="369">
        <v>22987938</v>
      </c>
      <c r="AP29" s="369">
        <v>4984124</v>
      </c>
      <c r="AQ29" s="369">
        <v>126511009</v>
      </c>
      <c r="AR29" s="369">
        <v>40887548.609999999</v>
      </c>
      <c r="AS29" s="370">
        <v>27836234</v>
      </c>
      <c r="AT29" s="370">
        <v>0</v>
      </c>
      <c r="AU29" s="371">
        <v>0.31709221387443398</v>
      </c>
      <c r="AV29" s="371">
        <v>0.238488873814658</v>
      </c>
      <c r="AW29" s="371">
        <v>0.86384033503637403</v>
      </c>
      <c r="AX29" s="371">
        <v>0.44441891231090702</v>
      </c>
      <c r="AY29" s="371">
        <v>0.41942142272546701</v>
      </c>
      <c r="AZ29" s="371">
        <f t="shared" si="1"/>
        <v>1.0492210616317997E-2</v>
      </c>
      <c r="BA29" s="371">
        <f t="shared" si="2"/>
        <v>9.8022248559558548E-3</v>
      </c>
    </row>
    <row r="30" spans="1:56" ht="15.4" x14ac:dyDescent="0.45">
      <c r="A30" s="334" t="s">
        <v>42</v>
      </c>
      <c r="B30" s="370">
        <v>5081131</v>
      </c>
      <c r="C30" s="370">
        <v>35355330</v>
      </c>
      <c r="D30" s="370">
        <v>176495104</v>
      </c>
      <c r="E30" s="370">
        <v>35899435</v>
      </c>
      <c r="F30" s="370">
        <v>470186</v>
      </c>
      <c r="G30" s="370">
        <v>0</v>
      </c>
      <c r="H30" s="370">
        <v>5423918</v>
      </c>
      <c r="I30" s="370">
        <v>1023494</v>
      </c>
      <c r="J30" s="370">
        <v>4193060</v>
      </c>
      <c r="K30" s="370">
        <v>3620791</v>
      </c>
      <c r="L30" s="370">
        <v>31186</v>
      </c>
      <c r="M30" s="370">
        <v>16914463</v>
      </c>
      <c r="N30" s="370">
        <v>1691572</v>
      </c>
      <c r="O30" s="370">
        <v>14486367</v>
      </c>
      <c r="P30" s="370">
        <v>9847003</v>
      </c>
      <c r="Q30" s="370">
        <v>3982300</v>
      </c>
      <c r="R30" s="370">
        <v>39349</v>
      </c>
      <c r="S30" s="370">
        <v>0</v>
      </c>
      <c r="T30" s="370">
        <v>0</v>
      </c>
      <c r="U30" s="370">
        <v>0</v>
      </c>
      <c r="V30" s="370">
        <v>0</v>
      </c>
      <c r="W30" s="370">
        <v>57939</v>
      </c>
      <c r="X30" s="370">
        <v>0</v>
      </c>
      <c r="Y30" s="370">
        <v>314612628</v>
      </c>
      <c r="Z30" s="370">
        <v>159459388</v>
      </c>
      <c r="AA30" s="370">
        <v>155153240</v>
      </c>
      <c r="AB30" s="370">
        <v>104554915</v>
      </c>
      <c r="AC30" s="370">
        <v>94269284</v>
      </c>
      <c r="AD30" s="370">
        <v>54904473</v>
      </c>
      <c r="AE30" s="369">
        <v>159459388</v>
      </c>
      <c r="AF30" s="369">
        <v>118872878</v>
      </c>
      <c r="AG30" s="369">
        <v>32752362.999999899</v>
      </c>
      <c r="AH30" s="369">
        <v>0</v>
      </c>
      <c r="AI30" s="369">
        <v>-91532948</v>
      </c>
      <c r="AJ30" s="369">
        <v>49442293</v>
      </c>
      <c r="AK30" s="369">
        <v>87533056</v>
      </c>
      <c r="AL30" s="369">
        <v>0</v>
      </c>
      <c r="AM30" s="369">
        <v>41279638</v>
      </c>
      <c r="AN30" s="369">
        <v>200371175</v>
      </c>
      <c r="AO30" s="369">
        <v>45717862</v>
      </c>
      <c r="AP30" s="369">
        <v>47022132</v>
      </c>
      <c r="AQ30" s="369">
        <v>421923863</v>
      </c>
      <c r="AR30" s="369">
        <v>244881185</v>
      </c>
      <c r="AS30" s="370">
        <v>142591433</v>
      </c>
      <c r="AT30" s="370">
        <v>0</v>
      </c>
      <c r="AU30" s="371">
        <v>0.48464884926123403</v>
      </c>
      <c r="AV30" s="371">
        <v>0.291503708778585</v>
      </c>
      <c r="AW30" s="371">
        <v>0.60818658458008401</v>
      </c>
      <c r="AX30" s="371">
        <v>0.223847441960179</v>
      </c>
      <c r="AY30" s="371">
        <v>0.38433914261990398</v>
      </c>
      <c r="AZ30" s="371">
        <f t="shared" si="1"/>
        <v>6.2256496612760434E-2</v>
      </c>
      <c r="BA30" s="371">
        <f t="shared" si="2"/>
        <v>9.3583766242117686E-2</v>
      </c>
    </row>
    <row r="31" spans="1:56" ht="15.4" x14ac:dyDescent="0.45">
      <c r="A31" s="332" t="s">
        <v>44</v>
      </c>
      <c r="B31" s="366">
        <f t="shared" ref="B31:AR31" si="3">SUM(B6:B30)</f>
        <v>63086131.933151603</v>
      </c>
      <c r="C31" s="366">
        <f t="shared" si="3"/>
        <v>1504527519.464467</v>
      </c>
      <c r="D31" s="366">
        <f t="shared" si="3"/>
        <v>1474000297.7188561</v>
      </c>
      <c r="E31" s="366">
        <f t="shared" si="3"/>
        <v>436683021.28892559</v>
      </c>
      <c r="F31" s="366">
        <f t="shared" si="3"/>
        <v>32170829.812294941</v>
      </c>
      <c r="G31" s="366">
        <f t="shared" si="3"/>
        <v>85475555</v>
      </c>
      <c r="H31" s="366">
        <f t="shared" si="3"/>
        <v>175515963.82978451</v>
      </c>
      <c r="I31" s="366">
        <f t="shared" si="3"/>
        <v>15490111.901952099</v>
      </c>
      <c r="J31" s="366">
        <f t="shared" si="3"/>
        <v>23153671.01025581</v>
      </c>
      <c r="K31" s="366">
        <f t="shared" si="3"/>
        <v>53527794.095955402</v>
      </c>
      <c r="L31" s="366">
        <f t="shared" si="3"/>
        <v>55676274.645604864</v>
      </c>
      <c r="M31" s="366">
        <f t="shared" si="3"/>
        <v>205962273.12247011</v>
      </c>
      <c r="N31" s="366">
        <f t="shared" si="3"/>
        <v>229970731.08302304</v>
      </c>
      <c r="O31" s="366">
        <f t="shared" si="3"/>
        <v>145506504.2115564</v>
      </c>
      <c r="P31" s="366">
        <f t="shared" si="3"/>
        <v>300967862.83491176</v>
      </c>
      <c r="Q31" s="366">
        <f t="shared" si="3"/>
        <v>152033603.17934284</v>
      </c>
      <c r="R31" s="366">
        <f t="shared" si="3"/>
        <v>55180501.994141407</v>
      </c>
      <c r="S31" s="366">
        <f t="shared" si="3"/>
        <v>42061982.55330541</v>
      </c>
      <c r="T31" s="366">
        <f t="shared" si="3"/>
        <v>410882</v>
      </c>
      <c r="U31" s="366">
        <f t="shared" si="3"/>
        <v>1963126</v>
      </c>
      <c r="V31" s="366">
        <f t="shared" si="3"/>
        <v>0</v>
      </c>
      <c r="W31" s="366">
        <f t="shared" si="3"/>
        <v>126084</v>
      </c>
      <c r="X31" s="366">
        <f t="shared" si="3"/>
        <v>0</v>
      </c>
      <c r="Y31" s="366">
        <f t="shared" si="3"/>
        <v>5053490721.7299995</v>
      </c>
      <c r="Z31" s="361">
        <f t="shared" si="3"/>
        <v>2732771503.0099993</v>
      </c>
      <c r="AA31" s="361">
        <f t="shared" si="3"/>
        <v>2320719218.6699991</v>
      </c>
      <c r="AB31" s="361">
        <f t="shared" si="3"/>
        <v>1779916483.2099991</v>
      </c>
      <c r="AC31" s="361">
        <f t="shared" si="3"/>
        <v>1039445952.12</v>
      </c>
      <c r="AD31" s="361">
        <f t="shared" si="3"/>
        <v>952855019.79999995</v>
      </c>
      <c r="AE31" s="361">
        <f t="shared" si="3"/>
        <v>2732771503.0100002</v>
      </c>
      <c r="AF31" s="361">
        <f t="shared" si="3"/>
        <v>1270229685.9099998</v>
      </c>
      <c r="AG31" s="361">
        <f t="shared" si="3"/>
        <v>424053438.9175542</v>
      </c>
      <c r="AH31" s="361">
        <f t="shared" si="3"/>
        <v>-17669208.66</v>
      </c>
      <c r="AI31" s="361">
        <f t="shared" si="3"/>
        <v>-917252046.5999999</v>
      </c>
      <c r="AJ31" s="361">
        <f t="shared" si="3"/>
        <v>585791105.56755435</v>
      </c>
      <c r="AK31" s="361">
        <f t="shared" si="3"/>
        <v>900280239.16999996</v>
      </c>
      <c r="AL31" s="361">
        <f t="shared" si="3"/>
        <v>9627888</v>
      </c>
      <c r="AM31" s="361">
        <f t="shared" si="3"/>
        <v>1170125109.4300001</v>
      </c>
      <c r="AN31" s="361">
        <f t="shared" si="3"/>
        <v>4093633269.059999</v>
      </c>
      <c r="AO31" s="361">
        <f t="shared" si="3"/>
        <v>589293390.43000007</v>
      </c>
      <c r="AP31" s="361">
        <f t="shared" si="3"/>
        <v>608421077.00999987</v>
      </c>
      <c r="AQ31" s="361">
        <f t="shared" si="3"/>
        <v>7388694362.71</v>
      </c>
      <c r="AR31" s="361">
        <f t="shared" si="3"/>
        <v>3792579469.7100005</v>
      </c>
      <c r="AS31" s="368">
        <f>SUM(AS6:AS30)</f>
        <v>2600766761.1700001</v>
      </c>
      <c r="AT31" s="368">
        <f>SUM(AT6:AT30)</f>
        <v>73889531</v>
      </c>
      <c r="AU31" s="367">
        <f>AVERAGE(AU6:AU30)</f>
        <v>0.41219957234006138</v>
      </c>
      <c r="AV31" s="367">
        <f>AVERAGE(AV6:AV30)</f>
        <v>0.28889254835837119</v>
      </c>
      <c r="AW31" s="367">
        <f>AVERAGE(AW6:AW30)</f>
        <v>0.74988591796412274</v>
      </c>
      <c r="AX31" s="367">
        <f>AVERAGE(AX6:AX30)</f>
        <v>0.29890787927089602</v>
      </c>
      <c r="AY31" s="367">
        <f>AVERAGE(AY6:AY30)</f>
        <v>0.45097803869322656</v>
      </c>
      <c r="AZ31" s="367">
        <f>SUM(AZ6:AZ30)</f>
        <v>0.99999999999999967</v>
      </c>
      <c r="BA31" s="367">
        <f>SUM(BA6:BA30)</f>
        <v>1</v>
      </c>
    </row>
  </sheetData>
  <mergeCells count="1">
    <mergeCell ref="Z1:BA1"/>
  </mergeCells>
  <dataValidations count="1">
    <dataValidation type="list" allowBlank="1" showInputMessage="1" showErrorMessage="1" sqref="A3" xr:uid="{00000000-0002-0000-3200-000000000000}">
      <formula1>$A$6:$A$30</formula1>
    </dataValidation>
  </dataValidations>
  <pageMargins left="0.7" right="0.7" top="0.75" bottom="0.75" header="0.3" footer="0.3"/>
  <legacyDrawing r:id="rId1"/>
</worksheet>
</file>

<file path=xl/worksheets/sheet5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300-000000000000}">
  <dimension ref="A1:BD31"/>
  <sheetViews>
    <sheetView workbookViewId="0">
      <pane xSplit="1" topLeftCell="B1" activePane="topRight" state="frozen"/>
      <selection pane="topRight" activeCell="A3" sqref="A3"/>
    </sheetView>
  </sheetViews>
  <sheetFormatPr defaultRowHeight="12.75" x14ac:dyDescent="0.35"/>
  <cols>
    <col min="1" max="1" width="50.73046875" bestFit="1" customWidth="1"/>
    <col min="2" max="2" width="33.3984375" bestFit="1" customWidth="1"/>
    <col min="3" max="3" width="37.265625" bestFit="1" customWidth="1"/>
    <col min="4" max="4" width="21.73046875" bestFit="1" customWidth="1"/>
    <col min="5" max="5" width="17.73046875" bestFit="1" customWidth="1"/>
    <col min="6" max="6" width="30.1328125" bestFit="1" customWidth="1"/>
    <col min="7" max="7" width="15.73046875" bestFit="1" customWidth="1"/>
    <col min="8" max="8" width="23.86328125" bestFit="1" customWidth="1"/>
    <col min="9" max="9" width="31.59765625" bestFit="1" customWidth="1"/>
    <col min="10" max="11" width="50.73046875" customWidth="1"/>
    <col min="12" max="12" width="18" bestFit="1" customWidth="1"/>
    <col min="13" max="13" width="16.1328125" bestFit="1" customWidth="1"/>
    <col min="14" max="14" width="15.265625" bestFit="1" customWidth="1"/>
    <col min="15" max="15" width="19.3984375" bestFit="1" customWidth="1"/>
    <col min="16" max="16" width="15.265625" bestFit="1" customWidth="1"/>
    <col min="17" max="18" width="14.3984375" bestFit="1" customWidth="1"/>
    <col min="19" max="19" width="13.265625" bestFit="1" customWidth="1"/>
    <col min="20" max="20" width="25.3984375" bestFit="1" customWidth="1"/>
    <col min="21" max="21" width="21.73046875" bestFit="1" customWidth="1"/>
    <col min="22" max="22" width="25" bestFit="1" customWidth="1"/>
    <col min="23" max="23" width="13" bestFit="1" customWidth="1"/>
    <col min="24" max="24" width="23" bestFit="1" customWidth="1"/>
    <col min="25" max="25" width="27" bestFit="1" customWidth="1"/>
    <col min="26" max="27" width="20" bestFit="1" customWidth="1"/>
    <col min="28" max="28" width="17.73046875" customWidth="1"/>
    <col min="29" max="29" width="17.73046875" bestFit="1" customWidth="1"/>
    <col min="30" max="31" width="17.73046875" customWidth="1"/>
    <col min="32" max="32" width="16.265625" bestFit="1" customWidth="1"/>
    <col min="33" max="33" width="17.73046875" bestFit="1" customWidth="1"/>
    <col min="34" max="34" width="17" customWidth="1"/>
    <col min="35" max="37" width="17.73046875" bestFit="1" customWidth="1"/>
    <col min="38" max="39" width="20" bestFit="1" customWidth="1"/>
    <col min="40" max="40" width="14" bestFit="1" customWidth="1"/>
    <col min="41" max="42" width="13.73046875" bestFit="1" customWidth="1"/>
    <col min="43" max="43" width="17.73046875" bestFit="1" customWidth="1"/>
    <col min="44" max="44" width="17.73046875" customWidth="1"/>
    <col min="45" max="45" width="18.265625" customWidth="1"/>
    <col min="46" max="46" width="18.86328125" bestFit="1" customWidth="1"/>
    <col min="47" max="47" width="18.86328125" customWidth="1"/>
    <col min="48" max="51" width="13" customWidth="1"/>
    <col min="52" max="52" width="9.1328125" bestFit="1" customWidth="1"/>
    <col min="53" max="53" width="11.265625" bestFit="1" customWidth="1"/>
  </cols>
  <sheetData>
    <row r="1" spans="1:53" ht="23.25" x14ac:dyDescent="0.7">
      <c r="A1" s="351" t="s">
        <v>201</v>
      </c>
      <c r="B1" s="351" t="s">
        <v>92</v>
      </c>
      <c r="C1" s="351"/>
      <c r="D1" s="351"/>
      <c r="E1" s="351"/>
      <c r="F1" s="351"/>
      <c r="G1" s="351"/>
      <c r="H1" s="351"/>
      <c r="I1" s="351"/>
      <c r="J1" s="351"/>
      <c r="K1" s="351"/>
      <c r="L1" s="351"/>
      <c r="M1" s="351"/>
      <c r="N1" s="351"/>
      <c r="O1" s="351"/>
      <c r="P1" s="351"/>
      <c r="Q1" s="351"/>
      <c r="R1" s="351"/>
      <c r="S1" s="351"/>
      <c r="T1" s="351"/>
      <c r="U1" s="351"/>
      <c r="V1" s="351"/>
      <c r="W1" s="351"/>
      <c r="X1" s="351"/>
      <c r="Y1" s="351"/>
      <c r="Z1" s="413"/>
      <c r="AA1" s="413"/>
      <c r="AB1" s="413"/>
      <c r="AC1" s="413"/>
      <c r="AD1" s="413"/>
      <c r="AE1" s="413"/>
      <c r="AF1" s="413"/>
      <c r="AG1" s="413"/>
      <c r="AH1" s="413"/>
      <c r="AI1" s="413"/>
      <c r="AJ1" s="413"/>
      <c r="AK1" s="413"/>
      <c r="AL1" s="413"/>
      <c r="AM1" s="413"/>
      <c r="AN1" s="413"/>
      <c r="AO1" s="413"/>
      <c r="AP1" s="413"/>
      <c r="AQ1" s="413"/>
      <c r="AR1" s="413"/>
      <c r="AS1" s="413"/>
      <c r="AT1" s="413"/>
      <c r="AU1" s="413"/>
      <c r="AV1" s="413"/>
      <c r="AW1" s="413"/>
      <c r="AX1" s="413"/>
      <c r="AY1" s="413"/>
      <c r="AZ1" s="413"/>
      <c r="BA1" s="413"/>
    </row>
    <row r="2" spans="1:53" ht="51.75" x14ac:dyDescent="0.45">
      <c r="A2" s="350"/>
      <c r="B2" s="350" t="s">
        <v>153</v>
      </c>
      <c r="C2" s="350" t="s">
        <v>154</v>
      </c>
      <c r="D2" s="350" t="s">
        <v>155</v>
      </c>
      <c r="E2" s="350" t="s">
        <v>156</v>
      </c>
      <c r="F2" s="350" t="s">
        <v>157</v>
      </c>
      <c r="G2" s="350" t="s">
        <v>158</v>
      </c>
      <c r="H2" s="350" t="s">
        <v>159</v>
      </c>
      <c r="I2" s="350" t="s">
        <v>160</v>
      </c>
      <c r="J2" s="350" t="s">
        <v>161</v>
      </c>
      <c r="K2" s="350" t="s">
        <v>162</v>
      </c>
      <c r="L2" s="350" t="s">
        <v>163</v>
      </c>
      <c r="M2" s="350" t="s">
        <v>164</v>
      </c>
      <c r="N2" s="350" t="s">
        <v>106</v>
      </c>
      <c r="O2" s="350" t="s">
        <v>165</v>
      </c>
      <c r="P2" s="350" t="s">
        <v>166</v>
      </c>
      <c r="Q2" s="350" t="s">
        <v>167</v>
      </c>
      <c r="R2" s="350" t="s">
        <v>168</v>
      </c>
      <c r="S2" s="350" t="s">
        <v>169</v>
      </c>
      <c r="T2" s="350" t="s">
        <v>170</v>
      </c>
      <c r="U2" s="350" t="s">
        <v>171</v>
      </c>
      <c r="V2" s="350" t="s">
        <v>172</v>
      </c>
      <c r="W2" s="350" t="s">
        <v>173</v>
      </c>
      <c r="X2" s="350" t="s">
        <v>174</v>
      </c>
      <c r="Y2" s="350" t="s">
        <v>175</v>
      </c>
      <c r="Z2" s="348" t="s">
        <v>176</v>
      </c>
      <c r="AA2" s="348" t="s">
        <v>177</v>
      </c>
      <c r="AB2" s="349" t="s">
        <v>178</v>
      </c>
      <c r="AC2" s="348" t="s">
        <v>179</v>
      </c>
      <c r="AD2" s="377" t="s">
        <v>180</v>
      </c>
      <c r="AE2" s="348" t="s">
        <v>181</v>
      </c>
      <c r="AF2" s="348" t="s">
        <v>182</v>
      </c>
      <c r="AG2" s="348" t="s">
        <v>115</v>
      </c>
      <c r="AH2" s="348" t="s">
        <v>183</v>
      </c>
      <c r="AI2" s="348" t="s">
        <v>184</v>
      </c>
      <c r="AJ2" s="348" t="s">
        <v>134</v>
      </c>
      <c r="AK2" s="348" t="s">
        <v>185</v>
      </c>
      <c r="AL2" s="348" t="s">
        <v>186</v>
      </c>
      <c r="AM2" s="348" t="s">
        <v>187</v>
      </c>
      <c r="AN2" s="349" t="s">
        <v>188</v>
      </c>
      <c r="AO2" s="348" t="s">
        <v>120</v>
      </c>
      <c r="AP2" s="348" t="s">
        <v>121</v>
      </c>
      <c r="AQ2" s="348" t="s">
        <v>9</v>
      </c>
      <c r="AR2" s="348" t="s">
        <v>199</v>
      </c>
      <c r="AS2" s="347" t="s">
        <v>189</v>
      </c>
      <c r="AT2" s="347" t="s">
        <v>190</v>
      </c>
      <c r="AU2" s="347" t="s">
        <v>191</v>
      </c>
      <c r="AV2" s="347" t="s">
        <v>17</v>
      </c>
      <c r="AW2" s="347" t="s">
        <v>18</v>
      </c>
      <c r="AX2" s="347" t="s">
        <v>192</v>
      </c>
      <c r="AY2" s="347" t="s">
        <v>193</v>
      </c>
      <c r="AZ2" s="347" t="s">
        <v>19</v>
      </c>
      <c r="BA2" s="347" t="s">
        <v>200</v>
      </c>
    </row>
    <row r="3" spans="1:53" ht="15.4" x14ac:dyDescent="0.45">
      <c r="A3" s="346" t="s">
        <v>22</v>
      </c>
      <c r="B3" s="345">
        <f t="shared" ref="B3:BA3" si="0">INDEX(B6:B30,MATCH($A$3,$A$6:$A$30,0))</f>
        <v>311258</v>
      </c>
      <c r="C3" s="345">
        <f t="shared" si="0"/>
        <v>2416497</v>
      </c>
      <c r="D3" s="345">
        <f t="shared" si="0"/>
        <v>8666349</v>
      </c>
      <c r="E3" s="345">
        <f t="shared" si="0"/>
        <v>7140926</v>
      </c>
      <c r="F3" s="345">
        <f t="shared" si="0"/>
        <v>0</v>
      </c>
      <c r="G3" s="345">
        <f t="shared" si="0"/>
        <v>0</v>
      </c>
      <c r="H3" s="345">
        <f t="shared" si="0"/>
        <v>151645</v>
      </c>
      <c r="I3" s="345">
        <f t="shared" si="0"/>
        <v>27317</v>
      </c>
      <c r="J3" s="345">
        <f t="shared" si="0"/>
        <v>0</v>
      </c>
      <c r="K3" s="345">
        <f t="shared" si="0"/>
        <v>652526</v>
      </c>
      <c r="L3" s="345">
        <f t="shared" si="0"/>
        <v>68667</v>
      </c>
      <c r="M3" s="345">
        <f t="shared" si="0"/>
        <v>252187</v>
      </c>
      <c r="N3" s="345">
        <f t="shared" si="0"/>
        <v>488932</v>
      </c>
      <c r="O3" s="345">
        <f t="shared" si="0"/>
        <v>6489</v>
      </c>
      <c r="P3" s="345">
        <f t="shared" si="0"/>
        <v>1283734</v>
      </c>
      <c r="Q3" s="345">
        <f t="shared" si="0"/>
        <v>95142</v>
      </c>
      <c r="R3" s="345">
        <f t="shared" si="0"/>
        <v>0</v>
      </c>
      <c r="S3" s="345">
        <f t="shared" si="0"/>
        <v>0</v>
      </c>
      <c r="T3" s="345">
        <f t="shared" si="0"/>
        <v>0</v>
      </c>
      <c r="U3" s="345">
        <f t="shared" si="0"/>
        <v>0</v>
      </c>
      <c r="V3" s="345">
        <f t="shared" si="0"/>
        <v>0</v>
      </c>
      <c r="W3" s="345">
        <f t="shared" si="0"/>
        <v>0</v>
      </c>
      <c r="X3" s="345">
        <f t="shared" si="0"/>
        <v>0</v>
      </c>
      <c r="Y3" s="345">
        <f t="shared" si="0"/>
        <v>21561669</v>
      </c>
      <c r="Z3" s="345">
        <f t="shared" si="0"/>
        <v>9497913</v>
      </c>
      <c r="AA3" s="345">
        <f t="shared" si="0"/>
        <v>12063756</v>
      </c>
      <c r="AB3" s="345">
        <f t="shared" si="0"/>
        <v>-567617</v>
      </c>
      <c r="AC3" s="345">
        <f t="shared" si="0"/>
        <v>5598675</v>
      </c>
      <c r="AD3" s="345">
        <f t="shared" si="0"/>
        <v>10065530</v>
      </c>
      <c r="AE3" s="345">
        <f t="shared" si="0"/>
        <v>9497913</v>
      </c>
      <c r="AF3" s="345">
        <f t="shared" si="0"/>
        <v>9536859</v>
      </c>
      <c r="AG3" s="345">
        <f t="shared" si="0"/>
        <v>3591007</v>
      </c>
      <c r="AH3" s="345">
        <f t="shared" si="0"/>
        <v>0</v>
      </c>
      <c r="AI3" s="345">
        <f t="shared" si="0"/>
        <v>-5177992</v>
      </c>
      <c r="AJ3" s="345">
        <f t="shared" si="0"/>
        <v>5564912</v>
      </c>
      <c r="AK3" s="345">
        <f t="shared" si="0"/>
        <v>28722280</v>
      </c>
      <c r="AL3" s="345">
        <f t="shared" si="0"/>
        <v>0</v>
      </c>
      <c r="AM3" s="345">
        <f t="shared" si="0"/>
        <v>13114435</v>
      </c>
      <c r="AN3" s="345">
        <f t="shared" si="0"/>
        <v>65053373</v>
      </c>
      <c r="AO3" s="345">
        <f t="shared" si="0"/>
        <v>16906728</v>
      </c>
      <c r="AP3" s="345">
        <f t="shared" si="0"/>
        <v>13406417</v>
      </c>
      <c r="AQ3" s="345">
        <f t="shared" si="0"/>
        <v>137244467</v>
      </c>
      <c r="AR3" s="345">
        <f t="shared" si="0"/>
        <v>74139445</v>
      </c>
      <c r="AS3" s="345">
        <f t="shared" si="0"/>
        <v>55316827</v>
      </c>
      <c r="AT3" s="345">
        <f t="shared" si="0"/>
        <v>0</v>
      </c>
      <c r="AU3" s="365">
        <f t="shared" si="0"/>
        <v>0.512325513570004</v>
      </c>
      <c r="AV3" s="365">
        <f t="shared" si="0"/>
        <v>-5.30515352721481E-2</v>
      </c>
      <c r="AW3" s="365">
        <f t="shared" si="0"/>
        <v>0.84149004103875602</v>
      </c>
      <c r="AX3" s="365">
        <f t="shared" si="0"/>
        <v>0.54072602170214301</v>
      </c>
      <c r="AY3" s="365">
        <f t="shared" si="0"/>
        <v>0.30076401933661201</v>
      </c>
      <c r="AZ3" s="365">
        <f t="shared" si="0"/>
        <v>1.6577686282061289E-2</v>
      </c>
      <c r="BA3" s="365">
        <f t="shared" si="0"/>
        <v>2.6022168138724711E-2</v>
      </c>
    </row>
    <row r="4" spans="1:53" ht="14.25" x14ac:dyDescent="0.45">
      <c r="A4" s="330"/>
      <c r="B4" s="330"/>
      <c r="C4" s="330"/>
      <c r="D4" s="330"/>
      <c r="E4" s="330"/>
      <c r="F4" s="330"/>
      <c r="G4" s="330"/>
      <c r="H4" s="330"/>
      <c r="I4" s="330"/>
      <c r="J4" s="330"/>
      <c r="K4" s="330"/>
      <c r="L4" s="330"/>
      <c r="M4" s="330"/>
      <c r="N4" s="330"/>
      <c r="O4" s="330"/>
      <c r="P4" s="330"/>
      <c r="Q4" s="330"/>
      <c r="R4" s="330"/>
      <c r="S4" s="330"/>
      <c r="T4" s="330"/>
      <c r="U4" s="330"/>
      <c r="V4" s="330"/>
      <c r="W4" s="330"/>
      <c r="X4" s="330"/>
      <c r="Y4" s="330"/>
      <c r="Z4" s="330"/>
      <c r="AA4" s="330"/>
      <c r="AB4" s="330"/>
      <c r="AC4" s="330"/>
      <c r="AD4" s="330"/>
      <c r="AE4" s="330"/>
      <c r="AF4" s="330"/>
      <c r="AG4" s="330"/>
      <c r="AH4" s="330"/>
      <c r="AI4" s="330"/>
      <c r="AJ4" s="330"/>
      <c r="AK4" s="330"/>
      <c r="AL4" s="330"/>
      <c r="AM4" s="330"/>
      <c r="AN4" s="330"/>
      <c r="AO4" s="330"/>
      <c r="AP4" s="330"/>
      <c r="AQ4" s="330"/>
      <c r="AR4" s="330"/>
      <c r="AS4" s="330"/>
      <c r="AT4" s="330"/>
      <c r="AU4" s="330"/>
      <c r="AV4" s="330"/>
      <c r="AW4" s="330"/>
      <c r="AX4" s="330"/>
      <c r="AY4" s="330"/>
      <c r="AZ4" s="330"/>
    </row>
    <row r="5" spans="1:53" ht="51" x14ac:dyDescent="0.35">
      <c r="A5" s="344" t="s">
        <v>136</v>
      </c>
      <c r="B5" s="344" t="s">
        <v>153</v>
      </c>
      <c r="C5" s="344" t="s">
        <v>154</v>
      </c>
      <c r="D5" s="344" t="s">
        <v>155</v>
      </c>
      <c r="E5" s="344" t="s">
        <v>156</v>
      </c>
      <c r="F5" s="344" t="s">
        <v>157</v>
      </c>
      <c r="G5" s="344" t="s">
        <v>158</v>
      </c>
      <c r="H5" s="344" t="s">
        <v>159</v>
      </c>
      <c r="I5" s="344" t="s">
        <v>160</v>
      </c>
      <c r="J5" s="344" t="s">
        <v>161</v>
      </c>
      <c r="K5" s="344" t="s">
        <v>162</v>
      </c>
      <c r="L5" s="344" t="s">
        <v>163</v>
      </c>
      <c r="M5" s="344" t="s">
        <v>164</v>
      </c>
      <c r="N5" s="344" t="s">
        <v>106</v>
      </c>
      <c r="O5" s="344" t="s">
        <v>165</v>
      </c>
      <c r="P5" s="344" t="s">
        <v>166</v>
      </c>
      <c r="Q5" s="344" t="s">
        <v>167</v>
      </c>
      <c r="R5" s="344" t="s">
        <v>168</v>
      </c>
      <c r="S5" s="344" t="s">
        <v>169</v>
      </c>
      <c r="T5" s="344" t="s">
        <v>170</v>
      </c>
      <c r="U5" s="344" t="s">
        <v>171</v>
      </c>
      <c r="V5" s="344" t="s">
        <v>172</v>
      </c>
      <c r="W5" s="344" t="s">
        <v>173</v>
      </c>
      <c r="X5" s="344" t="s">
        <v>174</v>
      </c>
      <c r="Y5" s="344" t="s">
        <v>175</v>
      </c>
      <c r="Z5" s="342" t="s">
        <v>176</v>
      </c>
      <c r="AA5" s="342" t="s">
        <v>177</v>
      </c>
      <c r="AB5" s="342" t="s">
        <v>178</v>
      </c>
      <c r="AC5" s="342" t="s">
        <v>179</v>
      </c>
      <c r="AD5" s="342" t="s">
        <v>180</v>
      </c>
      <c r="AE5" s="342" t="s">
        <v>181</v>
      </c>
      <c r="AF5" s="342" t="s">
        <v>182</v>
      </c>
      <c r="AG5" s="342" t="s">
        <v>115</v>
      </c>
      <c r="AH5" s="342" t="s">
        <v>183</v>
      </c>
      <c r="AI5" s="342" t="s">
        <v>184</v>
      </c>
      <c r="AJ5" s="342" t="s">
        <v>134</v>
      </c>
      <c r="AK5" s="342" t="s">
        <v>185</v>
      </c>
      <c r="AL5" s="342" t="s">
        <v>186</v>
      </c>
      <c r="AM5" s="342" t="s">
        <v>187</v>
      </c>
      <c r="AN5" s="342" t="s">
        <v>188</v>
      </c>
      <c r="AO5" s="342" t="s">
        <v>120</v>
      </c>
      <c r="AP5" s="342" t="s">
        <v>121</v>
      </c>
      <c r="AQ5" s="342" t="s">
        <v>9</v>
      </c>
      <c r="AR5" s="342" t="s">
        <v>199</v>
      </c>
      <c r="AS5" s="341" t="s">
        <v>189</v>
      </c>
      <c r="AT5" s="341" t="s">
        <v>190</v>
      </c>
      <c r="AU5" s="341" t="s">
        <v>191</v>
      </c>
      <c r="AV5" s="341" t="s">
        <v>17</v>
      </c>
      <c r="AW5" s="341" t="s">
        <v>18</v>
      </c>
      <c r="AX5" s="341" t="s">
        <v>192</v>
      </c>
      <c r="AY5" s="341" t="s">
        <v>193</v>
      </c>
      <c r="AZ5" s="341" t="s">
        <v>19</v>
      </c>
      <c r="BA5" s="341" t="s">
        <v>200</v>
      </c>
    </row>
    <row r="6" spans="1:53" ht="15.4" x14ac:dyDescent="0.45">
      <c r="A6" s="334" t="s">
        <v>20</v>
      </c>
      <c r="B6" s="370">
        <v>60515</v>
      </c>
      <c r="C6" s="370">
        <v>15441177</v>
      </c>
      <c r="D6" s="370">
        <v>3125902</v>
      </c>
      <c r="E6" s="370">
        <v>372523</v>
      </c>
      <c r="F6" s="370">
        <v>69551</v>
      </c>
      <c r="G6" s="370"/>
      <c r="H6" s="370">
        <v>2039622</v>
      </c>
      <c r="I6" s="370"/>
      <c r="J6" s="370">
        <v>35585</v>
      </c>
      <c r="K6" s="370">
        <v>359213</v>
      </c>
      <c r="L6" s="370"/>
      <c r="M6" s="370">
        <v>2385184</v>
      </c>
      <c r="N6" s="370">
        <v>14020</v>
      </c>
      <c r="O6" s="370">
        <v>205402</v>
      </c>
      <c r="P6" s="370">
        <v>215660</v>
      </c>
      <c r="Q6" s="370">
        <v>2373029</v>
      </c>
      <c r="R6" s="370"/>
      <c r="S6" s="370"/>
      <c r="T6" s="370"/>
      <c r="U6" s="370"/>
      <c r="V6" s="370"/>
      <c r="W6" s="370"/>
      <c r="X6" s="370"/>
      <c r="Y6" s="370">
        <v>26697383</v>
      </c>
      <c r="Z6" s="370">
        <v>20660764</v>
      </c>
      <c r="AA6" s="370">
        <v>6036619</v>
      </c>
      <c r="AB6" s="370">
        <v>18342570</v>
      </c>
      <c r="AC6" s="370">
        <v>13549494</v>
      </c>
      <c r="AD6" s="370">
        <v>2318194</v>
      </c>
      <c r="AE6" s="369">
        <v>20660764</v>
      </c>
      <c r="AF6" s="369">
        <v>-9220547</v>
      </c>
      <c r="AG6" s="369">
        <v>854197</v>
      </c>
      <c r="AH6" s="369">
        <v>0</v>
      </c>
      <c r="AI6" s="369">
        <v>-13216924</v>
      </c>
      <c r="AJ6" s="369">
        <v>-21583274</v>
      </c>
      <c r="AK6" s="369">
        <v>56971204</v>
      </c>
      <c r="AL6" s="369">
        <v>0</v>
      </c>
      <c r="AM6" s="369">
        <v>121456257</v>
      </c>
      <c r="AN6" s="369">
        <v>66624926</v>
      </c>
      <c r="AO6" s="369">
        <v>8565666</v>
      </c>
      <c r="AP6" s="369">
        <v>62106495</v>
      </c>
      <c r="AQ6" s="369">
        <v>316249624</v>
      </c>
      <c r="AR6" s="369">
        <v>242122262</v>
      </c>
      <c r="AS6" s="370">
        <v>222522897</v>
      </c>
      <c r="AT6" s="370">
        <v>0</v>
      </c>
      <c r="AU6" s="371">
        <v>-0.89252981376079299</v>
      </c>
      <c r="AV6" s="371">
        <v>1.6681334456189201</v>
      </c>
      <c r="AW6" s="371">
        <v>1.5359592674333</v>
      </c>
      <c r="AX6" s="371">
        <v>0.224396368141867</v>
      </c>
      <c r="AY6" s="371">
        <v>1.3115628992914301</v>
      </c>
      <c r="AZ6" s="371">
        <f t="shared" ref="AZ6:AZ16" si="1">Y6/$Y$31</f>
        <v>2.0526279293408885E-2</v>
      </c>
      <c r="BA6" s="371">
        <f t="shared" ref="BA6:BA16" si="2">AF6/$AF$31</f>
        <v>-2.5159082708993988E-2</v>
      </c>
    </row>
    <row r="7" spans="1:53" ht="15.4" x14ac:dyDescent="0.45">
      <c r="A7" s="334" t="s">
        <v>87</v>
      </c>
      <c r="B7" s="370">
        <v>20778</v>
      </c>
      <c r="C7" s="370">
        <v>65549</v>
      </c>
      <c r="D7" s="370">
        <v>812224</v>
      </c>
      <c r="E7" s="370">
        <v>2015435</v>
      </c>
      <c r="F7" s="370">
        <v>789</v>
      </c>
      <c r="G7" s="370">
        <v>0</v>
      </c>
      <c r="H7" s="370">
        <v>611</v>
      </c>
      <c r="I7" s="370">
        <v>3561</v>
      </c>
      <c r="J7" s="370">
        <v>0</v>
      </c>
      <c r="K7" s="370">
        <v>3143</v>
      </c>
      <c r="L7" s="370">
        <v>3947</v>
      </c>
      <c r="M7" s="370">
        <v>4244</v>
      </c>
      <c r="N7" s="370">
        <v>1822</v>
      </c>
      <c r="O7" s="370">
        <v>714</v>
      </c>
      <c r="P7" s="370">
        <v>31469</v>
      </c>
      <c r="Q7" s="370"/>
      <c r="R7" s="370"/>
      <c r="S7" s="370"/>
      <c r="T7" s="370"/>
      <c r="U7" s="370"/>
      <c r="V7" s="370"/>
      <c r="W7" s="370"/>
      <c r="X7" s="370"/>
      <c r="Y7" s="370">
        <v>2964286</v>
      </c>
      <c r="Z7" s="370">
        <v>2598104</v>
      </c>
      <c r="AA7" s="370">
        <v>366182</v>
      </c>
      <c r="AB7" s="370">
        <v>444347</v>
      </c>
      <c r="AC7" s="370">
        <v>1368117</v>
      </c>
      <c r="AD7" s="370">
        <v>2153757</v>
      </c>
      <c r="AE7" s="369">
        <v>2598104</v>
      </c>
      <c r="AF7" s="369">
        <v>-270249</v>
      </c>
      <c r="AG7" s="369">
        <v>1328764</v>
      </c>
      <c r="AH7" s="369">
        <v>0</v>
      </c>
      <c r="AI7" s="369">
        <v>-1362517</v>
      </c>
      <c r="AJ7" s="369">
        <v>-304002</v>
      </c>
      <c r="AK7" s="369">
        <v>675655</v>
      </c>
      <c r="AL7" s="369">
        <v>0</v>
      </c>
      <c r="AM7" s="369">
        <v>609627</v>
      </c>
      <c r="AN7" s="369">
        <v>23998991</v>
      </c>
      <c r="AO7" s="369">
        <v>33290310</v>
      </c>
      <c r="AP7" s="369">
        <v>8928236</v>
      </c>
      <c r="AQ7" s="369">
        <v>67502819</v>
      </c>
      <c r="AR7" s="369">
        <v>12968160</v>
      </c>
      <c r="AS7" s="370">
        <v>8069110</v>
      </c>
      <c r="AT7" s="370">
        <v>0</v>
      </c>
      <c r="AU7" s="371">
        <v>-0.116093571120194</v>
      </c>
      <c r="AV7" s="371">
        <v>0.19088259363233501</v>
      </c>
      <c r="AW7" s="371">
        <v>1.5129267072046999</v>
      </c>
      <c r="AX7" s="371">
        <v>0.92521097748785897</v>
      </c>
      <c r="AY7" s="371">
        <v>0.58771572971684205</v>
      </c>
      <c r="AZ7" s="371">
        <f t="shared" si="1"/>
        <v>2.2790908884792885E-3</v>
      </c>
      <c r="BA7" s="371">
        <f t="shared" si="2"/>
        <v>-7.3739843666790236E-4</v>
      </c>
    </row>
    <row r="8" spans="1:53" ht="15.4" x14ac:dyDescent="0.45">
      <c r="A8" s="334" t="s">
        <v>60</v>
      </c>
      <c r="B8" s="370">
        <v>52279</v>
      </c>
      <c r="C8" s="370">
        <v>0</v>
      </c>
      <c r="D8" s="370">
        <v>1954729</v>
      </c>
      <c r="E8" s="370">
        <v>0</v>
      </c>
      <c r="F8" s="370">
        <v>0</v>
      </c>
      <c r="G8" s="370">
        <v>0</v>
      </c>
      <c r="H8" s="370">
        <v>315373</v>
      </c>
      <c r="I8" s="370">
        <v>0</v>
      </c>
      <c r="J8" s="370">
        <v>214</v>
      </c>
      <c r="K8" s="370"/>
      <c r="L8" s="370"/>
      <c r="M8" s="370"/>
      <c r="N8" s="370"/>
      <c r="O8" s="370"/>
      <c r="P8" s="370"/>
      <c r="Q8" s="370"/>
      <c r="R8" s="370"/>
      <c r="S8" s="370"/>
      <c r="T8" s="370"/>
      <c r="U8" s="370"/>
      <c r="V8" s="370"/>
      <c r="W8" s="370"/>
      <c r="X8" s="370"/>
      <c r="Y8" s="370">
        <v>2322595</v>
      </c>
      <c r="Z8" s="370">
        <v>1580673</v>
      </c>
      <c r="AA8" s="370">
        <v>741922</v>
      </c>
      <c r="AB8" s="370">
        <v>1123425</v>
      </c>
      <c r="AC8" s="370">
        <v>2540323</v>
      </c>
      <c r="AD8" s="370">
        <v>457248</v>
      </c>
      <c r="AE8" s="369">
        <v>1580673</v>
      </c>
      <c r="AF8" s="369">
        <v>869746</v>
      </c>
      <c r="AG8" s="369">
        <v>1070759</v>
      </c>
      <c r="AH8" s="369">
        <v>-31783</v>
      </c>
      <c r="AI8" s="369">
        <v>-2467323</v>
      </c>
      <c r="AJ8" s="369">
        <v>-558601</v>
      </c>
      <c r="AK8" s="369">
        <v>1028291</v>
      </c>
      <c r="AL8" s="369">
        <v>4293191</v>
      </c>
      <c r="AM8" s="369">
        <v>2006493</v>
      </c>
      <c r="AN8" s="369">
        <v>45196419</v>
      </c>
      <c r="AO8" s="369">
        <v>23385727</v>
      </c>
      <c r="AP8" s="369">
        <v>531329</v>
      </c>
      <c r="AQ8" s="369">
        <v>90993369</v>
      </c>
      <c r="AR8" s="369">
        <v>29247967</v>
      </c>
      <c r="AS8" s="370">
        <v>5901244</v>
      </c>
      <c r="AT8" s="370">
        <v>5652679</v>
      </c>
      <c r="AU8" s="371">
        <v>0.48405114408567201</v>
      </c>
      <c r="AV8" s="371">
        <v>0.26147063177660801</v>
      </c>
      <c r="AW8" s="371">
        <v>1.66827748794249</v>
      </c>
      <c r="AX8" s="371">
        <v>0.25447822413771898</v>
      </c>
      <c r="AY8" s="371">
        <v>1.4137992638047701</v>
      </c>
      <c r="AZ8" s="371">
        <f t="shared" si="1"/>
        <v>1.785726850286225E-3</v>
      </c>
      <c r="BA8" s="371">
        <f t="shared" si="2"/>
        <v>2.3731793297964519E-3</v>
      </c>
    </row>
    <row r="9" spans="1:53" ht="15.4" x14ac:dyDescent="0.45">
      <c r="A9" s="334" t="s">
        <v>128</v>
      </c>
      <c r="B9" s="370">
        <v>229509</v>
      </c>
      <c r="C9" s="370">
        <v>5331269</v>
      </c>
      <c r="D9" s="370">
        <v>11451094</v>
      </c>
      <c r="E9" s="370">
        <v>1217509</v>
      </c>
      <c r="F9" s="370">
        <v>10919</v>
      </c>
      <c r="G9" s="370"/>
      <c r="H9" s="370">
        <v>190190</v>
      </c>
      <c r="I9" s="370">
        <v>88372</v>
      </c>
      <c r="J9" s="370">
        <v>34465</v>
      </c>
      <c r="K9" s="370">
        <v>293034</v>
      </c>
      <c r="L9" s="370">
        <v>83781</v>
      </c>
      <c r="M9" s="370">
        <v>3211249</v>
      </c>
      <c r="N9" s="370">
        <v>484080</v>
      </c>
      <c r="O9" s="370">
        <v>946842</v>
      </c>
      <c r="P9" s="370"/>
      <c r="Q9" s="370">
        <v>441718</v>
      </c>
      <c r="R9" s="370">
        <v>42583</v>
      </c>
      <c r="S9" s="370"/>
      <c r="T9" s="370"/>
      <c r="U9" s="370"/>
      <c r="V9" s="370"/>
      <c r="W9" s="370"/>
      <c r="X9" s="370"/>
      <c r="Y9" s="370">
        <v>24056614</v>
      </c>
      <c r="Z9" s="370">
        <v>10055935</v>
      </c>
      <c r="AA9" s="370">
        <v>14000679</v>
      </c>
      <c r="AB9" s="370">
        <v>6538953</v>
      </c>
      <c r="AC9" s="370">
        <v>10204221</v>
      </c>
      <c r="AD9" s="370">
        <v>3516982</v>
      </c>
      <c r="AE9" s="369">
        <v>10055935</v>
      </c>
      <c r="AF9" s="369">
        <v>10268592</v>
      </c>
      <c r="AG9" s="369">
        <v>2085837</v>
      </c>
      <c r="AH9" s="369">
        <v>-367135</v>
      </c>
      <c r="AI9" s="369">
        <v>-6542886</v>
      </c>
      <c r="AJ9" s="369">
        <v>3811085</v>
      </c>
      <c r="AK9" s="369">
        <v>41618692</v>
      </c>
      <c r="AL9" s="369">
        <v>0</v>
      </c>
      <c r="AM9" s="369">
        <v>25799532</v>
      </c>
      <c r="AN9" s="369">
        <v>75937349</v>
      </c>
      <c r="AO9" s="369">
        <v>849792</v>
      </c>
      <c r="AP9" s="369">
        <v>17086999</v>
      </c>
      <c r="AQ9" s="369">
        <v>161292364</v>
      </c>
      <c r="AR9" s="369">
        <v>96312032</v>
      </c>
      <c r="AS9" s="370">
        <v>68584455</v>
      </c>
      <c r="AT9" s="370">
        <v>0</v>
      </c>
      <c r="AU9" s="371">
        <v>0.51323280088250101</v>
      </c>
      <c r="AV9" s="371">
        <v>0.31098550260902402</v>
      </c>
      <c r="AW9" s="371">
        <v>0.68579718107091803</v>
      </c>
      <c r="AX9" s="371">
        <v>0.175781696508473</v>
      </c>
      <c r="AY9" s="371">
        <v>0.51001548456244405</v>
      </c>
      <c r="AZ9" s="371">
        <f t="shared" si="1"/>
        <v>1.8495924406438276E-2</v>
      </c>
      <c r="BA9" s="371">
        <f t="shared" si="2"/>
        <v>2.8018766720988898E-2</v>
      </c>
    </row>
    <row r="10" spans="1:53" ht="15.4" x14ac:dyDescent="0.45">
      <c r="A10" s="334" t="s">
        <v>22</v>
      </c>
      <c r="B10" s="370">
        <v>311258</v>
      </c>
      <c r="C10" s="370">
        <v>2416497</v>
      </c>
      <c r="D10" s="370">
        <v>8666349</v>
      </c>
      <c r="E10" s="370">
        <v>7140926</v>
      </c>
      <c r="F10" s="370"/>
      <c r="G10" s="370"/>
      <c r="H10" s="370">
        <v>151645</v>
      </c>
      <c r="I10" s="370">
        <v>27317</v>
      </c>
      <c r="J10" s="370"/>
      <c r="K10" s="370">
        <v>652526</v>
      </c>
      <c r="L10" s="370">
        <v>68667</v>
      </c>
      <c r="M10" s="370">
        <v>252187</v>
      </c>
      <c r="N10" s="370">
        <v>488932</v>
      </c>
      <c r="O10" s="370">
        <v>6489</v>
      </c>
      <c r="P10" s="370">
        <v>1283734</v>
      </c>
      <c r="Q10" s="370">
        <v>95142</v>
      </c>
      <c r="R10" s="370"/>
      <c r="S10" s="370"/>
      <c r="T10" s="370"/>
      <c r="U10" s="370"/>
      <c r="V10" s="370"/>
      <c r="W10" s="370"/>
      <c r="X10" s="370"/>
      <c r="Y10" s="370">
        <v>21561669</v>
      </c>
      <c r="Z10" s="370">
        <v>9497913</v>
      </c>
      <c r="AA10" s="370">
        <v>12063756</v>
      </c>
      <c r="AB10" s="370">
        <v>-567617</v>
      </c>
      <c r="AC10" s="370">
        <v>5598675</v>
      </c>
      <c r="AD10" s="370">
        <v>10065530</v>
      </c>
      <c r="AE10" s="369">
        <v>9497913</v>
      </c>
      <c r="AF10" s="369">
        <v>9536859</v>
      </c>
      <c r="AG10" s="369">
        <v>3591007</v>
      </c>
      <c r="AH10" s="369">
        <v>0</v>
      </c>
      <c r="AI10" s="369">
        <v>-5177992</v>
      </c>
      <c r="AJ10" s="369">
        <v>5564912</v>
      </c>
      <c r="AK10" s="369">
        <v>28722280</v>
      </c>
      <c r="AL10" s="369">
        <v>0</v>
      </c>
      <c r="AM10" s="369">
        <v>13114435</v>
      </c>
      <c r="AN10" s="369">
        <v>65053373</v>
      </c>
      <c r="AO10" s="369">
        <v>16906728</v>
      </c>
      <c r="AP10" s="369">
        <v>13406417</v>
      </c>
      <c r="AQ10" s="369">
        <v>137244467</v>
      </c>
      <c r="AR10" s="369">
        <v>74139445</v>
      </c>
      <c r="AS10" s="370">
        <v>55316827</v>
      </c>
      <c r="AT10" s="370">
        <v>0</v>
      </c>
      <c r="AU10" s="371">
        <v>0.512325513570004</v>
      </c>
      <c r="AV10" s="371">
        <v>-5.30515352721481E-2</v>
      </c>
      <c r="AW10" s="371">
        <v>0.84149004103875602</v>
      </c>
      <c r="AX10" s="371">
        <v>0.54072602170214301</v>
      </c>
      <c r="AY10" s="371">
        <v>0.30076401933661201</v>
      </c>
      <c r="AZ10" s="371">
        <f t="shared" si="1"/>
        <v>1.6577686282061289E-2</v>
      </c>
      <c r="BA10" s="371">
        <f t="shared" si="2"/>
        <v>2.6022168138724711E-2</v>
      </c>
    </row>
    <row r="11" spans="1:53" ht="15.4" x14ac:dyDescent="0.45">
      <c r="A11" s="334" t="s">
        <v>23</v>
      </c>
      <c r="B11" s="370">
        <v>3274346</v>
      </c>
      <c r="C11" s="370">
        <v>60898777</v>
      </c>
      <c r="D11" s="370">
        <v>73552479</v>
      </c>
      <c r="E11" s="370">
        <v>5452786</v>
      </c>
      <c r="F11" s="370">
        <v>269257</v>
      </c>
      <c r="G11" s="370"/>
      <c r="H11" s="370">
        <v>5754296</v>
      </c>
      <c r="I11" s="370">
        <v>2263378</v>
      </c>
      <c r="J11" s="370">
        <v>605626</v>
      </c>
      <c r="K11" s="370">
        <v>4670498</v>
      </c>
      <c r="L11" s="370">
        <v>3284623</v>
      </c>
      <c r="M11" s="370">
        <v>10136392</v>
      </c>
      <c r="N11" s="370">
        <v>2803101</v>
      </c>
      <c r="O11" s="370">
        <v>7891254</v>
      </c>
      <c r="P11" s="370">
        <v>5644447</v>
      </c>
      <c r="Q11" s="370">
        <v>9838402</v>
      </c>
      <c r="R11" s="370">
        <v>7083729</v>
      </c>
      <c r="S11" s="370">
        <v>438874</v>
      </c>
      <c r="T11" s="370"/>
      <c r="U11" s="370">
        <v>799</v>
      </c>
      <c r="V11" s="370"/>
      <c r="W11" s="370"/>
      <c r="X11" s="370"/>
      <c r="Y11" s="370">
        <v>203863064</v>
      </c>
      <c r="Z11" s="370">
        <v>86180746</v>
      </c>
      <c r="AA11" s="370">
        <v>117682318</v>
      </c>
      <c r="AB11" s="370">
        <v>53964093</v>
      </c>
      <c r="AC11" s="370">
        <v>40034927</v>
      </c>
      <c r="AD11" s="370">
        <v>32216653</v>
      </c>
      <c r="AE11" s="369">
        <v>86180746</v>
      </c>
      <c r="AF11" s="369">
        <v>56016962</v>
      </c>
      <c r="AG11" s="369">
        <v>15266538</v>
      </c>
      <c r="AH11" s="369">
        <v>-5409304</v>
      </c>
      <c r="AI11" s="369">
        <v>-37868486</v>
      </c>
      <c r="AJ11" s="369">
        <v>19603998</v>
      </c>
      <c r="AK11" s="369">
        <v>61513352</v>
      </c>
      <c r="AL11" s="369">
        <v>0</v>
      </c>
      <c r="AM11" s="369">
        <v>178537049</v>
      </c>
      <c r="AN11" s="369">
        <v>459448669</v>
      </c>
      <c r="AO11" s="369">
        <v>141521904</v>
      </c>
      <c r="AP11" s="369">
        <v>18036130</v>
      </c>
      <c r="AQ11" s="369">
        <v>859057104</v>
      </c>
      <c r="AR11" s="369">
        <v>568162227</v>
      </c>
      <c r="AS11" s="370">
        <v>424911844</v>
      </c>
      <c r="AT11" s="370">
        <v>0</v>
      </c>
      <c r="AU11" s="371">
        <v>0.44495021200183799</v>
      </c>
      <c r="AV11" s="371">
        <v>0.29914860966686102</v>
      </c>
      <c r="AW11" s="371">
        <v>0.57390395142220896</v>
      </c>
      <c r="AX11" s="371">
        <v>0.25590117833129999</v>
      </c>
      <c r="AY11" s="371">
        <v>0.31800277309090902</v>
      </c>
      <c r="AZ11" s="371">
        <f t="shared" si="1"/>
        <v>0.15674008906693551</v>
      </c>
      <c r="BA11" s="371">
        <f t="shared" si="2"/>
        <v>0.15284726384069983</v>
      </c>
    </row>
    <row r="12" spans="1:53" ht="15.4" x14ac:dyDescent="0.45">
      <c r="A12" s="334" t="s">
        <v>25</v>
      </c>
      <c r="B12" s="370"/>
      <c r="C12" s="370">
        <v>125959573</v>
      </c>
      <c r="D12" s="370">
        <v>45793989</v>
      </c>
      <c r="E12" s="370"/>
      <c r="F12" s="370"/>
      <c r="G12" s="370"/>
      <c r="H12" s="370"/>
      <c r="I12" s="370"/>
      <c r="J12" s="370"/>
      <c r="K12" s="370"/>
      <c r="L12" s="370"/>
      <c r="M12" s="370">
        <v>24694714</v>
      </c>
      <c r="N12" s="370">
        <v>7737232</v>
      </c>
      <c r="O12" s="370"/>
      <c r="P12" s="370">
        <v>1721544</v>
      </c>
      <c r="Q12" s="370">
        <v>7674346</v>
      </c>
      <c r="R12" s="370"/>
      <c r="S12" s="370"/>
      <c r="T12" s="370"/>
      <c r="U12" s="370"/>
      <c r="V12" s="370"/>
      <c r="W12" s="370"/>
      <c r="X12" s="370"/>
      <c r="Y12" s="370">
        <v>213581398</v>
      </c>
      <c r="Z12" s="370">
        <v>20586132</v>
      </c>
      <c r="AA12" s="370">
        <v>192995266</v>
      </c>
      <c r="AB12" s="370">
        <v>12960241</v>
      </c>
      <c r="AC12" s="370">
        <v>1842187</v>
      </c>
      <c r="AD12" s="370">
        <v>7625891</v>
      </c>
      <c r="AE12" s="369">
        <v>20586132</v>
      </c>
      <c r="AF12" s="369">
        <v>30969755</v>
      </c>
      <c r="AG12" s="369">
        <v>5703800</v>
      </c>
      <c r="AH12" s="369">
        <v>0</v>
      </c>
      <c r="AI12" s="369">
        <v>-1842187</v>
      </c>
      <c r="AJ12" s="369">
        <v>26225794</v>
      </c>
      <c r="AK12" s="369">
        <v>83644636</v>
      </c>
      <c r="AL12" s="369">
        <v>0</v>
      </c>
      <c r="AM12" s="369">
        <v>287704068</v>
      </c>
      <c r="AN12" s="369">
        <v>184245235</v>
      </c>
      <c r="AO12" s="369">
        <v>573134</v>
      </c>
      <c r="AP12" s="369">
        <v>51295817</v>
      </c>
      <c r="AQ12" s="369">
        <v>608127351</v>
      </c>
      <c r="AR12" s="369">
        <v>393760350</v>
      </c>
      <c r="AS12" s="370">
        <v>350517184</v>
      </c>
      <c r="AT12" s="370">
        <v>3072291</v>
      </c>
      <c r="AU12" s="371">
        <v>0.70219770574753904</v>
      </c>
      <c r="AV12" s="371">
        <v>0.12489543191270901</v>
      </c>
      <c r="AW12" s="371">
        <v>0.214675984664352</v>
      </c>
      <c r="AX12" s="371">
        <v>0.17290686233975</v>
      </c>
      <c r="AY12" s="371">
        <v>4.1769122324601601E-2</v>
      </c>
      <c r="AZ12" s="371">
        <f t="shared" si="1"/>
        <v>0.16421202884285405</v>
      </c>
      <c r="BA12" s="371">
        <f t="shared" si="2"/>
        <v>8.4503731451320632E-2</v>
      </c>
    </row>
    <row r="13" spans="1:53" ht="15.4" x14ac:dyDescent="0.45">
      <c r="A13" s="334" t="s">
        <v>26</v>
      </c>
      <c r="B13" s="370">
        <v>274335</v>
      </c>
      <c r="C13" s="370">
        <v>35208062</v>
      </c>
      <c r="D13" s="370">
        <v>9921504</v>
      </c>
      <c r="E13" s="370">
        <v>2197547</v>
      </c>
      <c r="F13" s="370">
        <v>28901</v>
      </c>
      <c r="G13" s="370">
        <v>0</v>
      </c>
      <c r="H13" s="370">
        <v>6474676</v>
      </c>
      <c r="I13" s="370">
        <v>80544</v>
      </c>
      <c r="J13" s="370">
        <v>0</v>
      </c>
      <c r="K13" s="370">
        <v>464246</v>
      </c>
      <c r="L13" s="370">
        <v>50713</v>
      </c>
      <c r="M13" s="370">
        <v>816968</v>
      </c>
      <c r="N13" s="370">
        <v>4131607</v>
      </c>
      <c r="O13" s="370">
        <v>707714</v>
      </c>
      <c r="P13" s="370">
        <v>7356675</v>
      </c>
      <c r="Q13" s="370">
        <v>16859802</v>
      </c>
      <c r="R13" s="370">
        <v>2446242</v>
      </c>
      <c r="S13" s="370">
        <v>0</v>
      </c>
      <c r="T13" s="370">
        <v>0</v>
      </c>
      <c r="U13" s="370">
        <v>82996</v>
      </c>
      <c r="V13" s="370"/>
      <c r="W13" s="370"/>
      <c r="X13" s="370">
        <v>0</v>
      </c>
      <c r="Y13" s="370">
        <v>87102532</v>
      </c>
      <c r="Z13" s="370">
        <v>34024496</v>
      </c>
      <c r="AA13" s="370">
        <v>53078036</v>
      </c>
      <c r="AB13" s="370">
        <v>8349023</v>
      </c>
      <c r="AC13" s="370">
        <v>7457464</v>
      </c>
      <c r="AD13" s="370">
        <v>25675473</v>
      </c>
      <c r="AE13" s="369">
        <v>34024496</v>
      </c>
      <c r="AF13" s="369">
        <v>33468999</v>
      </c>
      <c r="AG13" s="369">
        <v>4262975</v>
      </c>
      <c r="AH13" s="369">
        <v>2210151</v>
      </c>
      <c r="AI13" s="369">
        <v>-7429064</v>
      </c>
      <c r="AJ13" s="369">
        <v>29967664</v>
      </c>
      <c r="AK13" s="369">
        <v>44206713</v>
      </c>
      <c r="AL13" s="369">
        <v>0</v>
      </c>
      <c r="AM13" s="369">
        <v>254211748</v>
      </c>
      <c r="AN13" s="369">
        <v>251342000</v>
      </c>
      <c r="AO13" s="369">
        <v>12953461</v>
      </c>
      <c r="AP13" s="369">
        <v>12852585</v>
      </c>
      <c r="AQ13" s="369">
        <v>578778473</v>
      </c>
      <c r="AR13" s="369">
        <v>406537969</v>
      </c>
      <c r="AS13" s="370">
        <v>332201717</v>
      </c>
      <c r="AT13" s="370">
        <v>0</v>
      </c>
      <c r="AU13" s="371">
        <v>0.57891454410534504</v>
      </c>
      <c r="AV13" s="371">
        <v>-2.30241736309874E-2</v>
      </c>
      <c r="AW13" s="371">
        <v>0.57310166695532505</v>
      </c>
      <c r="AX13" s="371">
        <v>0.44410962952564198</v>
      </c>
      <c r="AY13" s="371">
        <v>0.12899203742968299</v>
      </c>
      <c r="AZ13" s="371">
        <f t="shared" si="1"/>
        <v>6.6968769897599506E-2</v>
      </c>
      <c r="BA13" s="371">
        <f t="shared" si="2"/>
        <v>9.1323141027125299E-2</v>
      </c>
    </row>
    <row r="14" spans="1:53" ht="15.4" x14ac:dyDescent="0.45">
      <c r="A14" s="334" t="s">
        <v>28</v>
      </c>
      <c r="B14" s="370">
        <v>2923192.06</v>
      </c>
      <c r="C14" s="370">
        <v>55812326.810000002</v>
      </c>
      <c r="D14" s="370">
        <v>40583663.950000003</v>
      </c>
      <c r="E14" s="370">
        <v>4889782.32</v>
      </c>
      <c r="F14" s="370">
        <v>153367.01999999999</v>
      </c>
      <c r="G14" s="370"/>
      <c r="H14" s="370">
        <v>5659746.1900000004</v>
      </c>
      <c r="I14" s="370">
        <v>128396.96</v>
      </c>
      <c r="J14" s="370">
        <v>601110.13</v>
      </c>
      <c r="K14" s="370">
        <v>2211608.7200000002</v>
      </c>
      <c r="L14" s="370">
        <v>434652.77</v>
      </c>
      <c r="M14" s="370">
        <v>8609208.6600000001</v>
      </c>
      <c r="N14" s="370">
        <v>196010.4</v>
      </c>
      <c r="O14" s="370">
        <v>2990329.98</v>
      </c>
      <c r="P14" s="370">
        <v>1666991.79</v>
      </c>
      <c r="Q14" s="370">
        <v>7957932.29</v>
      </c>
      <c r="R14" s="370">
        <v>243096.41</v>
      </c>
      <c r="S14" s="370">
        <v>0</v>
      </c>
      <c r="T14" s="370"/>
      <c r="U14" s="370"/>
      <c r="V14" s="370"/>
      <c r="W14" s="370"/>
      <c r="X14" s="370"/>
      <c r="Y14" s="370">
        <v>135061416.46000001</v>
      </c>
      <c r="Z14" s="370">
        <v>62132084.659999996</v>
      </c>
      <c r="AA14" s="370">
        <v>72929331.799999997</v>
      </c>
      <c r="AB14" s="370">
        <v>28012765.489999998</v>
      </c>
      <c r="AC14" s="370">
        <v>7827583</v>
      </c>
      <c r="AD14" s="370">
        <v>34119319.170000002</v>
      </c>
      <c r="AE14" s="369">
        <v>62132084.659999996</v>
      </c>
      <c r="AF14" s="369">
        <v>8415591.4400000107</v>
      </c>
      <c r="AG14" s="369">
        <v>11129059.66</v>
      </c>
      <c r="AH14" s="369">
        <v>-583973.40999999898</v>
      </c>
      <c r="AI14" s="369">
        <v>-7572444.5300000003</v>
      </c>
      <c r="AJ14" s="369">
        <v>5754331.1600000104</v>
      </c>
      <c r="AK14" s="369">
        <v>176790561.68999901</v>
      </c>
      <c r="AL14" s="369">
        <v>0</v>
      </c>
      <c r="AM14" s="369">
        <v>61601076.710000001</v>
      </c>
      <c r="AN14" s="369">
        <v>171402317.97999999</v>
      </c>
      <c r="AO14" s="369">
        <v>27431949.479261599</v>
      </c>
      <c r="AP14" s="369">
        <v>16946650.02</v>
      </c>
      <c r="AQ14" s="369">
        <v>454407997.19999999</v>
      </c>
      <c r="AR14" s="369">
        <v>294502376.90481603</v>
      </c>
      <c r="AS14" s="370">
        <v>225830188.38999999</v>
      </c>
      <c r="AT14" s="370">
        <v>0</v>
      </c>
      <c r="AU14" s="371">
        <v>0.118755857383277</v>
      </c>
      <c r="AV14" s="371">
        <v>0.39977245637157199</v>
      </c>
      <c r="AW14" s="371">
        <v>0.591929915714969</v>
      </c>
      <c r="AX14" s="371">
        <v>0.48147168624514902</v>
      </c>
      <c r="AY14" s="371">
        <v>0.11045822946981899</v>
      </c>
      <c r="AZ14" s="371">
        <f t="shared" si="1"/>
        <v>0.10384195170071059</v>
      </c>
      <c r="BA14" s="371">
        <f t="shared" si="2"/>
        <v>2.2962689858211458E-2</v>
      </c>
    </row>
    <row r="15" spans="1:53" ht="15.4" x14ac:dyDescent="0.45">
      <c r="A15" s="334" t="s">
        <v>46</v>
      </c>
      <c r="B15" s="370">
        <v>60108</v>
      </c>
      <c r="C15" s="370">
        <v>2113101</v>
      </c>
      <c r="D15" s="370">
        <v>8130363</v>
      </c>
      <c r="E15" s="370">
        <v>925712</v>
      </c>
      <c r="F15" s="370">
        <v>2724</v>
      </c>
      <c r="G15" s="370"/>
      <c r="H15" s="370">
        <v>52204</v>
      </c>
      <c r="I15" s="370">
        <v>34709</v>
      </c>
      <c r="J15" s="370">
        <v>42618</v>
      </c>
      <c r="K15" s="370">
        <v>109447</v>
      </c>
      <c r="L15" s="370">
        <v>93672</v>
      </c>
      <c r="M15" s="370">
        <v>616213</v>
      </c>
      <c r="N15" s="370">
        <v>470509</v>
      </c>
      <c r="O15" s="370">
        <v>404058</v>
      </c>
      <c r="P15" s="370">
        <v>2776272</v>
      </c>
      <c r="Q15" s="370">
        <v>38486</v>
      </c>
      <c r="R15" s="370"/>
      <c r="S15" s="370">
        <v>61463</v>
      </c>
      <c r="T15" s="370"/>
      <c r="U15" s="370"/>
      <c r="V15" s="370"/>
      <c r="W15" s="370"/>
      <c r="X15" s="370"/>
      <c r="Y15" s="370">
        <v>15931659</v>
      </c>
      <c r="Z15" s="370">
        <v>10923622</v>
      </c>
      <c r="AA15" s="370">
        <v>5008037</v>
      </c>
      <c r="AB15" s="370">
        <v>5817265</v>
      </c>
      <c r="AC15" s="370">
        <v>3848560</v>
      </c>
      <c r="AD15" s="370">
        <v>5106357</v>
      </c>
      <c r="AE15" s="369">
        <v>10923622</v>
      </c>
      <c r="AF15" s="369">
        <v>668916</v>
      </c>
      <c r="AG15" s="369">
        <v>3340782</v>
      </c>
      <c r="AH15" s="369">
        <v>963328</v>
      </c>
      <c r="AI15" s="369">
        <v>-3833130</v>
      </c>
      <c r="AJ15" s="369">
        <v>1139896</v>
      </c>
      <c r="AK15" s="369">
        <v>13104232</v>
      </c>
      <c r="AL15" s="369">
        <v>0</v>
      </c>
      <c r="AM15" s="369">
        <v>3964343</v>
      </c>
      <c r="AN15" s="369">
        <v>65012639</v>
      </c>
      <c r="AO15" s="369">
        <v>18498383</v>
      </c>
      <c r="AP15" s="369">
        <v>6604969</v>
      </c>
      <c r="AQ15" s="369">
        <v>107184566</v>
      </c>
      <c r="AR15" s="369">
        <v>48176599</v>
      </c>
      <c r="AS15" s="370">
        <v>29480344</v>
      </c>
      <c r="AT15" s="370">
        <v>6722462</v>
      </c>
      <c r="AU15" s="371">
        <v>7.8072585809803599E-2</v>
      </c>
      <c r="AV15" s="371">
        <v>0.32593853807123402</v>
      </c>
      <c r="AW15" s="371">
        <v>1.0451738722084201</v>
      </c>
      <c r="AX15" s="371">
        <v>0.59598887611896201</v>
      </c>
      <c r="AY15" s="371">
        <v>0.449184996089461</v>
      </c>
      <c r="AZ15" s="371">
        <f t="shared" si="1"/>
        <v>1.2249053858250874E-2</v>
      </c>
      <c r="BA15" s="371">
        <f t="shared" si="2"/>
        <v>1.8251968098388766E-3</v>
      </c>
    </row>
    <row r="16" spans="1:53" ht="15.4" x14ac:dyDescent="0.45">
      <c r="A16" s="334" t="s">
        <v>69</v>
      </c>
      <c r="B16" s="370">
        <v>105006</v>
      </c>
      <c r="C16" s="370">
        <v>420022</v>
      </c>
      <c r="D16" s="370">
        <v>11874609</v>
      </c>
      <c r="E16" s="370">
        <v>4862599</v>
      </c>
      <c r="F16" s="370">
        <v>880906</v>
      </c>
      <c r="G16" s="370"/>
      <c r="H16" s="370">
        <v>309378</v>
      </c>
      <c r="I16" s="370">
        <v>154688</v>
      </c>
      <c r="J16" s="370"/>
      <c r="K16" s="370">
        <v>464065</v>
      </c>
      <c r="L16" s="370">
        <v>77344</v>
      </c>
      <c r="M16" s="370">
        <v>541408</v>
      </c>
      <c r="N16" s="370">
        <v>401995</v>
      </c>
      <c r="O16" s="370">
        <v>267996</v>
      </c>
      <c r="P16" s="370">
        <v>690697</v>
      </c>
      <c r="Q16" s="370">
        <v>11270</v>
      </c>
      <c r="R16" s="370">
        <v>1252</v>
      </c>
      <c r="S16" s="370"/>
      <c r="T16" s="370"/>
      <c r="U16" s="370"/>
      <c r="V16" s="370"/>
      <c r="W16" s="370"/>
      <c r="X16" s="370"/>
      <c r="Y16" s="370">
        <v>21063235</v>
      </c>
      <c r="Z16" s="370">
        <v>7367453</v>
      </c>
      <c r="AA16" s="370">
        <v>13695782</v>
      </c>
      <c r="AB16" s="370">
        <v>7367453</v>
      </c>
      <c r="AC16" s="370">
        <v>8637778</v>
      </c>
      <c r="AD16" s="370">
        <v>0</v>
      </c>
      <c r="AE16" s="369">
        <v>7367453</v>
      </c>
      <c r="AF16" s="369">
        <v>13004509</v>
      </c>
      <c r="AG16" s="369">
        <v>29151</v>
      </c>
      <c r="AH16" s="369">
        <v>0</v>
      </c>
      <c r="AI16" s="369">
        <v>-8226588</v>
      </c>
      <c r="AJ16" s="369">
        <v>3605304</v>
      </c>
      <c r="AK16" s="369">
        <v>3497267</v>
      </c>
      <c r="AL16" s="369">
        <v>0</v>
      </c>
      <c r="AM16" s="369">
        <v>0</v>
      </c>
      <c r="AN16" s="369">
        <v>74977174</v>
      </c>
      <c r="AO16" s="369">
        <v>12235769</v>
      </c>
      <c r="AP16" s="369">
        <v>50068678</v>
      </c>
      <c r="AQ16" s="369">
        <v>142095486</v>
      </c>
      <c r="AR16" s="369">
        <v>43655618</v>
      </c>
      <c r="AS16" s="370">
        <v>29691284</v>
      </c>
      <c r="AT16" s="370">
        <v>3650613</v>
      </c>
      <c r="AU16" s="371">
        <v>0.75084216724845398</v>
      </c>
      <c r="AV16" s="371">
        <v>0.24915783275154499</v>
      </c>
      <c r="AW16" s="371">
        <v>0.498719940424587</v>
      </c>
      <c r="AX16" s="371">
        <v>0</v>
      </c>
      <c r="AY16" s="371">
        <v>0.498719940424587</v>
      </c>
      <c r="AZ16" s="371">
        <f t="shared" si="1"/>
        <v>1.619446536886051E-2</v>
      </c>
      <c r="BA16" s="371">
        <f t="shared" si="2"/>
        <v>3.5483959630687498E-2</v>
      </c>
    </row>
    <row r="17" spans="1:56" ht="15.4" x14ac:dyDescent="0.45">
      <c r="A17" s="334" t="s">
        <v>29</v>
      </c>
      <c r="B17" s="370"/>
      <c r="C17" s="370"/>
      <c r="D17" s="370"/>
      <c r="E17" s="370"/>
      <c r="F17" s="370"/>
      <c r="G17" s="370"/>
      <c r="H17" s="370"/>
      <c r="I17" s="370"/>
      <c r="J17" s="370"/>
      <c r="K17" s="370"/>
      <c r="L17" s="370"/>
      <c r="M17" s="370"/>
      <c r="N17" s="370"/>
      <c r="O17" s="370"/>
      <c r="P17" s="370"/>
      <c r="Q17" s="370"/>
      <c r="R17" s="370"/>
      <c r="S17" s="370"/>
      <c r="T17" s="370"/>
      <c r="U17" s="370"/>
      <c r="V17" s="370"/>
      <c r="W17" s="370"/>
      <c r="X17" s="370"/>
      <c r="Y17" s="370"/>
      <c r="Z17" s="370"/>
      <c r="AA17" s="370"/>
      <c r="AB17" s="370"/>
      <c r="AC17" s="370"/>
      <c r="AD17" s="370"/>
      <c r="AE17" s="369"/>
      <c r="AF17" s="369"/>
      <c r="AG17" s="369"/>
      <c r="AH17" s="369"/>
      <c r="AI17" s="369"/>
      <c r="AJ17" s="369"/>
      <c r="AK17" s="369"/>
      <c r="AL17" s="369"/>
      <c r="AM17" s="369"/>
      <c r="AN17" s="369"/>
      <c r="AO17" s="369"/>
      <c r="AP17" s="369"/>
      <c r="AQ17" s="369"/>
      <c r="AR17" s="369">
        <v>0</v>
      </c>
      <c r="AS17" s="370"/>
      <c r="AT17" s="370"/>
      <c r="AU17" s="371"/>
      <c r="AV17" s="371"/>
      <c r="AW17" s="371"/>
      <c r="AX17" s="371"/>
      <c r="AY17" s="371"/>
      <c r="AZ17" s="371"/>
      <c r="BA17" s="371"/>
    </row>
    <row r="18" spans="1:56" ht="15.4" x14ac:dyDescent="0.45">
      <c r="A18" s="334" t="s">
        <v>31</v>
      </c>
      <c r="B18" s="370">
        <v>121977</v>
      </c>
      <c r="C18" s="370">
        <v>796347</v>
      </c>
      <c r="D18" s="370">
        <v>3050634</v>
      </c>
      <c r="E18" s="370">
        <v>2372598</v>
      </c>
      <c r="F18" s="370">
        <v>10230</v>
      </c>
      <c r="G18" s="370">
        <v>0</v>
      </c>
      <c r="H18" s="370">
        <v>56266</v>
      </c>
      <c r="I18" s="370">
        <v>64775</v>
      </c>
      <c r="J18" s="370">
        <v>33319</v>
      </c>
      <c r="K18" s="370">
        <v>198380</v>
      </c>
      <c r="L18" s="370">
        <v>45902</v>
      </c>
      <c r="M18" s="370">
        <v>1937319</v>
      </c>
      <c r="N18" s="370">
        <v>44313</v>
      </c>
      <c r="O18" s="370">
        <v>12230</v>
      </c>
      <c r="P18" s="370">
        <v>31396</v>
      </c>
      <c r="Q18" s="370">
        <v>740863</v>
      </c>
      <c r="R18" s="370">
        <v>40100</v>
      </c>
      <c r="S18" s="370">
        <v>532759</v>
      </c>
      <c r="T18" s="370"/>
      <c r="U18" s="370"/>
      <c r="V18" s="370"/>
      <c r="W18" s="370"/>
      <c r="X18" s="370"/>
      <c r="Y18" s="370">
        <v>10089408</v>
      </c>
      <c r="Z18" s="370">
        <v>1436827</v>
      </c>
      <c r="AA18" s="370">
        <v>8652581</v>
      </c>
      <c r="AB18" s="370">
        <v>0</v>
      </c>
      <c r="AC18" s="370">
        <v>4714001</v>
      </c>
      <c r="AD18" s="370">
        <v>1436827</v>
      </c>
      <c r="AE18" s="369">
        <v>1436827</v>
      </c>
      <c r="AF18" s="369">
        <v>8652581</v>
      </c>
      <c r="AG18" s="369">
        <v>12740531.3099999</v>
      </c>
      <c r="AH18" s="369">
        <v>0</v>
      </c>
      <c r="AI18" s="369">
        <v>-4714001</v>
      </c>
      <c r="AJ18" s="369">
        <v>14798470.3099999</v>
      </c>
      <c r="AK18" s="369">
        <v>14496121.359999999</v>
      </c>
      <c r="AL18" s="369">
        <v>0</v>
      </c>
      <c r="AM18" s="369">
        <v>23874241</v>
      </c>
      <c r="AN18" s="369">
        <v>79258596.549999997</v>
      </c>
      <c r="AO18" s="369">
        <v>9644719.6500000004</v>
      </c>
      <c r="AP18" s="369">
        <v>10979283.0699999</v>
      </c>
      <c r="AQ18" s="369">
        <v>138252961.63</v>
      </c>
      <c r="AR18" s="369">
        <v>44075284.319999993</v>
      </c>
      <c r="AS18" s="370">
        <v>42632573</v>
      </c>
      <c r="AT18" s="370">
        <v>0</v>
      </c>
      <c r="AU18" s="371">
        <v>0.85759055437147502</v>
      </c>
      <c r="AV18" s="371">
        <v>0</v>
      </c>
      <c r="AW18" s="371">
        <v>0.60963220042246202</v>
      </c>
      <c r="AX18" s="371">
        <v>0.14240944562852401</v>
      </c>
      <c r="AY18" s="371">
        <v>0.46722275479393799</v>
      </c>
      <c r="AZ18" s="371">
        <f t="shared" ref="AZ18:AZ30" si="3">Y18/$Y$31</f>
        <v>7.7572399704178476E-3</v>
      </c>
      <c r="BA18" s="371">
        <f t="shared" ref="BA18:BA30" si="4">AF18/$AF$31</f>
        <v>2.3609336954225159E-2</v>
      </c>
      <c r="BD18" t="s">
        <v>196</v>
      </c>
    </row>
    <row r="19" spans="1:56" ht="15.4" x14ac:dyDescent="0.45">
      <c r="A19" s="334" t="s">
        <v>32</v>
      </c>
      <c r="B19" s="370">
        <v>4794497</v>
      </c>
      <c r="C19" s="370"/>
      <c r="D19" s="370">
        <v>24977742</v>
      </c>
      <c r="E19" s="370"/>
      <c r="F19" s="370"/>
      <c r="G19" s="370"/>
      <c r="H19" s="370">
        <v>825430</v>
      </c>
      <c r="I19" s="370"/>
      <c r="J19" s="370">
        <v>64028</v>
      </c>
      <c r="K19" s="370">
        <v>175100</v>
      </c>
      <c r="L19" s="370"/>
      <c r="M19" s="370"/>
      <c r="N19" s="370">
        <v>6716761</v>
      </c>
      <c r="O19" s="370"/>
      <c r="P19" s="370">
        <v>1138239</v>
      </c>
      <c r="Q19" s="370">
        <v>25258223</v>
      </c>
      <c r="R19" s="370"/>
      <c r="S19" s="370"/>
      <c r="T19" s="370"/>
      <c r="U19" s="370"/>
      <c r="V19" s="370"/>
      <c r="W19" s="370"/>
      <c r="X19" s="370"/>
      <c r="Y19" s="370">
        <v>63950020</v>
      </c>
      <c r="Z19" s="370">
        <v>34643336</v>
      </c>
      <c r="AA19" s="370">
        <v>29306684</v>
      </c>
      <c r="AB19" s="370">
        <v>21558498</v>
      </c>
      <c r="AC19" s="370">
        <v>4864253</v>
      </c>
      <c r="AD19" s="370">
        <v>13084838</v>
      </c>
      <c r="AE19" s="369">
        <v>34643336</v>
      </c>
      <c r="AF19" s="369">
        <v>28413620</v>
      </c>
      <c r="AG19" s="369">
        <v>5196036</v>
      </c>
      <c r="AH19" s="369">
        <v>0</v>
      </c>
      <c r="AI19" s="369">
        <v>-4648196</v>
      </c>
      <c r="AJ19" s="369">
        <v>20471457</v>
      </c>
      <c r="AK19" s="369">
        <v>28542218</v>
      </c>
      <c r="AL19" s="369">
        <v>0</v>
      </c>
      <c r="AM19" s="369">
        <v>0</v>
      </c>
      <c r="AN19" s="369">
        <v>153013491</v>
      </c>
      <c r="AO19" s="369">
        <v>12648466</v>
      </c>
      <c r="AP19" s="369">
        <v>5788517</v>
      </c>
      <c r="AQ19" s="369">
        <v>199992692</v>
      </c>
      <c r="AR19" s="369">
        <v>110220619</v>
      </c>
      <c r="AS19" s="370">
        <v>51721038</v>
      </c>
      <c r="AT19" s="370">
        <v>0</v>
      </c>
      <c r="AU19" s="371">
        <v>0.48153435770882003</v>
      </c>
      <c r="AV19" s="371">
        <v>0.29671286802116398</v>
      </c>
      <c r="AW19" s="371">
        <v>0.30418876602636902</v>
      </c>
      <c r="AX19" s="371">
        <v>0.221752774270014</v>
      </c>
      <c r="AY19" s="371">
        <v>8.2435991756355007E-2</v>
      </c>
      <c r="AZ19" s="371">
        <f t="shared" si="3"/>
        <v>4.9167964191062626E-2</v>
      </c>
      <c r="BA19" s="371">
        <f t="shared" si="4"/>
        <v>7.7529089721241673E-2</v>
      </c>
    </row>
    <row r="20" spans="1:56" ht="15.4" x14ac:dyDescent="0.45">
      <c r="A20" s="334" t="s">
        <v>33</v>
      </c>
      <c r="B20" s="370">
        <v>215361</v>
      </c>
      <c r="C20" s="370">
        <v>8262426</v>
      </c>
      <c r="D20" s="370">
        <v>30573185</v>
      </c>
      <c r="E20" s="370">
        <v>11061598</v>
      </c>
      <c r="F20" s="370">
        <v>82980</v>
      </c>
      <c r="G20" s="370"/>
      <c r="H20" s="370">
        <v>302357</v>
      </c>
      <c r="I20" s="370">
        <v>114307</v>
      </c>
      <c r="J20" s="370">
        <v>264492</v>
      </c>
      <c r="K20" s="370">
        <v>1095043</v>
      </c>
      <c r="L20" s="370">
        <v>275167</v>
      </c>
      <c r="M20" s="370">
        <v>1506184</v>
      </c>
      <c r="N20" s="370">
        <v>886496</v>
      </c>
      <c r="O20" s="370">
        <v>4417825</v>
      </c>
      <c r="P20" s="370">
        <v>7365637</v>
      </c>
      <c r="Q20" s="370">
        <v>2445554</v>
      </c>
      <c r="R20" s="370">
        <v>24828</v>
      </c>
      <c r="S20" s="370"/>
      <c r="T20" s="370"/>
      <c r="U20" s="370"/>
      <c r="V20" s="370"/>
      <c r="W20" s="370"/>
      <c r="X20" s="370"/>
      <c r="Y20" s="370">
        <v>68893440</v>
      </c>
      <c r="Z20" s="370">
        <v>19907847</v>
      </c>
      <c r="AA20" s="370">
        <v>48985593</v>
      </c>
      <c r="AB20" s="370">
        <v>9573831</v>
      </c>
      <c r="AC20" s="370">
        <v>29716147</v>
      </c>
      <c r="AD20" s="370">
        <v>10334016</v>
      </c>
      <c r="AE20" s="369">
        <v>19907847</v>
      </c>
      <c r="AF20" s="369">
        <v>38267662</v>
      </c>
      <c r="AG20" s="369">
        <v>378535</v>
      </c>
      <c r="AH20" s="369">
        <v>1624741</v>
      </c>
      <c r="AI20" s="369">
        <v>-27185486</v>
      </c>
      <c r="AJ20" s="369">
        <v>9814090</v>
      </c>
      <c r="AK20" s="369">
        <v>4993116</v>
      </c>
      <c r="AL20" s="369">
        <v>0</v>
      </c>
      <c r="AM20" s="369">
        <v>8983952</v>
      </c>
      <c r="AN20" s="369">
        <v>117669261</v>
      </c>
      <c r="AO20" s="369">
        <v>38070451</v>
      </c>
      <c r="AP20" s="369">
        <v>11708787</v>
      </c>
      <c r="AQ20" s="369">
        <v>182259317</v>
      </c>
      <c r="AR20" s="369">
        <v>90527732</v>
      </c>
      <c r="AS20" s="370">
        <v>78761349</v>
      </c>
      <c r="AT20" s="370">
        <v>2994652</v>
      </c>
      <c r="AU20" s="371">
        <v>0.67236707841870902</v>
      </c>
      <c r="AV20" s="371">
        <v>0.14606311085566501</v>
      </c>
      <c r="AW20" s="371">
        <v>0.70368581928269103</v>
      </c>
      <c r="AX20" s="371">
        <v>0.181569810725625</v>
      </c>
      <c r="AY20" s="371">
        <v>0.52211600855706497</v>
      </c>
      <c r="AZ20" s="371">
        <f t="shared" si="3"/>
        <v>5.2968711986628329E-2</v>
      </c>
      <c r="BA20" s="371">
        <f t="shared" si="4"/>
        <v>0.10441671989067745</v>
      </c>
    </row>
    <row r="21" spans="1:56" ht="15.4" x14ac:dyDescent="0.45">
      <c r="A21" s="334" t="s">
        <v>34</v>
      </c>
      <c r="B21" s="370">
        <v>9110</v>
      </c>
      <c r="C21" s="370">
        <v>399068</v>
      </c>
      <c r="D21" s="370">
        <v>11571743</v>
      </c>
      <c r="E21" s="370">
        <v>15238428</v>
      </c>
      <c r="F21" s="370">
        <v>35318</v>
      </c>
      <c r="G21" s="370">
        <v>0</v>
      </c>
      <c r="H21" s="370">
        <v>51878</v>
      </c>
      <c r="I21" s="370">
        <v>3842</v>
      </c>
      <c r="J21" s="370">
        <v>0</v>
      </c>
      <c r="K21" s="370">
        <v>99695</v>
      </c>
      <c r="L21" s="370">
        <v>3059</v>
      </c>
      <c r="M21" s="370">
        <v>1224785</v>
      </c>
      <c r="N21" s="370">
        <v>38938</v>
      </c>
      <c r="O21" s="370">
        <v>296060</v>
      </c>
      <c r="P21" s="370">
        <v>1370366</v>
      </c>
      <c r="Q21" s="370">
        <v>3239</v>
      </c>
      <c r="R21" s="370">
        <v>0</v>
      </c>
      <c r="S21" s="370">
        <v>0</v>
      </c>
      <c r="T21" s="370">
        <v>0</v>
      </c>
      <c r="U21" s="370">
        <v>0</v>
      </c>
      <c r="V21" s="370">
        <v>0</v>
      </c>
      <c r="W21" s="370">
        <v>0</v>
      </c>
      <c r="X21" s="370">
        <v>0</v>
      </c>
      <c r="Y21" s="370">
        <v>30345529</v>
      </c>
      <c r="Z21" s="370">
        <v>12537758</v>
      </c>
      <c r="AA21" s="370">
        <v>17807771</v>
      </c>
      <c r="AB21" s="370">
        <v>2513884</v>
      </c>
      <c r="AC21" s="370">
        <v>7718577</v>
      </c>
      <c r="AD21" s="370">
        <v>10023874</v>
      </c>
      <c r="AE21" s="369">
        <v>12537758</v>
      </c>
      <c r="AF21" s="369">
        <v>12622002</v>
      </c>
      <c r="AG21" s="369">
        <v>2593150</v>
      </c>
      <c r="AH21" s="369">
        <v>239118</v>
      </c>
      <c r="AI21" s="369">
        <v>-7557760</v>
      </c>
      <c r="AJ21" s="369">
        <v>5527557</v>
      </c>
      <c r="AK21" s="369">
        <v>10998152</v>
      </c>
      <c r="AL21" s="369">
        <v>10967419</v>
      </c>
      <c r="AM21" s="369">
        <v>4567017</v>
      </c>
      <c r="AN21" s="369">
        <v>81041601</v>
      </c>
      <c r="AO21" s="369">
        <v>13883074</v>
      </c>
      <c r="AP21" s="369">
        <v>28278643</v>
      </c>
      <c r="AQ21" s="369">
        <v>149735906</v>
      </c>
      <c r="AR21" s="369">
        <v>60950265</v>
      </c>
      <c r="AS21" s="370">
        <v>34872626</v>
      </c>
      <c r="AT21" s="370">
        <v>7651478</v>
      </c>
      <c r="AU21" s="371">
        <v>0.52944674795083702</v>
      </c>
      <c r="AV21" s="371">
        <v>5.0088456435205597E-2</v>
      </c>
      <c r="AW21" s="371">
        <v>0.74423082666498397</v>
      </c>
      <c r="AX21" s="371">
        <v>0.420464795613956</v>
      </c>
      <c r="AY21" s="371">
        <v>0.32376603105102703</v>
      </c>
      <c r="AZ21" s="371">
        <f t="shared" si="3"/>
        <v>2.3331155850003681E-2</v>
      </c>
      <c r="BA21" s="371">
        <f t="shared" si="4"/>
        <v>3.4440255255039375E-2</v>
      </c>
    </row>
    <row r="22" spans="1:56" ht="15.4" x14ac:dyDescent="0.45">
      <c r="A22" s="334" t="s">
        <v>35</v>
      </c>
      <c r="B22" s="370"/>
      <c r="C22" s="370">
        <v>6522130</v>
      </c>
      <c r="D22" s="370">
        <v>21594110</v>
      </c>
      <c r="E22" s="370"/>
      <c r="F22" s="370"/>
      <c r="G22" s="370"/>
      <c r="H22" s="370">
        <v>-83898</v>
      </c>
      <c r="I22" s="370"/>
      <c r="J22" s="370"/>
      <c r="K22" s="370"/>
      <c r="L22" s="370"/>
      <c r="M22" s="370">
        <v>-1642389</v>
      </c>
      <c r="N22" s="370">
        <v>1337629</v>
      </c>
      <c r="O22" s="370"/>
      <c r="P22" s="370">
        <v>1220846</v>
      </c>
      <c r="Q22" s="370"/>
      <c r="R22" s="370">
        <v>698156</v>
      </c>
      <c r="S22" s="370"/>
      <c r="T22" s="370"/>
      <c r="U22" s="370"/>
      <c r="V22" s="370"/>
      <c r="W22" s="370"/>
      <c r="X22" s="370"/>
      <c r="Y22" s="370">
        <v>29646584</v>
      </c>
      <c r="Z22" s="370">
        <v>20228933</v>
      </c>
      <c r="AA22" s="370">
        <v>9417651</v>
      </c>
      <c r="AB22" s="370">
        <v>15604367</v>
      </c>
      <c r="AC22" s="370">
        <v>14609755</v>
      </c>
      <c r="AD22" s="370">
        <v>4624566</v>
      </c>
      <c r="AE22" s="369">
        <v>20228933</v>
      </c>
      <c r="AF22" s="369">
        <v>13945086</v>
      </c>
      <c r="AG22" s="369">
        <v>2519867</v>
      </c>
      <c r="AH22" s="369">
        <v>-509636</v>
      </c>
      <c r="AI22" s="369">
        <v>-14441348</v>
      </c>
      <c r="AJ22" s="369">
        <v>-1515263</v>
      </c>
      <c r="AK22" s="369">
        <v>13737859</v>
      </c>
      <c r="AL22" s="369">
        <v>0</v>
      </c>
      <c r="AM22" s="369">
        <v>27365324</v>
      </c>
      <c r="AN22" s="369">
        <v>71068828</v>
      </c>
      <c r="AO22" s="369">
        <v>15941031</v>
      </c>
      <c r="AP22" s="369">
        <v>31269782</v>
      </c>
      <c r="AQ22" s="369">
        <v>160365171</v>
      </c>
      <c r="AR22" s="369">
        <v>90913428</v>
      </c>
      <c r="AS22" s="370">
        <v>67982162</v>
      </c>
      <c r="AT22" s="370">
        <v>0</v>
      </c>
      <c r="AU22" s="371">
        <v>0.47037749779198801</v>
      </c>
      <c r="AV22" s="371">
        <v>0.37363265865639</v>
      </c>
      <c r="AW22" s="371">
        <v>0.64878709128849299</v>
      </c>
      <c r="AX22" s="371">
        <v>0.15598984355162099</v>
      </c>
      <c r="AY22" s="371">
        <v>0.492797247736872</v>
      </c>
      <c r="AZ22" s="371">
        <f t="shared" si="3"/>
        <v>2.2793772081687074E-2</v>
      </c>
      <c r="BA22" s="371">
        <f t="shared" si="4"/>
        <v>3.8050407644799618E-2</v>
      </c>
    </row>
    <row r="23" spans="1:56" ht="15.4" x14ac:dyDescent="0.45">
      <c r="A23" s="334" t="s">
        <v>36</v>
      </c>
      <c r="B23" s="370"/>
      <c r="C23" s="370"/>
      <c r="D23" s="370"/>
      <c r="E23" s="370"/>
      <c r="F23" s="370"/>
      <c r="G23" s="370"/>
      <c r="H23" s="370"/>
      <c r="I23" s="370"/>
      <c r="J23" s="370"/>
      <c r="K23" s="370"/>
      <c r="L23" s="370"/>
      <c r="M23" s="370"/>
      <c r="N23" s="370"/>
      <c r="O23" s="370"/>
      <c r="P23" s="370"/>
      <c r="Q23" s="370"/>
      <c r="R23" s="370"/>
      <c r="S23" s="370"/>
      <c r="T23" s="370"/>
      <c r="U23" s="370"/>
      <c r="V23" s="370"/>
      <c r="W23" s="370"/>
      <c r="X23" s="370"/>
      <c r="Y23" s="370"/>
      <c r="Z23" s="370"/>
      <c r="AA23" s="370"/>
      <c r="AB23" s="370"/>
      <c r="AC23" s="370"/>
      <c r="AD23" s="370"/>
      <c r="AE23" s="369"/>
      <c r="AF23" s="369"/>
      <c r="AG23" s="369"/>
      <c r="AH23" s="369"/>
      <c r="AI23" s="369"/>
      <c r="AJ23" s="369"/>
      <c r="AK23" s="369"/>
      <c r="AL23" s="369"/>
      <c r="AM23" s="369"/>
      <c r="AN23" s="369"/>
      <c r="AO23" s="369"/>
      <c r="AP23" s="369"/>
      <c r="AQ23" s="369"/>
      <c r="AR23" s="369">
        <v>0</v>
      </c>
      <c r="AS23" s="370"/>
      <c r="AT23" s="370"/>
      <c r="AU23" s="371"/>
      <c r="AV23" s="371"/>
      <c r="AW23" s="371"/>
      <c r="AX23" s="371"/>
      <c r="AY23" s="371"/>
      <c r="AZ23" s="371">
        <f t="shared" si="3"/>
        <v>0</v>
      </c>
      <c r="BA23" s="371">
        <f t="shared" si="4"/>
        <v>0</v>
      </c>
    </row>
    <row r="24" spans="1:56" ht="15.4" x14ac:dyDescent="0.45">
      <c r="A24" s="334" t="s">
        <v>197</v>
      </c>
      <c r="B24" s="370"/>
      <c r="C24" s="370">
        <v>3842623</v>
      </c>
      <c r="D24" s="370">
        <v>15245456</v>
      </c>
      <c r="E24" s="370"/>
      <c r="F24" s="370"/>
      <c r="G24" s="370"/>
      <c r="H24" s="370">
        <v>4250169</v>
      </c>
      <c r="I24" s="370"/>
      <c r="J24" s="370">
        <v>313180</v>
      </c>
      <c r="K24" s="370">
        <v>817954</v>
      </c>
      <c r="L24" s="370"/>
      <c r="M24" s="370"/>
      <c r="N24" s="370">
        <v>366944</v>
      </c>
      <c r="O24" s="370"/>
      <c r="P24" s="370">
        <v>1175821</v>
      </c>
      <c r="Q24" s="370">
        <v>4795161</v>
      </c>
      <c r="R24" s="370"/>
      <c r="S24" s="370"/>
      <c r="T24" s="370"/>
      <c r="U24" s="370"/>
      <c r="V24" s="370"/>
      <c r="W24" s="370"/>
      <c r="X24" s="370"/>
      <c r="Y24" s="370">
        <v>30807308</v>
      </c>
      <c r="Z24" s="370">
        <v>14217177</v>
      </c>
      <c r="AA24" s="370">
        <v>16590131</v>
      </c>
      <c r="AB24" s="370">
        <v>10372504</v>
      </c>
      <c r="AC24" s="370">
        <v>11788842</v>
      </c>
      <c r="AD24" s="370">
        <v>3844673</v>
      </c>
      <c r="AE24" s="369">
        <v>14217177</v>
      </c>
      <c r="AF24" s="369">
        <v>12078578</v>
      </c>
      <c r="AG24" s="369">
        <v>6435519</v>
      </c>
      <c r="AH24" s="369">
        <v>0</v>
      </c>
      <c r="AI24" s="369">
        <v>-11788842</v>
      </c>
      <c r="AJ24" s="369">
        <v>4707817</v>
      </c>
      <c r="AK24" s="369">
        <v>36338211</v>
      </c>
      <c r="AL24" s="369">
        <v>14127286</v>
      </c>
      <c r="AM24" s="369">
        <v>79498023</v>
      </c>
      <c r="AN24" s="369">
        <v>226222254</v>
      </c>
      <c r="AO24" s="369">
        <v>17962700</v>
      </c>
      <c r="AP24" s="369">
        <v>4304880</v>
      </c>
      <c r="AQ24" s="369">
        <v>378643902</v>
      </c>
      <c r="AR24" s="369">
        <v>203173762</v>
      </c>
      <c r="AS24" s="370">
        <v>144745378</v>
      </c>
      <c r="AT24" s="370">
        <v>7333625</v>
      </c>
      <c r="AU24" s="371">
        <v>0.61321549680516696</v>
      </c>
      <c r="AV24" s="371">
        <v>0.191594882053303</v>
      </c>
      <c r="AW24" s="371">
        <v>0.79369555485223697</v>
      </c>
      <c r="AX24" s="371">
        <v>0.19518962114152899</v>
      </c>
      <c r="AY24" s="371">
        <v>0.59850593371070804</v>
      </c>
      <c r="AZ24" s="371">
        <f t="shared" si="3"/>
        <v>2.3686194571433082E-2</v>
      </c>
      <c r="BA24" s="371">
        <f t="shared" si="4"/>
        <v>3.2957474530419424E-2</v>
      </c>
    </row>
    <row r="25" spans="1:56" ht="15.4" x14ac:dyDescent="0.45">
      <c r="A25" s="334" t="s">
        <v>77</v>
      </c>
      <c r="B25" s="370">
        <v>9179638</v>
      </c>
      <c r="C25" s="370">
        <v>16896159</v>
      </c>
      <c r="D25" s="370">
        <v>1653304</v>
      </c>
      <c r="E25" s="370">
        <v>115996</v>
      </c>
      <c r="F25" s="370">
        <v>666256</v>
      </c>
      <c r="G25" s="370">
        <v>3789031</v>
      </c>
      <c r="H25" s="370">
        <v>12883</v>
      </c>
      <c r="I25" s="370">
        <v>54368</v>
      </c>
      <c r="J25" s="370">
        <v>0</v>
      </c>
      <c r="K25" s="370">
        <v>3189</v>
      </c>
      <c r="L25" s="370">
        <v>42367</v>
      </c>
      <c r="M25" s="370">
        <v>531112</v>
      </c>
      <c r="N25" s="370">
        <v>726720</v>
      </c>
      <c r="O25" s="370">
        <v>0</v>
      </c>
      <c r="P25" s="370">
        <v>205795</v>
      </c>
      <c r="Q25" s="370">
        <v>13402</v>
      </c>
      <c r="R25" s="370">
        <v>102174</v>
      </c>
      <c r="S25" s="370">
        <v>0</v>
      </c>
      <c r="T25" s="370">
        <v>0</v>
      </c>
      <c r="U25" s="370">
        <v>0</v>
      </c>
      <c r="V25" s="370">
        <v>0</v>
      </c>
      <c r="W25" s="370">
        <v>0</v>
      </c>
      <c r="X25" s="370">
        <v>0</v>
      </c>
      <c r="Y25" s="370">
        <v>33992394</v>
      </c>
      <c r="Z25" s="370">
        <v>4756353</v>
      </c>
      <c r="AA25" s="370">
        <v>29236041</v>
      </c>
      <c r="AB25" s="370">
        <v>3418940</v>
      </c>
      <c r="AC25" s="370">
        <v>17595758</v>
      </c>
      <c r="AD25" s="370">
        <v>1337413</v>
      </c>
      <c r="AE25" s="369">
        <v>4756353</v>
      </c>
      <c r="AF25" s="369">
        <v>17134676</v>
      </c>
      <c r="AG25" s="369">
        <v>1695940</v>
      </c>
      <c r="AH25" s="369">
        <v>0</v>
      </c>
      <c r="AI25" s="369">
        <v>-17595758</v>
      </c>
      <c r="AJ25" s="369">
        <v>864401</v>
      </c>
      <c r="AK25" s="369">
        <v>295272</v>
      </c>
      <c r="AL25" s="369">
        <v>0</v>
      </c>
      <c r="AM25" s="369">
        <v>39648573</v>
      </c>
      <c r="AN25" s="369">
        <v>63402921</v>
      </c>
      <c r="AO25" s="369">
        <v>38482360</v>
      </c>
      <c r="AP25" s="369">
        <v>6212944</v>
      </c>
      <c r="AQ25" s="369">
        <v>148042070</v>
      </c>
      <c r="AR25" s="369">
        <v>70628073</v>
      </c>
      <c r="AS25" s="370">
        <v>57315728</v>
      </c>
      <c r="AT25" s="370">
        <v>0</v>
      </c>
      <c r="AU25" s="371">
        <v>0.78272592850706102</v>
      </c>
      <c r="AV25" s="371">
        <v>0.15617995846609101</v>
      </c>
      <c r="AW25" s="371">
        <v>0.86488264210878296</v>
      </c>
      <c r="AX25" s="371">
        <v>6.1094113026847599E-2</v>
      </c>
      <c r="AY25" s="371">
        <v>0.80378852908193499</v>
      </c>
      <c r="AZ25" s="371">
        <f t="shared" si="3"/>
        <v>2.6135047509922467E-2</v>
      </c>
      <c r="BA25" s="371">
        <f t="shared" si="4"/>
        <v>4.6753487691762137E-2</v>
      </c>
    </row>
    <row r="26" spans="1:56" ht="15.4" x14ac:dyDescent="0.45">
      <c r="A26" s="334" t="s">
        <v>39</v>
      </c>
      <c r="B26" s="370"/>
      <c r="C26" s="370"/>
      <c r="D26" s="370"/>
      <c r="E26" s="370"/>
      <c r="F26" s="370"/>
      <c r="G26" s="370"/>
      <c r="H26" s="370"/>
      <c r="I26" s="370"/>
      <c r="J26" s="370"/>
      <c r="K26" s="370"/>
      <c r="L26" s="370"/>
      <c r="M26" s="370"/>
      <c r="N26" s="370"/>
      <c r="O26" s="370"/>
      <c r="P26" s="370"/>
      <c r="Q26" s="370"/>
      <c r="R26" s="370"/>
      <c r="S26" s="370"/>
      <c r="T26" s="370"/>
      <c r="U26" s="370"/>
      <c r="V26" s="370"/>
      <c r="W26" s="370"/>
      <c r="X26" s="370"/>
      <c r="Y26" s="370"/>
      <c r="Z26" s="370"/>
      <c r="AA26" s="370"/>
      <c r="AB26" s="370"/>
      <c r="AC26" s="370"/>
      <c r="AD26" s="370"/>
      <c r="AE26" s="369"/>
      <c r="AF26" s="369"/>
      <c r="AG26" s="369"/>
      <c r="AH26" s="369"/>
      <c r="AI26" s="369"/>
      <c r="AJ26" s="369"/>
      <c r="AK26" s="369"/>
      <c r="AL26" s="369"/>
      <c r="AM26" s="369"/>
      <c r="AN26" s="369"/>
      <c r="AO26" s="369"/>
      <c r="AP26" s="369"/>
      <c r="AQ26" s="369"/>
      <c r="AR26" s="369">
        <v>0</v>
      </c>
      <c r="AS26" s="370"/>
      <c r="AT26" s="370"/>
      <c r="AU26" s="371"/>
      <c r="AV26" s="371"/>
      <c r="AW26" s="371"/>
      <c r="AX26" s="371"/>
      <c r="AY26" s="371"/>
      <c r="AZ26" s="371">
        <f t="shared" si="3"/>
        <v>0</v>
      </c>
      <c r="BA26" s="371">
        <f t="shared" si="4"/>
        <v>0</v>
      </c>
    </row>
    <row r="27" spans="1:56" ht="15.4" x14ac:dyDescent="0.45">
      <c r="A27" s="334" t="s">
        <v>40</v>
      </c>
      <c r="B27" s="370"/>
      <c r="C27" s="370">
        <v>46827947</v>
      </c>
      <c r="D27" s="370">
        <v>48026187</v>
      </c>
      <c r="E27" s="370"/>
      <c r="F27" s="370"/>
      <c r="G27" s="370"/>
      <c r="H27" s="370">
        <v>14345690</v>
      </c>
      <c r="I27" s="370"/>
      <c r="J27" s="370">
        <v>1295442</v>
      </c>
      <c r="K27" s="370"/>
      <c r="L27" s="370"/>
      <c r="M27" s="370"/>
      <c r="N27" s="370">
        <v>8463619</v>
      </c>
      <c r="O27" s="370"/>
      <c r="P27" s="370">
        <v>5663675</v>
      </c>
      <c r="Q27" s="370"/>
      <c r="R27" s="370"/>
      <c r="S27" s="370">
        <v>2041442</v>
      </c>
      <c r="T27" s="370"/>
      <c r="U27" s="370"/>
      <c r="V27" s="370"/>
      <c r="W27" s="370"/>
      <c r="X27" s="370"/>
      <c r="Y27" s="370">
        <v>126664002</v>
      </c>
      <c r="Z27" s="370">
        <v>17424635</v>
      </c>
      <c r="AA27" s="370">
        <v>109239367</v>
      </c>
      <c r="AB27" s="370">
        <v>-6808638</v>
      </c>
      <c r="AC27" s="370">
        <v>20094626</v>
      </c>
      <c r="AD27" s="370">
        <v>24233273</v>
      </c>
      <c r="AE27" s="369">
        <v>17424635</v>
      </c>
      <c r="AF27" s="369">
        <v>34674405</v>
      </c>
      <c r="AG27" s="369">
        <v>3681237</v>
      </c>
      <c r="AH27" s="369">
        <v>327795</v>
      </c>
      <c r="AI27" s="369">
        <v>-19889845</v>
      </c>
      <c r="AJ27" s="369">
        <v>11709591</v>
      </c>
      <c r="AK27" s="369">
        <v>18664792</v>
      </c>
      <c r="AL27" s="369">
        <v>7778664</v>
      </c>
      <c r="AM27" s="369">
        <v>86831399</v>
      </c>
      <c r="AN27" s="369">
        <v>851388735</v>
      </c>
      <c r="AO27" s="369">
        <v>85741789</v>
      </c>
      <c r="AP27" s="369">
        <v>13830221</v>
      </c>
      <c r="AQ27" s="369">
        <v>1106612685</v>
      </c>
      <c r="AR27" s="369">
        <v>450202316</v>
      </c>
      <c r="AS27" s="370">
        <v>201274316</v>
      </c>
      <c r="AT27" s="370">
        <v>68634795</v>
      </c>
      <c r="AU27" s="371">
        <v>0.466234189330687</v>
      </c>
      <c r="AV27" s="371">
        <v>0.20792372651576399</v>
      </c>
      <c r="AW27" s="371">
        <v>0.59603566535597596</v>
      </c>
      <c r="AX27" s="371">
        <v>0.32584208415354798</v>
      </c>
      <c r="AY27" s="371">
        <v>0.27019358120242698</v>
      </c>
      <c r="AZ27" s="371">
        <f t="shared" si="3"/>
        <v>9.738560073370868E-2</v>
      </c>
      <c r="BA27" s="371">
        <f t="shared" si="4"/>
        <v>9.4612198525765856E-2</v>
      </c>
    </row>
    <row r="28" spans="1:56" ht="15.4" x14ac:dyDescent="0.45">
      <c r="A28" s="334" t="s">
        <v>90</v>
      </c>
      <c r="B28" s="370">
        <v>8126760</v>
      </c>
      <c r="C28" s="370"/>
      <c r="D28" s="370">
        <v>17993257</v>
      </c>
      <c r="E28" s="370"/>
      <c r="F28" s="370"/>
      <c r="G28" s="370"/>
      <c r="H28" s="370">
        <v>2399352</v>
      </c>
      <c r="I28" s="370"/>
      <c r="J28" s="370"/>
      <c r="K28" s="370"/>
      <c r="L28" s="370"/>
      <c r="M28" s="370"/>
      <c r="N28" s="370">
        <v>1524128</v>
      </c>
      <c r="O28" s="370"/>
      <c r="P28" s="370">
        <v>1148238</v>
      </c>
      <c r="Q28" s="370">
        <v>189184</v>
      </c>
      <c r="R28" s="370"/>
      <c r="S28" s="370"/>
      <c r="T28" s="370"/>
      <c r="U28" s="370"/>
      <c r="V28" s="370"/>
      <c r="W28" s="370"/>
      <c r="X28" s="370"/>
      <c r="Y28" s="370">
        <v>31380919</v>
      </c>
      <c r="Z28" s="370">
        <v>29145605</v>
      </c>
      <c r="AA28" s="370">
        <v>2235314</v>
      </c>
      <c r="AB28" s="370">
        <v>11239041</v>
      </c>
      <c r="AC28" s="370">
        <v>3308951</v>
      </c>
      <c r="AD28" s="370">
        <v>17906564</v>
      </c>
      <c r="AE28" s="369">
        <v>29145605</v>
      </c>
      <c r="AF28" s="369">
        <v>5117710</v>
      </c>
      <c r="AG28" s="369">
        <v>8198195</v>
      </c>
      <c r="AH28" s="369">
        <v>0</v>
      </c>
      <c r="AI28" s="369">
        <v>-3248856</v>
      </c>
      <c r="AJ28" s="369">
        <v>7730692</v>
      </c>
      <c r="AK28" s="369">
        <v>14590075</v>
      </c>
      <c r="AL28" s="369">
        <v>0</v>
      </c>
      <c r="AM28" s="369">
        <v>19477695</v>
      </c>
      <c r="AN28" s="369">
        <v>124839256</v>
      </c>
      <c r="AO28" s="369">
        <v>12101168</v>
      </c>
      <c r="AP28" s="369">
        <v>15268742</v>
      </c>
      <c r="AQ28" s="369">
        <v>186276936</v>
      </c>
      <c r="AR28" s="369">
        <v>87998921</v>
      </c>
      <c r="AS28" s="370">
        <v>73698700</v>
      </c>
      <c r="AT28" s="370">
        <v>0</v>
      </c>
      <c r="AU28" s="371">
        <v>0.17007414130705201</v>
      </c>
      <c r="AV28" s="371">
        <v>0.23484651733523501</v>
      </c>
      <c r="AW28" s="371">
        <v>0.70504395442725099</v>
      </c>
      <c r="AX28" s="371">
        <v>0.59507934135771101</v>
      </c>
      <c r="AY28" s="371">
        <v>0.109964613069539</v>
      </c>
      <c r="AZ28" s="371">
        <f t="shared" si="3"/>
        <v>2.4127215310873033E-2</v>
      </c>
      <c r="BA28" s="371">
        <f t="shared" si="4"/>
        <v>1.3964126984076501E-2</v>
      </c>
    </row>
    <row r="29" spans="1:56" ht="15.4" x14ac:dyDescent="0.45">
      <c r="A29" s="334" t="s">
        <v>41</v>
      </c>
      <c r="B29" s="370">
        <v>282645</v>
      </c>
      <c r="C29" s="370">
        <v>1070963</v>
      </c>
      <c r="D29" s="370">
        <v>12008587</v>
      </c>
      <c r="E29" s="370">
        <v>6615591</v>
      </c>
      <c r="F29" s="370">
        <v>14315</v>
      </c>
      <c r="G29" s="370">
        <v>0</v>
      </c>
      <c r="H29" s="370">
        <v>75568</v>
      </c>
      <c r="I29" s="370">
        <v>15620</v>
      </c>
      <c r="J29" s="370">
        <v>424496</v>
      </c>
      <c r="K29" s="370">
        <v>738961</v>
      </c>
      <c r="L29" s="370">
        <v>116173</v>
      </c>
      <c r="M29" s="370">
        <v>306873</v>
      </c>
      <c r="N29" s="370">
        <v>22604</v>
      </c>
      <c r="O29" s="370">
        <v>2569</v>
      </c>
      <c r="P29" s="370">
        <v>68603</v>
      </c>
      <c r="Q29" s="370">
        <v>37504</v>
      </c>
      <c r="R29" s="370">
        <v>1455</v>
      </c>
      <c r="S29" s="370"/>
      <c r="T29" s="370"/>
      <c r="U29" s="370"/>
      <c r="V29" s="370"/>
      <c r="W29" s="370"/>
      <c r="X29" s="370"/>
      <c r="Y29" s="370">
        <v>21802527</v>
      </c>
      <c r="Z29" s="370">
        <v>14485172</v>
      </c>
      <c r="AA29" s="370">
        <v>7317355</v>
      </c>
      <c r="AB29" s="370">
        <v>8886437</v>
      </c>
      <c r="AC29" s="370">
        <v>4139860</v>
      </c>
      <c r="AD29" s="370">
        <v>5598735</v>
      </c>
      <c r="AE29" s="369">
        <v>14485172</v>
      </c>
      <c r="AF29" s="369">
        <v>5670762</v>
      </c>
      <c r="AG29" s="369">
        <v>3572821</v>
      </c>
      <c r="AH29" s="369">
        <v>44908</v>
      </c>
      <c r="AI29" s="369">
        <v>-3559491</v>
      </c>
      <c r="AJ29" s="369">
        <v>4010300</v>
      </c>
      <c r="AK29" s="369">
        <v>4003715</v>
      </c>
      <c r="AL29" s="369">
        <v>0</v>
      </c>
      <c r="AM29" s="369">
        <v>8040991</v>
      </c>
      <c r="AN29" s="369">
        <v>99323676</v>
      </c>
      <c r="AO29" s="369">
        <v>24340116</v>
      </c>
      <c r="AP29" s="369">
        <v>4604477</v>
      </c>
      <c r="AQ29" s="369">
        <v>140954319</v>
      </c>
      <c r="AR29" s="369">
        <v>46728175</v>
      </c>
      <c r="AS29" s="370">
        <v>33531191</v>
      </c>
      <c r="AT29" s="370">
        <v>0</v>
      </c>
      <c r="AU29" s="371">
        <v>0.26885795810049001</v>
      </c>
      <c r="AV29" s="371">
        <v>0.46569897445182701</v>
      </c>
      <c r="AW29" s="371">
        <v>0.46171903643066797</v>
      </c>
      <c r="AX29" s="371">
        <v>0.26544306744768098</v>
      </c>
      <c r="AY29" s="371">
        <v>0.19627596898298599</v>
      </c>
      <c r="AZ29" s="371">
        <f t="shared" si="3"/>
        <v>1.6762869922647028E-2</v>
      </c>
      <c r="BA29" s="371">
        <f t="shared" si="4"/>
        <v>1.5473178563161185E-2</v>
      </c>
    </row>
    <row r="30" spans="1:56" ht="15.4" x14ac:dyDescent="0.45">
      <c r="A30" s="334" t="s">
        <v>42</v>
      </c>
      <c r="B30" s="370">
        <v>1366286</v>
      </c>
      <c r="C30" s="370">
        <v>11361137</v>
      </c>
      <c r="D30" s="370">
        <v>55060681</v>
      </c>
      <c r="E30" s="370">
        <v>9291215</v>
      </c>
      <c r="F30" s="370">
        <v>132451</v>
      </c>
      <c r="G30" s="370">
        <v>0</v>
      </c>
      <c r="H30" s="370">
        <v>1371088</v>
      </c>
      <c r="I30" s="370">
        <v>316493</v>
      </c>
      <c r="J30" s="370">
        <v>2909736</v>
      </c>
      <c r="K30" s="370">
        <v>1077832</v>
      </c>
      <c r="L30" s="370">
        <v>7685</v>
      </c>
      <c r="M30" s="370">
        <v>5397332</v>
      </c>
      <c r="N30" s="370">
        <v>487007</v>
      </c>
      <c r="O30" s="370">
        <v>3931096</v>
      </c>
      <c r="P30" s="370">
        <v>3653292</v>
      </c>
      <c r="Q30" s="370">
        <v>1372110</v>
      </c>
      <c r="R30" s="370">
        <v>0</v>
      </c>
      <c r="S30" s="370">
        <v>0</v>
      </c>
      <c r="T30" s="370">
        <v>0</v>
      </c>
      <c r="U30" s="370">
        <v>0</v>
      </c>
      <c r="V30" s="370">
        <v>0</v>
      </c>
      <c r="W30" s="370">
        <v>1130625</v>
      </c>
      <c r="X30" s="370">
        <v>0</v>
      </c>
      <c r="Y30" s="370">
        <v>98866066</v>
      </c>
      <c r="Z30" s="370">
        <v>49946934</v>
      </c>
      <c r="AA30" s="370">
        <v>48919132</v>
      </c>
      <c r="AB30" s="370">
        <v>33856558</v>
      </c>
      <c r="AC30" s="370">
        <v>27686536</v>
      </c>
      <c r="AD30" s="370">
        <v>16090376</v>
      </c>
      <c r="AE30" s="369">
        <v>49946934</v>
      </c>
      <c r="AF30" s="369">
        <v>36183577</v>
      </c>
      <c r="AG30" s="369">
        <v>1558373</v>
      </c>
      <c r="AH30" s="369">
        <v>0</v>
      </c>
      <c r="AI30" s="369">
        <v>-27404746</v>
      </c>
      <c r="AJ30" s="369">
        <v>8837204</v>
      </c>
      <c r="AK30" s="369">
        <v>79246965</v>
      </c>
      <c r="AL30" s="369">
        <v>0</v>
      </c>
      <c r="AM30" s="369">
        <v>47127658</v>
      </c>
      <c r="AN30" s="369">
        <v>189006950</v>
      </c>
      <c r="AO30" s="369">
        <v>158264540</v>
      </c>
      <c r="AP30" s="369">
        <v>49894102</v>
      </c>
      <c r="AQ30" s="369">
        <v>523540215</v>
      </c>
      <c r="AR30" s="369">
        <v>350475778</v>
      </c>
      <c r="AS30" s="370">
        <v>239428402</v>
      </c>
      <c r="AT30" s="370">
        <v>0</v>
      </c>
      <c r="AU30" s="371">
        <v>0.46013065121570601</v>
      </c>
      <c r="AV30" s="371">
        <v>0.33525510660515301</v>
      </c>
      <c r="AW30" s="371">
        <v>0.55669175622887301</v>
      </c>
      <c r="AX30" s="371">
        <v>0.20461424217914001</v>
      </c>
      <c r="AY30" s="371">
        <v>0.35207751404973298</v>
      </c>
      <c r="AZ30" s="371">
        <f t="shared" si="3"/>
        <v>7.6013161415731126E-2</v>
      </c>
      <c r="BA30" s="371">
        <f t="shared" si="4"/>
        <v>9.8730108577099879E-2</v>
      </c>
    </row>
    <row r="31" spans="1:56" ht="15.4" x14ac:dyDescent="0.45">
      <c r="A31" s="332" t="s">
        <v>44</v>
      </c>
      <c r="B31" s="366">
        <f t="shared" ref="B31:AR31" si="5">SUM(B6:B30)</f>
        <v>31407600.060000002</v>
      </c>
      <c r="C31" s="366">
        <f t="shared" si="5"/>
        <v>399645153.81</v>
      </c>
      <c r="D31" s="366">
        <f t="shared" si="5"/>
        <v>457621791.94999999</v>
      </c>
      <c r="E31" s="366">
        <f t="shared" si="5"/>
        <v>73770245.319999993</v>
      </c>
      <c r="F31" s="366">
        <f t="shared" si="5"/>
        <v>2357964.02</v>
      </c>
      <c r="G31" s="366">
        <f t="shared" si="5"/>
        <v>3789031</v>
      </c>
      <c r="H31" s="366">
        <f t="shared" si="5"/>
        <v>44554524.189999998</v>
      </c>
      <c r="I31" s="366">
        <f t="shared" si="5"/>
        <v>3350370.96</v>
      </c>
      <c r="J31" s="366">
        <f t="shared" si="5"/>
        <v>6624311.1299999999</v>
      </c>
      <c r="K31" s="366">
        <f t="shared" si="5"/>
        <v>13433934.720000001</v>
      </c>
      <c r="L31" s="366">
        <f t="shared" si="5"/>
        <v>4587752.7699999996</v>
      </c>
      <c r="M31" s="366">
        <f t="shared" si="5"/>
        <v>60528983.659999996</v>
      </c>
      <c r="N31" s="366">
        <f t="shared" si="5"/>
        <v>37344467.399999999</v>
      </c>
      <c r="O31" s="366">
        <f t="shared" si="5"/>
        <v>22080578.98</v>
      </c>
      <c r="P31" s="366">
        <f t="shared" si="5"/>
        <v>44429397.789999999</v>
      </c>
      <c r="Q31" s="366">
        <f t="shared" si="5"/>
        <v>80145367.289999992</v>
      </c>
      <c r="R31" s="366">
        <f t="shared" si="5"/>
        <v>10683615.41</v>
      </c>
      <c r="S31" s="366">
        <f t="shared" si="5"/>
        <v>3074538</v>
      </c>
      <c r="T31" s="366">
        <f t="shared" si="5"/>
        <v>0</v>
      </c>
      <c r="U31" s="366">
        <f t="shared" si="5"/>
        <v>83795</v>
      </c>
      <c r="V31" s="366">
        <f t="shared" si="5"/>
        <v>0</v>
      </c>
      <c r="W31" s="366">
        <f t="shared" si="5"/>
        <v>1130625</v>
      </c>
      <c r="X31" s="366">
        <f t="shared" si="5"/>
        <v>0</v>
      </c>
      <c r="Y31" s="366">
        <f t="shared" si="5"/>
        <v>1300644048.46</v>
      </c>
      <c r="Z31" s="361">
        <f t="shared" si="5"/>
        <v>484338499.65999997</v>
      </c>
      <c r="AA31" s="361">
        <f t="shared" si="5"/>
        <v>816305548.79999995</v>
      </c>
      <c r="AB31" s="361">
        <f t="shared" si="5"/>
        <v>252567940.49000001</v>
      </c>
      <c r="AC31" s="361">
        <f t="shared" si="5"/>
        <v>249146635</v>
      </c>
      <c r="AD31" s="361">
        <f t="shared" si="5"/>
        <v>231770559.17000002</v>
      </c>
      <c r="AE31" s="361">
        <f t="shared" si="5"/>
        <v>484338499.65999997</v>
      </c>
      <c r="AF31" s="361">
        <f t="shared" si="5"/>
        <v>366489792.44</v>
      </c>
      <c r="AG31" s="361">
        <f t="shared" si="5"/>
        <v>97233073.969999894</v>
      </c>
      <c r="AH31" s="361">
        <f t="shared" si="5"/>
        <v>-1491790.4099999992</v>
      </c>
      <c r="AI31" s="361">
        <f t="shared" si="5"/>
        <v>-237573870.53</v>
      </c>
      <c r="AJ31" s="361">
        <f t="shared" si="5"/>
        <v>160183423.46999991</v>
      </c>
      <c r="AK31" s="361">
        <f t="shared" si="5"/>
        <v>737679380.049999</v>
      </c>
      <c r="AL31" s="361">
        <f t="shared" si="5"/>
        <v>37166560</v>
      </c>
      <c r="AM31" s="361">
        <f t="shared" si="5"/>
        <v>1294419501.71</v>
      </c>
      <c r="AN31" s="361">
        <f t="shared" si="5"/>
        <v>3539474662.5299997</v>
      </c>
      <c r="AO31" s="361">
        <f t="shared" si="5"/>
        <v>723293238.12926161</v>
      </c>
      <c r="AP31" s="361">
        <f t="shared" si="5"/>
        <v>440004683.08999991</v>
      </c>
      <c r="AQ31" s="361">
        <f t="shared" si="5"/>
        <v>6837609794.8299999</v>
      </c>
      <c r="AR31" s="361">
        <f t="shared" si="5"/>
        <v>3815479359.2248163</v>
      </c>
      <c r="AS31" s="368">
        <f>SUM(AS6:AS30)</f>
        <v>2778990557.3899999</v>
      </c>
      <c r="AT31" s="368">
        <f>SUM(AT6:AT30)</f>
        <v>105712595</v>
      </c>
      <c r="AU31" s="367">
        <f>AVERAGE(AU6:AU30)</f>
        <v>0.40669426124824726</v>
      </c>
      <c r="AV31" s="367">
        <f>AVERAGE(AV6:AV30)</f>
        <v>0.28237752695015783</v>
      </c>
      <c r="AW31" s="367">
        <f>AVERAGE(AW6:AW30)</f>
        <v>0.76047951496221877</v>
      </c>
      <c r="AX31" s="367">
        <f>AVERAGE(AX6:AX30)</f>
        <v>0.31092821180159369</v>
      </c>
      <c r="AY31" s="367">
        <f>AVERAGE(AY6:AY30)</f>
        <v>0.44955130316062475</v>
      </c>
      <c r="AZ31" s="367">
        <f>SUM(AZ6:AZ30)</f>
        <v>1</v>
      </c>
      <c r="BA31" s="367">
        <f>SUM(BA6:BA30)</f>
        <v>1</v>
      </c>
    </row>
  </sheetData>
  <mergeCells count="1">
    <mergeCell ref="Z1:BA1"/>
  </mergeCells>
  <dataValidations count="1">
    <dataValidation type="list" allowBlank="1" showInputMessage="1" showErrorMessage="1" sqref="A3" xr:uid="{00000000-0002-0000-3300-000000000000}">
      <formula1>$A$6:$A$30</formula1>
    </dataValidation>
  </dataValidations>
  <pageMargins left="0.7" right="0.7" top="0.75" bottom="0.75" header="0.3" footer="0.3"/>
  <legacyDrawing r:id="rId1"/>
</worksheet>
</file>

<file path=xl/worksheets/sheet5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8ABE0D-353C-4E55-8EB9-154ACD662C09}">
  <dimension ref="A1:BD31"/>
  <sheetViews>
    <sheetView topLeftCell="A20" workbookViewId="0">
      <pane xSplit="1" topLeftCell="B1" activePane="topRight" state="frozen"/>
      <selection activeCell="A5" sqref="A5"/>
      <selection pane="topRight" activeCell="B33" sqref="B33"/>
    </sheetView>
  </sheetViews>
  <sheetFormatPr defaultRowHeight="12.75" x14ac:dyDescent="0.35"/>
  <cols>
    <col min="1" max="1" width="50.73046875" bestFit="1" customWidth="1"/>
    <col min="2" max="2" width="33.3984375" bestFit="1" customWidth="1"/>
    <col min="3" max="3" width="37.265625" bestFit="1" customWidth="1"/>
    <col min="4" max="4" width="21.73046875" bestFit="1" customWidth="1"/>
    <col min="5" max="5" width="17.73046875" bestFit="1" customWidth="1"/>
    <col min="6" max="6" width="30.1328125" bestFit="1" customWidth="1"/>
    <col min="7" max="7" width="15.73046875" bestFit="1" customWidth="1"/>
    <col min="8" max="8" width="23.86328125" bestFit="1" customWidth="1"/>
    <col min="9" max="9" width="31.59765625" bestFit="1" customWidth="1"/>
    <col min="10" max="11" width="50.73046875" customWidth="1"/>
    <col min="12" max="12" width="18" bestFit="1" customWidth="1"/>
    <col min="13" max="13" width="16.1328125" bestFit="1" customWidth="1"/>
    <col min="14" max="14" width="15.265625" bestFit="1" customWidth="1"/>
    <col min="15" max="15" width="19.3984375" bestFit="1" customWidth="1"/>
    <col min="16" max="16" width="15.265625" bestFit="1" customWidth="1"/>
    <col min="17" max="18" width="14.3984375" bestFit="1" customWidth="1"/>
    <col min="19" max="19" width="13.265625" bestFit="1" customWidth="1"/>
    <col min="20" max="20" width="25.3984375" bestFit="1" customWidth="1"/>
    <col min="21" max="21" width="21.73046875" bestFit="1" customWidth="1"/>
    <col min="22" max="22" width="25" bestFit="1" customWidth="1"/>
    <col min="23" max="23" width="14.265625" bestFit="1" customWidth="1"/>
    <col min="24" max="24" width="23" bestFit="1" customWidth="1"/>
    <col min="25" max="25" width="27" bestFit="1" customWidth="1"/>
    <col min="26" max="27" width="20" bestFit="1" customWidth="1"/>
    <col min="28" max="28" width="17.73046875" customWidth="1"/>
    <col min="29" max="29" width="17.73046875" bestFit="1" customWidth="1"/>
    <col min="30" max="31" width="17.73046875" customWidth="1"/>
    <col min="32" max="32" width="16.265625" bestFit="1" customWidth="1"/>
    <col min="33" max="33" width="17.73046875" bestFit="1" customWidth="1"/>
    <col min="34" max="34" width="17" customWidth="1"/>
    <col min="35" max="37" width="17.73046875" bestFit="1" customWidth="1"/>
    <col min="38" max="39" width="20" bestFit="1" customWidth="1"/>
    <col min="40" max="40" width="14" bestFit="1" customWidth="1"/>
    <col min="41" max="42" width="13.73046875" bestFit="1" customWidth="1"/>
    <col min="43" max="43" width="17.73046875" bestFit="1" customWidth="1"/>
    <col min="44" max="44" width="17.73046875" customWidth="1"/>
    <col min="45" max="45" width="18.265625" customWidth="1"/>
    <col min="46" max="46" width="18.86328125" bestFit="1" customWidth="1"/>
    <col min="47" max="47" width="18.86328125" customWidth="1"/>
    <col min="48" max="51" width="13" customWidth="1"/>
    <col min="53" max="53" width="11.265625" bestFit="1" customWidth="1"/>
  </cols>
  <sheetData>
    <row r="1" spans="1:53" ht="23.25" x14ac:dyDescent="0.7">
      <c r="A1" s="351" t="s">
        <v>202</v>
      </c>
      <c r="B1" s="351" t="s">
        <v>92</v>
      </c>
      <c r="C1" s="351"/>
      <c r="D1" s="351"/>
      <c r="E1" s="351"/>
      <c r="F1" s="351"/>
      <c r="G1" s="351"/>
      <c r="H1" s="351"/>
      <c r="I1" s="351"/>
      <c r="J1" s="351"/>
      <c r="K1" s="351"/>
      <c r="L1" s="351"/>
      <c r="M1" s="351"/>
      <c r="N1" s="351"/>
      <c r="O1" s="351"/>
      <c r="P1" s="351"/>
      <c r="Q1" s="351"/>
      <c r="R1" s="351"/>
      <c r="S1" s="351"/>
      <c r="T1" s="351"/>
      <c r="U1" s="351"/>
      <c r="V1" s="351"/>
      <c r="W1" s="351"/>
      <c r="X1" s="351"/>
      <c r="Y1" s="351"/>
      <c r="Z1" s="413"/>
      <c r="AA1" s="413"/>
      <c r="AB1" s="413"/>
      <c r="AC1" s="413"/>
      <c r="AD1" s="413"/>
      <c r="AE1" s="413"/>
      <c r="AF1" s="413"/>
      <c r="AG1" s="413"/>
      <c r="AH1" s="413"/>
      <c r="AI1" s="413"/>
      <c r="AJ1" s="413"/>
      <c r="AK1" s="413"/>
      <c r="AL1" s="413"/>
      <c r="AM1" s="413"/>
      <c r="AN1" s="413"/>
      <c r="AO1" s="413"/>
      <c r="AP1" s="413"/>
      <c r="AQ1" s="413"/>
      <c r="AR1" s="413"/>
      <c r="AS1" s="413"/>
      <c r="AT1" s="413"/>
      <c r="AU1" s="413"/>
      <c r="AV1" s="413"/>
      <c r="AW1" s="413"/>
      <c r="AX1" s="413"/>
      <c r="AY1" s="413"/>
      <c r="AZ1" s="413"/>
      <c r="BA1" s="413"/>
    </row>
    <row r="2" spans="1:53" ht="51.75" x14ac:dyDescent="0.45">
      <c r="A2" s="350"/>
      <c r="B2" s="350" t="s">
        <v>153</v>
      </c>
      <c r="C2" s="350" t="s">
        <v>154</v>
      </c>
      <c r="D2" s="350" t="s">
        <v>155</v>
      </c>
      <c r="E2" s="350" t="s">
        <v>156</v>
      </c>
      <c r="F2" s="350" t="s">
        <v>157</v>
      </c>
      <c r="G2" s="350" t="s">
        <v>158</v>
      </c>
      <c r="H2" s="350" t="s">
        <v>159</v>
      </c>
      <c r="I2" s="350" t="s">
        <v>160</v>
      </c>
      <c r="J2" s="350" t="s">
        <v>161</v>
      </c>
      <c r="K2" s="350" t="s">
        <v>162</v>
      </c>
      <c r="L2" s="350" t="s">
        <v>163</v>
      </c>
      <c r="M2" s="350" t="s">
        <v>164</v>
      </c>
      <c r="N2" s="350" t="s">
        <v>106</v>
      </c>
      <c r="O2" s="350" t="s">
        <v>165</v>
      </c>
      <c r="P2" s="350" t="s">
        <v>166</v>
      </c>
      <c r="Q2" s="350" t="s">
        <v>167</v>
      </c>
      <c r="R2" s="350" t="s">
        <v>168</v>
      </c>
      <c r="S2" s="350" t="s">
        <v>169</v>
      </c>
      <c r="T2" s="350" t="s">
        <v>170</v>
      </c>
      <c r="U2" s="350" t="s">
        <v>171</v>
      </c>
      <c r="V2" s="350" t="s">
        <v>172</v>
      </c>
      <c r="W2" s="350" t="s">
        <v>173</v>
      </c>
      <c r="X2" s="350" t="s">
        <v>174</v>
      </c>
      <c r="Y2" s="350" t="s">
        <v>175</v>
      </c>
      <c r="Z2" s="348" t="s">
        <v>176</v>
      </c>
      <c r="AA2" s="348" t="s">
        <v>177</v>
      </c>
      <c r="AB2" s="349" t="s">
        <v>178</v>
      </c>
      <c r="AC2" s="348" t="s">
        <v>179</v>
      </c>
      <c r="AD2" s="377" t="s">
        <v>180</v>
      </c>
      <c r="AE2" s="348" t="s">
        <v>181</v>
      </c>
      <c r="AF2" s="348" t="s">
        <v>182</v>
      </c>
      <c r="AG2" s="348" t="s">
        <v>115</v>
      </c>
      <c r="AH2" s="348" t="s">
        <v>183</v>
      </c>
      <c r="AI2" s="348" t="s">
        <v>184</v>
      </c>
      <c r="AJ2" s="348" t="s">
        <v>134</v>
      </c>
      <c r="AK2" s="348" t="s">
        <v>185</v>
      </c>
      <c r="AL2" s="348" t="s">
        <v>186</v>
      </c>
      <c r="AM2" s="348" t="s">
        <v>187</v>
      </c>
      <c r="AN2" s="349" t="s">
        <v>188</v>
      </c>
      <c r="AO2" s="348" t="s">
        <v>120</v>
      </c>
      <c r="AP2" s="348" t="s">
        <v>121</v>
      </c>
      <c r="AQ2" s="348" t="s">
        <v>9</v>
      </c>
      <c r="AR2" s="348" t="s">
        <v>199</v>
      </c>
      <c r="AS2" s="347" t="s">
        <v>189</v>
      </c>
      <c r="AT2" s="347" t="s">
        <v>190</v>
      </c>
      <c r="AU2" s="347" t="s">
        <v>191</v>
      </c>
      <c r="AV2" s="347" t="s">
        <v>17</v>
      </c>
      <c r="AW2" s="347" t="s">
        <v>18</v>
      </c>
      <c r="AX2" s="347" t="s">
        <v>192</v>
      </c>
      <c r="AY2" s="347" t="s">
        <v>193</v>
      </c>
      <c r="AZ2" s="347" t="s">
        <v>19</v>
      </c>
      <c r="BA2" s="347" t="s">
        <v>200</v>
      </c>
    </row>
    <row r="3" spans="1:53" ht="15.4" x14ac:dyDescent="0.45">
      <c r="A3" s="346" t="s">
        <v>22</v>
      </c>
      <c r="B3" s="345">
        <f t="shared" ref="B3:BA3" si="0">INDEX(B6:B30,MATCH($A$3,$A$6:$A$30,0))</f>
        <v>604266</v>
      </c>
      <c r="C3" s="345">
        <f t="shared" si="0"/>
        <v>4791852</v>
      </c>
      <c r="D3" s="345">
        <f t="shared" si="0"/>
        <v>18299718</v>
      </c>
      <c r="E3" s="345">
        <f t="shared" si="0"/>
        <v>14438239</v>
      </c>
      <c r="F3" s="345">
        <f t="shared" si="0"/>
        <v>0</v>
      </c>
      <c r="G3" s="345">
        <f t="shared" si="0"/>
        <v>0</v>
      </c>
      <c r="H3" s="345">
        <f t="shared" si="0"/>
        <v>282210</v>
      </c>
      <c r="I3" s="345">
        <f t="shared" si="0"/>
        <v>56197</v>
      </c>
      <c r="J3" s="345">
        <f t="shared" si="0"/>
        <v>0</v>
      </c>
      <c r="K3" s="345">
        <f t="shared" si="0"/>
        <v>1474318</v>
      </c>
      <c r="L3" s="345">
        <f t="shared" si="0"/>
        <v>137306</v>
      </c>
      <c r="M3" s="345">
        <f t="shared" si="0"/>
        <v>530778</v>
      </c>
      <c r="N3" s="345">
        <f t="shared" si="0"/>
        <v>833845</v>
      </c>
      <c r="O3" s="345">
        <f t="shared" si="0"/>
        <v>13127</v>
      </c>
      <c r="P3" s="345">
        <f t="shared" si="0"/>
        <v>2347911</v>
      </c>
      <c r="Q3" s="345">
        <f t="shared" si="0"/>
        <v>209534</v>
      </c>
      <c r="R3" s="345">
        <f t="shared" si="0"/>
        <v>0</v>
      </c>
      <c r="S3" s="345">
        <f t="shared" si="0"/>
        <v>0</v>
      </c>
      <c r="T3" s="345">
        <f t="shared" si="0"/>
        <v>0</v>
      </c>
      <c r="U3" s="345">
        <f t="shared" si="0"/>
        <v>0</v>
      </c>
      <c r="V3" s="345">
        <f t="shared" si="0"/>
        <v>0</v>
      </c>
      <c r="W3" s="345">
        <f t="shared" si="0"/>
        <v>0</v>
      </c>
      <c r="X3" s="345">
        <f t="shared" si="0"/>
        <v>0</v>
      </c>
      <c r="Y3" s="345">
        <f t="shared" si="0"/>
        <v>44019301</v>
      </c>
      <c r="Z3" s="345">
        <f t="shared" si="0"/>
        <v>22436293</v>
      </c>
      <c r="AA3" s="345">
        <f t="shared" si="0"/>
        <v>21583008</v>
      </c>
      <c r="AB3" s="345">
        <f t="shared" si="0"/>
        <v>5630443</v>
      </c>
      <c r="AC3" s="345">
        <f t="shared" si="0"/>
        <v>10237815</v>
      </c>
      <c r="AD3" s="345">
        <f t="shared" si="0"/>
        <v>16805850</v>
      </c>
      <c r="AE3" s="345">
        <f t="shared" si="0"/>
        <v>22436293</v>
      </c>
      <c r="AF3" s="345">
        <f t="shared" si="0"/>
        <v>16363571</v>
      </c>
      <c r="AG3" s="345">
        <f t="shared" si="0"/>
        <v>-9504067</v>
      </c>
      <c r="AH3" s="345">
        <f t="shared" si="0"/>
        <v>0</v>
      </c>
      <c r="AI3" s="345">
        <f t="shared" si="0"/>
        <v>-9491850</v>
      </c>
      <c r="AJ3" s="345">
        <f t="shared" si="0"/>
        <v>-2632346</v>
      </c>
      <c r="AK3" s="345">
        <f t="shared" si="0"/>
        <v>22367123</v>
      </c>
      <c r="AL3" s="345">
        <f t="shared" si="0"/>
        <v>0</v>
      </c>
      <c r="AM3" s="345">
        <f t="shared" si="0"/>
        <v>12258340</v>
      </c>
      <c r="AN3" s="345">
        <f t="shared" si="0"/>
        <v>54853581</v>
      </c>
      <c r="AO3" s="345">
        <f t="shared" si="0"/>
        <v>14350546</v>
      </c>
      <c r="AP3" s="345">
        <f t="shared" si="0"/>
        <v>13465407</v>
      </c>
      <c r="AQ3" s="345">
        <f t="shared" si="0"/>
        <v>123082399</v>
      </c>
      <c r="AR3" s="345">
        <f t="shared" si="0"/>
        <v>71392169</v>
      </c>
      <c r="AS3" s="345">
        <f t="shared" si="0"/>
        <v>52626796</v>
      </c>
      <c r="AT3" s="345">
        <f t="shared" si="0"/>
        <v>0</v>
      </c>
      <c r="AU3" s="365">
        <f t="shared" si="0"/>
        <v>0.43466172847114198</v>
      </c>
      <c r="AV3" s="365">
        <f t="shared" si="0"/>
        <v>0.118928388904413</v>
      </c>
      <c r="AW3" s="365">
        <f t="shared" si="0"/>
        <v>0.71835458000546104</v>
      </c>
      <c r="AX3" s="365">
        <f t="shared" si="0"/>
        <v>0.44640988262444298</v>
      </c>
      <c r="AY3" s="365">
        <f t="shared" si="0"/>
        <v>0.27194469738101701</v>
      </c>
      <c r="AZ3" s="365">
        <f t="shared" si="0"/>
        <v>1.8855902776013043E-2</v>
      </c>
      <c r="BA3" s="365">
        <f t="shared" si="0"/>
        <v>3.1140581043129046E-2</v>
      </c>
    </row>
    <row r="4" spans="1:53" ht="14.25" x14ac:dyDescent="0.45">
      <c r="A4" s="330"/>
      <c r="B4" s="330"/>
      <c r="C4" s="330"/>
      <c r="D4" s="330"/>
      <c r="E4" s="330"/>
      <c r="F4" s="330"/>
      <c r="G4" s="330"/>
      <c r="H4" s="330"/>
      <c r="I4" s="330"/>
      <c r="J4" s="330"/>
      <c r="K4" s="330"/>
      <c r="L4" s="330"/>
      <c r="M4" s="330"/>
      <c r="N4" s="330"/>
      <c r="O4" s="330"/>
      <c r="P4" s="330"/>
      <c r="Q4" s="330"/>
      <c r="R4" s="330"/>
      <c r="S4" s="330"/>
      <c r="T4" s="330"/>
      <c r="U4" s="330"/>
      <c r="V4" s="330"/>
      <c r="W4" s="330"/>
      <c r="X4" s="330"/>
      <c r="Y4" s="330"/>
      <c r="Z4" s="330"/>
      <c r="AA4" s="330"/>
      <c r="AB4" s="330"/>
      <c r="AC4" s="330"/>
      <c r="AD4" s="330"/>
      <c r="AE4" s="330"/>
      <c r="AF4" s="330"/>
      <c r="AG4" s="330"/>
      <c r="AH4" s="330"/>
      <c r="AI4" s="330"/>
      <c r="AJ4" s="330"/>
      <c r="AK4" s="330"/>
      <c r="AL4" s="330"/>
      <c r="AM4" s="330"/>
      <c r="AN4" s="330"/>
      <c r="AO4" s="330"/>
      <c r="AP4" s="330"/>
      <c r="AQ4" s="330"/>
      <c r="AR4" s="330"/>
      <c r="AS4" s="330"/>
      <c r="AT4" s="330"/>
      <c r="AU4" s="330"/>
      <c r="AV4" s="330"/>
      <c r="AW4" s="330"/>
      <c r="AX4" s="330"/>
      <c r="AY4" s="330"/>
      <c r="AZ4" s="330"/>
    </row>
    <row r="5" spans="1:53" ht="51" x14ac:dyDescent="0.35">
      <c r="A5" s="344" t="s">
        <v>136</v>
      </c>
      <c r="B5" s="344" t="s">
        <v>153</v>
      </c>
      <c r="C5" s="344" t="s">
        <v>154</v>
      </c>
      <c r="D5" s="344" t="s">
        <v>155</v>
      </c>
      <c r="E5" s="344" t="s">
        <v>156</v>
      </c>
      <c r="F5" s="344" t="s">
        <v>157</v>
      </c>
      <c r="G5" s="344" t="s">
        <v>158</v>
      </c>
      <c r="H5" s="344" t="s">
        <v>159</v>
      </c>
      <c r="I5" s="344" t="s">
        <v>160</v>
      </c>
      <c r="J5" s="344" t="s">
        <v>161</v>
      </c>
      <c r="K5" s="344" t="s">
        <v>162</v>
      </c>
      <c r="L5" s="344" t="s">
        <v>163</v>
      </c>
      <c r="M5" s="344" t="s">
        <v>164</v>
      </c>
      <c r="N5" s="344" t="s">
        <v>106</v>
      </c>
      <c r="O5" s="344" t="s">
        <v>165</v>
      </c>
      <c r="P5" s="344" t="s">
        <v>166</v>
      </c>
      <c r="Q5" s="344" t="s">
        <v>167</v>
      </c>
      <c r="R5" s="344" t="s">
        <v>168</v>
      </c>
      <c r="S5" s="344" t="s">
        <v>169</v>
      </c>
      <c r="T5" s="344" t="s">
        <v>170</v>
      </c>
      <c r="U5" s="344" t="s">
        <v>171</v>
      </c>
      <c r="V5" s="344" t="s">
        <v>172</v>
      </c>
      <c r="W5" s="344" t="s">
        <v>173</v>
      </c>
      <c r="X5" s="344" t="s">
        <v>174</v>
      </c>
      <c r="Y5" s="344" t="s">
        <v>175</v>
      </c>
      <c r="Z5" s="342" t="s">
        <v>176</v>
      </c>
      <c r="AA5" s="342" t="s">
        <v>177</v>
      </c>
      <c r="AB5" s="342" t="s">
        <v>178</v>
      </c>
      <c r="AC5" s="342" t="s">
        <v>179</v>
      </c>
      <c r="AD5" s="342" t="s">
        <v>180</v>
      </c>
      <c r="AE5" s="342" t="s">
        <v>181</v>
      </c>
      <c r="AF5" s="342" t="s">
        <v>182</v>
      </c>
      <c r="AG5" s="342" t="s">
        <v>115</v>
      </c>
      <c r="AH5" s="342" t="s">
        <v>183</v>
      </c>
      <c r="AI5" s="342" t="s">
        <v>184</v>
      </c>
      <c r="AJ5" s="342" t="s">
        <v>134</v>
      </c>
      <c r="AK5" s="342" t="s">
        <v>185</v>
      </c>
      <c r="AL5" s="342" t="s">
        <v>186</v>
      </c>
      <c r="AM5" s="342" t="s">
        <v>187</v>
      </c>
      <c r="AN5" s="342" t="s">
        <v>188</v>
      </c>
      <c r="AO5" s="342" t="s">
        <v>120</v>
      </c>
      <c r="AP5" s="342" t="s">
        <v>121</v>
      </c>
      <c r="AQ5" s="342" t="s">
        <v>9</v>
      </c>
      <c r="AR5" s="342" t="s">
        <v>199</v>
      </c>
      <c r="AS5" s="341" t="s">
        <v>189</v>
      </c>
      <c r="AT5" s="341" t="s">
        <v>190</v>
      </c>
      <c r="AU5" s="341" t="s">
        <v>191</v>
      </c>
      <c r="AV5" s="341" t="s">
        <v>17</v>
      </c>
      <c r="AW5" s="341" t="s">
        <v>18</v>
      </c>
      <c r="AX5" s="341" t="s">
        <v>192</v>
      </c>
      <c r="AY5" s="341" t="s">
        <v>193</v>
      </c>
      <c r="AZ5" s="341" t="s">
        <v>19</v>
      </c>
      <c r="BA5" s="341" t="s">
        <v>200</v>
      </c>
    </row>
    <row r="6" spans="1:53" ht="15.4" x14ac:dyDescent="0.45">
      <c r="A6" s="334" t="s">
        <v>20</v>
      </c>
      <c r="B6" s="370"/>
      <c r="C6" s="370">
        <v>99295136</v>
      </c>
      <c r="D6" s="370">
        <v>13662759</v>
      </c>
      <c r="E6" s="370">
        <v>172798</v>
      </c>
      <c r="F6" s="370">
        <v>2707333</v>
      </c>
      <c r="G6" s="370">
        <v>0</v>
      </c>
      <c r="H6" s="370">
        <v>9582614</v>
      </c>
      <c r="I6" s="370">
        <v>0</v>
      </c>
      <c r="J6" s="370">
        <v>168594</v>
      </c>
      <c r="K6" s="370">
        <v>1395001</v>
      </c>
      <c r="L6" s="370"/>
      <c r="M6" s="370">
        <v>9256669</v>
      </c>
      <c r="N6" s="370">
        <v>355891</v>
      </c>
      <c r="O6" s="370">
        <v>2303996</v>
      </c>
      <c r="P6" s="370">
        <v>940656</v>
      </c>
      <c r="Q6" s="370">
        <v>8020995</v>
      </c>
      <c r="R6" s="370">
        <v>0</v>
      </c>
      <c r="S6" s="370">
        <v>95170</v>
      </c>
      <c r="T6" s="370"/>
      <c r="U6" s="370"/>
      <c r="V6" s="370"/>
      <c r="W6" s="370"/>
      <c r="X6" s="370"/>
      <c r="Y6" s="370">
        <v>147957612</v>
      </c>
      <c r="Z6" s="370">
        <v>31948126.439999901</v>
      </c>
      <c r="AA6" s="370">
        <v>116009485.56</v>
      </c>
      <c r="AB6" s="370">
        <v>19225991.440000001</v>
      </c>
      <c r="AC6" s="370">
        <v>23004062.050000001</v>
      </c>
      <c r="AD6" s="370">
        <v>12722135</v>
      </c>
      <c r="AE6" s="369">
        <v>31948126.440000001</v>
      </c>
      <c r="AF6" s="369">
        <v>22604244.739999998</v>
      </c>
      <c r="AG6" s="369">
        <v>3365982</v>
      </c>
      <c r="AH6" s="369">
        <v>3495098.03</v>
      </c>
      <c r="AI6" s="369">
        <v>-22376428.09</v>
      </c>
      <c r="AJ6" s="369">
        <v>5593932.4199999804</v>
      </c>
      <c r="AK6" s="369">
        <v>47813440</v>
      </c>
      <c r="AL6" s="369">
        <v>0</v>
      </c>
      <c r="AM6" s="369">
        <v>51408714</v>
      </c>
      <c r="AN6" s="369">
        <v>70964438</v>
      </c>
      <c r="AO6" s="369">
        <v>17252135.739999998</v>
      </c>
      <c r="AP6" s="369">
        <v>62405941.170000002</v>
      </c>
      <c r="AQ6" s="369">
        <v>250280118.91</v>
      </c>
      <c r="AR6" s="369">
        <v>148975554</v>
      </c>
      <c r="AS6" s="370">
        <v>130124664</v>
      </c>
      <c r="AT6" s="370">
        <v>0</v>
      </c>
      <c r="AU6" s="371">
        <v>0.49989393048559599</v>
      </c>
      <c r="AV6" s="371">
        <v>0.21875545849114</v>
      </c>
      <c r="AW6" s="371">
        <v>0.79008652003417601</v>
      </c>
      <c r="AX6" s="371">
        <v>0.28135061102326198</v>
      </c>
      <c r="AY6" s="371">
        <v>0.50873590901091303</v>
      </c>
      <c r="AZ6" s="371">
        <f>Y6/$Y$31</f>
        <v>6.3378433629444966E-2</v>
      </c>
      <c r="BA6" s="371">
        <f>AF6/$AF$31</f>
        <v>4.3016852204490905E-2</v>
      </c>
    </row>
    <row r="7" spans="1:53" ht="15.4" x14ac:dyDescent="0.45">
      <c r="A7" s="334" t="s">
        <v>87</v>
      </c>
      <c r="B7" s="370">
        <v>31972</v>
      </c>
      <c r="C7" s="370">
        <v>94106</v>
      </c>
      <c r="D7" s="370">
        <v>1555185</v>
      </c>
      <c r="E7" s="370">
        <v>3751268</v>
      </c>
      <c r="F7" s="370">
        <v>1991</v>
      </c>
      <c r="G7" s="370"/>
      <c r="H7" s="370">
        <v>5480</v>
      </c>
      <c r="I7" s="370">
        <v>7145</v>
      </c>
      <c r="J7" s="370"/>
      <c r="K7" s="370">
        <v>4997</v>
      </c>
      <c r="L7" s="370">
        <v>5239</v>
      </c>
      <c r="M7" s="370">
        <v>10622</v>
      </c>
      <c r="N7" s="370">
        <v>1674</v>
      </c>
      <c r="O7" s="370">
        <v>3119</v>
      </c>
      <c r="P7" s="370">
        <v>45142</v>
      </c>
      <c r="Q7" s="370"/>
      <c r="R7" s="370"/>
      <c r="S7" s="370"/>
      <c r="T7" s="370"/>
      <c r="U7" s="370"/>
      <c r="V7" s="370"/>
      <c r="W7" s="370"/>
      <c r="X7" s="370"/>
      <c r="Y7" s="370">
        <v>5517940</v>
      </c>
      <c r="Z7" s="370">
        <v>4647844</v>
      </c>
      <c r="AA7" s="370">
        <v>870096</v>
      </c>
      <c r="AB7" s="370">
        <v>2045336</v>
      </c>
      <c r="AC7" s="370">
        <v>2700010</v>
      </c>
      <c r="AD7" s="370">
        <v>2602508</v>
      </c>
      <c r="AE7" s="369">
        <v>4647844</v>
      </c>
      <c r="AF7" s="369">
        <v>-8794</v>
      </c>
      <c r="AG7" s="369">
        <v>2226984</v>
      </c>
      <c r="AH7" s="369">
        <v>-25000</v>
      </c>
      <c r="AI7" s="369">
        <v>-2678051</v>
      </c>
      <c r="AJ7" s="369">
        <v>-484861</v>
      </c>
      <c r="AK7" s="369">
        <v>1657057</v>
      </c>
      <c r="AL7" s="369">
        <v>0</v>
      </c>
      <c r="AM7" s="369">
        <v>609627</v>
      </c>
      <c r="AN7" s="369">
        <v>22653305</v>
      </c>
      <c r="AO7" s="369">
        <v>32780834</v>
      </c>
      <c r="AP7" s="369">
        <v>9039729</v>
      </c>
      <c r="AQ7" s="369">
        <v>66740552</v>
      </c>
      <c r="AR7" s="369">
        <v>11286173</v>
      </c>
      <c r="AS7" s="370">
        <v>8514624</v>
      </c>
      <c r="AT7" s="370">
        <v>0</v>
      </c>
      <c r="AU7" s="371">
        <v>-1.89564673801748E-3</v>
      </c>
      <c r="AV7" s="371">
        <v>0.44089544195470998</v>
      </c>
      <c r="AW7" s="371">
        <v>1.1430180748213501</v>
      </c>
      <c r="AX7" s="371">
        <v>0.56100020478330603</v>
      </c>
      <c r="AY7" s="371">
        <v>0.58201787003804595</v>
      </c>
      <c r="AZ7" s="371">
        <f t="shared" ref="AZ7:AZ30" si="1">Y7/$Y$31</f>
        <v>2.3636390810447766E-3</v>
      </c>
      <c r="BA7" s="371">
        <f t="shared" ref="BA7:BA30" si="2">AF7/$AF$31</f>
        <v>-1.6735361107503784E-5</v>
      </c>
    </row>
    <row r="8" spans="1:53" ht="15.4" x14ac:dyDescent="0.45">
      <c r="A8" s="334" t="s">
        <v>60</v>
      </c>
      <c r="B8" s="370">
        <v>133341</v>
      </c>
      <c r="C8" s="370">
        <v>48197</v>
      </c>
      <c r="D8" s="370">
        <v>2742222</v>
      </c>
      <c r="E8" s="370">
        <v>1652837</v>
      </c>
      <c r="F8" s="370">
        <v>7962</v>
      </c>
      <c r="G8" s="370">
        <v>0</v>
      </c>
      <c r="H8" s="370">
        <v>279494</v>
      </c>
      <c r="I8" s="370">
        <v>2821</v>
      </c>
      <c r="J8" s="370">
        <v>3658</v>
      </c>
      <c r="K8" s="370">
        <v>39833</v>
      </c>
      <c r="L8" s="370">
        <v>11950</v>
      </c>
      <c r="M8" s="370">
        <v>180428</v>
      </c>
      <c r="N8" s="370">
        <v>14894</v>
      </c>
      <c r="O8" s="370">
        <v>84589</v>
      </c>
      <c r="P8" s="370">
        <v>5407</v>
      </c>
      <c r="Q8" s="370"/>
      <c r="R8" s="370"/>
      <c r="S8" s="370"/>
      <c r="T8" s="370"/>
      <c r="U8" s="370"/>
      <c r="V8" s="370"/>
      <c r="W8" s="370"/>
      <c r="X8" s="370"/>
      <c r="Y8" s="370">
        <v>5207633</v>
      </c>
      <c r="Z8" s="370">
        <v>4069049</v>
      </c>
      <c r="AA8" s="370">
        <v>1138584</v>
      </c>
      <c r="AB8" s="370">
        <v>3138316</v>
      </c>
      <c r="AC8" s="370">
        <v>8083070</v>
      </c>
      <c r="AD8" s="370">
        <v>930733</v>
      </c>
      <c r="AE8" s="369">
        <v>4069049</v>
      </c>
      <c r="AF8" s="369">
        <v>1991532</v>
      </c>
      <c r="AG8" s="369">
        <v>1593003</v>
      </c>
      <c r="AH8" s="369">
        <v>414894</v>
      </c>
      <c r="AI8" s="369">
        <v>-14261073</v>
      </c>
      <c r="AJ8" s="369">
        <v>-10261644</v>
      </c>
      <c r="AK8" s="369">
        <v>530701</v>
      </c>
      <c r="AL8" s="369">
        <v>3809480</v>
      </c>
      <c r="AM8" s="369">
        <v>2220869</v>
      </c>
      <c r="AN8" s="369">
        <v>37881784</v>
      </c>
      <c r="AO8" s="369">
        <v>24531761</v>
      </c>
      <c r="AP8" s="369">
        <v>917639</v>
      </c>
      <c r="AQ8" s="369">
        <v>84436717</v>
      </c>
      <c r="AR8" s="369">
        <v>32394357</v>
      </c>
      <c r="AS8" s="370">
        <v>4975320</v>
      </c>
      <c r="AT8" s="370">
        <v>6523489</v>
      </c>
      <c r="AU8" s="371">
        <v>0.431860772839462</v>
      </c>
      <c r="AV8" s="371">
        <v>0.36631115074138298</v>
      </c>
      <c r="AW8" s="371">
        <v>1.95462986776143</v>
      </c>
      <c r="AX8" s="371">
        <v>0.20182807641915401</v>
      </c>
      <c r="AY8" s="371">
        <v>1.75280179134227</v>
      </c>
      <c r="AZ8" s="371">
        <f t="shared" si="1"/>
        <v>2.2307174196418323E-3</v>
      </c>
      <c r="BA8" s="371">
        <f t="shared" si="2"/>
        <v>3.7899712505286821E-3</v>
      </c>
    </row>
    <row r="9" spans="1:53" ht="15.4" x14ac:dyDescent="0.45">
      <c r="A9" s="334" t="s">
        <v>128</v>
      </c>
      <c r="B9" s="370">
        <v>477679</v>
      </c>
      <c r="C9" s="370">
        <v>11286949</v>
      </c>
      <c r="D9" s="370">
        <v>25027775</v>
      </c>
      <c r="E9" s="370">
        <v>2359327</v>
      </c>
      <c r="F9" s="370">
        <v>28784</v>
      </c>
      <c r="G9" s="370"/>
      <c r="H9" s="370">
        <v>371390</v>
      </c>
      <c r="I9" s="370">
        <v>147221</v>
      </c>
      <c r="J9" s="370">
        <v>82037</v>
      </c>
      <c r="K9" s="370">
        <v>615073</v>
      </c>
      <c r="L9" s="370">
        <v>164001</v>
      </c>
      <c r="M9" s="370">
        <v>7280273</v>
      </c>
      <c r="N9" s="370">
        <v>967140</v>
      </c>
      <c r="O9" s="370">
        <v>1832901</v>
      </c>
      <c r="P9" s="370"/>
      <c r="Q9" s="370">
        <v>775085</v>
      </c>
      <c r="R9" s="370">
        <v>82512</v>
      </c>
      <c r="S9" s="370"/>
      <c r="T9" s="370"/>
      <c r="U9" s="370"/>
      <c r="V9" s="370"/>
      <c r="W9" s="370"/>
      <c r="X9" s="370"/>
      <c r="Y9" s="370">
        <v>51498147</v>
      </c>
      <c r="Z9" s="370">
        <v>21024043</v>
      </c>
      <c r="AA9" s="370">
        <v>30474104</v>
      </c>
      <c r="AB9" s="370">
        <v>13469301</v>
      </c>
      <c r="AC9" s="370">
        <v>19552418</v>
      </c>
      <c r="AD9" s="370">
        <v>7554742</v>
      </c>
      <c r="AE9" s="369">
        <v>21024043</v>
      </c>
      <c r="AF9" s="369">
        <v>21993224</v>
      </c>
      <c r="AG9" s="369">
        <v>4183593</v>
      </c>
      <c r="AH9" s="369">
        <v>-682918</v>
      </c>
      <c r="AI9" s="369">
        <v>-36475319</v>
      </c>
      <c r="AJ9" s="369">
        <v>-11381898</v>
      </c>
      <c r="AK9" s="369">
        <v>20023393</v>
      </c>
      <c r="AL9" s="369">
        <v>0</v>
      </c>
      <c r="AM9" s="369">
        <v>24965441</v>
      </c>
      <c r="AN9" s="369">
        <v>73637479</v>
      </c>
      <c r="AO9" s="369">
        <v>1914315</v>
      </c>
      <c r="AP9" s="369">
        <v>17250715</v>
      </c>
      <c r="AQ9" s="369">
        <v>137791343</v>
      </c>
      <c r="AR9" s="369">
        <v>86198693</v>
      </c>
      <c r="AS9" s="370">
        <v>65152338</v>
      </c>
      <c r="AT9" s="370">
        <v>0</v>
      </c>
      <c r="AU9" s="371">
        <v>0.52798917922489697</v>
      </c>
      <c r="AV9" s="371">
        <v>0.27174327345203603</v>
      </c>
      <c r="AW9" s="371">
        <v>0.65075894100464604</v>
      </c>
      <c r="AX9" s="371">
        <v>0.18136595288784599</v>
      </c>
      <c r="AY9" s="371">
        <v>0.46939298811679903</v>
      </c>
      <c r="AZ9" s="371">
        <f t="shared" si="1"/>
        <v>2.2059506419168894E-2</v>
      </c>
      <c r="BA9" s="371">
        <f t="shared" si="2"/>
        <v>4.185405339529439E-2</v>
      </c>
    </row>
    <row r="10" spans="1:53" ht="15.4" x14ac:dyDescent="0.45">
      <c r="A10" s="334" t="s">
        <v>22</v>
      </c>
      <c r="B10" s="370">
        <v>604266</v>
      </c>
      <c r="C10" s="370">
        <v>4791852</v>
      </c>
      <c r="D10" s="370">
        <v>18299718</v>
      </c>
      <c r="E10" s="370">
        <v>14438239</v>
      </c>
      <c r="F10" s="370"/>
      <c r="G10" s="370"/>
      <c r="H10" s="370">
        <v>282210</v>
      </c>
      <c r="I10" s="370">
        <v>56197</v>
      </c>
      <c r="J10" s="370"/>
      <c r="K10" s="370">
        <v>1474318</v>
      </c>
      <c r="L10" s="370">
        <v>137306</v>
      </c>
      <c r="M10" s="370">
        <v>530778</v>
      </c>
      <c r="N10" s="370">
        <v>833845</v>
      </c>
      <c r="O10" s="370">
        <v>13127</v>
      </c>
      <c r="P10" s="370">
        <v>2347911</v>
      </c>
      <c r="Q10" s="370">
        <v>209534</v>
      </c>
      <c r="R10" s="370"/>
      <c r="S10" s="370"/>
      <c r="T10" s="370"/>
      <c r="U10" s="370"/>
      <c r="V10" s="370"/>
      <c r="W10" s="370"/>
      <c r="X10" s="370"/>
      <c r="Y10" s="370">
        <v>44019301</v>
      </c>
      <c r="Z10" s="370">
        <v>22436293</v>
      </c>
      <c r="AA10" s="370">
        <v>21583008</v>
      </c>
      <c r="AB10" s="370">
        <v>5630443</v>
      </c>
      <c r="AC10" s="370">
        <v>10237815</v>
      </c>
      <c r="AD10" s="370">
        <v>16805850</v>
      </c>
      <c r="AE10" s="369">
        <v>22436293</v>
      </c>
      <c r="AF10" s="369">
        <v>16363571</v>
      </c>
      <c r="AG10" s="369">
        <v>-9504067</v>
      </c>
      <c r="AH10" s="369">
        <v>0</v>
      </c>
      <c r="AI10" s="369">
        <v>-9491850</v>
      </c>
      <c r="AJ10" s="369">
        <v>-2632346</v>
      </c>
      <c r="AK10" s="369">
        <v>22367123</v>
      </c>
      <c r="AL10" s="369">
        <v>0</v>
      </c>
      <c r="AM10" s="369">
        <v>12258340</v>
      </c>
      <c r="AN10" s="369">
        <v>54853581</v>
      </c>
      <c r="AO10" s="369">
        <v>14350546</v>
      </c>
      <c r="AP10" s="369">
        <v>13465407</v>
      </c>
      <c r="AQ10" s="369">
        <v>123082399</v>
      </c>
      <c r="AR10" s="369">
        <v>71392169</v>
      </c>
      <c r="AS10" s="370">
        <v>52626796</v>
      </c>
      <c r="AT10" s="370">
        <v>0</v>
      </c>
      <c r="AU10" s="371">
        <v>0.43466172847114198</v>
      </c>
      <c r="AV10" s="371">
        <v>0.118928388904413</v>
      </c>
      <c r="AW10" s="371">
        <v>0.71835458000546104</v>
      </c>
      <c r="AX10" s="371">
        <v>0.44640988262444298</v>
      </c>
      <c r="AY10" s="371">
        <v>0.27194469738101701</v>
      </c>
      <c r="AZ10" s="371">
        <f t="shared" si="1"/>
        <v>1.8855902776013043E-2</v>
      </c>
      <c r="BA10" s="371">
        <f t="shared" si="2"/>
        <v>3.1140581043129046E-2</v>
      </c>
    </row>
    <row r="11" spans="1:53" ht="15.4" x14ac:dyDescent="0.45">
      <c r="A11" s="334" t="s">
        <v>23</v>
      </c>
      <c r="B11" s="370">
        <v>6901798</v>
      </c>
      <c r="C11" s="370">
        <v>123317623</v>
      </c>
      <c r="D11" s="370">
        <v>153061029</v>
      </c>
      <c r="E11" s="370">
        <v>12199919</v>
      </c>
      <c r="F11" s="370">
        <v>771752</v>
      </c>
      <c r="G11" s="370">
        <v>0</v>
      </c>
      <c r="H11" s="370">
        <v>9826797</v>
      </c>
      <c r="I11" s="370">
        <v>4393434</v>
      </c>
      <c r="J11" s="370">
        <v>1443836</v>
      </c>
      <c r="K11" s="370">
        <v>9463323</v>
      </c>
      <c r="L11" s="370">
        <v>6430533</v>
      </c>
      <c r="M11" s="370">
        <v>19572904</v>
      </c>
      <c r="N11" s="370">
        <v>9175041</v>
      </c>
      <c r="O11" s="370">
        <v>17208328</v>
      </c>
      <c r="P11" s="370">
        <v>12000786</v>
      </c>
      <c r="Q11" s="370">
        <v>20874983</v>
      </c>
      <c r="R11" s="370">
        <v>13933923</v>
      </c>
      <c r="S11" s="370">
        <v>923863</v>
      </c>
      <c r="T11" s="370"/>
      <c r="U11" s="370">
        <v>1595</v>
      </c>
      <c r="V11" s="370"/>
      <c r="W11" s="370"/>
      <c r="X11" s="370"/>
      <c r="Y11" s="370">
        <v>421501467</v>
      </c>
      <c r="Z11" s="370">
        <v>179116080</v>
      </c>
      <c r="AA11" s="370">
        <v>242385387</v>
      </c>
      <c r="AB11" s="370">
        <v>111504788</v>
      </c>
      <c r="AC11" s="370">
        <v>83856799</v>
      </c>
      <c r="AD11" s="370">
        <v>67611292</v>
      </c>
      <c r="AE11" s="369">
        <v>179116080</v>
      </c>
      <c r="AF11" s="369">
        <v>111208342</v>
      </c>
      <c r="AG11" s="369">
        <v>29953344</v>
      </c>
      <c r="AH11" s="369">
        <v>-9472220</v>
      </c>
      <c r="AI11" s="369">
        <v>-110627471</v>
      </c>
      <c r="AJ11" s="369">
        <v>14743397</v>
      </c>
      <c r="AK11" s="369">
        <v>139619689</v>
      </c>
      <c r="AL11" s="369">
        <v>0</v>
      </c>
      <c r="AM11" s="369">
        <v>192774493</v>
      </c>
      <c r="AN11" s="369">
        <v>354069853</v>
      </c>
      <c r="AO11" s="369">
        <v>147838203</v>
      </c>
      <c r="AP11" s="369">
        <v>18953853</v>
      </c>
      <c r="AQ11" s="369">
        <v>853256091</v>
      </c>
      <c r="AR11" s="369">
        <v>567221815</v>
      </c>
      <c r="AS11" s="370">
        <v>438104205</v>
      </c>
      <c r="AT11" s="370">
        <v>0</v>
      </c>
      <c r="AU11" s="371">
        <v>0.42868932581355501</v>
      </c>
      <c r="AV11" s="371">
        <v>0.31068059317270602</v>
      </c>
      <c r="AW11" s="371">
        <v>0.58388384041420405</v>
      </c>
      <c r="AX11" s="371">
        <v>0.26063008101373702</v>
      </c>
      <c r="AY11" s="371">
        <v>0.32325375940046702</v>
      </c>
      <c r="AZ11" s="371">
        <f t="shared" si="1"/>
        <v>0.18055240544821169</v>
      </c>
      <c r="BA11" s="371">
        <f t="shared" si="2"/>
        <v>0.21163426899440296</v>
      </c>
    </row>
    <row r="12" spans="1:53" ht="15.4" x14ac:dyDescent="0.45">
      <c r="A12" s="334" t="s">
        <v>25</v>
      </c>
      <c r="B12" s="370"/>
      <c r="C12" s="370">
        <v>186168926</v>
      </c>
      <c r="D12" s="370">
        <v>65273309</v>
      </c>
      <c r="E12" s="370"/>
      <c r="F12" s="370"/>
      <c r="G12" s="370"/>
      <c r="H12" s="370"/>
      <c r="I12" s="370"/>
      <c r="J12" s="370"/>
      <c r="K12" s="370"/>
      <c r="L12" s="370"/>
      <c r="M12" s="370">
        <v>33103126</v>
      </c>
      <c r="N12" s="370">
        <v>11664082</v>
      </c>
      <c r="O12" s="370"/>
      <c r="P12" s="370">
        <v>6810502</v>
      </c>
      <c r="Q12" s="370">
        <v>9347759</v>
      </c>
      <c r="R12" s="370"/>
      <c r="S12" s="370"/>
      <c r="T12" s="370"/>
      <c r="U12" s="370"/>
      <c r="V12" s="370"/>
      <c r="W12" s="370"/>
      <c r="X12" s="370"/>
      <c r="Y12" s="370">
        <v>312367704</v>
      </c>
      <c r="Z12" s="370">
        <v>63516893</v>
      </c>
      <c r="AA12" s="370">
        <v>248850811</v>
      </c>
      <c r="AB12" s="370">
        <v>42040413</v>
      </c>
      <c r="AC12" s="370">
        <v>4602120</v>
      </c>
      <c r="AD12" s="370">
        <v>21476480</v>
      </c>
      <c r="AE12" s="369">
        <v>63516893</v>
      </c>
      <c r="AF12" s="369">
        <v>37547098</v>
      </c>
      <c r="AG12" s="369">
        <v>-2391420</v>
      </c>
      <c r="AH12" s="369">
        <v>0</v>
      </c>
      <c r="AI12" s="369">
        <v>-4502120</v>
      </c>
      <c r="AJ12" s="369">
        <v>24548595</v>
      </c>
      <c r="AK12" s="369">
        <v>69074373</v>
      </c>
      <c r="AL12" s="369">
        <v>0</v>
      </c>
      <c r="AM12" s="369">
        <v>246862105</v>
      </c>
      <c r="AN12" s="369">
        <v>195647350</v>
      </c>
      <c r="AO12" s="369">
        <v>540616</v>
      </c>
      <c r="AP12" s="369">
        <v>50910121</v>
      </c>
      <c r="AQ12" s="369">
        <v>563763187</v>
      </c>
      <c r="AR12" s="369">
        <v>360121979</v>
      </c>
      <c r="AS12" s="370">
        <v>315143858</v>
      </c>
      <c r="AT12" s="370">
        <v>5826234</v>
      </c>
      <c r="AU12" s="371">
        <v>0.44284766095557399</v>
      </c>
      <c r="AV12" s="371">
        <v>0.30384890308889101</v>
      </c>
      <c r="AW12" s="371">
        <v>0.30758294585099499</v>
      </c>
      <c r="AX12" s="371">
        <v>0.25330343595553401</v>
      </c>
      <c r="AY12" s="371">
        <v>5.42795098954615E-2</v>
      </c>
      <c r="AZ12" s="371">
        <f t="shared" si="1"/>
        <v>0.13380437497157033</v>
      </c>
      <c r="BA12" s="371">
        <f t="shared" si="2"/>
        <v>7.1453746141554836E-2</v>
      </c>
    </row>
    <row r="13" spans="1:53" ht="15.4" x14ac:dyDescent="0.45">
      <c r="A13" s="334" t="s">
        <v>26</v>
      </c>
      <c r="B13" s="370">
        <v>860012</v>
      </c>
      <c r="C13" s="370">
        <v>76048273</v>
      </c>
      <c r="D13" s="370">
        <v>27104295</v>
      </c>
      <c r="E13" s="370">
        <v>6637929</v>
      </c>
      <c r="F13" s="370">
        <v>76210</v>
      </c>
      <c r="G13" s="370">
        <v>0</v>
      </c>
      <c r="H13" s="370">
        <v>13696806</v>
      </c>
      <c r="I13" s="370">
        <v>270560</v>
      </c>
      <c r="J13" s="370">
        <v>0</v>
      </c>
      <c r="K13" s="370">
        <v>1939161</v>
      </c>
      <c r="L13" s="370">
        <v>925832</v>
      </c>
      <c r="M13" s="370">
        <v>2706937</v>
      </c>
      <c r="N13" s="370">
        <v>17158746</v>
      </c>
      <c r="O13" s="370">
        <v>1946223</v>
      </c>
      <c r="P13" s="370">
        <v>18291544</v>
      </c>
      <c r="Q13" s="370">
        <v>52788267</v>
      </c>
      <c r="R13" s="370">
        <v>5770227</v>
      </c>
      <c r="S13" s="370">
        <v>0</v>
      </c>
      <c r="T13" s="370">
        <v>34240</v>
      </c>
      <c r="U13" s="370">
        <v>165992</v>
      </c>
      <c r="V13" s="370">
        <v>0</v>
      </c>
      <c r="W13" s="370">
        <v>0</v>
      </c>
      <c r="X13" s="370">
        <v>0</v>
      </c>
      <c r="Y13" s="370">
        <v>226421254</v>
      </c>
      <c r="Z13" s="370">
        <v>114686122</v>
      </c>
      <c r="AA13" s="370">
        <v>111735132</v>
      </c>
      <c r="AB13" s="370">
        <v>38674327</v>
      </c>
      <c r="AC13" s="370">
        <v>26520375</v>
      </c>
      <c r="AD13" s="370">
        <v>76011795</v>
      </c>
      <c r="AE13" s="369">
        <v>114686122</v>
      </c>
      <c r="AF13" s="369">
        <v>53628825</v>
      </c>
      <c r="AG13" s="369">
        <v>9639698</v>
      </c>
      <c r="AH13" s="369">
        <v>-9039386</v>
      </c>
      <c r="AI13" s="369">
        <v>-26491975</v>
      </c>
      <c r="AJ13" s="369">
        <v>23627538</v>
      </c>
      <c r="AK13" s="369">
        <v>28218613</v>
      </c>
      <c r="AL13" s="369">
        <v>0</v>
      </c>
      <c r="AM13" s="369">
        <v>203406661</v>
      </c>
      <c r="AN13" s="369">
        <v>270175866</v>
      </c>
      <c r="AO13" s="369">
        <v>29556874</v>
      </c>
      <c r="AP13" s="369">
        <v>31035148</v>
      </c>
      <c r="AQ13" s="369">
        <v>569094921</v>
      </c>
      <c r="AR13" s="369">
        <v>390534570</v>
      </c>
      <c r="AS13" s="370">
        <v>337558681</v>
      </c>
      <c r="AT13" s="370">
        <v>0</v>
      </c>
      <c r="AU13" s="371">
        <v>0.49031785700052299</v>
      </c>
      <c r="AV13" s="371">
        <v>-0.18244662743934201</v>
      </c>
      <c r="AW13" s="371">
        <v>0.937431574680469</v>
      </c>
      <c r="AX13" s="371">
        <v>0.69496097352800601</v>
      </c>
      <c r="AY13" s="371">
        <v>0.24247060115246299</v>
      </c>
      <c r="AZ13" s="371">
        <f t="shared" si="1"/>
        <v>9.6988753906995351E-2</v>
      </c>
      <c r="BA13" s="371">
        <f t="shared" si="2"/>
        <v>0.10205796590244788</v>
      </c>
    </row>
    <row r="14" spans="1:53" ht="15.4" x14ac:dyDescent="0.45">
      <c r="A14" s="334" t="s">
        <v>28</v>
      </c>
      <c r="B14" s="370"/>
      <c r="C14" s="370"/>
      <c r="D14" s="370"/>
      <c r="E14" s="370"/>
      <c r="F14" s="370"/>
      <c r="G14" s="370"/>
      <c r="H14" s="370"/>
      <c r="I14" s="370"/>
      <c r="J14" s="370"/>
      <c r="K14" s="370"/>
      <c r="L14" s="370"/>
      <c r="M14" s="370"/>
      <c r="N14" s="370"/>
      <c r="O14" s="370"/>
      <c r="P14" s="370"/>
      <c r="Q14" s="370"/>
      <c r="R14" s="370"/>
      <c r="S14" s="370"/>
      <c r="T14" s="370"/>
      <c r="U14" s="370"/>
      <c r="V14" s="370"/>
      <c r="W14" s="370"/>
      <c r="X14" s="370"/>
      <c r="Y14" s="370"/>
      <c r="Z14" s="370"/>
      <c r="AA14" s="370"/>
      <c r="AB14" s="370"/>
      <c r="AC14" s="370"/>
      <c r="AD14" s="370"/>
      <c r="AE14" s="369"/>
      <c r="AF14" s="369"/>
      <c r="AG14" s="369"/>
      <c r="AH14" s="369"/>
      <c r="AI14" s="369"/>
      <c r="AJ14" s="369"/>
      <c r="AK14" s="369"/>
      <c r="AL14" s="369"/>
      <c r="AM14" s="369"/>
      <c r="AN14" s="369"/>
      <c r="AO14" s="369"/>
      <c r="AP14" s="369"/>
      <c r="AQ14" s="369"/>
      <c r="AR14" s="369"/>
      <c r="AS14" s="370"/>
      <c r="AT14" s="370"/>
      <c r="AU14" s="371"/>
      <c r="AV14" s="371"/>
      <c r="AW14" s="371"/>
      <c r="AX14" s="371"/>
      <c r="AY14" s="371"/>
      <c r="AZ14" s="371"/>
      <c r="BA14" s="371"/>
    </row>
    <row r="15" spans="1:53" ht="15.4" x14ac:dyDescent="0.45">
      <c r="A15" s="334" t="s">
        <v>46</v>
      </c>
      <c r="B15" s="370">
        <v>139729</v>
      </c>
      <c r="C15" s="370">
        <v>4912159</v>
      </c>
      <c r="D15" s="370">
        <v>18900010</v>
      </c>
      <c r="E15" s="370">
        <v>2151930</v>
      </c>
      <c r="F15" s="370">
        <v>6332</v>
      </c>
      <c r="G15" s="370"/>
      <c r="H15" s="370">
        <v>121355</v>
      </c>
      <c r="I15" s="370">
        <v>80685</v>
      </c>
      <c r="J15" s="370">
        <v>99072</v>
      </c>
      <c r="K15" s="370">
        <v>254422</v>
      </c>
      <c r="L15" s="370">
        <v>217752</v>
      </c>
      <c r="M15" s="370">
        <v>1432461</v>
      </c>
      <c r="N15" s="370">
        <v>1093755</v>
      </c>
      <c r="O15" s="370">
        <v>939281</v>
      </c>
      <c r="P15" s="370">
        <v>6453779</v>
      </c>
      <c r="Q15" s="370">
        <v>89466</v>
      </c>
      <c r="R15" s="370">
        <v>327</v>
      </c>
      <c r="S15" s="370">
        <v>142550</v>
      </c>
      <c r="T15" s="370"/>
      <c r="U15" s="370"/>
      <c r="V15" s="370"/>
      <c r="W15" s="370"/>
      <c r="X15" s="370"/>
      <c r="Y15" s="370">
        <v>37035065</v>
      </c>
      <c r="Z15" s="370">
        <v>22154783</v>
      </c>
      <c r="AA15" s="370">
        <v>14880282</v>
      </c>
      <c r="AB15" s="370">
        <v>13010688</v>
      </c>
      <c r="AC15" s="370">
        <v>9949841</v>
      </c>
      <c r="AD15" s="370">
        <v>9144095</v>
      </c>
      <c r="AE15" s="369">
        <v>22154783</v>
      </c>
      <c r="AF15" s="369">
        <v>10890144</v>
      </c>
      <c r="AG15" s="369">
        <v>6442471</v>
      </c>
      <c r="AH15" s="369">
        <v>422296</v>
      </c>
      <c r="AI15" s="369">
        <v>-9919705</v>
      </c>
      <c r="AJ15" s="369">
        <v>7835206</v>
      </c>
      <c r="AK15" s="369">
        <v>3161985</v>
      </c>
      <c r="AL15" s="369">
        <v>17685266</v>
      </c>
      <c r="AM15" s="369">
        <v>3371060</v>
      </c>
      <c r="AN15" s="369">
        <v>67536494</v>
      </c>
      <c r="AO15" s="369">
        <v>48542518</v>
      </c>
      <c r="AP15" s="369">
        <v>5892835</v>
      </c>
      <c r="AQ15" s="369">
        <v>146190158</v>
      </c>
      <c r="AR15" s="369">
        <v>73829965</v>
      </c>
      <c r="AS15" s="370">
        <v>4459601</v>
      </c>
      <c r="AT15" s="370">
        <v>60625147</v>
      </c>
      <c r="AU15" s="371">
        <v>0.40413676193133902</v>
      </c>
      <c r="AV15" s="371">
        <v>0.25652291859331</v>
      </c>
      <c r="AW15" s="371">
        <v>0.70858213330918596</v>
      </c>
      <c r="AX15" s="371">
        <v>0.33934031947534898</v>
      </c>
      <c r="AY15" s="371">
        <v>0.36924181383383697</v>
      </c>
      <c r="AZ15" s="371">
        <f t="shared" si="1"/>
        <v>1.5864167969030753E-2</v>
      </c>
      <c r="BA15" s="371">
        <f t="shared" si="2"/>
        <v>2.0724413503833944E-2</v>
      </c>
    </row>
    <row r="16" spans="1:53" ht="15.4" x14ac:dyDescent="0.45">
      <c r="A16" s="334" t="s">
        <v>69</v>
      </c>
      <c r="B16" s="370">
        <v>254616</v>
      </c>
      <c r="C16" s="370">
        <v>109121</v>
      </c>
      <c r="D16" s="370">
        <v>18548425</v>
      </c>
      <c r="E16" s="370">
        <v>7728511</v>
      </c>
      <c r="F16" s="370">
        <v>4637106</v>
      </c>
      <c r="G16" s="370"/>
      <c r="H16" s="370">
        <v>436485</v>
      </c>
      <c r="I16" s="370">
        <v>290989</v>
      </c>
      <c r="J16" s="370"/>
      <c r="K16" s="370">
        <v>654727</v>
      </c>
      <c r="L16" s="370">
        <v>272803</v>
      </c>
      <c r="M16" s="370">
        <v>163682</v>
      </c>
      <c r="N16" s="370">
        <v>1273084</v>
      </c>
      <c r="O16" s="370">
        <v>545606</v>
      </c>
      <c r="P16" s="370">
        <v>1454949</v>
      </c>
      <c r="Q16" s="370">
        <v>3637</v>
      </c>
      <c r="R16" s="370"/>
      <c r="S16" s="370"/>
      <c r="T16" s="370"/>
      <c r="U16" s="370"/>
      <c r="V16" s="370"/>
      <c r="W16" s="370"/>
      <c r="X16" s="370"/>
      <c r="Y16" s="370">
        <v>36373741</v>
      </c>
      <c r="Z16" s="370">
        <v>13566481</v>
      </c>
      <c r="AA16" s="370">
        <v>22807260</v>
      </c>
      <c r="AB16" s="370">
        <v>13566481</v>
      </c>
      <c r="AC16" s="370">
        <v>18308533</v>
      </c>
      <c r="AD16" s="370">
        <v>0</v>
      </c>
      <c r="AE16" s="369">
        <v>13566481</v>
      </c>
      <c r="AF16" s="369">
        <v>23308441</v>
      </c>
      <c r="AG16" s="369">
        <v>53788</v>
      </c>
      <c r="AH16" s="369">
        <v>0</v>
      </c>
      <c r="AI16" s="369">
        <v>-17821559</v>
      </c>
      <c r="AJ16" s="369">
        <v>4155502</v>
      </c>
      <c r="AK16" s="369">
        <v>4912319</v>
      </c>
      <c r="AL16" s="369">
        <v>0</v>
      </c>
      <c r="AM16" s="369">
        <v>0</v>
      </c>
      <c r="AN16" s="369">
        <v>74201324</v>
      </c>
      <c r="AO16" s="369">
        <v>9813684</v>
      </c>
      <c r="AP16" s="369">
        <v>53387559</v>
      </c>
      <c r="AQ16" s="369">
        <v>143431675</v>
      </c>
      <c r="AR16" s="369">
        <v>40826049</v>
      </c>
      <c r="AS16" s="370">
        <v>26767749</v>
      </c>
      <c r="AT16" s="370">
        <v>4967273</v>
      </c>
      <c r="AU16" s="371">
        <v>0.78215974622637996</v>
      </c>
      <c r="AV16" s="371">
        <v>0.21784025377361901</v>
      </c>
      <c r="AW16" s="371">
        <v>0.61437817849152998</v>
      </c>
      <c r="AX16" s="371">
        <v>0</v>
      </c>
      <c r="AY16" s="371">
        <v>0.61437817849152998</v>
      </c>
      <c r="AZ16" s="371">
        <f t="shared" si="1"/>
        <v>1.5580886300213615E-2</v>
      </c>
      <c r="BA16" s="371">
        <f t="shared" si="2"/>
        <v>4.4356968045024633E-2</v>
      </c>
    </row>
    <row r="17" spans="1:56" ht="15.4" x14ac:dyDescent="0.45">
      <c r="A17" s="334" t="s">
        <v>29</v>
      </c>
      <c r="B17" s="370">
        <v>3062370</v>
      </c>
      <c r="C17" s="370"/>
      <c r="D17" s="370">
        <v>23235119</v>
      </c>
      <c r="E17" s="370"/>
      <c r="F17" s="370"/>
      <c r="G17" s="370"/>
      <c r="H17" s="370">
        <v>591099</v>
      </c>
      <c r="I17" s="370"/>
      <c r="J17" s="370">
        <v>178821</v>
      </c>
      <c r="K17" s="370">
        <v>1227044</v>
      </c>
      <c r="L17" s="370"/>
      <c r="M17" s="370"/>
      <c r="N17" s="370">
        <v>800792</v>
      </c>
      <c r="O17" s="370"/>
      <c r="P17" s="370">
        <v>2428548</v>
      </c>
      <c r="Q17" s="370">
        <v>223741</v>
      </c>
      <c r="R17" s="370"/>
      <c r="S17" s="370"/>
      <c r="T17" s="370"/>
      <c r="U17" s="370"/>
      <c r="V17" s="370"/>
      <c r="W17" s="370"/>
      <c r="X17" s="370"/>
      <c r="Y17" s="370">
        <v>31747534</v>
      </c>
      <c r="Z17" s="370">
        <v>24313389</v>
      </c>
      <c r="AA17" s="370">
        <v>7434145</v>
      </c>
      <c r="AB17" s="370">
        <v>17358567</v>
      </c>
      <c r="AC17" s="370">
        <v>8166097</v>
      </c>
      <c r="AD17" s="370">
        <v>6954822</v>
      </c>
      <c r="AE17" s="369">
        <v>24313389</v>
      </c>
      <c r="AF17" s="369">
        <v>672533</v>
      </c>
      <c r="AG17" s="369">
        <v>8671385</v>
      </c>
      <c r="AH17" s="369">
        <v>2670275</v>
      </c>
      <c r="AI17" s="369">
        <v>-7977963</v>
      </c>
      <c r="AJ17" s="369">
        <v>4036230</v>
      </c>
      <c r="AK17" s="369">
        <v>12482593</v>
      </c>
      <c r="AL17" s="369">
        <v>0</v>
      </c>
      <c r="AM17" s="369">
        <v>2127564</v>
      </c>
      <c r="AN17" s="369">
        <v>107576232</v>
      </c>
      <c r="AO17" s="369">
        <v>15763892</v>
      </c>
      <c r="AP17" s="369">
        <v>28821200</v>
      </c>
      <c r="AQ17" s="369">
        <v>166771481</v>
      </c>
      <c r="AR17" s="369">
        <v>72099623</v>
      </c>
      <c r="AS17" s="370">
        <v>26357731</v>
      </c>
      <c r="AT17" s="370">
        <v>22740065</v>
      </c>
      <c r="AU17" s="371">
        <v>2.9516511230909301E-2</v>
      </c>
      <c r="AV17" s="371">
        <v>0.66524630089581804</v>
      </c>
      <c r="AW17" s="371">
        <v>0.66363550262242899</v>
      </c>
      <c r="AX17" s="371">
        <v>0.30523718787327198</v>
      </c>
      <c r="AY17" s="371">
        <v>0.35839831474915701</v>
      </c>
      <c r="AZ17" s="371">
        <f t="shared" si="1"/>
        <v>1.3599225814198378E-2</v>
      </c>
      <c r="BA17" s="371">
        <f t="shared" si="2"/>
        <v>1.279859291757203E-3</v>
      </c>
    </row>
    <row r="18" spans="1:56" ht="15.4" x14ac:dyDescent="0.45">
      <c r="A18" s="334" t="s">
        <v>31</v>
      </c>
      <c r="B18" s="370">
        <v>232329</v>
      </c>
      <c r="C18" s="370">
        <v>814444</v>
      </c>
      <c r="D18" s="370">
        <v>6360463</v>
      </c>
      <c r="E18" s="370">
        <v>3108480</v>
      </c>
      <c r="F18" s="370">
        <v>44778</v>
      </c>
      <c r="G18" s="370">
        <v>8990</v>
      </c>
      <c r="H18" s="370">
        <v>69805</v>
      </c>
      <c r="I18" s="370">
        <v>68646</v>
      </c>
      <c r="J18" s="370">
        <v>154606</v>
      </c>
      <c r="K18" s="370">
        <v>231090</v>
      </c>
      <c r="L18" s="370">
        <v>43649</v>
      </c>
      <c r="M18" s="370">
        <v>3325702</v>
      </c>
      <c r="N18" s="370">
        <v>0</v>
      </c>
      <c r="O18" s="370">
        <v>240036</v>
      </c>
      <c r="P18" s="370">
        <v>66501</v>
      </c>
      <c r="Q18" s="370">
        <v>580294</v>
      </c>
      <c r="R18" s="370">
        <v>49466</v>
      </c>
      <c r="S18" s="370">
        <v>920065</v>
      </c>
      <c r="T18" s="370"/>
      <c r="U18" s="370"/>
      <c r="V18" s="370"/>
      <c r="W18" s="370"/>
      <c r="X18" s="370"/>
      <c r="Y18" s="370">
        <v>16319344</v>
      </c>
      <c r="Z18" s="370">
        <v>-1162708</v>
      </c>
      <c r="AA18" s="370">
        <v>17482052</v>
      </c>
      <c r="AB18" s="370">
        <v>-4746865</v>
      </c>
      <c r="AC18" s="370">
        <v>8972559</v>
      </c>
      <c r="AD18" s="370">
        <v>3584157</v>
      </c>
      <c r="AE18" s="369">
        <v>-1162708</v>
      </c>
      <c r="AF18" s="369">
        <v>16458263</v>
      </c>
      <c r="AG18" s="369">
        <v>3571224</v>
      </c>
      <c r="AH18" s="369">
        <v>0</v>
      </c>
      <c r="AI18" s="369">
        <v>-8971559</v>
      </c>
      <c r="AJ18" s="369">
        <v>9972857</v>
      </c>
      <c r="AK18" s="369">
        <v>11256112</v>
      </c>
      <c r="AL18" s="369">
        <v>0</v>
      </c>
      <c r="AM18" s="369">
        <v>16711849</v>
      </c>
      <c r="AN18" s="369">
        <v>93955260</v>
      </c>
      <c r="AO18" s="369">
        <v>15480082</v>
      </c>
      <c r="AP18" s="369">
        <v>10666018</v>
      </c>
      <c r="AQ18" s="369">
        <v>148069321</v>
      </c>
      <c r="AR18" s="369">
        <v>55966196</v>
      </c>
      <c r="AS18" s="370">
        <v>44684250</v>
      </c>
      <c r="AT18" s="370">
        <v>0</v>
      </c>
      <c r="AU18" s="371">
        <v>2.0863030901967501</v>
      </c>
      <c r="AV18" s="371">
        <v>-1.54064251987109</v>
      </c>
      <c r="AW18" s="371">
        <v>1.59173026907657</v>
      </c>
      <c r="AX18" s="371">
        <v>0.45433942967434099</v>
      </c>
      <c r="AY18" s="371">
        <v>1.1373908394022301</v>
      </c>
      <c r="AZ18" s="371">
        <f t="shared" si="1"/>
        <v>6.9904781957421764E-3</v>
      </c>
      <c r="BA18" s="371">
        <f t="shared" si="2"/>
        <v>3.1320784001281396E-2</v>
      </c>
      <c r="BD18" t="s">
        <v>196</v>
      </c>
    </row>
    <row r="19" spans="1:56" ht="15.4" x14ac:dyDescent="0.45">
      <c r="A19" s="334" t="s">
        <v>32</v>
      </c>
      <c r="B19" s="370">
        <v>0</v>
      </c>
      <c r="C19" s="370">
        <v>11323966</v>
      </c>
      <c r="D19" s="370">
        <v>46717931</v>
      </c>
      <c r="E19" s="370"/>
      <c r="F19" s="370"/>
      <c r="G19" s="370"/>
      <c r="H19" s="370"/>
      <c r="I19" s="370"/>
      <c r="J19" s="370">
        <v>166358</v>
      </c>
      <c r="K19" s="370">
        <v>4594842</v>
      </c>
      <c r="L19" s="370"/>
      <c r="M19" s="370">
        <v>2087786</v>
      </c>
      <c r="N19" s="370">
        <v>22361381</v>
      </c>
      <c r="O19" s="370"/>
      <c r="P19" s="370">
        <v>36813597</v>
      </c>
      <c r="Q19" s="370">
        <v>401151</v>
      </c>
      <c r="R19" s="370"/>
      <c r="S19" s="370"/>
      <c r="T19" s="370"/>
      <c r="U19" s="370"/>
      <c r="V19" s="370"/>
      <c r="W19" s="370"/>
      <c r="X19" s="370"/>
      <c r="Y19" s="370">
        <v>124467012</v>
      </c>
      <c r="Z19" s="370">
        <v>70246757</v>
      </c>
      <c r="AA19" s="370">
        <v>54220255</v>
      </c>
      <c r="AB19" s="370">
        <v>41727503</v>
      </c>
      <c r="AC19" s="370">
        <v>9854078</v>
      </c>
      <c r="AD19" s="370">
        <v>28519254</v>
      </c>
      <c r="AE19" s="369">
        <v>70246757</v>
      </c>
      <c r="AF19" s="369">
        <v>15448652</v>
      </c>
      <c r="AG19" s="369">
        <v>9378934</v>
      </c>
      <c r="AH19" s="369">
        <v>0</v>
      </c>
      <c r="AI19" s="369">
        <v>-9570465</v>
      </c>
      <c r="AJ19" s="369">
        <v>10623298</v>
      </c>
      <c r="AK19" s="369">
        <v>19377794</v>
      </c>
      <c r="AL19" s="369">
        <v>0</v>
      </c>
      <c r="AM19" s="369">
        <v>16547198</v>
      </c>
      <c r="AN19" s="369">
        <v>180255291</v>
      </c>
      <c r="AO19" s="369">
        <v>16810276</v>
      </c>
      <c r="AP19" s="369">
        <v>5612304</v>
      </c>
      <c r="AQ19" s="369">
        <v>238602863</v>
      </c>
      <c r="AR19" s="369">
        <v>162004522</v>
      </c>
      <c r="AS19" s="370">
        <v>87977484</v>
      </c>
      <c r="AT19" s="370">
        <v>0</v>
      </c>
      <c r="AU19" s="371">
        <v>0.19245998566602299</v>
      </c>
      <c r="AV19" s="371">
        <v>0.135024952153947</v>
      </c>
      <c r="AW19" s="371">
        <v>0.478056656767048</v>
      </c>
      <c r="AX19" s="371">
        <v>0.35529411990416299</v>
      </c>
      <c r="AY19" s="371">
        <v>0.12276253686288401</v>
      </c>
      <c r="AZ19" s="371">
        <f t="shared" si="1"/>
        <v>5.3316109610483109E-2</v>
      </c>
      <c r="BA19" s="371">
        <f t="shared" si="2"/>
        <v>2.9399450744161993E-2</v>
      </c>
    </row>
    <row r="20" spans="1:56" ht="15.4" x14ac:dyDescent="0.45">
      <c r="A20" s="334" t="s">
        <v>33</v>
      </c>
      <c r="B20" s="370"/>
      <c r="C20" s="370"/>
      <c r="D20" s="370"/>
      <c r="E20" s="370"/>
      <c r="F20" s="370"/>
      <c r="G20" s="370"/>
      <c r="H20" s="370"/>
      <c r="I20" s="370"/>
      <c r="J20" s="370"/>
      <c r="K20" s="370"/>
      <c r="L20" s="370"/>
      <c r="M20" s="370"/>
      <c r="N20" s="370"/>
      <c r="O20" s="370"/>
      <c r="P20" s="370"/>
      <c r="Q20" s="370"/>
      <c r="R20" s="370"/>
      <c r="S20" s="370"/>
      <c r="T20" s="370"/>
      <c r="U20" s="370"/>
      <c r="V20" s="370"/>
      <c r="W20" s="370"/>
      <c r="X20" s="370"/>
      <c r="Y20" s="370"/>
      <c r="Z20" s="370"/>
      <c r="AA20" s="370"/>
      <c r="AB20" s="370"/>
      <c r="AC20" s="370"/>
      <c r="AD20" s="370"/>
      <c r="AE20" s="369"/>
      <c r="AF20" s="369"/>
      <c r="AG20" s="369"/>
      <c r="AH20" s="369"/>
      <c r="AI20" s="369"/>
      <c r="AJ20" s="369"/>
      <c r="AK20" s="369"/>
      <c r="AL20" s="369"/>
      <c r="AM20" s="369"/>
      <c r="AN20" s="369"/>
      <c r="AO20" s="369"/>
      <c r="AP20" s="369"/>
      <c r="AQ20" s="369"/>
      <c r="AR20" s="369"/>
      <c r="AS20" s="370"/>
      <c r="AT20" s="370"/>
      <c r="AU20" s="371"/>
      <c r="AV20" s="371"/>
      <c r="AW20" s="371"/>
      <c r="AX20" s="371"/>
      <c r="AY20" s="371"/>
      <c r="AZ20" s="371"/>
      <c r="BA20" s="371"/>
    </row>
    <row r="21" spans="1:56" ht="15.4" x14ac:dyDescent="0.45">
      <c r="A21" s="334" t="s">
        <v>34</v>
      </c>
      <c r="B21" s="370">
        <v>13469</v>
      </c>
      <c r="C21" s="370">
        <v>1333457</v>
      </c>
      <c r="D21" s="370">
        <v>15884897</v>
      </c>
      <c r="E21" s="370">
        <v>20538049</v>
      </c>
      <c r="F21" s="370">
        <v>43760</v>
      </c>
      <c r="G21" s="370">
        <v>0</v>
      </c>
      <c r="H21" s="370">
        <v>3737549</v>
      </c>
      <c r="I21" s="370">
        <v>16985</v>
      </c>
      <c r="J21" s="370">
        <v>0</v>
      </c>
      <c r="K21" s="370">
        <v>289557</v>
      </c>
      <c r="L21" s="370">
        <v>5673</v>
      </c>
      <c r="M21" s="370">
        <v>1824442</v>
      </c>
      <c r="N21" s="370">
        <v>1326917</v>
      </c>
      <c r="O21" s="370">
        <v>408749</v>
      </c>
      <c r="P21" s="370">
        <v>4288290</v>
      </c>
      <c r="Q21" s="370">
        <v>8332</v>
      </c>
      <c r="R21" s="370">
        <v>0</v>
      </c>
      <c r="S21" s="370">
        <v>0</v>
      </c>
      <c r="T21" s="370">
        <v>0</v>
      </c>
      <c r="U21" s="370">
        <v>0</v>
      </c>
      <c r="V21" s="370">
        <v>0</v>
      </c>
      <c r="W21" s="370">
        <v>0</v>
      </c>
      <c r="X21" s="370">
        <v>0</v>
      </c>
      <c r="Y21" s="370">
        <v>49720126</v>
      </c>
      <c r="Z21" s="370">
        <v>26623377</v>
      </c>
      <c r="AA21" s="370">
        <v>23096749</v>
      </c>
      <c r="AB21" s="370">
        <v>5969154</v>
      </c>
      <c r="AC21" s="370">
        <v>9941768</v>
      </c>
      <c r="AD21" s="370">
        <v>20654223</v>
      </c>
      <c r="AE21" s="369">
        <v>26623377</v>
      </c>
      <c r="AF21" s="369">
        <v>18713003</v>
      </c>
      <c r="AG21" s="369">
        <v>4566177</v>
      </c>
      <c r="AH21" s="369">
        <v>-147800</v>
      </c>
      <c r="AI21" s="369">
        <v>-9760876</v>
      </c>
      <c r="AJ21" s="369">
        <v>9359352</v>
      </c>
      <c r="AK21" s="369">
        <v>11222147</v>
      </c>
      <c r="AL21" s="369">
        <v>12061311</v>
      </c>
      <c r="AM21" s="369">
        <v>7638653</v>
      </c>
      <c r="AN21" s="369">
        <v>80970824</v>
      </c>
      <c r="AO21" s="369">
        <v>8705967</v>
      </c>
      <c r="AP21" s="369">
        <v>28774853</v>
      </c>
      <c r="AQ21" s="369">
        <v>149373755</v>
      </c>
      <c r="AR21" s="369">
        <v>66952444</v>
      </c>
      <c r="AS21" s="370">
        <v>35241534</v>
      </c>
      <c r="AT21" s="370">
        <v>10108314</v>
      </c>
      <c r="AU21" s="371">
        <v>0.45215525046323302</v>
      </c>
      <c r="AV21" s="371">
        <v>4.8784530624361701E-2</v>
      </c>
      <c r="AW21" s="371">
        <v>0.73927941836891897</v>
      </c>
      <c r="AX21" s="371">
        <v>0.49906021891240399</v>
      </c>
      <c r="AY21" s="371">
        <v>0.24021919945651399</v>
      </c>
      <c r="AZ21" s="371">
        <f t="shared" si="1"/>
        <v>2.1297881623952145E-2</v>
      </c>
      <c r="BA21" s="371">
        <f t="shared" si="2"/>
        <v>3.5611651422651998E-2</v>
      </c>
    </row>
    <row r="22" spans="1:56" ht="15.4" x14ac:dyDescent="0.45">
      <c r="A22" s="334" t="s">
        <v>35</v>
      </c>
      <c r="B22" s="370"/>
      <c r="C22" s="370">
        <v>11709432</v>
      </c>
      <c r="D22" s="370">
        <v>46289599</v>
      </c>
      <c r="E22" s="370"/>
      <c r="F22" s="370"/>
      <c r="G22" s="370"/>
      <c r="H22" s="370"/>
      <c r="I22" s="370"/>
      <c r="J22" s="370"/>
      <c r="K22" s="370">
        <v>-1190736</v>
      </c>
      <c r="L22" s="370">
        <v>-56842</v>
      </c>
      <c r="M22" s="370"/>
      <c r="N22" s="370">
        <v>2773820</v>
      </c>
      <c r="O22" s="370"/>
      <c r="P22" s="370">
        <v>4398955</v>
      </c>
      <c r="Q22" s="370"/>
      <c r="R22" s="370">
        <v>2226211</v>
      </c>
      <c r="S22" s="370"/>
      <c r="T22" s="370"/>
      <c r="U22" s="370"/>
      <c r="V22" s="370"/>
      <c r="W22" s="370"/>
      <c r="X22" s="370"/>
      <c r="Y22" s="370">
        <v>66150439</v>
      </c>
      <c r="Z22" s="370">
        <v>47366462</v>
      </c>
      <c r="AA22" s="370">
        <v>18783977</v>
      </c>
      <c r="AB22" s="370">
        <v>35813234</v>
      </c>
      <c r="AC22" s="370">
        <v>26175619</v>
      </c>
      <c r="AD22" s="370">
        <v>11553228</v>
      </c>
      <c r="AE22" s="369">
        <v>47366462</v>
      </c>
      <c r="AF22" s="369">
        <v>25976907</v>
      </c>
      <c r="AG22" s="369">
        <v>5841522</v>
      </c>
      <c r="AH22" s="369">
        <v>180427</v>
      </c>
      <c r="AI22" s="369">
        <v>-26175619</v>
      </c>
      <c r="AJ22" s="369">
        <v>2794005</v>
      </c>
      <c r="AK22" s="369">
        <v>13223698</v>
      </c>
      <c r="AL22" s="369">
        <v>0</v>
      </c>
      <c r="AM22" s="369">
        <v>45395773</v>
      </c>
      <c r="AN22" s="369">
        <v>80683678</v>
      </c>
      <c r="AO22" s="369">
        <v>6891944</v>
      </c>
      <c r="AP22" s="369">
        <v>30585512</v>
      </c>
      <c r="AQ22" s="369">
        <v>177640106</v>
      </c>
      <c r="AR22" s="369">
        <v>103879094</v>
      </c>
      <c r="AS22" s="370">
        <v>79346775</v>
      </c>
      <c r="AT22" s="370">
        <v>0</v>
      </c>
      <c r="AU22" s="371">
        <v>0.39269440071289602</v>
      </c>
      <c r="AV22" s="371">
        <v>0.43265478555629799</v>
      </c>
      <c r="AW22" s="371">
        <v>0.57034915520364105</v>
      </c>
      <c r="AX22" s="371">
        <v>0.17465081373080499</v>
      </c>
      <c r="AY22" s="371">
        <v>0.395698341472835</v>
      </c>
      <c r="AZ22" s="371">
        <f t="shared" si="1"/>
        <v>2.8335893983745482E-2</v>
      </c>
      <c r="BA22" s="371">
        <f t="shared" si="2"/>
        <v>4.9435173880036709E-2</v>
      </c>
    </row>
    <row r="23" spans="1:56" ht="15.4" x14ac:dyDescent="0.45">
      <c r="A23" s="334" t="s">
        <v>36</v>
      </c>
      <c r="B23" s="370"/>
      <c r="C23" s="370"/>
      <c r="D23" s="370"/>
      <c r="E23" s="370"/>
      <c r="F23" s="370"/>
      <c r="G23" s="370"/>
      <c r="H23" s="370"/>
      <c r="I23" s="370"/>
      <c r="J23" s="370"/>
      <c r="K23" s="370"/>
      <c r="L23" s="370"/>
      <c r="M23" s="370"/>
      <c r="N23" s="370"/>
      <c r="O23" s="370"/>
      <c r="P23" s="370"/>
      <c r="Q23" s="370"/>
      <c r="R23" s="370"/>
      <c r="S23" s="370"/>
      <c r="T23" s="370"/>
      <c r="U23" s="370"/>
      <c r="V23" s="370"/>
      <c r="W23" s="370"/>
      <c r="X23" s="370"/>
      <c r="Y23" s="370"/>
      <c r="Z23" s="370"/>
      <c r="AA23" s="370"/>
      <c r="AB23" s="370"/>
      <c r="AC23" s="370"/>
      <c r="AD23" s="370"/>
      <c r="AE23" s="369"/>
      <c r="AF23" s="369"/>
      <c r="AG23" s="369"/>
      <c r="AH23" s="369"/>
      <c r="AI23" s="369"/>
      <c r="AJ23" s="369"/>
      <c r="AK23" s="369"/>
      <c r="AL23" s="369"/>
      <c r="AM23" s="369"/>
      <c r="AN23" s="369"/>
      <c r="AO23" s="369"/>
      <c r="AP23" s="369"/>
      <c r="AQ23" s="369"/>
      <c r="AR23" s="369"/>
      <c r="AS23" s="370"/>
      <c r="AT23" s="370"/>
      <c r="AU23" s="371"/>
      <c r="AV23" s="371"/>
      <c r="AW23" s="371"/>
      <c r="AX23" s="371"/>
      <c r="AY23" s="371"/>
      <c r="AZ23" s="371"/>
      <c r="BA23" s="371">
        <f t="shared" si="2"/>
        <v>0</v>
      </c>
    </row>
    <row r="24" spans="1:56" ht="15.4" x14ac:dyDescent="0.45">
      <c r="A24" s="334" t="s">
        <v>197</v>
      </c>
      <c r="B24" s="370"/>
      <c r="C24" s="370">
        <v>32512450</v>
      </c>
      <c r="D24" s="370">
        <v>43771705</v>
      </c>
      <c r="E24" s="370"/>
      <c r="F24" s="370"/>
      <c r="G24" s="370"/>
      <c r="H24" s="370">
        <v>17346361</v>
      </c>
      <c r="I24" s="370"/>
      <c r="J24" s="370">
        <v>126155</v>
      </c>
      <c r="K24" s="370">
        <v>1099961</v>
      </c>
      <c r="L24" s="370"/>
      <c r="M24" s="370">
        <v>6658510</v>
      </c>
      <c r="N24" s="370"/>
      <c r="O24" s="370">
        <v>1466902</v>
      </c>
      <c r="P24" s="370">
        <v>2194057</v>
      </c>
      <c r="Q24" s="370">
        <v>17180581</v>
      </c>
      <c r="R24" s="370"/>
      <c r="S24" s="370"/>
      <c r="T24" s="370"/>
      <c r="U24" s="370"/>
      <c r="V24" s="370"/>
      <c r="W24" s="370"/>
      <c r="X24" s="370"/>
      <c r="Y24" s="370">
        <v>122356682</v>
      </c>
      <c r="Z24" s="370">
        <v>42490828</v>
      </c>
      <c r="AA24" s="370">
        <v>79865854</v>
      </c>
      <c r="AB24" s="370">
        <v>29072549</v>
      </c>
      <c r="AC24" s="370">
        <v>27573361</v>
      </c>
      <c r="AD24" s="370">
        <v>13418279</v>
      </c>
      <c r="AE24" s="369">
        <v>42490828</v>
      </c>
      <c r="AF24" s="369">
        <v>29748529</v>
      </c>
      <c r="AG24" s="369">
        <v>11316423</v>
      </c>
      <c r="AH24" s="369">
        <v>0</v>
      </c>
      <c r="AI24" s="369">
        <v>-27573361</v>
      </c>
      <c r="AJ24" s="369">
        <v>9444114</v>
      </c>
      <c r="AK24" s="369">
        <v>98096842</v>
      </c>
      <c r="AL24" s="369">
        <v>8394137</v>
      </c>
      <c r="AM24" s="369">
        <v>60501496</v>
      </c>
      <c r="AN24" s="369">
        <v>228947642</v>
      </c>
      <c r="AO24" s="369">
        <v>100147444</v>
      </c>
      <c r="AP24" s="369">
        <v>5649353</v>
      </c>
      <c r="AQ24" s="369">
        <v>511795344</v>
      </c>
      <c r="AR24" s="369">
        <v>309550825</v>
      </c>
      <c r="AS24" s="370">
        <v>118104787</v>
      </c>
      <c r="AT24" s="370">
        <v>5097823</v>
      </c>
      <c r="AU24" s="371">
        <v>0.52754007991093399</v>
      </c>
      <c r="AV24" s="371">
        <v>0.23450933181200301</v>
      </c>
      <c r="AW24" s="371">
        <v>0.72691772562200496</v>
      </c>
      <c r="AX24" s="371">
        <v>0.237950588277061</v>
      </c>
      <c r="AY24" s="371">
        <v>0.48896713734494401</v>
      </c>
      <c r="AZ24" s="371">
        <f t="shared" si="1"/>
        <v>5.2412138479607961E-2</v>
      </c>
      <c r="BA24" s="371">
        <f t="shared" si="2"/>
        <v>5.6612733139873604E-2</v>
      </c>
    </row>
    <row r="25" spans="1:56" ht="15.4" x14ac:dyDescent="0.45">
      <c r="A25" s="334" t="s">
        <v>77</v>
      </c>
      <c r="B25" s="370">
        <v>11312944</v>
      </c>
      <c r="C25" s="370">
        <v>13866267</v>
      </c>
      <c r="D25" s="370">
        <v>5756505</v>
      </c>
      <c r="E25" s="370">
        <v>5182775</v>
      </c>
      <c r="F25" s="370">
        <v>1049819</v>
      </c>
      <c r="G25" s="370">
        <v>970370</v>
      </c>
      <c r="H25" s="370">
        <v>20300</v>
      </c>
      <c r="I25" s="370">
        <v>85668</v>
      </c>
      <c r="J25" s="370">
        <v>0</v>
      </c>
      <c r="K25" s="370">
        <v>5025</v>
      </c>
      <c r="L25" s="370">
        <v>66758</v>
      </c>
      <c r="M25" s="370">
        <v>1836872</v>
      </c>
      <c r="N25" s="370">
        <v>9023584</v>
      </c>
      <c r="O25" s="370">
        <v>0</v>
      </c>
      <c r="P25" s="370">
        <v>324271</v>
      </c>
      <c r="Q25" s="370">
        <v>21118</v>
      </c>
      <c r="R25" s="370">
        <v>3312392</v>
      </c>
      <c r="S25" s="370">
        <v>0</v>
      </c>
      <c r="T25" s="370">
        <v>0</v>
      </c>
      <c r="U25" s="370">
        <v>0</v>
      </c>
      <c r="V25" s="370">
        <v>0</v>
      </c>
      <c r="W25" s="370">
        <v>0</v>
      </c>
      <c r="X25" s="370">
        <v>0</v>
      </c>
      <c r="Y25" s="370">
        <v>52834668</v>
      </c>
      <c r="Z25" s="370">
        <v>5936474</v>
      </c>
      <c r="AA25" s="370">
        <v>46898194</v>
      </c>
      <c r="AB25" s="370">
        <v>3423677</v>
      </c>
      <c r="AC25" s="370">
        <v>37954845</v>
      </c>
      <c r="AD25" s="370">
        <v>2512797</v>
      </c>
      <c r="AE25" s="369">
        <v>5936474</v>
      </c>
      <c r="AF25" s="369">
        <v>35363266</v>
      </c>
      <c r="AG25" s="369">
        <v>2969154</v>
      </c>
      <c r="AH25" s="369">
        <v>0</v>
      </c>
      <c r="AI25" s="369">
        <v>-37954845</v>
      </c>
      <c r="AJ25" s="369">
        <v>264302</v>
      </c>
      <c r="AK25" s="369">
        <v>921057</v>
      </c>
      <c r="AL25" s="369">
        <v>0</v>
      </c>
      <c r="AM25" s="369">
        <v>43535300</v>
      </c>
      <c r="AN25" s="369">
        <v>58976864</v>
      </c>
      <c r="AO25" s="369">
        <v>45773798</v>
      </c>
      <c r="AP25" s="369">
        <v>5860297</v>
      </c>
      <c r="AQ25" s="369">
        <v>155067316</v>
      </c>
      <c r="AR25" s="369">
        <v>77343483</v>
      </c>
      <c r="AS25" s="370">
        <v>64615799</v>
      </c>
      <c r="AT25" s="370">
        <v>0</v>
      </c>
      <c r="AU25" s="371">
        <v>0.88256421322</v>
      </c>
      <c r="AV25" s="371">
        <v>5.4723685830766797E-2</v>
      </c>
      <c r="AW25" s="371">
        <v>1.00995458458499</v>
      </c>
      <c r="AX25" s="371">
        <v>6.2712100949232893E-2</v>
      </c>
      <c r="AY25" s="371">
        <v>0.94724248363576002</v>
      </c>
      <c r="AZ25" s="371">
        <f t="shared" si="1"/>
        <v>2.2632012330475841E-2</v>
      </c>
      <c r="BA25" s="371">
        <f t="shared" si="2"/>
        <v>6.7297819701013298E-2</v>
      </c>
    </row>
    <row r="26" spans="1:56" ht="15.4" x14ac:dyDescent="0.45">
      <c r="A26" s="334" t="s">
        <v>39</v>
      </c>
      <c r="B26" s="370"/>
      <c r="C26" s="370"/>
      <c r="D26" s="370"/>
      <c r="E26" s="370"/>
      <c r="F26" s="370"/>
      <c r="G26" s="370"/>
      <c r="H26" s="370"/>
      <c r="I26" s="370"/>
      <c r="J26" s="370"/>
      <c r="K26" s="370"/>
      <c r="L26" s="370"/>
      <c r="M26" s="370"/>
      <c r="N26" s="370"/>
      <c r="O26" s="370"/>
      <c r="P26" s="370"/>
      <c r="Q26" s="370"/>
      <c r="R26" s="370"/>
      <c r="S26" s="370"/>
      <c r="T26" s="370"/>
      <c r="U26" s="370"/>
      <c r="V26" s="370"/>
      <c r="W26" s="370"/>
      <c r="X26" s="370"/>
      <c r="Y26" s="370"/>
      <c r="Z26" s="370"/>
      <c r="AA26" s="370"/>
      <c r="AB26" s="370"/>
      <c r="AC26" s="370"/>
      <c r="AD26" s="370"/>
      <c r="AE26" s="369"/>
      <c r="AF26" s="369"/>
      <c r="AG26" s="369"/>
      <c r="AH26" s="369"/>
      <c r="AI26" s="369"/>
      <c r="AJ26" s="369"/>
      <c r="AK26" s="369"/>
      <c r="AL26" s="369"/>
      <c r="AM26" s="369"/>
      <c r="AN26" s="369"/>
      <c r="AO26" s="369"/>
      <c r="AP26" s="369"/>
      <c r="AQ26" s="369"/>
      <c r="AR26" s="369"/>
      <c r="AS26" s="370"/>
      <c r="AT26" s="370"/>
      <c r="AU26" s="371"/>
      <c r="AV26" s="371"/>
      <c r="AW26" s="371"/>
      <c r="AX26" s="371"/>
      <c r="AY26" s="371"/>
      <c r="AZ26" s="371"/>
      <c r="BA26" s="371"/>
    </row>
    <row r="27" spans="1:56" ht="15.4" x14ac:dyDescent="0.45">
      <c r="A27" s="334" t="s">
        <v>40</v>
      </c>
      <c r="B27" s="370">
        <v>1050169</v>
      </c>
      <c r="C27" s="370">
        <v>114534139</v>
      </c>
      <c r="D27" s="370">
        <v>77213083</v>
      </c>
      <c r="E27" s="370">
        <v>22436858</v>
      </c>
      <c r="F27" s="370">
        <v>225454</v>
      </c>
      <c r="G27" s="370">
        <v>558859</v>
      </c>
      <c r="H27" s="370">
        <v>11536932</v>
      </c>
      <c r="I27" s="370">
        <v>1557732</v>
      </c>
      <c r="J27" s="370">
        <v>2891818</v>
      </c>
      <c r="K27" s="370">
        <v>4630879</v>
      </c>
      <c r="L27" s="370">
        <v>3690166</v>
      </c>
      <c r="M27" s="370">
        <v>6947246</v>
      </c>
      <c r="N27" s="370">
        <v>4665546</v>
      </c>
      <c r="O27" s="370">
        <v>12094124</v>
      </c>
      <c r="P27" s="370">
        <v>10937581</v>
      </c>
      <c r="Q27" s="370">
        <v>2664766</v>
      </c>
      <c r="R27" s="370">
        <v>494176</v>
      </c>
      <c r="S27" s="370">
        <v>27260</v>
      </c>
      <c r="T27" s="370"/>
      <c r="U27" s="370"/>
      <c r="V27" s="370"/>
      <c r="W27" s="370"/>
      <c r="X27" s="370"/>
      <c r="Y27" s="370">
        <v>278156788</v>
      </c>
      <c r="Z27" s="370">
        <v>566747488</v>
      </c>
      <c r="AA27" s="370">
        <v>-288590700</v>
      </c>
      <c r="AB27" s="370">
        <v>519791611</v>
      </c>
      <c r="AC27" s="370">
        <v>47071660</v>
      </c>
      <c r="AD27" s="370">
        <v>46955877</v>
      </c>
      <c r="AE27" s="369">
        <v>566747488</v>
      </c>
      <c r="AF27" s="369">
        <v>-13149446</v>
      </c>
      <c r="AG27" s="369">
        <v>40297817</v>
      </c>
      <c r="AH27" s="369">
        <v>-23188907</v>
      </c>
      <c r="AI27" s="369">
        <v>-46982732</v>
      </c>
      <c r="AJ27" s="369">
        <v>-43318495</v>
      </c>
      <c r="AK27" s="369">
        <v>40220912</v>
      </c>
      <c r="AL27" s="369">
        <v>233801733</v>
      </c>
      <c r="AM27" s="369">
        <v>174297393</v>
      </c>
      <c r="AN27" s="369">
        <v>858615126</v>
      </c>
      <c r="AO27" s="369">
        <v>71245280</v>
      </c>
      <c r="AP27" s="369">
        <v>13367517</v>
      </c>
      <c r="AQ27" s="369">
        <v>1395247882</v>
      </c>
      <c r="AR27" s="369">
        <v>797329285</v>
      </c>
      <c r="AS27" s="370">
        <v>369876076</v>
      </c>
      <c r="AT27" s="370">
        <v>300434005</v>
      </c>
      <c r="AU27" s="371">
        <v>-8.6763575744503593E-2</v>
      </c>
      <c r="AV27" s="371">
        <v>0.77692597503488303</v>
      </c>
      <c r="AW27" s="371">
        <v>0.62041893845327101</v>
      </c>
      <c r="AX27" s="371">
        <v>0.309827485563961</v>
      </c>
      <c r="AY27" s="371">
        <v>0.31059145288930901</v>
      </c>
      <c r="AZ27" s="371">
        <f t="shared" si="1"/>
        <v>0.11914994631595971</v>
      </c>
      <c r="BA27" s="371">
        <f t="shared" si="2"/>
        <v>-2.5023962607871417E-2</v>
      </c>
    </row>
    <row r="28" spans="1:56" ht="15.4" x14ac:dyDescent="0.45">
      <c r="A28" s="334" t="s">
        <v>90</v>
      </c>
      <c r="B28" s="370">
        <v>13943466</v>
      </c>
      <c r="C28" s="370"/>
      <c r="D28" s="370">
        <v>40089141</v>
      </c>
      <c r="E28" s="370"/>
      <c r="F28" s="370"/>
      <c r="G28" s="370"/>
      <c r="H28" s="370">
        <v>4927904</v>
      </c>
      <c r="I28" s="370"/>
      <c r="J28" s="370"/>
      <c r="K28" s="370"/>
      <c r="L28" s="370"/>
      <c r="M28" s="370"/>
      <c r="N28" s="370">
        <v>3649272</v>
      </c>
      <c r="O28" s="370"/>
      <c r="P28" s="370">
        <v>2303474</v>
      </c>
      <c r="Q28" s="370">
        <v>364185</v>
      </c>
      <c r="R28" s="370"/>
      <c r="S28" s="370"/>
      <c r="T28" s="370"/>
      <c r="U28" s="370"/>
      <c r="V28" s="370"/>
      <c r="W28" s="370"/>
      <c r="X28" s="370"/>
      <c r="Y28" s="370">
        <v>65277442</v>
      </c>
      <c r="Z28" s="370">
        <v>48443949</v>
      </c>
      <c r="AA28" s="370">
        <v>16833493</v>
      </c>
      <c r="AB28" s="370">
        <v>15442472</v>
      </c>
      <c r="AC28" s="370">
        <v>9695717</v>
      </c>
      <c r="AD28" s="370">
        <v>33001477</v>
      </c>
      <c r="AE28" s="369">
        <v>48443949</v>
      </c>
      <c r="AF28" s="369">
        <v>13215204</v>
      </c>
      <c r="AG28" s="369">
        <v>9901842</v>
      </c>
      <c r="AH28" s="369">
        <v>0</v>
      </c>
      <c r="AI28" s="369">
        <v>-9558187</v>
      </c>
      <c r="AJ28" s="369">
        <v>10763050</v>
      </c>
      <c r="AK28" s="369">
        <v>9874091</v>
      </c>
      <c r="AL28" s="369">
        <v>0</v>
      </c>
      <c r="AM28" s="369">
        <v>20149823</v>
      </c>
      <c r="AN28" s="369">
        <v>119020497</v>
      </c>
      <c r="AO28" s="369">
        <v>26036396</v>
      </c>
      <c r="AP28" s="369">
        <v>15301994</v>
      </c>
      <c r="AQ28" s="369">
        <v>190382801</v>
      </c>
      <c r="AR28" s="369">
        <v>102772428</v>
      </c>
      <c r="AS28" s="370">
        <v>80680420</v>
      </c>
      <c r="AT28" s="370">
        <v>0</v>
      </c>
      <c r="AU28" s="371">
        <v>0.24030087714739501</v>
      </c>
      <c r="AV28" s="371">
        <v>0.15961123391349999</v>
      </c>
      <c r="AW28" s="371">
        <v>0.77639158426404298</v>
      </c>
      <c r="AX28" s="371">
        <v>0.60008788893910403</v>
      </c>
      <c r="AY28" s="371">
        <v>0.176303695324939</v>
      </c>
      <c r="AZ28" s="371">
        <f t="shared" si="1"/>
        <v>2.7961941054421343E-2</v>
      </c>
      <c r="BA28" s="371">
        <f t="shared" si="2"/>
        <v>2.5149102916685064E-2</v>
      </c>
    </row>
    <row r="29" spans="1:56" ht="15.4" x14ac:dyDescent="0.45">
      <c r="A29" s="334" t="s">
        <v>41</v>
      </c>
      <c r="B29" s="370">
        <v>408641</v>
      </c>
      <c r="C29" s="370">
        <v>2085092</v>
      </c>
      <c r="D29" s="370">
        <v>20964995</v>
      </c>
      <c r="E29" s="370">
        <v>8157927</v>
      </c>
      <c r="F29" s="370">
        <v>10964</v>
      </c>
      <c r="G29" s="370">
        <v>0</v>
      </c>
      <c r="H29" s="370">
        <v>146620</v>
      </c>
      <c r="I29" s="370">
        <v>17135</v>
      </c>
      <c r="J29" s="370">
        <v>1140627</v>
      </c>
      <c r="K29" s="370">
        <v>317761</v>
      </c>
      <c r="L29" s="370">
        <v>142834</v>
      </c>
      <c r="M29" s="370">
        <v>301948</v>
      </c>
      <c r="N29" s="370">
        <v>178490</v>
      </c>
      <c r="O29" s="370">
        <v>127368</v>
      </c>
      <c r="P29" s="370">
        <v>386258</v>
      </c>
      <c r="Q29" s="370">
        <v>197037</v>
      </c>
      <c r="R29" s="370">
        <v>12644</v>
      </c>
      <c r="S29" s="370"/>
      <c r="T29" s="370"/>
      <c r="U29" s="370"/>
      <c r="V29" s="370"/>
      <c r="W29" s="370"/>
      <c r="X29" s="370"/>
      <c r="Y29" s="370">
        <v>34596341</v>
      </c>
      <c r="Z29" s="370">
        <v>24232450</v>
      </c>
      <c r="AA29" s="370">
        <v>10363891</v>
      </c>
      <c r="AB29" s="370">
        <v>13997754</v>
      </c>
      <c r="AC29" s="370">
        <v>9873228</v>
      </c>
      <c r="AD29" s="370">
        <v>10234696</v>
      </c>
      <c r="AE29" s="369">
        <v>24232450</v>
      </c>
      <c r="AF29" s="369">
        <v>7163863</v>
      </c>
      <c r="AG29" s="369">
        <v>7517264</v>
      </c>
      <c r="AH29" s="369">
        <v>28932</v>
      </c>
      <c r="AI29" s="369">
        <v>-9011045</v>
      </c>
      <c r="AJ29" s="369">
        <v>3989309</v>
      </c>
      <c r="AK29" s="369">
        <v>4439230</v>
      </c>
      <c r="AL29" s="369">
        <v>0</v>
      </c>
      <c r="AM29" s="369">
        <v>7197760</v>
      </c>
      <c r="AN29" s="369">
        <v>95134481</v>
      </c>
      <c r="AO29" s="369">
        <v>33840176</v>
      </c>
      <c r="AP29" s="369">
        <v>4269351</v>
      </c>
      <c r="AQ29" s="369">
        <v>145447864</v>
      </c>
      <c r="AR29" s="369">
        <v>53022953</v>
      </c>
      <c r="AS29" s="370">
        <v>36507992</v>
      </c>
      <c r="AT29" s="370">
        <v>0</v>
      </c>
      <c r="AU29" s="371">
        <v>0.24156596139679101</v>
      </c>
      <c r="AV29" s="371">
        <v>0.41331937367397897</v>
      </c>
      <c r="AW29" s="371">
        <v>0.67804060361757601</v>
      </c>
      <c r="AX29" s="371">
        <v>0.34511466492922799</v>
      </c>
      <c r="AY29" s="371">
        <v>0.33292593868834702</v>
      </c>
      <c r="AZ29" s="371">
        <f t="shared" si="1"/>
        <v>1.4819527513664832E-2</v>
      </c>
      <c r="BA29" s="371">
        <f t="shared" si="2"/>
        <v>1.3633140121638094E-2</v>
      </c>
    </row>
    <row r="30" spans="1:56" ht="15.4" x14ac:dyDescent="0.45">
      <c r="A30" s="334" t="s">
        <v>42</v>
      </c>
      <c r="B30" s="370">
        <v>4214579</v>
      </c>
      <c r="C30" s="370">
        <v>24122983</v>
      </c>
      <c r="D30" s="370">
        <v>118532646</v>
      </c>
      <c r="E30" s="370">
        <v>19066165</v>
      </c>
      <c r="F30" s="370">
        <v>278590</v>
      </c>
      <c r="G30" s="370">
        <v>0</v>
      </c>
      <c r="H30" s="370">
        <v>2733666</v>
      </c>
      <c r="I30" s="370">
        <v>660094</v>
      </c>
      <c r="J30" s="370">
        <v>2797127</v>
      </c>
      <c r="K30" s="370">
        <v>2066915</v>
      </c>
      <c r="L30" s="370">
        <v>16965</v>
      </c>
      <c r="M30" s="370">
        <v>11020245</v>
      </c>
      <c r="N30" s="370">
        <v>1015460</v>
      </c>
      <c r="O30" s="370">
        <v>6898849</v>
      </c>
      <c r="P30" s="370">
        <v>7482127</v>
      </c>
      <c r="Q30" s="370">
        <v>2937074</v>
      </c>
      <c r="R30" s="370">
        <v>8449</v>
      </c>
      <c r="S30" s="370">
        <v>0</v>
      </c>
      <c r="T30" s="370">
        <v>0</v>
      </c>
      <c r="U30" s="370">
        <v>0</v>
      </c>
      <c r="V30" s="370">
        <v>0</v>
      </c>
      <c r="W30" s="370">
        <v>1132219</v>
      </c>
      <c r="X30" s="370">
        <v>0</v>
      </c>
      <c r="Y30" s="370">
        <v>204984153</v>
      </c>
      <c r="Z30" s="370">
        <v>99242817</v>
      </c>
      <c r="AA30" s="370">
        <v>105741336</v>
      </c>
      <c r="AB30" s="370">
        <v>65950176</v>
      </c>
      <c r="AC30" s="370">
        <v>51978674</v>
      </c>
      <c r="AD30" s="370">
        <v>33292641</v>
      </c>
      <c r="AE30" s="369">
        <v>99242817</v>
      </c>
      <c r="AF30" s="369">
        <v>76336769</v>
      </c>
      <c r="AG30" s="369">
        <v>2913686</v>
      </c>
      <c r="AH30" s="369">
        <v>0</v>
      </c>
      <c r="AI30" s="369">
        <v>-51633429</v>
      </c>
      <c r="AJ30" s="369">
        <v>24582491</v>
      </c>
      <c r="AK30" s="369">
        <v>80800476</v>
      </c>
      <c r="AL30" s="369">
        <v>0</v>
      </c>
      <c r="AM30" s="369">
        <v>40843871</v>
      </c>
      <c r="AN30" s="369">
        <v>191182955</v>
      </c>
      <c r="AO30" s="369">
        <v>122010999</v>
      </c>
      <c r="AP30" s="369">
        <v>49932539</v>
      </c>
      <c r="AQ30" s="369">
        <v>484770840</v>
      </c>
      <c r="AR30" s="369">
        <v>295835767</v>
      </c>
      <c r="AS30" s="370">
        <v>187034307</v>
      </c>
      <c r="AT30" s="370">
        <v>0</v>
      </c>
      <c r="AU30" s="371">
        <v>0.46604307293286301</v>
      </c>
      <c r="AV30" s="371">
        <v>0.33070225804006997</v>
      </c>
      <c r="AW30" s="371">
        <v>0.52058930704319095</v>
      </c>
      <c r="AX30" s="371">
        <v>0.20325466902706599</v>
      </c>
      <c r="AY30" s="371">
        <v>0.31733463801612399</v>
      </c>
      <c r="AZ30" s="371">
        <f t="shared" si="1"/>
        <v>8.7806057156413778E-2</v>
      </c>
      <c r="BA30" s="371">
        <f t="shared" si="2"/>
        <v>0.14527216226917225</v>
      </c>
    </row>
    <row r="31" spans="1:56" ht="15.4" x14ac:dyDescent="0.45">
      <c r="A31" s="332" t="s">
        <v>44</v>
      </c>
      <c r="B31" s="366">
        <f t="shared" ref="B31:AR31" si="3">SUM(B6:B30)</f>
        <v>43641380</v>
      </c>
      <c r="C31" s="366">
        <f t="shared" si="3"/>
        <v>718374572</v>
      </c>
      <c r="D31" s="366">
        <f t="shared" si="3"/>
        <v>788990811</v>
      </c>
      <c r="E31" s="366">
        <f t="shared" si="3"/>
        <v>129583012</v>
      </c>
      <c r="F31" s="366">
        <f t="shared" si="3"/>
        <v>9890835</v>
      </c>
      <c r="G31" s="366">
        <f t="shared" si="3"/>
        <v>1538219</v>
      </c>
      <c r="H31" s="366">
        <f t="shared" si="3"/>
        <v>75712867</v>
      </c>
      <c r="I31" s="366">
        <f t="shared" si="3"/>
        <v>7655312</v>
      </c>
      <c r="J31" s="366">
        <f t="shared" si="3"/>
        <v>9252709</v>
      </c>
      <c r="K31" s="366">
        <f t="shared" si="3"/>
        <v>29113193</v>
      </c>
      <c r="L31" s="366">
        <f t="shared" si="3"/>
        <v>12074619</v>
      </c>
      <c r="M31" s="366">
        <f t="shared" si="3"/>
        <v>108240631</v>
      </c>
      <c r="N31" s="366">
        <f t="shared" si="3"/>
        <v>88333414</v>
      </c>
      <c r="O31" s="366">
        <f t="shared" si="3"/>
        <v>46113198</v>
      </c>
      <c r="P31" s="366">
        <f t="shared" si="3"/>
        <v>119974335</v>
      </c>
      <c r="Q31" s="366">
        <f t="shared" si="3"/>
        <v>116688005</v>
      </c>
      <c r="R31" s="366">
        <f t="shared" si="3"/>
        <v>25890327</v>
      </c>
      <c r="S31" s="366">
        <f t="shared" si="3"/>
        <v>2108908</v>
      </c>
      <c r="T31" s="366">
        <f t="shared" si="3"/>
        <v>34240</v>
      </c>
      <c r="U31" s="366">
        <f t="shared" si="3"/>
        <v>167587</v>
      </c>
      <c r="V31" s="366">
        <f t="shared" si="3"/>
        <v>0</v>
      </c>
      <c r="W31" s="366">
        <f t="shared" si="3"/>
        <v>1132219</v>
      </c>
      <c r="X31" s="366">
        <f t="shared" si="3"/>
        <v>0</v>
      </c>
      <c r="Y31" s="366">
        <f t="shared" si="3"/>
        <v>2334510393</v>
      </c>
      <c r="Z31" s="361">
        <f t="shared" si="3"/>
        <v>1431646997.4400001</v>
      </c>
      <c r="AA31" s="361">
        <f t="shared" si="3"/>
        <v>902863395.55999994</v>
      </c>
      <c r="AB31" s="361">
        <f t="shared" si="3"/>
        <v>1006105916.4400001</v>
      </c>
      <c r="AC31" s="361">
        <f t="shared" si="3"/>
        <v>454072649.05000001</v>
      </c>
      <c r="AD31" s="361">
        <f t="shared" si="3"/>
        <v>425541081</v>
      </c>
      <c r="AE31" s="361">
        <f t="shared" si="3"/>
        <v>1431646997.4400001</v>
      </c>
      <c r="AF31" s="361">
        <f t="shared" si="3"/>
        <v>525474170.74000001</v>
      </c>
      <c r="AG31" s="361">
        <f t="shared" si="3"/>
        <v>152508804</v>
      </c>
      <c r="AH31" s="361">
        <f t="shared" si="3"/>
        <v>-35344308.969999999</v>
      </c>
      <c r="AI31" s="361">
        <f t="shared" si="3"/>
        <v>-499815632.09000003</v>
      </c>
      <c r="AJ31" s="361">
        <f t="shared" si="3"/>
        <v>98253934.419999987</v>
      </c>
      <c r="AK31" s="361">
        <f t="shared" si="3"/>
        <v>639293645</v>
      </c>
      <c r="AL31" s="361">
        <f t="shared" si="3"/>
        <v>275751927</v>
      </c>
      <c r="AM31" s="361">
        <f t="shared" si="3"/>
        <v>1172823990</v>
      </c>
      <c r="AN31" s="361">
        <f t="shared" si="3"/>
        <v>3316940324</v>
      </c>
      <c r="AO31" s="361">
        <f t="shared" si="3"/>
        <v>789827740.74000001</v>
      </c>
      <c r="AP31" s="361">
        <f t="shared" si="3"/>
        <v>462099885.17000002</v>
      </c>
      <c r="AQ31" s="361">
        <f t="shared" si="3"/>
        <v>6701236734.9099998</v>
      </c>
      <c r="AR31" s="361">
        <f t="shared" si="3"/>
        <v>3879537944</v>
      </c>
      <c r="AS31" s="368">
        <f>SUM(AS6:AS30)</f>
        <v>2513854991</v>
      </c>
      <c r="AT31" s="368">
        <f>SUM(AT6:AT30)</f>
        <v>416322350</v>
      </c>
      <c r="AU31" s="367">
        <f>AVERAGE(AU6:AU30)</f>
        <v>0.46976386587351143</v>
      </c>
      <c r="AV31" s="367">
        <f>AVERAGE(AV6:AV30)</f>
        <v>0.19209236487606679</v>
      </c>
      <c r="AW31" s="367">
        <f>AVERAGE(AW6:AW30)</f>
        <v>0.79924144771414907</v>
      </c>
      <c r="AX31" s="367">
        <f>AVERAGE(AX6:AX30)</f>
        <v>0.32227231930910838</v>
      </c>
      <c r="AY31" s="367">
        <f>AVERAGE(AY6:AY30)</f>
        <v>0.47696912840504041</v>
      </c>
      <c r="AZ31" s="367">
        <f>SUM(AZ6:AZ30)</f>
        <v>0.99999999999999967</v>
      </c>
      <c r="BA31" s="367">
        <f>SUM(BA6:BA30)</f>
        <v>0.99999999999999989</v>
      </c>
    </row>
  </sheetData>
  <mergeCells count="1">
    <mergeCell ref="Z1:BA1"/>
  </mergeCells>
  <dataValidations count="1">
    <dataValidation type="list" allowBlank="1" showInputMessage="1" showErrorMessage="1" sqref="A3" xr:uid="{4FE79322-0186-48AB-A4E5-6DF9D920C483}">
      <formula1>$A$6:$A$30</formula1>
    </dataValidation>
  </dataValidations>
  <pageMargins left="0.7" right="0.7" top="0.75" bottom="0.75" header="0.3" footer="0.3"/>
  <legacyDrawing r:id="rId1"/>
</worksheet>
</file>

<file path=xl/worksheets/sheet5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F64E0A-2DD7-401F-A31E-55AC405FABDA}">
  <dimension ref="A1:BA31"/>
  <sheetViews>
    <sheetView topLeftCell="AQ2" workbookViewId="0">
      <selection activeCell="A15" sqref="A1:XFD1048576"/>
    </sheetView>
  </sheetViews>
  <sheetFormatPr defaultRowHeight="12.75" x14ac:dyDescent="0.35"/>
  <cols>
    <col min="1" max="1" width="49.1328125" bestFit="1" customWidth="1"/>
    <col min="2" max="2" width="34.1328125" customWidth="1"/>
    <col min="3" max="3" width="37" bestFit="1" customWidth="1"/>
    <col min="4" max="4" width="21.59765625" bestFit="1" customWidth="1"/>
    <col min="5" max="5" width="17.86328125" bestFit="1" customWidth="1"/>
    <col min="6" max="6" width="30.86328125" bestFit="1" customWidth="1"/>
    <col min="7" max="7" width="15.3984375" bestFit="1" customWidth="1"/>
    <col min="8" max="8" width="24.59765625" bestFit="1" customWidth="1"/>
    <col min="9" max="9" width="31.86328125" bestFit="1" customWidth="1"/>
    <col min="10" max="10" width="16.1328125" bestFit="1" customWidth="1"/>
    <col min="11" max="11" width="44" bestFit="1" customWidth="1"/>
    <col min="12" max="12" width="18.265625" bestFit="1" customWidth="1"/>
    <col min="13" max="13" width="16.73046875" bestFit="1" customWidth="1"/>
    <col min="14" max="14" width="20.265625" bestFit="1" customWidth="1"/>
    <col min="15" max="15" width="19.265625" bestFit="1" customWidth="1"/>
    <col min="16" max="17" width="16" bestFit="1" customWidth="1"/>
    <col min="18" max="19" width="15.3984375" bestFit="1" customWidth="1"/>
    <col min="20" max="20" width="20" bestFit="1" customWidth="1"/>
    <col min="21" max="21" width="16.59765625" bestFit="1" customWidth="1"/>
    <col min="22" max="22" width="25.1328125" bestFit="1" customWidth="1"/>
    <col min="23" max="23" width="14.265625" bestFit="1" customWidth="1"/>
    <col min="24" max="24" width="15.1328125" bestFit="1" customWidth="1"/>
    <col min="25" max="25" width="17.86328125" bestFit="1" customWidth="1"/>
    <col min="26" max="26" width="18.3984375" bestFit="1" customWidth="1"/>
    <col min="27" max="27" width="18.73046875" bestFit="1" customWidth="1"/>
    <col min="28" max="28" width="18.1328125" bestFit="1" customWidth="1"/>
    <col min="29" max="30" width="16.59765625" bestFit="1" customWidth="1"/>
    <col min="31" max="31" width="18.3984375" bestFit="1" customWidth="1"/>
    <col min="32" max="32" width="16.59765625" bestFit="1" customWidth="1"/>
    <col min="33" max="33" width="16.265625" customWidth="1"/>
    <col min="34" max="34" width="17.59765625" bestFit="1" customWidth="1"/>
    <col min="35" max="35" width="19" bestFit="1" customWidth="1"/>
    <col min="36" max="36" width="16.265625" customWidth="1"/>
    <col min="37" max="38" width="16.59765625" bestFit="1" customWidth="1"/>
    <col min="39" max="39" width="18.1328125" bestFit="1" customWidth="1"/>
    <col min="40" max="40" width="17.86328125" bestFit="1" customWidth="1"/>
    <col min="41" max="42" width="16.59765625" bestFit="1" customWidth="1"/>
    <col min="43" max="43" width="18.3984375" bestFit="1" customWidth="1"/>
    <col min="44" max="44" width="17.86328125" bestFit="1" customWidth="1"/>
    <col min="45" max="45" width="17.265625" bestFit="1" customWidth="1"/>
    <col min="46" max="46" width="16.59765625" bestFit="1" customWidth="1"/>
    <col min="47" max="47" width="15.86328125" bestFit="1" customWidth="1"/>
    <col min="48" max="48" width="13.1328125" bestFit="1" customWidth="1"/>
    <col min="49" max="51" width="15" bestFit="1" customWidth="1"/>
    <col min="52" max="52" width="13.86328125" bestFit="1" customWidth="1"/>
    <col min="53" max="53" width="16.265625" customWidth="1"/>
  </cols>
  <sheetData>
    <row r="1" spans="1:53" ht="23.25" x14ac:dyDescent="0.7">
      <c r="A1" s="351" t="s">
        <v>243</v>
      </c>
      <c r="B1" s="351" t="s">
        <v>92</v>
      </c>
      <c r="C1" s="351"/>
      <c r="D1" s="351"/>
      <c r="E1" s="351"/>
      <c r="F1" s="351"/>
      <c r="G1" s="351"/>
      <c r="H1" s="351"/>
      <c r="I1" s="351"/>
      <c r="J1" s="351"/>
      <c r="K1" s="351"/>
      <c r="L1" s="351"/>
      <c r="M1" s="351"/>
      <c r="N1" s="351"/>
      <c r="O1" s="351"/>
      <c r="P1" s="351"/>
      <c r="Q1" s="351"/>
      <c r="R1" s="351"/>
      <c r="S1" s="351"/>
      <c r="T1" s="351"/>
      <c r="U1" s="351"/>
      <c r="V1" s="351"/>
      <c r="W1" s="351"/>
      <c r="X1" s="351"/>
      <c r="Y1" s="351"/>
      <c r="Z1" s="413"/>
      <c r="AA1" s="413"/>
      <c r="AB1" s="413"/>
      <c r="AC1" s="413"/>
      <c r="AD1" s="413"/>
      <c r="AE1" s="413"/>
      <c r="AF1" s="413"/>
      <c r="AG1" s="413"/>
      <c r="AH1" s="413"/>
      <c r="AI1" s="413"/>
      <c r="AJ1" s="413"/>
      <c r="AK1" s="413"/>
      <c r="AL1" s="413"/>
      <c r="AM1" s="413"/>
      <c r="AN1" s="413"/>
      <c r="AO1" s="413"/>
      <c r="AP1" s="413"/>
      <c r="AQ1" s="413"/>
      <c r="AR1" s="413"/>
      <c r="AS1" s="413"/>
      <c r="AT1" s="413"/>
      <c r="AU1" s="413"/>
      <c r="AV1" s="413"/>
      <c r="AW1" s="413"/>
      <c r="AX1" s="413"/>
      <c r="AY1" s="413"/>
      <c r="AZ1" s="413"/>
      <c r="BA1" s="413"/>
    </row>
    <row r="2" spans="1:53" ht="42.75" x14ac:dyDescent="0.35">
      <c r="A2" s="350"/>
      <c r="B2" s="412" t="str">
        <f>B5</f>
        <v>Fire, Theft and property  (Private)</v>
      </c>
      <c r="C2" s="412" t="str">
        <f t="shared" ref="C2:BA2" si="0">C5</f>
        <v>Fire, Theft and property  (Commercial)</v>
      </c>
      <c r="D2" s="412" t="str">
        <f t="shared" si="0"/>
        <v>Motor Comprehensive</v>
      </c>
      <c r="E2" s="412" t="str">
        <f t="shared" si="0"/>
        <v>Motor Third Party</v>
      </c>
      <c r="F2" s="412" t="str">
        <f t="shared" si="0"/>
        <v>Motor Third Party, Fire &amp; Theft</v>
      </c>
      <c r="G2" s="412" t="str">
        <f t="shared" si="0"/>
        <v>Motor Others</v>
      </c>
      <c r="H2" s="412" t="str">
        <f t="shared" si="0"/>
        <v>Accident- Public Liability</v>
      </c>
      <c r="I2" s="412" t="str">
        <f t="shared" si="0"/>
        <v>Accident- Professional Indemnity</v>
      </c>
      <c r="J2" s="412" t="str">
        <f t="shared" si="0"/>
        <v>Accident- Travel</v>
      </c>
      <c r="K2" s="412" t="str">
        <f t="shared" si="0"/>
        <v>Workmen Compensation/ Employers Liability</v>
      </c>
      <c r="L2" s="412" t="str">
        <f t="shared" si="0"/>
        <v>Accident- Personal</v>
      </c>
      <c r="M2" s="412" t="str">
        <f t="shared" si="0"/>
        <v>Accident- Others</v>
      </c>
      <c r="N2" s="412" t="str">
        <f t="shared" si="0"/>
        <v>Engineering-All Risk</v>
      </c>
      <c r="O2" s="412" t="str">
        <f t="shared" si="0"/>
        <v>Engineering Others</v>
      </c>
      <c r="P2" s="412" t="str">
        <f t="shared" si="0"/>
        <v>Bonds</v>
      </c>
      <c r="Q2" s="412" t="str">
        <f t="shared" si="0"/>
        <v>Marine Cargo</v>
      </c>
      <c r="R2" s="412" t="str">
        <f t="shared" si="0"/>
        <v>Marine Hull</v>
      </c>
      <c r="S2" s="412" t="str">
        <f t="shared" si="0"/>
        <v>Aviation</v>
      </c>
      <c r="T2" s="412" t="str">
        <f t="shared" si="0"/>
        <v>Agric Weather Index</v>
      </c>
      <c r="U2" s="412" t="str">
        <f t="shared" si="0"/>
        <v>Agric Area Index</v>
      </c>
      <c r="V2" s="412" t="str">
        <f t="shared" si="0"/>
        <v>Agric Poultry &amp; Livestock</v>
      </c>
      <c r="W2" s="412" t="str">
        <f t="shared" si="0"/>
        <v>Agric Others</v>
      </c>
      <c r="X2" s="412" t="str">
        <f t="shared" si="0"/>
        <v>Microinsurance</v>
      </c>
      <c r="Y2" s="412" t="str">
        <f t="shared" si="0"/>
        <v>Insurance revenue</v>
      </c>
      <c r="Z2" s="412" t="str">
        <f t="shared" si="0"/>
        <v>Insurance services expenses</v>
      </c>
      <c r="AA2" s="412" t="str">
        <f t="shared" si="0"/>
        <v>Insurance service result from insurance contracts issued</v>
      </c>
      <c r="AB2" s="412" t="str">
        <f t="shared" si="0"/>
        <v>Total Incurred Claims</v>
      </c>
      <c r="AC2" s="412" t="str">
        <f t="shared" si="0"/>
        <v>Non-Attributable Expenses</v>
      </c>
      <c r="AD2" s="412" t="str">
        <f t="shared" si="0"/>
        <v>Acquisition Cashflow</v>
      </c>
      <c r="AE2" s="412" t="str">
        <f t="shared" si="0"/>
        <v>Total Attributable Expenses</v>
      </c>
      <c r="AF2" s="412" t="str">
        <f t="shared" si="0"/>
        <v>Insurance service result</v>
      </c>
      <c r="AG2" s="412" t="str">
        <f t="shared" si="0"/>
        <v>Net investment income</v>
      </c>
      <c r="AH2" s="412" t="str">
        <f t="shared" si="0"/>
        <v>Total insurance finance income or expenses</v>
      </c>
      <c r="AI2" s="412" t="str">
        <f t="shared" si="0"/>
        <v>Total other income and expenses</v>
      </c>
      <c r="AJ2" s="412" t="str">
        <f t="shared" si="0"/>
        <v>Profit for the year</v>
      </c>
      <c r="AK2" s="412" t="str">
        <f t="shared" si="0"/>
        <v>Cash  and cash equivalents</v>
      </c>
      <c r="AL2" s="412" t="str">
        <f t="shared" si="0"/>
        <v>Insurance contract assets</v>
      </c>
      <c r="AM2" s="412" t="str">
        <f t="shared" si="0"/>
        <v>Reinsurance contract assets</v>
      </c>
      <c r="AN2" s="412" t="str">
        <f t="shared" si="0"/>
        <v>Total Investments</v>
      </c>
      <c r="AO2" s="412" t="str">
        <f t="shared" si="0"/>
        <v>Total Receivables</v>
      </c>
      <c r="AP2" s="412" t="str">
        <f t="shared" si="0"/>
        <v>Total Property, Plant &amp; Equipment</v>
      </c>
      <c r="AQ2" s="412" t="str">
        <f t="shared" si="0"/>
        <v>Total Assets</v>
      </c>
      <c r="AR2" s="412" t="str">
        <f t="shared" si="0"/>
        <v>Total Liabilities</v>
      </c>
      <c r="AS2" s="412" t="str">
        <f t="shared" si="0"/>
        <v>Insurance contract liabilities</v>
      </c>
      <c r="AT2" s="412" t="str">
        <f t="shared" si="0"/>
        <v>Reinsurance contract liabilities</v>
      </c>
      <c r="AU2" s="412" t="str">
        <f t="shared" si="0"/>
        <v>Technical Results Margin</v>
      </c>
      <c r="AV2" s="412" t="str">
        <f t="shared" si="0"/>
        <v>Claims Ratio</v>
      </c>
      <c r="AW2" s="412" t="str">
        <f t="shared" si="0"/>
        <v>Expense Ratio</v>
      </c>
      <c r="AX2" s="412" t="str">
        <f t="shared" si="0"/>
        <v>Attributable Expense Ratio</v>
      </c>
      <c r="AY2" s="412" t="str">
        <f t="shared" si="0"/>
        <v>Non-attributable Expense Ratio</v>
      </c>
      <c r="AZ2" s="412" t="str">
        <f t="shared" si="0"/>
        <v>Market Share</v>
      </c>
      <c r="BA2" s="412" t="str">
        <f t="shared" si="0"/>
        <v>Share of Insurance Service Results</v>
      </c>
    </row>
    <row r="3" spans="1:53" ht="15.4" x14ac:dyDescent="0.45">
      <c r="A3" s="346" t="s">
        <v>42</v>
      </c>
      <c r="B3" s="345">
        <f>INDEX(B4:B30,MATCH($A$3,$A$4:$A$30,0))</f>
        <v>5576906</v>
      </c>
      <c r="C3" s="345">
        <f t="shared" ref="C3:BA3" si="1">INDEX(C4:C30,MATCH($A$3,$A$4:$A$30,0))</f>
        <v>35725811</v>
      </c>
      <c r="D3" s="345">
        <f t="shared" si="1"/>
        <v>185606712</v>
      </c>
      <c r="E3" s="345">
        <f t="shared" si="1"/>
        <v>29292174</v>
      </c>
      <c r="F3" s="345">
        <f t="shared" si="1"/>
        <v>433747</v>
      </c>
      <c r="G3" s="345">
        <f t="shared" si="1"/>
        <v>0</v>
      </c>
      <c r="H3" s="345">
        <f t="shared" si="1"/>
        <v>3834374</v>
      </c>
      <c r="I3" s="345">
        <f t="shared" si="1"/>
        <v>969654</v>
      </c>
      <c r="J3" s="345">
        <f t="shared" si="1"/>
        <v>4189048</v>
      </c>
      <c r="K3" s="345">
        <f t="shared" si="1"/>
        <v>3126565</v>
      </c>
      <c r="L3" s="345">
        <f t="shared" si="1"/>
        <v>27819</v>
      </c>
      <c r="M3" s="345">
        <f t="shared" si="1"/>
        <v>16832307</v>
      </c>
      <c r="N3" s="345">
        <f t="shared" si="1"/>
        <v>1583060</v>
      </c>
      <c r="O3" s="345">
        <f t="shared" si="1"/>
        <v>10415899</v>
      </c>
      <c r="P3" s="345">
        <f t="shared" si="1"/>
        <v>11702723</v>
      </c>
      <c r="Q3" s="345">
        <f t="shared" si="1"/>
        <v>4035727</v>
      </c>
      <c r="R3" s="345">
        <f t="shared" si="1"/>
        <v>39960</v>
      </c>
      <c r="S3" s="345">
        <f t="shared" si="1"/>
        <v>0</v>
      </c>
      <c r="T3" s="345">
        <f t="shared" si="1"/>
        <v>0</v>
      </c>
      <c r="U3" s="345">
        <f t="shared" si="1"/>
        <v>0</v>
      </c>
      <c r="V3" s="345">
        <f t="shared" si="1"/>
        <v>0</v>
      </c>
      <c r="W3" s="345">
        <f t="shared" si="1"/>
        <v>1142596</v>
      </c>
      <c r="X3" s="345">
        <f t="shared" si="1"/>
        <v>217359</v>
      </c>
      <c r="Y3" s="345">
        <f t="shared" si="1"/>
        <v>314752441</v>
      </c>
      <c r="Z3" s="345">
        <f t="shared" si="1"/>
        <v>156756276</v>
      </c>
      <c r="AA3" s="345">
        <f t="shared" si="1"/>
        <v>157996165</v>
      </c>
      <c r="AB3" s="345">
        <f t="shared" si="1"/>
        <v>105428734</v>
      </c>
      <c r="AC3" s="345">
        <f t="shared" si="1"/>
        <v>78266328</v>
      </c>
      <c r="AD3" s="345">
        <f t="shared" si="1"/>
        <v>51327542</v>
      </c>
      <c r="AE3" s="345">
        <f t="shared" si="1"/>
        <v>156756276</v>
      </c>
      <c r="AF3" s="345">
        <f t="shared" si="1"/>
        <v>116619609</v>
      </c>
      <c r="AG3" s="345">
        <f t="shared" si="1"/>
        <v>4550665</v>
      </c>
      <c r="AH3" s="345">
        <f t="shared" si="1"/>
        <v>0</v>
      </c>
      <c r="AI3" s="345">
        <f t="shared" si="1"/>
        <v>-77891052</v>
      </c>
      <c r="AJ3" s="345">
        <f t="shared" si="1"/>
        <v>30295457</v>
      </c>
      <c r="AK3" s="345">
        <f t="shared" si="1"/>
        <v>62005350</v>
      </c>
      <c r="AL3" s="345">
        <f t="shared" si="1"/>
        <v>0</v>
      </c>
      <c r="AM3" s="345">
        <f t="shared" si="1"/>
        <v>36393192</v>
      </c>
      <c r="AN3" s="345">
        <f t="shared" si="1"/>
        <v>209558577</v>
      </c>
      <c r="AO3" s="345">
        <f t="shared" si="1"/>
        <v>118301951</v>
      </c>
      <c r="AP3" s="345">
        <f t="shared" si="1"/>
        <v>49405300</v>
      </c>
      <c r="AQ3" s="345">
        <f t="shared" si="1"/>
        <v>475664370</v>
      </c>
      <c r="AR3" s="345">
        <f t="shared" si="1"/>
        <v>280452306</v>
      </c>
      <c r="AS3" s="345">
        <f t="shared" si="1"/>
        <v>152483990</v>
      </c>
      <c r="AT3" s="345">
        <f t="shared" si="1"/>
        <v>0</v>
      </c>
      <c r="AU3" s="365">
        <f t="shared" si="1"/>
        <v>0.37051216705258211</v>
      </c>
      <c r="AV3" s="365">
        <f t="shared" si="1"/>
        <v>0.33722548465582108</v>
      </c>
      <c r="AW3" s="365">
        <f t="shared" si="1"/>
        <v>0.51141989530281784</v>
      </c>
      <c r="AX3" s="365">
        <f t="shared" si="1"/>
        <v>0.49803037429025054</v>
      </c>
      <c r="AY3" s="365">
        <f t="shared" si="1"/>
        <v>0.24865995558712761</v>
      </c>
      <c r="AZ3" s="365">
        <f t="shared" si="1"/>
        <v>6.970010513236076E-2</v>
      </c>
      <c r="BA3" s="365">
        <f t="shared" si="1"/>
        <v>0.10791231303289041</v>
      </c>
    </row>
    <row r="5" spans="1:53" ht="42.75" x14ac:dyDescent="0.45">
      <c r="A5" s="344" t="s">
        <v>136</v>
      </c>
      <c r="B5" s="405" t="s">
        <v>203</v>
      </c>
      <c r="C5" s="405" t="s">
        <v>204</v>
      </c>
      <c r="D5" s="405" t="s">
        <v>155</v>
      </c>
      <c r="E5" s="405" t="s">
        <v>156</v>
      </c>
      <c r="F5" s="405" t="s">
        <v>157</v>
      </c>
      <c r="G5" s="405" t="s">
        <v>205</v>
      </c>
      <c r="H5" s="405" t="s">
        <v>159</v>
      </c>
      <c r="I5" s="405" t="s">
        <v>160</v>
      </c>
      <c r="J5" s="405" t="s">
        <v>161</v>
      </c>
      <c r="K5" s="405" t="s">
        <v>206</v>
      </c>
      <c r="L5" s="405" t="s">
        <v>163</v>
      </c>
      <c r="M5" s="405" t="s">
        <v>164</v>
      </c>
      <c r="N5" s="405" t="s">
        <v>207</v>
      </c>
      <c r="O5" s="405" t="s">
        <v>208</v>
      </c>
      <c r="P5" s="405" t="s">
        <v>166</v>
      </c>
      <c r="Q5" s="405" t="s">
        <v>167</v>
      </c>
      <c r="R5" s="405" t="s">
        <v>168</v>
      </c>
      <c r="S5" s="405" t="s">
        <v>169</v>
      </c>
      <c r="T5" s="405" t="s">
        <v>209</v>
      </c>
      <c r="U5" s="405" t="s">
        <v>210</v>
      </c>
      <c r="V5" s="405" t="s">
        <v>172</v>
      </c>
      <c r="W5" s="405" t="s">
        <v>211</v>
      </c>
      <c r="X5" s="405" t="s">
        <v>212</v>
      </c>
      <c r="Y5" s="405" t="s">
        <v>213</v>
      </c>
      <c r="Z5" s="406" t="s">
        <v>214</v>
      </c>
      <c r="AA5" s="406" t="s">
        <v>215</v>
      </c>
      <c r="AB5" s="406" t="s">
        <v>178</v>
      </c>
      <c r="AC5" s="406" t="s">
        <v>179</v>
      </c>
      <c r="AD5" s="406" t="s">
        <v>180</v>
      </c>
      <c r="AE5" s="406" t="s">
        <v>181</v>
      </c>
      <c r="AF5" s="406" t="s">
        <v>216</v>
      </c>
      <c r="AG5" s="406" t="s">
        <v>217</v>
      </c>
      <c r="AH5" s="406" t="s">
        <v>218</v>
      </c>
      <c r="AI5" s="406" t="s">
        <v>219</v>
      </c>
      <c r="AJ5" s="406" t="s">
        <v>220</v>
      </c>
      <c r="AK5" s="406" t="s">
        <v>221</v>
      </c>
      <c r="AL5" s="406" t="s">
        <v>222</v>
      </c>
      <c r="AM5" s="406" t="s">
        <v>223</v>
      </c>
      <c r="AN5" s="406" t="s">
        <v>224</v>
      </c>
      <c r="AO5" s="406" t="s">
        <v>225</v>
      </c>
      <c r="AP5" s="406" t="s">
        <v>226</v>
      </c>
      <c r="AQ5" s="406" t="s">
        <v>9</v>
      </c>
      <c r="AR5" s="406" t="s">
        <v>199</v>
      </c>
      <c r="AS5" s="407" t="s">
        <v>227</v>
      </c>
      <c r="AT5" s="407" t="s">
        <v>228</v>
      </c>
      <c r="AU5" s="407" t="s">
        <v>191</v>
      </c>
      <c r="AV5" s="407" t="s">
        <v>17</v>
      </c>
      <c r="AW5" s="407" t="s">
        <v>18</v>
      </c>
      <c r="AX5" s="407" t="s">
        <v>192</v>
      </c>
      <c r="AY5" s="407" t="s">
        <v>193</v>
      </c>
      <c r="AZ5" s="407" t="s">
        <v>19</v>
      </c>
      <c r="BA5" s="407" t="s">
        <v>200</v>
      </c>
    </row>
    <row r="6" spans="1:53" ht="15.4" x14ac:dyDescent="0.45">
      <c r="A6" s="334" t="s">
        <v>229</v>
      </c>
      <c r="B6" s="370">
        <v>742510.24</v>
      </c>
      <c r="C6" s="370">
        <v>137795871</v>
      </c>
      <c r="D6" s="370">
        <v>21722993.800000001</v>
      </c>
      <c r="E6" s="370">
        <v>4201419.2300000004</v>
      </c>
      <c r="F6" s="370">
        <v>261886.99</v>
      </c>
      <c r="G6" s="370">
        <v>0</v>
      </c>
      <c r="H6" s="370">
        <v>14049476.949999999</v>
      </c>
      <c r="I6" s="370">
        <v>1110789.94</v>
      </c>
      <c r="J6" s="370">
        <v>2180911.08</v>
      </c>
      <c r="K6" s="370">
        <v>305733.53000000003</v>
      </c>
      <c r="L6" s="370">
        <v>904955.05</v>
      </c>
      <c r="M6" s="370">
        <v>12007154.57</v>
      </c>
      <c r="N6" s="370">
        <v>1572978.85</v>
      </c>
      <c r="O6" s="370">
        <v>3398826.1</v>
      </c>
      <c r="P6" s="370">
        <v>1421543.52</v>
      </c>
      <c r="Q6" s="370">
        <v>12112151.98</v>
      </c>
      <c r="R6" s="370">
        <v>0</v>
      </c>
      <c r="S6" s="370">
        <v>143277.46</v>
      </c>
      <c r="T6" s="370">
        <v>0</v>
      </c>
      <c r="U6" s="370">
        <v>0</v>
      </c>
      <c r="V6" s="370">
        <v>0</v>
      </c>
      <c r="W6" s="370">
        <v>0</v>
      </c>
      <c r="X6" s="370">
        <v>0</v>
      </c>
      <c r="Y6" s="370">
        <v>213932480.30000001</v>
      </c>
      <c r="Z6" s="370">
        <v>61309948.759999998</v>
      </c>
      <c r="AA6" s="370">
        <v>152622531.59999999</v>
      </c>
      <c r="AB6" s="370">
        <v>42855463.030000001</v>
      </c>
      <c r="AC6" s="370">
        <v>33307539.859999999</v>
      </c>
      <c r="AD6" s="370">
        <v>18454485.73</v>
      </c>
      <c r="AE6" s="370">
        <v>61309948.759999998</v>
      </c>
      <c r="AF6" s="370">
        <v>33244992.109999999</v>
      </c>
      <c r="AG6" s="370">
        <v>5496184.6500000004</v>
      </c>
      <c r="AH6" s="370">
        <v>623326.36</v>
      </c>
      <c r="AI6" s="370">
        <v>-31863975.629999999</v>
      </c>
      <c r="AJ6" s="370">
        <v>5376344.2300000004</v>
      </c>
      <c r="AK6" s="370">
        <v>69156912.819999993</v>
      </c>
      <c r="AL6" s="370">
        <v>0</v>
      </c>
      <c r="AM6" s="370">
        <v>90509113.689999998</v>
      </c>
      <c r="AN6" s="370">
        <v>70242258.390000001</v>
      </c>
      <c r="AO6" s="370">
        <v>10029991.57</v>
      </c>
      <c r="AP6" s="370">
        <v>61443647.299999997</v>
      </c>
      <c r="AQ6" s="370">
        <v>301766582.89999998</v>
      </c>
      <c r="AR6" s="370">
        <v>200679606.19999999</v>
      </c>
      <c r="AS6" s="370">
        <v>172457780.69999999</v>
      </c>
      <c r="AT6" s="370">
        <v>0</v>
      </c>
      <c r="AU6" s="371">
        <v>0.15539946091112561</v>
      </c>
      <c r="AV6" s="371">
        <v>0.24995581455228139</v>
      </c>
      <c r="AW6" s="371">
        <v>0.75095161460770155</v>
      </c>
      <c r="AX6" s="371">
        <v>0.28658550900744167</v>
      </c>
      <c r="AY6" s="371">
        <v>0.15569183236361514</v>
      </c>
      <c r="AZ6" s="371">
        <v>4.7374108746424934E-2</v>
      </c>
      <c r="BA6" s="371">
        <v>3.0762785316406711E-2</v>
      </c>
    </row>
    <row r="7" spans="1:53" ht="15.4" x14ac:dyDescent="0.45">
      <c r="A7" s="334" t="s">
        <v>87</v>
      </c>
      <c r="B7" s="370">
        <v>54551</v>
      </c>
      <c r="C7" s="370">
        <v>146118</v>
      </c>
      <c r="D7" s="370">
        <v>2615994</v>
      </c>
      <c r="E7" s="370">
        <v>6085978</v>
      </c>
      <c r="F7" s="370">
        <v>3528</v>
      </c>
      <c r="G7" s="370">
        <v>0</v>
      </c>
      <c r="H7" s="370">
        <v>7938</v>
      </c>
      <c r="I7" s="370">
        <v>11127</v>
      </c>
      <c r="J7" s="370">
        <v>0</v>
      </c>
      <c r="K7" s="370">
        <v>7961</v>
      </c>
      <c r="L7" s="370">
        <v>6513</v>
      </c>
      <c r="M7" s="370">
        <v>27261</v>
      </c>
      <c r="N7" s="370">
        <v>2303</v>
      </c>
      <c r="O7" s="370">
        <v>5551</v>
      </c>
      <c r="P7" s="370">
        <v>67470</v>
      </c>
      <c r="Q7" s="370">
        <v>655</v>
      </c>
      <c r="R7" s="370">
        <v>0</v>
      </c>
      <c r="S7" s="370">
        <v>0</v>
      </c>
      <c r="T7" s="370">
        <v>0</v>
      </c>
      <c r="U7" s="370">
        <v>0</v>
      </c>
      <c r="V7" s="370">
        <v>0</v>
      </c>
      <c r="W7" s="370">
        <v>0</v>
      </c>
      <c r="X7" s="370">
        <v>0</v>
      </c>
      <c r="Y7" s="370">
        <v>9042948</v>
      </c>
      <c r="Z7" s="370">
        <v>6840396</v>
      </c>
      <c r="AA7" s="370">
        <v>2202552</v>
      </c>
      <c r="AB7" s="370">
        <v>2187340</v>
      </c>
      <c r="AC7" s="370">
        <v>4168249</v>
      </c>
      <c r="AD7" s="370">
        <v>4653056</v>
      </c>
      <c r="AE7" s="370">
        <v>6840396</v>
      </c>
      <c r="AF7" s="370">
        <v>987125</v>
      </c>
      <c r="AG7" s="370">
        <v>2800559</v>
      </c>
      <c r="AH7" s="370">
        <v>-12000</v>
      </c>
      <c r="AI7" s="370">
        <v>-4126008</v>
      </c>
      <c r="AJ7" s="370">
        <v>-350324</v>
      </c>
      <c r="AK7" s="370">
        <v>479738</v>
      </c>
      <c r="AL7" s="370">
        <v>0</v>
      </c>
      <c r="AM7" s="370">
        <v>609627</v>
      </c>
      <c r="AN7" s="370">
        <v>23898098</v>
      </c>
      <c r="AO7" s="370">
        <v>32762850</v>
      </c>
      <c r="AP7" s="370">
        <v>9427798</v>
      </c>
      <c r="AQ7" s="370">
        <v>67178111</v>
      </c>
      <c r="AR7" s="370">
        <v>11589196</v>
      </c>
      <c r="AS7" s="370">
        <v>8689872</v>
      </c>
      <c r="AT7" s="370">
        <v>0</v>
      </c>
      <c r="AU7" s="371">
        <v>0.10915964572615036</v>
      </c>
      <c r="AV7" s="371">
        <v>0.27944223975892241</v>
      </c>
      <c r="AW7" s="371">
        <v>1.1269602470565074</v>
      </c>
      <c r="AX7" s="371">
        <v>0.75643429554167507</v>
      </c>
      <c r="AY7" s="371">
        <v>0.46093917602976375</v>
      </c>
      <c r="AZ7" s="371">
        <v>2.0025084612655042E-3</v>
      </c>
      <c r="BA7" s="371">
        <v>9.1342221875046706E-4</v>
      </c>
    </row>
    <row r="8" spans="1:53" ht="15.4" x14ac:dyDescent="0.45">
      <c r="A8" s="334" t="s">
        <v>60</v>
      </c>
      <c r="B8" s="370">
        <v>450856</v>
      </c>
      <c r="C8" s="370">
        <v>0</v>
      </c>
      <c r="D8" s="370">
        <v>9951287</v>
      </c>
      <c r="E8" s="370">
        <v>0</v>
      </c>
      <c r="F8" s="370">
        <v>0</v>
      </c>
      <c r="G8" s="370">
        <v>0</v>
      </c>
      <c r="H8" s="370">
        <v>820678</v>
      </c>
      <c r="I8" s="370">
        <v>0</v>
      </c>
      <c r="J8" s="370">
        <v>13185</v>
      </c>
      <c r="K8" s="370">
        <v>0</v>
      </c>
      <c r="L8" s="370">
        <v>0</v>
      </c>
      <c r="M8" s="370">
        <v>0</v>
      </c>
      <c r="N8" s="370">
        <v>-30994</v>
      </c>
      <c r="O8" s="370">
        <v>0</v>
      </c>
      <c r="P8" s="370">
        <v>1371941</v>
      </c>
      <c r="Q8" s="370">
        <v>-860643</v>
      </c>
      <c r="R8" s="370">
        <v>0</v>
      </c>
      <c r="S8" s="370">
        <v>0</v>
      </c>
      <c r="T8" s="370">
        <v>0</v>
      </c>
      <c r="U8" s="370">
        <v>0</v>
      </c>
      <c r="V8" s="370">
        <v>0</v>
      </c>
      <c r="W8" s="370">
        <v>0</v>
      </c>
      <c r="X8" s="370">
        <v>0</v>
      </c>
      <c r="Y8" s="370">
        <v>11716310</v>
      </c>
      <c r="Z8" s="370">
        <v>5369711</v>
      </c>
      <c r="AA8" s="370">
        <v>6346599</v>
      </c>
      <c r="AB8" s="370">
        <v>4143757</v>
      </c>
      <c r="AC8" s="370">
        <v>11784633</v>
      </c>
      <c r="AD8" s="370">
        <v>1225954</v>
      </c>
      <c r="AE8" s="370">
        <v>5369711</v>
      </c>
      <c r="AF8" s="370">
        <v>7600678</v>
      </c>
      <c r="AG8" s="370">
        <v>2897806</v>
      </c>
      <c r="AH8" s="370">
        <v>42057</v>
      </c>
      <c r="AI8" s="370">
        <v>-17956161</v>
      </c>
      <c r="AJ8" s="370">
        <v>-7415620</v>
      </c>
      <c r="AK8" s="370">
        <v>46851</v>
      </c>
      <c r="AL8" s="370">
        <v>778288</v>
      </c>
      <c r="AM8" s="370">
        <v>1278596</v>
      </c>
      <c r="AN8" s="370">
        <v>39186587</v>
      </c>
      <c r="AO8" s="370">
        <v>26740808</v>
      </c>
      <c r="AP8" s="370">
        <v>839126</v>
      </c>
      <c r="AQ8" s="370">
        <v>83407421</v>
      </c>
      <c r="AR8" s="370">
        <v>31099797</v>
      </c>
      <c r="AS8" s="370">
        <v>1789157</v>
      </c>
      <c r="AT8" s="370">
        <v>4905145</v>
      </c>
      <c r="AU8" s="371">
        <v>0.64872626279092993</v>
      </c>
      <c r="AV8" s="371">
        <v>0.11867817182248618</v>
      </c>
      <c r="AW8" s="371">
        <v>1.2990814979601046</v>
      </c>
      <c r="AX8" s="371">
        <v>0.45831076507876628</v>
      </c>
      <c r="AY8" s="371">
        <v>1.0058314435176263</v>
      </c>
      <c r="AZ8" s="371">
        <v>2.5945089930639481E-3</v>
      </c>
      <c r="BA8" s="371">
        <v>7.0331803599015964E-3</v>
      </c>
    </row>
    <row r="9" spans="1:53" ht="15.4" x14ac:dyDescent="0.45">
      <c r="A9" s="334" t="s">
        <v>230</v>
      </c>
      <c r="B9" s="370">
        <v>732048</v>
      </c>
      <c r="C9" s="370">
        <v>17426650</v>
      </c>
      <c r="D9" s="370">
        <v>39718451</v>
      </c>
      <c r="E9" s="370">
        <v>3495858</v>
      </c>
      <c r="F9" s="370">
        <v>43966</v>
      </c>
      <c r="G9" s="370">
        <v>0</v>
      </c>
      <c r="H9" s="370">
        <v>563214</v>
      </c>
      <c r="I9" s="370">
        <v>229350</v>
      </c>
      <c r="J9" s="370">
        <v>110507</v>
      </c>
      <c r="K9" s="370">
        <v>970245</v>
      </c>
      <c r="L9" s="370">
        <v>232674</v>
      </c>
      <c r="M9" s="370">
        <v>11364563</v>
      </c>
      <c r="N9" s="370">
        <v>1459728</v>
      </c>
      <c r="O9" s="370">
        <v>2589652</v>
      </c>
      <c r="P9" s="370">
        <v>0</v>
      </c>
      <c r="Q9" s="370">
        <v>1012748</v>
      </c>
      <c r="R9" s="370">
        <v>113542</v>
      </c>
      <c r="S9" s="370">
        <v>0</v>
      </c>
      <c r="T9" s="370">
        <v>0</v>
      </c>
      <c r="U9" s="370">
        <v>0</v>
      </c>
      <c r="V9" s="370">
        <v>0</v>
      </c>
      <c r="W9" s="370">
        <v>0</v>
      </c>
      <c r="X9" s="370">
        <v>0</v>
      </c>
      <c r="Y9" s="370">
        <v>80063196</v>
      </c>
      <c r="Z9" s="370">
        <v>26636950</v>
      </c>
      <c r="AA9" s="370">
        <v>53426246</v>
      </c>
      <c r="AB9" s="370">
        <v>14009669</v>
      </c>
      <c r="AC9" s="370">
        <v>28001642</v>
      </c>
      <c r="AD9" s="370">
        <v>11767029</v>
      </c>
      <c r="AE9" s="370">
        <v>26636950</v>
      </c>
      <c r="AF9" s="370">
        <v>40561065</v>
      </c>
      <c r="AG9" s="370">
        <v>6239909</v>
      </c>
      <c r="AH9" s="370">
        <v>-953895</v>
      </c>
      <c r="AI9" s="370">
        <v>-37236551</v>
      </c>
      <c r="AJ9" s="370">
        <v>6831676</v>
      </c>
      <c r="AK9" s="370">
        <v>22680454</v>
      </c>
      <c r="AL9" s="370">
        <v>0</v>
      </c>
      <c r="AM9" s="370">
        <v>22338586</v>
      </c>
      <c r="AN9" s="370">
        <v>87560481</v>
      </c>
      <c r="AO9" s="370">
        <v>1267920</v>
      </c>
      <c r="AP9" s="370">
        <v>16425196</v>
      </c>
      <c r="AQ9" s="370">
        <v>150272637</v>
      </c>
      <c r="AR9" s="370">
        <v>78882542</v>
      </c>
      <c r="AS9" s="370">
        <v>58155884</v>
      </c>
      <c r="AT9" s="370">
        <v>0</v>
      </c>
      <c r="AU9" s="371">
        <v>0.50661311347101357</v>
      </c>
      <c r="AV9" s="371">
        <v>0.16919734048034321</v>
      </c>
      <c r="AW9" s="371">
        <v>0.62118716066790736</v>
      </c>
      <c r="AX9" s="371">
        <v>0.33269905937804434</v>
      </c>
      <c r="AY9" s="371">
        <v>0.34974424453403036</v>
      </c>
      <c r="AZ9" s="371">
        <v>1.7729531058451126E-2</v>
      </c>
      <c r="BA9" s="371">
        <v>3.7532610345378664E-2</v>
      </c>
    </row>
    <row r="10" spans="1:53" ht="15.4" x14ac:dyDescent="0.45">
      <c r="A10" s="334" t="s">
        <v>231</v>
      </c>
      <c r="B10" s="370">
        <v>833562</v>
      </c>
      <c r="C10" s="370">
        <v>7077591</v>
      </c>
      <c r="D10" s="370">
        <v>25457130</v>
      </c>
      <c r="E10" s="370">
        <v>24046330</v>
      </c>
      <c r="F10" s="370">
        <v>0</v>
      </c>
      <c r="G10" s="370">
        <v>0</v>
      </c>
      <c r="H10" s="370">
        <v>387810</v>
      </c>
      <c r="I10" s="370">
        <v>112539</v>
      </c>
      <c r="J10" s="370">
        <v>0</v>
      </c>
      <c r="K10" s="370">
        <v>2436933</v>
      </c>
      <c r="L10" s="370">
        <v>202989</v>
      </c>
      <c r="M10" s="370">
        <v>880089</v>
      </c>
      <c r="N10" s="370">
        <v>1538382</v>
      </c>
      <c r="O10" s="370">
        <v>19665</v>
      </c>
      <c r="P10" s="370">
        <v>3565586</v>
      </c>
      <c r="Q10" s="370">
        <v>0</v>
      </c>
      <c r="R10" s="370">
        <v>883509</v>
      </c>
      <c r="S10" s="370">
        <v>0</v>
      </c>
      <c r="T10" s="370">
        <v>0</v>
      </c>
      <c r="U10" s="370">
        <v>0</v>
      </c>
      <c r="V10" s="370">
        <v>0</v>
      </c>
      <c r="W10" s="370">
        <v>0</v>
      </c>
      <c r="X10" s="370">
        <v>0</v>
      </c>
      <c r="Y10" s="370">
        <v>67442115</v>
      </c>
      <c r="Z10" s="370">
        <v>40686040</v>
      </c>
      <c r="AA10" s="370">
        <v>26756075</v>
      </c>
      <c r="AB10" s="370">
        <v>16460470</v>
      </c>
      <c r="AC10" s="370">
        <v>15621867</v>
      </c>
      <c r="AD10" s="370">
        <v>25021084</v>
      </c>
      <c r="AE10" s="370">
        <v>40686040</v>
      </c>
      <c r="AF10" s="370">
        <v>18079807</v>
      </c>
      <c r="AG10" s="370">
        <v>-2492432</v>
      </c>
      <c r="AH10" s="370">
        <v>0</v>
      </c>
      <c r="AI10" s="370">
        <v>-14818861</v>
      </c>
      <c r="AJ10" s="370">
        <v>768514</v>
      </c>
      <c r="AK10" s="370">
        <v>25774048</v>
      </c>
      <c r="AL10" s="370">
        <v>0</v>
      </c>
      <c r="AM10" s="370">
        <v>12316897</v>
      </c>
      <c r="AN10" s="370">
        <v>61287310</v>
      </c>
      <c r="AO10" s="370">
        <v>14963792</v>
      </c>
      <c r="AP10" s="370">
        <v>14201461</v>
      </c>
      <c r="AQ10" s="370">
        <v>133129774</v>
      </c>
      <c r="AR10" s="370">
        <v>78038684</v>
      </c>
      <c r="AS10" s="370">
        <v>55741168</v>
      </c>
      <c r="AT10" s="370">
        <v>0</v>
      </c>
      <c r="AU10" s="371">
        <v>0.26807888512986283</v>
      </c>
      <c r="AV10" s="371">
        <v>0.25703972950129766</v>
      </c>
      <c r="AW10" s="371">
        <v>0.71376501074143617</v>
      </c>
      <c r="AX10" s="371">
        <v>0.60327348867988495</v>
      </c>
      <c r="AY10" s="371">
        <v>0.2316337054376186</v>
      </c>
      <c r="AZ10" s="371">
        <v>1.4934665767528598E-2</v>
      </c>
      <c r="BA10" s="371">
        <v>1.6729894820332002E-2</v>
      </c>
    </row>
    <row r="11" spans="1:53" ht="15.4" x14ac:dyDescent="0.45">
      <c r="A11" s="334" t="s">
        <v>232</v>
      </c>
      <c r="B11" s="370">
        <v>10318595</v>
      </c>
      <c r="C11" s="370">
        <v>174164083</v>
      </c>
      <c r="D11" s="370">
        <v>229241409</v>
      </c>
      <c r="E11" s="370">
        <v>19901372</v>
      </c>
      <c r="F11" s="370">
        <v>1272042</v>
      </c>
      <c r="G11" s="370">
        <v>0</v>
      </c>
      <c r="H11" s="370">
        <v>13574441</v>
      </c>
      <c r="I11" s="370">
        <v>6281337</v>
      </c>
      <c r="J11" s="370">
        <v>2324838</v>
      </c>
      <c r="K11" s="370">
        <v>14234534</v>
      </c>
      <c r="L11" s="370">
        <v>9323159</v>
      </c>
      <c r="M11" s="370">
        <v>27377259</v>
      </c>
      <c r="N11" s="370">
        <v>14801183</v>
      </c>
      <c r="O11" s="370">
        <v>26389687</v>
      </c>
      <c r="P11" s="370">
        <v>16258261</v>
      </c>
      <c r="Q11" s="370">
        <v>29132229</v>
      </c>
      <c r="R11" s="370">
        <v>20573321</v>
      </c>
      <c r="S11" s="370">
        <v>1402881</v>
      </c>
      <c r="T11" s="370">
        <v>0</v>
      </c>
      <c r="U11" s="370">
        <v>6808</v>
      </c>
      <c r="V11" s="370">
        <v>0</v>
      </c>
      <c r="W11" s="370">
        <v>0</v>
      </c>
      <c r="X11" s="370">
        <v>0</v>
      </c>
      <c r="Y11" s="370">
        <v>616577439</v>
      </c>
      <c r="Z11" s="370">
        <v>294093989</v>
      </c>
      <c r="AA11" s="370">
        <v>322483450</v>
      </c>
      <c r="AB11" s="370">
        <v>195141462</v>
      </c>
      <c r="AC11" s="370">
        <v>112022928</v>
      </c>
      <c r="AD11" s="370">
        <v>98952527</v>
      </c>
      <c r="AE11" s="370">
        <v>294093989</v>
      </c>
      <c r="AF11" s="370">
        <v>158708046</v>
      </c>
      <c r="AG11" s="370">
        <v>10138641</v>
      </c>
      <c r="AH11" s="370">
        <v>-12976714</v>
      </c>
      <c r="AI11" s="370">
        <v>-98110773</v>
      </c>
      <c r="AJ11" s="370">
        <v>40431440</v>
      </c>
      <c r="AK11" s="370">
        <v>123425888</v>
      </c>
      <c r="AL11" s="370">
        <v>0</v>
      </c>
      <c r="AM11" s="370">
        <v>184504159</v>
      </c>
      <c r="AN11" s="370">
        <v>307788460</v>
      </c>
      <c r="AO11" s="370">
        <v>155971957</v>
      </c>
      <c r="AP11" s="370">
        <v>19694995</v>
      </c>
      <c r="AQ11" s="370">
        <v>791385459</v>
      </c>
      <c r="AR11" s="370">
        <v>504659838</v>
      </c>
      <c r="AS11" s="370">
        <v>409939268</v>
      </c>
      <c r="AT11" s="370">
        <v>0</v>
      </c>
      <c r="AU11" s="371">
        <v>0.25740164326706738</v>
      </c>
      <c r="AV11" s="371">
        <v>0.32581515108207881</v>
      </c>
      <c r="AW11" s="371">
        <v>0.55203034596435785</v>
      </c>
      <c r="AX11" s="371">
        <v>0.47697818700109784</v>
      </c>
      <c r="AY11" s="371">
        <v>0.18168509081630541</v>
      </c>
      <c r="AZ11" s="371">
        <v>0.13653750288323183</v>
      </c>
      <c r="BA11" s="371">
        <v>0.1468582555510915</v>
      </c>
    </row>
    <row r="12" spans="1:53" ht="15.4" x14ac:dyDescent="0.45">
      <c r="A12" s="334" t="s">
        <v>233</v>
      </c>
      <c r="B12" s="370">
        <v>0</v>
      </c>
      <c r="C12" s="370">
        <v>212624139</v>
      </c>
      <c r="D12" s="370">
        <v>76737974</v>
      </c>
      <c r="E12" s="370">
        <v>0</v>
      </c>
      <c r="F12" s="370">
        <v>0</v>
      </c>
      <c r="G12" s="370">
        <v>0</v>
      </c>
      <c r="H12" s="370">
        <v>0</v>
      </c>
      <c r="I12" s="370">
        <v>0</v>
      </c>
      <c r="J12" s="370">
        <v>0</v>
      </c>
      <c r="K12" s="370">
        <v>0</v>
      </c>
      <c r="L12" s="370">
        <v>0</v>
      </c>
      <c r="M12" s="370">
        <v>35045245</v>
      </c>
      <c r="N12" s="370">
        <v>0</v>
      </c>
      <c r="O12" s="370">
        <v>10660506</v>
      </c>
      <c r="P12" s="370">
        <v>8904919</v>
      </c>
      <c r="Q12" s="370">
        <v>7614458</v>
      </c>
      <c r="R12" s="370">
        <v>0</v>
      </c>
      <c r="S12" s="370">
        <v>0</v>
      </c>
      <c r="T12" s="370">
        <v>0</v>
      </c>
      <c r="U12" s="370">
        <v>0</v>
      </c>
      <c r="V12" s="370">
        <v>0</v>
      </c>
      <c r="W12" s="370">
        <v>0</v>
      </c>
      <c r="X12" s="370">
        <v>0</v>
      </c>
      <c r="Y12" s="370">
        <v>351587241</v>
      </c>
      <c r="Z12" s="370">
        <v>86495318</v>
      </c>
      <c r="AA12" s="370">
        <v>265091923</v>
      </c>
      <c r="AB12" s="370">
        <v>58529918</v>
      </c>
      <c r="AC12" s="370">
        <v>6296116</v>
      </c>
      <c r="AD12" s="370">
        <v>27965400</v>
      </c>
      <c r="AE12" s="370">
        <v>86495318</v>
      </c>
      <c r="AF12" s="370">
        <v>28734006</v>
      </c>
      <c r="AG12" s="370">
        <v>322075</v>
      </c>
      <c r="AH12" s="370">
        <v>0</v>
      </c>
      <c r="AI12" s="370">
        <v>-6296116</v>
      </c>
      <c r="AJ12" s="370">
        <v>11340441</v>
      </c>
      <c r="AK12" s="370">
        <v>78682887</v>
      </c>
      <c r="AL12" s="370">
        <v>0</v>
      </c>
      <c r="AM12" s="370">
        <v>307409220</v>
      </c>
      <c r="AN12" s="370">
        <v>208590130</v>
      </c>
      <c r="AO12" s="370">
        <v>513287</v>
      </c>
      <c r="AP12" s="370">
        <v>50335162</v>
      </c>
      <c r="AQ12" s="370">
        <v>646299361</v>
      </c>
      <c r="AR12" s="370">
        <v>428203580</v>
      </c>
      <c r="AS12" s="370">
        <v>386923753</v>
      </c>
      <c r="AT12" s="370">
        <v>5942841</v>
      </c>
      <c r="AU12" s="371">
        <v>8.1726532277660219E-2</v>
      </c>
      <c r="AV12" s="371">
        <v>0.43280572041930804</v>
      </c>
      <c r="AW12" s="371">
        <v>0.34273614585948842</v>
      </c>
      <c r="AX12" s="371">
        <v>0.24601381368102604</v>
      </c>
      <c r="AY12" s="371">
        <v>1.7907691934702489E-2</v>
      </c>
      <c r="AZ12" s="371">
        <v>7.7856958259131206E-2</v>
      </c>
      <c r="BA12" s="371">
        <v>2.6588607840049877E-2</v>
      </c>
    </row>
    <row r="13" spans="1:53" ht="15.4" x14ac:dyDescent="0.45">
      <c r="A13" s="334" t="s">
        <v>26</v>
      </c>
      <c r="B13" s="370">
        <v>1497904</v>
      </c>
      <c r="C13" s="370">
        <v>175047791</v>
      </c>
      <c r="D13" s="370">
        <v>47544821</v>
      </c>
      <c r="E13" s="370">
        <v>11768446</v>
      </c>
      <c r="F13" s="370">
        <v>137355</v>
      </c>
      <c r="G13" s="370">
        <v>0</v>
      </c>
      <c r="H13" s="370">
        <v>21088094</v>
      </c>
      <c r="I13" s="370">
        <v>403452</v>
      </c>
      <c r="J13" s="370">
        <v>0</v>
      </c>
      <c r="K13" s="370">
        <v>2988284</v>
      </c>
      <c r="L13" s="370">
        <v>1109016</v>
      </c>
      <c r="M13" s="370">
        <v>5084647</v>
      </c>
      <c r="N13" s="370">
        <v>29316457</v>
      </c>
      <c r="O13" s="370">
        <v>4994019</v>
      </c>
      <c r="P13" s="370">
        <v>29199423</v>
      </c>
      <c r="Q13" s="370">
        <v>82388853</v>
      </c>
      <c r="R13" s="370">
        <v>9439475</v>
      </c>
      <c r="S13" s="370">
        <v>0</v>
      </c>
      <c r="T13" s="370">
        <v>1668470</v>
      </c>
      <c r="U13" s="370">
        <v>248989</v>
      </c>
      <c r="V13" s="370">
        <v>0</v>
      </c>
      <c r="W13" s="370">
        <v>0</v>
      </c>
      <c r="X13" s="370">
        <v>0</v>
      </c>
      <c r="Y13" s="370">
        <v>423925496</v>
      </c>
      <c r="Z13" s="370">
        <v>201738698</v>
      </c>
      <c r="AA13" s="370">
        <v>222186798</v>
      </c>
      <c r="AB13" s="370">
        <v>66918380</v>
      </c>
      <c r="AC13" s="370">
        <v>41409569</v>
      </c>
      <c r="AD13" s="370">
        <v>135130092</v>
      </c>
      <c r="AE13" s="370">
        <v>201738698</v>
      </c>
      <c r="AF13" s="370">
        <v>67615724</v>
      </c>
      <c r="AG13" s="370">
        <v>13562190</v>
      </c>
      <c r="AH13" s="370">
        <v>5799814</v>
      </c>
      <c r="AI13" s="370">
        <v>-41292212</v>
      </c>
      <c r="AJ13" s="370">
        <v>27609068</v>
      </c>
      <c r="AK13" s="370">
        <v>35943734</v>
      </c>
      <c r="AL13" s="370">
        <v>0</v>
      </c>
      <c r="AM13" s="370">
        <v>141180430</v>
      </c>
      <c r="AN13" s="370">
        <v>281131687</v>
      </c>
      <c r="AO13" s="370">
        <v>29652797</v>
      </c>
      <c r="AP13" s="370">
        <v>28941904</v>
      </c>
      <c r="AQ13" s="370">
        <v>522339518</v>
      </c>
      <c r="AR13" s="370">
        <v>345039674</v>
      </c>
      <c r="AS13" s="370">
        <v>272919027</v>
      </c>
      <c r="AT13" s="370">
        <v>0</v>
      </c>
      <c r="AU13" s="371">
        <v>0.15949907386556433</v>
      </c>
      <c r="AV13" s="371">
        <v>0.15481162345453622</v>
      </c>
      <c r="AW13" s="371">
        <v>0.73706869588211232</v>
      </c>
      <c r="AX13" s="371">
        <v>0.47588243666288005</v>
      </c>
      <c r="AY13" s="371">
        <v>9.7681242083160758E-2</v>
      </c>
      <c r="AZ13" s="371">
        <v>9.3875845873068797E-2</v>
      </c>
      <c r="BA13" s="371">
        <v>6.2567258086361113E-2</v>
      </c>
    </row>
    <row r="14" spans="1:53" ht="15.4" x14ac:dyDescent="0.45">
      <c r="A14" s="334" t="s">
        <v>234</v>
      </c>
      <c r="B14" s="370">
        <v>5158304.99</v>
      </c>
      <c r="C14" s="370">
        <v>175148385.59999999</v>
      </c>
      <c r="D14" s="370">
        <v>115889119</v>
      </c>
      <c r="E14" s="370">
        <v>30000367.870000001</v>
      </c>
      <c r="F14" s="370">
        <v>561164.80000000005</v>
      </c>
      <c r="G14" s="370">
        <v>0</v>
      </c>
      <c r="H14" s="370">
        <v>25979788.52</v>
      </c>
      <c r="I14" s="370">
        <v>663386.31000000006</v>
      </c>
      <c r="J14" s="370">
        <v>1672635.71</v>
      </c>
      <c r="K14" s="370">
        <v>5844114.5199999996</v>
      </c>
      <c r="L14" s="370">
        <v>2440939.98</v>
      </c>
      <c r="M14" s="370">
        <v>17978523.109999999</v>
      </c>
      <c r="N14" s="370">
        <v>498258.23</v>
      </c>
      <c r="O14" s="370">
        <v>7838300.8399999999</v>
      </c>
      <c r="P14" s="370">
        <v>5188148.91</v>
      </c>
      <c r="Q14" s="370">
        <v>13725003.17</v>
      </c>
      <c r="R14" s="370">
        <v>1174970.06</v>
      </c>
      <c r="S14" s="370">
        <v>119445.68</v>
      </c>
      <c r="T14" s="370">
        <v>0</v>
      </c>
      <c r="U14" s="370">
        <v>0</v>
      </c>
      <c r="V14" s="370">
        <v>0</v>
      </c>
      <c r="W14" s="370">
        <v>0</v>
      </c>
      <c r="X14" s="370">
        <v>0</v>
      </c>
      <c r="Y14" s="370">
        <v>409880857.30000001</v>
      </c>
      <c r="Z14" s="370">
        <v>212357314.59999999</v>
      </c>
      <c r="AA14" s="370">
        <v>197523542.69999999</v>
      </c>
      <c r="AB14" s="370">
        <v>122973460.95999999</v>
      </c>
      <c r="AC14" s="370">
        <v>22276074</v>
      </c>
      <c r="AD14" s="370">
        <v>89383853.599999994</v>
      </c>
      <c r="AE14" s="370">
        <v>212357314.59999999</v>
      </c>
      <c r="AF14" s="370">
        <v>33318605.859999999</v>
      </c>
      <c r="AG14" s="370">
        <v>-6766523.3779999996</v>
      </c>
      <c r="AH14" s="370">
        <v>2194025.85</v>
      </c>
      <c r="AI14" s="370">
        <v>-20964130.739999998</v>
      </c>
      <c r="AJ14" s="370">
        <v>-4689197.1380000003</v>
      </c>
      <c r="AK14" s="370">
        <v>149306412.40000001</v>
      </c>
      <c r="AL14" s="370">
        <v>0</v>
      </c>
      <c r="AM14" s="370">
        <v>119576864.59999999</v>
      </c>
      <c r="AN14" s="370">
        <v>161147407.80000001</v>
      </c>
      <c r="AO14" s="370">
        <v>23618734.030000001</v>
      </c>
      <c r="AP14" s="370">
        <v>19654099.280000001</v>
      </c>
      <c r="AQ14" s="370">
        <v>473583165.60000002</v>
      </c>
      <c r="AR14" s="370">
        <v>316756389.5</v>
      </c>
      <c r="AS14" s="370">
        <v>276943687.39999998</v>
      </c>
      <c r="AT14" s="370">
        <v>0</v>
      </c>
      <c r="AU14" s="371">
        <v>8.1288514129396E-2</v>
      </c>
      <c r="AV14" s="371">
        <v>0.4623131420496559</v>
      </c>
      <c r="AW14" s="371">
        <v>0.48929806199279879</v>
      </c>
      <c r="AX14" s="371">
        <v>0.5180952240581741</v>
      </c>
      <c r="AY14" s="371">
        <v>5.4347680803486988E-2</v>
      </c>
      <c r="AZ14" s="371">
        <v>9.0765741974189032E-2</v>
      </c>
      <c r="BA14" s="371">
        <v>3.083090276339219E-2</v>
      </c>
    </row>
    <row r="15" spans="1:53" ht="15.4" x14ac:dyDescent="0.45">
      <c r="A15" s="334" t="s">
        <v>244</v>
      </c>
      <c r="B15" s="370">
        <v>936283</v>
      </c>
      <c r="C15" s="370">
        <v>5293660</v>
      </c>
      <c r="D15" s="370">
        <v>49648901</v>
      </c>
      <c r="E15" s="370">
        <v>17189847</v>
      </c>
      <c r="F15" s="370">
        <v>31972</v>
      </c>
      <c r="G15" s="370">
        <v>0</v>
      </c>
      <c r="H15" s="370">
        <v>252353</v>
      </c>
      <c r="I15" s="370">
        <v>49751</v>
      </c>
      <c r="J15" s="370">
        <v>1659612</v>
      </c>
      <c r="K15" s="370">
        <v>1351267</v>
      </c>
      <c r="L15" s="370">
        <v>266367</v>
      </c>
      <c r="M15" s="370">
        <v>668535</v>
      </c>
      <c r="N15" s="370">
        <v>0</v>
      </c>
      <c r="O15" s="370">
        <v>125457</v>
      </c>
      <c r="P15" s="370">
        <v>302925</v>
      </c>
      <c r="Q15" s="370">
        <v>646018</v>
      </c>
      <c r="R15" s="370">
        <v>21700</v>
      </c>
      <c r="S15" s="370">
        <v>0</v>
      </c>
      <c r="T15" s="370">
        <v>0</v>
      </c>
      <c r="U15" s="370">
        <v>0</v>
      </c>
      <c r="V15" s="370">
        <v>0</v>
      </c>
      <c r="W15" s="370">
        <v>0</v>
      </c>
      <c r="X15" s="370">
        <v>0</v>
      </c>
      <c r="Y15" s="370">
        <v>78485354</v>
      </c>
      <c r="Z15" s="370">
        <v>51162753</v>
      </c>
      <c r="AA15" s="370">
        <v>27322601</v>
      </c>
      <c r="AB15" s="370">
        <v>28831874</v>
      </c>
      <c r="AC15" s="370">
        <v>13860055</v>
      </c>
      <c r="AD15" s="370">
        <v>22330879</v>
      </c>
      <c r="AE15" s="370">
        <v>51162753</v>
      </c>
      <c r="AF15" s="370">
        <v>16100404</v>
      </c>
      <c r="AG15" s="370">
        <v>7055650</v>
      </c>
      <c r="AH15" s="370">
        <v>230893</v>
      </c>
      <c r="AI15" s="370">
        <v>-13773374</v>
      </c>
      <c r="AJ15" s="370">
        <v>6729501</v>
      </c>
      <c r="AK15" s="370">
        <v>9190806</v>
      </c>
      <c r="AL15" s="370">
        <v>0</v>
      </c>
      <c r="AM15" s="370">
        <v>18687120</v>
      </c>
      <c r="AN15" s="370">
        <v>50040334</v>
      </c>
      <c r="AO15" s="370">
        <v>39417165</v>
      </c>
      <c r="AP15" s="370">
        <v>3940139</v>
      </c>
      <c r="AQ15" s="370">
        <v>156196114</v>
      </c>
      <c r="AR15" s="370">
        <v>74820210</v>
      </c>
      <c r="AS15" s="370">
        <v>70442464</v>
      </c>
      <c r="AT15" s="370">
        <v>13558</v>
      </c>
      <c r="AU15" s="371">
        <v>0.20513896134048143</v>
      </c>
      <c r="AV15" s="371">
        <v>0.4135384113260005</v>
      </c>
      <c r="AW15" s="371">
        <v>0.5522738506865843</v>
      </c>
      <c r="AX15" s="371">
        <v>0.65187643799122064</v>
      </c>
      <c r="AY15" s="371">
        <v>0.17659415793677888</v>
      </c>
      <c r="AZ15" s="371">
        <v>1.7380127085815201E-2</v>
      </c>
      <c r="BA15" s="371">
        <v>1.4898282126841987E-2</v>
      </c>
    </row>
    <row r="16" spans="1:53" ht="15.4" x14ac:dyDescent="0.45">
      <c r="A16" s="334" t="s">
        <v>69</v>
      </c>
      <c r="B16" s="370">
        <v>373417</v>
      </c>
      <c r="C16" s="370">
        <v>160036</v>
      </c>
      <c r="D16" s="370">
        <v>27202893</v>
      </c>
      <c r="E16" s="370">
        <v>11334539</v>
      </c>
      <c r="F16" s="370">
        <v>6800723</v>
      </c>
      <c r="G16" s="370">
        <v>0</v>
      </c>
      <c r="H16" s="370">
        <v>640143</v>
      </c>
      <c r="I16" s="370">
        <v>426762</v>
      </c>
      <c r="J16" s="370">
        <v>0</v>
      </c>
      <c r="K16" s="370">
        <v>960215</v>
      </c>
      <c r="L16" s="370">
        <v>400089</v>
      </c>
      <c r="M16" s="370">
        <v>240054</v>
      </c>
      <c r="N16" s="370">
        <v>1867085</v>
      </c>
      <c r="O16" s="370">
        <v>800179</v>
      </c>
      <c r="P16" s="370">
        <v>2133811</v>
      </c>
      <c r="Q16" s="370">
        <v>5336</v>
      </c>
      <c r="R16" s="370">
        <v>0</v>
      </c>
      <c r="S16" s="370">
        <v>0</v>
      </c>
      <c r="T16" s="370">
        <v>0</v>
      </c>
      <c r="U16" s="370">
        <v>0</v>
      </c>
      <c r="V16" s="370">
        <v>0</v>
      </c>
      <c r="W16" s="370">
        <v>0</v>
      </c>
      <c r="X16" s="370">
        <v>0</v>
      </c>
      <c r="Y16" s="370">
        <v>53345282</v>
      </c>
      <c r="Z16" s="370">
        <v>21115899</v>
      </c>
      <c r="AA16" s="370">
        <v>32229383</v>
      </c>
      <c r="AB16" s="370">
        <v>21115899</v>
      </c>
      <c r="AC16" s="370">
        <v>24883217</v>
      </c>
      <c r="AD16" s="370">
        <v>0</v>
      </c>
      <c r="AE16" s="370">
        <v>21115899</v>
      </c>
      <c r="AF16" s="370">
        <v>31860489</v>
      </c>
      <c r="AG16" s="370">
        <v>66571</v>
      </c>
      <c r="AH16" s="370">
        <v>0</v>
      </c>
      <c r="AI16" s="370">
        <v>-24071388</v>
      </c>
      <c r="AJ16" s="370">
        <v>5891754</v>
      </c>
      <c r="AK16" s="370">
        <v>7977541</v>
      </c>
      <c r="AL16" s="370">
        <v>0</v>
      </c>
      <c r="AM16" s="370">
        <v>0</v>
      </c>
      <c r="AN16" s="370">
        <v>74201324</v>
      </c>
      <c r="AO16" s="370">
        <v>7288497</v>
      </c>
      <c r="AP16" s="370">
        <v>53505541</v>
      </c>
      <c r="AQ16" s="370">
        <v>144044375</v>
      </c>
      <c r="AR16" s="370">
        <v>40030993</v>
      </c>
      <c r="AS16" s="370">
        <v>25706157</v>
      </c>
      <c r="AT16" s="370">
        <v>4931207</v>
      </c>
      <c r="AU16" s="371">
        <v>0.59725036227196249</v>
      </c>
      <c r="AV16" s="371">
        <v>0.27687846433676522</v>
      </c>
      <c r="AW16" s="371">
        <v>0.56476189330557702</v>
      </c>
      <c r="AX16" s="371">
        <v>0.39583442449512218</v>
      </c>
      <c r="AY16" s="371">
        <v>0.46645581515531215</v>
      </c>
      <c r="AZ16" s="371">
        <v>1.1813003743203479E-2</v>
      </c>
      <c r="BA16" s="371">
        <v>2.9481654859166623E-2</v>
      </c>
    </row>
    <row r="17" spans="1:53" ht="15.4" x14ac:dyDescent="0.45">
      <c r="A17" s="334" t="s">
        <v>29</v>
      </c>
      <c r="B17" s="370">
        <v>3740810</v>
      </c>
      <c r="C17" s="370">
        <v>0</v>
      </c>
      <c r="D17" s="370">
        <v>30908942</v>
      </c>
      <c r="E17" s="370">
        <v>0</v>
      </c>
      <c r="F17" s="370">
        <v>0</v>
      </c>
      <c r="G17" s="370">
        <v>0</v>
      </c>
      <c r="H17" s="370">
        <v>861673</v>
      </c>
      <c r="I17" s="370">
        <v>0</v>
      </c>
      <c r="J17" s="370">
        <v>252916</v>
      </c>
      <c r="K17" s="370">
        <v>1339004</v>
      </c>
      <c r="L17" s="370">
        <v>0</v>
      </c>
      <c r="M17" s="370">
        <v>0</v>
      </c>
      <c r="N17" s="370">
        <v>0</v>
      </c>
      <c r="O17" s="370">
        <v>0</v>
      </c>
      <c r="P17" s="370">
        <v>4504216</v>
      </c>
      <c r="Q17" s="370">
        <v>234858</v>
      </c>
      <c r="R17" s="370">
        <v>0</v>
      </c>
      <c r="S17" s="370">
        <v>0</v>
      </c>
      <c r="T17" s="370">
        <v>0</v>
      </c>
      <c r="U17" s="370">
        <v>0</v>
      </c>
      <c r="V17" s="370">
        <v>0</v>
      </c>
      <c r="W17" s="370">
        <v>0</v>
      </c>
      <c r="X17" s="370">
        <v>0</v>
      </c>
      <c r="Y17" s="370">
        <v>42934070</v>
      </c>
      <c r="Z17" s="370">
        <v>37465952</v>
      </c>
      <c r="AA17" s="370">
        <v>5468118</v>
      </c>
      <c r="AB17" s="370">
        <v>28269409</v>
      </c>
      <c r="AC17" s="370">
        <v>12156120</v>
      </c>
      <c r="AD17" s="370">
        <v>9196543</v>
      </c>
      <c r="AE17" s="370">
        <v>37465952</v>
      </c>
      <c r="AF17" s="370">
        <v>-2985468</v>
      </c>
      <c r="AG17" s="370">
        <v>12944043</v>
      </c>
      <c r="AH17" s="370">
        <v>5014633</v>
      </c>
      <c r="AI17" s="370">
        <v>-11932686</v>
      </c>
      <c r="AJ17" s="370">
        <v>2128365</v>
      </c>
      <c r="AK17" s="370">
        <v>22071582</v>
      </c>
      <c r="AL17" s="370">
        <v>2300208</v>
      </c>
      <c r="AM17" s="370">
        <v>2854738</v>
      </c>
      <c r="AN17" s="370">
        <v>95526713</v>
      </c>
      <c r="AO17" s="370">
        <v>18605177</v>
      </c>
      <c r="AP17" s="370">
        <v>33136597.001166601</v>
      </c>
      <c r="AQ17" s="370">
        <v>174756455</v>
      </c>
      <c r="AR17" s="370">
        <v>79037365</v>
      </c>
      <c r="AS17" s="370">
        <v>26295901</v>
      </c>
      <c r="AT17" s="370">
        <v>27687223</v>
      </c>
      <c r="AU17" s="371">
        <v>-6.9536105009378332E-2</v>
      </c>
      <c r="AV17" s="371">
        <v>0.80125459919174857</v>
      </c>
      <c r="AW17" s="371">
        <v>0.68325427824628104</v>
      </c>
      <c r="AX17" s="371">
        <v>0.87263918841144106</v>
      </c>
      <c r="AY17" s="371">
        <v>0.28313458286158288</v>
      </c>
      <c r="AZ17" s="371">
        <v>9.5075011436055422E-3</v>
      </c>
      <c r="BA17" s="371">
        <v>-2.7625607745407313E-3</v>
      </c>
    </row>
    <row r="18" spans="1:53" ht="15.4" x14ac:dyDescent="0.45">
      <c r="A18" s="334" t="s">
        <v>235</v>
      </c>
      <c r="B18" s="370">
        <v>364388</v>
      </c>
      <c r="C18" s="370">
        <v>2475687</v>
      </c>
      <c r="D18" s="370">
        <v>14360870</v>
      </c>
      <c r="E18" s="370">
        <v>7067580</v>
      </c>
      <c r="F18" s="370">
        <v>105288</v>
      </c>
      <c r="G18" s="370">
        <v>23418</v>
      </c>
      <c r="H18" s="370">
        <v>131539</v>
      </c>
      <c r="I18" s="370">
        <v>110328</v>
      </c>
      <c r="J18" s="370">
        <v>334444</v>
      </c>
      <c r="K18" s="370">
        <v>469130</v>
      </c>
      <c r="L18" s="370">
        <v>136256</v>
      </c>
      <c r="M18" s="370">
        <v>5514621</v>
      </c>
      <c r="N18" s="370">
        <v>21751</v>
      </c>
      <c r="O18" s="370">
        <v>418375</v>
      </c>
      <c r="P18" s="370">
        <v>126899</v>
      </c>
      <c r="Q18" s="370">
        <v>2549572</v>
      </c>
      <c r="R18" s="370">
        <v>106705</v>
      </c>
      <c r="S18" s="370">
        <v>2006121</v>
      </c>
      <c r="T18" s="370">
        <v>0</v>
      </c>
      <c r="U18" s="370">
        <v>0</v>
      </c>
      <c r="V18" s="370">
        <v>0</v>
      </c>
      <c r="W18" s="370">
        <v>0</v>
      </c>
      <c r="X18" s="370">
        <v>0</v>
      </c>
      <c r="Y18" s="370">
        <v>36322972</v>
      </c>
      <c r="Z18" s="370">
        <v>1841280</v>
      </c>
      <c r="AA18" s="370">
        <v>34481692</v>
      </c>
      <c r="AB18" s="370">
        <v>-3539010</v>
      </c>
      <c r="AC18" s="370">
        <v>13301189</v>
      </c>
      <c r="AD18" s="370">
        <v>5380290</v>
      </c>
      <c r="AE18" s="370">
        <v>1841280</v>
      </c>
      <c r="AF18" s="370">
        <v>34481692</v>
      </c>
      <c r="AG18" s="370">
        <v>4185143</v>
      </c>
      <c r="AH18" s="370">
        <v>0</v>
      </c>
      <c r="AI18" s="370">
        <v>-9332737</v>
      </c>
      <c r="AJ18" s="370">
        <v>27784964</v>
      </c>
      <c r="AK18" s="370">
        <v>8781774</v>
      </c>
      <c r="AL18" s="370">
        <v>0</v>
      </c>
      <c r="AM18" s="370">
        <v>12438157</v>
      </c>
      <c r="AN18" s="370">
        <v>98235619</v>
      </c>
      <c r="AO18" s="370">
        <v>2092391</v>
      </c>
      <c r="AP18" s="370">
        <v>10425112</v>
      </c>
      <c r="AQ18" s="370">
        <v>131973053</v>
      </c>
      <c r="AR18" s="370">
        <v>37023615</v>
      </c>
      <c r="AS18" s="370">
        <v>31836467</v>
      </c>
      <c r="AT18" s="370">
        <v>0</v>
      </c>
      <c r="AU18" s="371">
        <v>0.9493081127832822</v>
      </c>
      <c r="AV18" s="371">
        <v>-9.74317299806855E-2</v>
      </c>
      <c r="AW18" s="371">
        <v>0.51431581644805935</v>
      </c>
      <c r="AX18" s="371">
        <v>5.0691887216717836E-2</v>
      </c>
      <c r="AY18" s="371">
        <v>0.36619219925065605</v>
      </c>
      <c r="AZ18" s="371">
        <v>8.0435117804846384E-3</v>
      </c>
      <c r="BA18" s="371">
        <v>3.1907148145280721E-2</v>
      </c>
    </row>
    <row r="19" spans="1:53" ht="15.4" x14ac:dyDescent="0.45">
      <c r="A19" s="334" t="s">
        <v>32</v>
      </c>
      <c r="B19" s="370">
        <v>0</v>
      </c>
      <c r="C19" s="370">
        <v>14512040</v>
      </c>
      <c r="D19" s="370">
        <v>0</v>
      </c>
      <c r="E19" s="370">
        <v>0</v>
      </c>
      <c r="F19" s="370">
        <v>0</v>
      </c>
      <c r="G19" s="370">
        <v>70038717</v>
      </c>
      <c r="H19" s="370">
        <v>3948940</v>
      </c>
      <c r="I19" s="370">
        <v>313890</v>
      </c>
      <c r="J19" s="370">
        <v>0</v>
      </c>
      <c r="K19" s="370">
        <v>2905645</v>
      </c>
      <c r="L19" s="370">
        <v>0</v>
      </c>
      <c r="M19" s="370">
        <v>0</v>
      </c>
      <c r="N19" s="370">
        <v>0</v>
      </c>
      <c r="O19" s="370">
        <v>22162726</v>
      </c>
      <c r="P19" s="370">
        <v>49860434</v>
      </c>
      <c r="Q19" s="370">
        <v>618673</v>
      </c>
      <c r="R19" s="370">
        <v>0</v>
      </c>
      <c r="S19" s="370">
        <v>0</v>
      </c>
      <c r="T19" s="370">
        <v>0</v>
      </c>
      <c r="U19" s="370">
        <v>0</v>
      </c>
      <c r="V19" s="370">
        <v>0</v>
      </c>
      <c r="W19" s="370">
        <v>0</v>
      </c>
      <c r="X19" s="370">
        <v>0</v>
      </c>
      <c r="Y19" s="370">
        <v>164361065</v>
      </c>
      <c r="Z19" s="370">
        <v>103691883</v>
      </c>
      <c r="AA19" s="370">
        <v>60669182</v>
      </c>
      <c r="AB19" s="370">
        <v>27469205</v>
      </c>
      <c r="AC19" s="370">
        <v>12862280</v>
      </c>
      <c r="AD19" s="370">
        <v>35562734</v>
      </c>
      <c r="AE19" s="370">
        <v>103691883</v>
      </c>
      <c r="AF19" s="370">
        <v>23008746</v>
      </c>
      <c r="AG19" s="370">
        <v>10609591</v>
      </c>
      <c r="AH19" s="370">
        <v>0</v>
      </c>
      <c r="AI19" s="370">
        <v>-12534752</v>
      </c>
      <c r="AJ19" s="370">
        <v>14009669</v>
      </c>
      <c r="AK19" s="370">
        <v>10897179</v>
      </c>
      <c r="AL19" s="370">
        <v>0</v>
      </c>
      <c r="AM19" s="370">
        <v>49789018</v>
      </c>
      <c r="AN19" s="370">
        <v>176636738</v>
      </c>
      <c r="AO19" s="370">
        <v>19381340</v>
      </c>
      <c r="AP19" s="370">
        <v>6468628</v>
      </c>
      <c r="AQ19" s="370">
        <v>263172903</v>
      </c>
      <c r="AR19" s="370">
        <v>183188191</v>
      </c>
      <c r="AS19" s="370">
        <v>115607665</v>
      </c>
      <c r="AT19" s="370">
        <v>0</v>
      </c>
      <c r="AU19" s="371">
        <v>0.13998902964032267</v>
      </c>
      <c r="AV19" s="371">
        <v>0.14000926623901455</v>
      </c>
      <c r="AW19" s="371">
        <v>0.41967616349278625</v>
      </c>
      <c r="AX19" s="371">
        <v>0.63087862688161578</v>
      </c>
      <c r="AY19" s="371">
        <v>7.8256246392659962E-2</v>
      </c>
      <c r="AZ19" s="371">
        <v>3.639680592712792E-2</v>
      </c>
      <c r="BA19" s="371">
        <v>2.1290819118131882E-2</v>
      </c>
    </row>
    <row r="20" spans="1:53" ht="15.4" x14ac:dyDescent="0.45">
      <c r="A20" s="334" t="s">
        <v>33</v>
      </c>
      <c r="B20" s="370">
        <v>473449</v>
      </c>
      <c r="C20" s="370">
        <v>14382660</v>
      </c>
      <c r="D20" s="370">
        <v>54745232</v>
      </c>
      <c r="E20" s="370">
        <v>25478056</v>
      </c>
      <c r="F20" s="370">
        <v>149625</v>
      </c>
      <c r="G20" s="370">
        <v>0</v>
      </c>
      <c r="H20" s="370">
        <v>513484</v>
      </c>
      <c r="I20" s="370">
        <v>166914</v>
      </c>
      <c r="J20" s="370">
        <v>874960</v>
      </c>
      <c r="K20" s="370">
        <v>1646270</v>
      </c>
      <c r="L20" s="370">
        <v>389103</v>
      </c>
      <c r="M20" s="370">
        <v>3402442</v>
      </c>
      <c r="N20" s="370">
        <v>0</v>
      </c>
      <c r="O20" s="370">
        <v>3205937</v>
      </c>
      <c r="P20" s="370">
        <v>20371990</v>
      </c>
      <c r="Q20" s="370">
        <v>7489423</v>
      </c>
      <c r="R20" s="370">
        <v>31403</v>
      </c>
      <c r="S20" s="370">
        <v>0</v>
      </c>
      <c r="T20" s="370">
        <v>0</v>
      </c>
      <c r="U20" s="370">
        <v>0</v>
      </c>
      <c r="V20" s="370">
        <v>0</v>
      </c>
      <c r="W20" s="370">
        <v>0</v>
      </c>
      <c r="X20" s="370">
        <v>0</v>
      </c>
      <c r="Y20" s="370">
        <v>136297286</v>
      </c>
      <c r="Z20" s="370">
        <v>45608125.75</v>
      </c>
      <c r="AA20" s="370">
        <v>90689160.25</v>
      </c>
      <c r="AB20" s="370">
        <v>25627344.75</v>
      </c>
      <c r="AC20" s="370">
        <v>65676080</v>
      </c>
      <c r="AD20" s="370">
        <v>19980781</v>
      </c>
      <c r="AE20" s="370">
        <v>45608125.75</v>
      </c>
      <c r="AF20" s="370">
        <v>76955759.25</v>
      </c>
      <c r="AG20" s="370">
        <v>182470</v>
      </c>
      <c r="AH20" s="370">
        <v>2024089</v>
      </c>
      <c r="AI20" s="370">
        <v>-56027394</v>
      </c>
      <c r="AJ20" s="370">
        <v>21768829</v>
      </c>
      <c r="AK20" s="370">
        <v>3512811</v>
      </c>
      <c r="AL20" s="370">
        <v>0</v>
      </c>
      <c r="AM20" s="370">
        <v>7303923</v>
      </c>
      <c r="AN20" s="370">
        <v>120636746</v>
      </c>
      <c r="AO20" s="370">
        <v>49134537</v>
      </c>
      <c r="AP20" s="370">
        <v>23708787</v>
      </c>
      <c r="AQ20" s="370">
        <v>205130554</v>
      </c>
      <c r="AR20" s="370">
        <v>92104049</v>
      </c>
      <c r="AS20" s="370">
        <v>78761349</v>
      </c>
      <c r="AT20" s="370">
        <v>2994652</v>
      </c>
      <c r="AU20" s="371">
        <v>0.56461695979771742</v>
      </c>
      <c r="AV20" s="371">
        <v>0.20010850452480458</v>
      </c>
      <c r="AW20" s="371">
        <v>0.70681493754880464</v>
      </c>
      <c r="AX20" s="371">
        <v>0.33462240583425851</v>
      </c>
      <c r="AY20" s="371">
        <v>0.48185904450070999</v>
      </c>
      <c r="AZ20" s="371">
        <v>3.0182244602371303E-2</v>
      </c>
      <c r="BA20" s="371">
        <v>7.120992818514553E-2</v>
      </c>
    </row>
    <row r="21" spans="1:53" ht="15.4" x14ac:dyDescent="0.45">
      <c r="A21" s="334" t="s">
        <v>236</v>
      </c>
      <c r="B21" s="370">
        <v>56296</v>
      </c>
      <c r="C21" s="370">
        <v>1820224</v>
      </c>
      <c r="D21" s="370">
        <v>24857243</v>
      </c>
      <c r="E21" s="370">
        <v>32376889</v>
      </c>
      <c r="F21" s="370">
        <v>80240</v>
      </c>
      <c r="G21" s="370">
        <v>0</v>
      </c>
      <c r="H21" s="370">
        <v>3134466</v>
      </c>
      <c r="I21" s="370">
        <v>88295</v>
      </c>
      <c r="J21" s="370">
        <v>0</v>
      </c>
      <c r="K21" s="370">
        <v>1191980</v>
      </c>
      <c r="L21" s="370">
        <v>10218</v>
      </c>
      <c r="M21" s="370">
        <v>1993232</v>
      </c>
      <c r="N21" s="370">
        <v>1347852</v>
      </c>
      <c r="O21" s="370">
        <v>473569</v>
      </c>
      <c r="P21" s="370">
        <v>4463031</v>
      </c>
      <c r="Q21" s="370">
        <v>8553</v>
      </c>
      <c r="R21" s="370">
        <v>0</v>
      </c>
      <c r="S21" s="370">
        <v>0</v>
      </c>
      <c r="T21" s="370">
        <v>0</v>
      </c>
      <c r="U21" s="370">
        <v>0</v>
      </c>
      <c r="V21" s="370">
        <v>0</v>
      </c>
      <c r="W21" s="370">
        <v>0</v>
      </c>
      <c r="X21" s="370">
        <v>0</v>
      </c>
      <c r="Y21" s="370">
        <v>71902088</v>
      </c>
      <c r="Z21" s="370">
        <v>43884104</v>
      </c>
      <c r="AA21" s="370">
        <v>28017984</v>
      </c>
      <c r="AB21" s="370">
        <v>12936867</v>
      </c>
      <c r="AC21" s="370">
        <v>10423550</v>
      </c>
      <c r="AD21" s="370">
        <v>30947237</v>
      </c>
      <c r="AE21" s="370">
        <v>43884104</v>
      </c>
      <c r="AF21" s="370">
        <v>16527861</v>
      </c>
      <c r="AG21" s="370">
        <v>7293043</v>
      </c>
      <c r="AH21" s="370">
        <v>150087</v>
      </c>
      <c r="AI21" s="370">
        <v>-10203916</v>
      </c>
      <c r="AJ21" s="370">
        <v>9620528</v>
      </c>
      <c r="AK21" s="370">
        <v>14932466</v>
      </c>
      <c r="AL21" s="370">
        <v>6655618</v>
      </c>
      <c r="AM21" s="370">
        <v>5896075</v>
      </c>
      <c r="AN21" s="370">
        <v>87742921</v>
      </c>
      <c r="AO21" s="370">
        <v>8490233</v>
      </c>
      <c r="AP21" s="370">
        <v>28395673</v>
      </c>
      <c r="AQ21" s="370">
        <v>152112986</v>
      </c>
      <c r="AR21" s="370">
        <v>75136034</v>
      </c>
      <c r="AS21" s="370">
        <v>43607696</v>
      </c>
      <c r="AT21" s="370">
        <v>9010270</v>
      </c>
      <c r="AU21" s="371">
        <v>0.22986621751512973</v>
      </c>
      <c r="AV21" s="371">
        <v>0.14123365984475672</v>
      </c>
      <c r="AW21" s="371">
        <v>0.74834683524680912</v>
      </c>
      <c r="AX21" s="371">
        <v>0.61033142737106605</v>
      </c>
      <c r="AY21" s="371">
        <v>0.14496866906006958</v>
      </c>
      <c r="AZ21" s="371">
        <v>1.592230095790188E-2</v>
      </c>
      <c r="BA21" s="371">
        <v>1.5293823442643347E-2</v>
      </c>
    </row>
    <row r="22" spans="1:53" ht="15.4" x14ac:dyDescent="0.45">
      <c r="A22" s="334" t="s">
        <v>237</v>
      </c>
      <c r="B22" s="370">
        <v>0</v>
      </c>
      <c r="C22" s="370">
        <v>15057355</v>
      </c>
      <c r="D22" s="370">
        <v>65943566</v>
      </c>
      <c r="E22" s="370">
        <v>0</v>
      </c>
      <c r="F22" s="370">
        <v>0</v>
      </c>
      <c r="G22" s="370">
        <v>0</v>
      </c>
      <c r="H22" s="370">
        <v>0</v>
      </c>
      <c r="I22" s="370">
        <v>0</v>
      </c>
      <c r="J22" s="370">
        <v>0</v>
      </c>
      <c r="K22" s="370">
        <v>-143883</v>
      </c>
      <c r="L22" s="370">
        <v>0</v>
      </c>
      <c r="M22" s="370">
        <v>155310</v>
      </c>
      <c r="N22" s="370">
        <v>4050770</v>
      </c>
      <c r="O22" s="370">
        <v>0</v>
      </c>
      <c r="P22" s="370">
        <v>9354840</v>
      </c>
      <c r="Q22" s="370">
        <v>0</v>
      </c>
      <c r="R22" s="370">
        <v>3913189</v>
      </c>
      <c r="S22" s="370">
        <v>0</v>
      </c>
      <c r="T22" s="370">
        <v>0</v>
      </c>
      <c r="U22" s="370">
        <v>0</v>
      </c>
      <c r="V22" s="370">
        <v>0</v>
      </c>
      <c r="W22" s="370">
        <v>0</v>
      </c>
      <c r="X22" s="370">
        <v>0</v>
      </c>
      <c r="Y22" s="370">
        <v>98331147</v>
      </c>
      <c r="Z22" s="370">
        <v>55919837</v>
      </c>
      <c r="AA22" s="370">
        <v>42411310</v>
      </c>
      <c r="AB22" s="370">
        <v>38962849</v>
      </c>
      <c r="AC22" s="370">
        <v>42072461</v>
      </c>
      <c r="AD22" s="370">
        <v>16956988</v>
      </c>
      <c r="AE22" s="370">
        <v>55919837</v>
      </c>
      <c r="AF22" s="370">
        <v>41832249</v>
      </c>
      <c r="AG22" s="370">
        <v>8271950</v>
      </c>
      <c r="AH22" s="370">
        <v>240422</v>
      </c>
      <c r="AI22" s="370">
        <v>-41432085</v>
      </c>
      <c r="AJ22" s="370">
        <v>5883304</v>
      </c>
      <c r="AK22" s="370">
        <v>12905995</v>
      </c>
      <c r="AL22" s="370">
        <v>0</v>
      </c>
      <c r="AM22" s="370">
        <v>45964170</v>
      </c>
      <c r="AN22" s="370">
        <v>78751912</v>
      </c>
      <c r="AO22" s="370">
        <v>7060734</v>
      </c>
      <c r="AP22" s="370">
        <v>30442032</v>
      </c>
      <c r="AQ22" s="370">
        <v>175124843</v>
      </c>
      <c r="AR22" s="370">
        <v>98274532</v>
      </c>
      <c r="AS22" s="370">
        <v>77108902</v>
      </c>
      <c r="AT22" s="370">
        <v>0</v>
      </c>
      <c r="AU22" s="371">
        <v>0.42542216048796827</v>
      </c>
      <c r="AV22" s="371">
        <v>0.40213005956291753</v>
      </c>
      <c r="AW22" s="371">
        <v>0.60031282865031566</v>
      </c>
      <c r="AX22" s="371">
        <v>0.56868895264691666</v>
      </c>
      <c r="AY22" s="371">
        <v>0.42786504870120146</v>
      </c>
      <c r="AZ22" s="371">
        <v>2.1774863006338432E-2</v>
      </c>
      <c r="BA22" s="371">
        <v>3.8708882559860207E-2</v>
      </c>
    </row>
    <row r="23" spans="1:53" ht="15.4" x14ac:dyDescent="0.45">
      <c r="A23" s="334" t="s">
        <v>36</v>
      </c>
      <c r="B23" s="370">
        <v>1044454</v>
      </c>
      <c r="C23" s="370">
        <v>9761692</v>
      </c>
      <c r="D23" s="370">
        <v>34912164</v>
      </c>
      <c r="E23" s="370">
        <v>11722675</v>
      </c>
      <c r="F23" s="370">
        <v>264844</v>
      </c>
      <c r="G23" s="370">
        <v>5935111</v>
      </c>
      <c r="H23" s="370">
        <v>1185733</v>
      </c>
      <c r="I23" s="370">
        <v>394013</v>
      </c>
      <c r="J23" s="370">
        <v>435469</v>
      </c>
      <c r="K23" s="370">
        <v>624569</v>
      </c>
      <c r="L23" s="370">
        <v>147424</v>
      </c>
      <c r="M23" s="370">
        <v>1288375</v>
      </c>
      <c r="N23" s="370">
        <v>0</v>
      </c>
      <c r="O23" s="370">
        <v>87383</v>
      </c>
      <c r="P23" s="370">
        <v>875904</v>
      </c>
      <c r="Q23" s="370">
        <v>50439</v>
      </c>
      <c r="R23" s="370">
        <v>44117</v>
      </c>
      <c r="S23" s="370">
        <v>7598995</v>
      </c>
      <c r="T23" s="370">
        <v>125762</v>
      </c>
      <c r="U23" s="370">
        <v>0</v>
      </c>
      <c r="V23" s="370">
        <v>0</v>
      </c>
      <c r="W23" s="370">
        <v>0</v>
      </c>
      <c r="X23" s="370">
        <v>0</v>
      </c>
      <c r="Y23" s="370">
        <v>95347477</v>
      </c>
      <c r="Z23" s="370">
        <v>66390826</v>
      </c>
      <c r="AA23" s="370">
        <v>28956651</v>
      </c>
      <c r="AB23" s="370">
        <v>52696405</v>
      </c>
      <c r="AC23" s="370">
        <v>743984</v>
      </c>
      <c r="AD23" s="370">
        <v>13694421</v>
      </c>
      <c r="AE23" s="370">
        <v>66390826</v>
      </c>
      <c r="AF23" s="370">
        <v>12405261</v>
      </c>
      <c r="AG23" s="370">
        <v>5896568</v>
      </c>
      <c r="AH23" s="370">
        <v>0</v>
      </c>
      <c r="AI23" s="370">
        <v>-701919</v>
      </c>
      <c r="AJ23" s="370">
        <v>12319038</v>
      </c>
      <c r="AK23" s="370">
        <v>51516970</v>
      </c>
      <c r="AL23" s="370">
        <v>0</v>
      </c>
      <c r="AM23" s="370">
        <v>16091906</v>
      </c>
      <c r="AN23" s="370">
        <v>66511347</v>
      </c>
      <c r="AO23" s="370">
        <v>13591446</v>
      </c>
      <c r="AP23" s="370">
        <v>24565653</v>
      </c>
      <c r="AQ23" s="370">
        <v>172277322</v>
      </c>
      <c r="AR23" s="370">
        <v>96548370</v>
      </c>
      <c r="AS23" s="370">
        <v>70845922</v>
      </c>
      <c r="AT23" s="370">
        <v>0</v>
      </c>
      <c r="AU23" s="371">
        <v>0.13010581286802167</v>
      </c>
      <c r="AV23" s="371">
        <v>0.66308848509157414</v>
      </c>
      <c r="AW23" s="371">
        <v>0.18638023641097964</v>
      </c>
      <c r="AX23" s="371">
        <v>0.69630396198108102</v>
      </c>
      <c r="AY23" s="371">
        <v>7.8028703370934503E-3</v>
      </c>
      <c r="AZ23" s="371">
        <v>2.1114146565126557E-2</v>
      </c>
      <c r="BA23" s="371">
        <v>1.147903358419515E-2</v>
      </c>
    </row>
    <row r="24" spans="1:53" ht="15.4" x14ac:dyDescent="0.45">
      <c r="A24" s="334" t="s">
        <v>238</v>
      </c>
      <c r="B24" s="370">
        <v>0</v>
      </c>
      <c r="C24" s="370">
        <v>41680358</v>
      </c>
      <c r="D24" s="370">
        <v>64475183</v>
      </c>
      <c r="E24" s="370">
        <v>0</v>
      </c>
      <c r="F24" s="370">
        <v>0</v>
      </c>
      <c r="G24" s="370">
        <v>0</v>
      </c>
      <c r="H24" s="370">
        <v>0</v>
      </c>
      <c r="I24" s="370">
        <v>18647116</v>
      </c>
      <c r="J24" s="370">
        <v>280627</v>
      </c>
      <c r="K24" s="370">
        <v>1728717</v>
      </c>
      <c r="L24" s="370">
        <v>0</v>
      </c>
      <c r="M24" s="370">
        <v>6962399</v>
      </c>
      <c r="N24" s="370">
        <v>0</v>
      </c>
      <c r="O24" s="370">
        <v>1989893</v>
      </c>
      <c r="P24" s="370">
        <v>2633489</v>
      </c>
      <c r="Q24" s="370">
        <v>21012970</v>
      </c>
      <c r="R24" s="370">
        <v>0</v>
      </c>
      <c r="S24" s="370">
        <v>0</v>
      </c>
      <c r="T24" s="370">
        <v>0</v>
      </c>
      <c r="U24" s="370">
        <v>0</v>
      </c>
      <c r="V24" s="370">
        <v>0</v>
      </c>
      <c r="W24" s="370">
        <v>0</v>
      </c>
      <c r="X24" s="370">
        <v>0</v>
      </c>
      <c r="Y24" s="370">
        <v>159410752</v>
      </c>
      <c r="Z24" s="370">
        <v>317515884</v>
      </c>
      <c r="AA24" s="370">
        <v>-158105132</v>
      </c>
      <c r="AB24" s="370">
        <v>297444268</v>
      </c>
      <c r="AC24" s="370">
        <v>42365519</v>
      </c>
      <c r="AD24" s="370">
        <v>20071616</v>
      </c>
      <c r="AE24" s="370">
        <v>317515884</v>
      </c>
      <c r="AF24" s="370">
        <v>43567116</v>
      </c>
      <c r="AG24" s="370">
        <v>17665809</v>
      </c>
      <c r="AH24" s="370">
        <v>0</v>
      </c>
      <c r="AI24" s="370">
        <v>-42365519</v>
      </c>
      <c r="AJ24" s="370">
        <v>13206467</v>
      </c>
      <c r="AK24" s="370">
        <v>89694685</v>
      </c>
      <c r="AL24" s="370">
        <v>6749043</v>
      </c>
      <c r="AM24" s="370">
        <v>332165280</v>
      </c>
      <c r="AN24" s="370">
        <v>241489240</v>
      </c>
      <c r="AO24" s="370">
        <v>38589370</v>
      </c>
      <c r="AP24" s="370">
        <v>5589270</v>
      </c>
      <c r="AQ24" s="370">
        <v>716364045</v>
      </c>
      <c r="AR24" s="370">
        <v>519038272</v>
      </c>
      <c r="AS24" s="370">
        <v>447270445</v>
      </c>
      <c r="AT24" s="370">
        <v>3464754</v>
      </c>
      <c r="AU24" s="371">
        <v>0.27330098787815765</v>
      </c>
      <c r="AV24" s="371">
        <v>0.1644312130287254</v>
      </c>
      <c r="AW24" s="371">
        <v>0.81979196496108242</v>
      </c>
      <c r="AX24" s="371">
        <v>1.9918097118066416</v>
      </c>
      <c r="AY24" s="371">
        <v>0.2657632466347063</v>
      </c>
      <c r="AZ24" s="371">
        <v>3.5300587783618456E-2</v>
      </c>
      <c r="BA24" s="371">
        <v>4.0314217309134079E-2</v>
      </c>
    </row>
    <row r="25" spans="1:53" ht="15.4" x14ac:dyDescent="0.45">
      <c r="A25" s="334" t="s">
        <v>77</v>
      </c>
      <c r="B25" s="370">
        <v>90660</v>
      </c>
      <c r="C25" s="370">
        <v>8749125</v>
      </c>
      <c r="D25" s="370">
        <v>22293260</v>
      </c>
      <c r="E25" s="370">
        <v>13807442</v>
      </c>
      <c r="F25" s="370">
        <v>120568</v>
      </c>
      <c r="G25" s="370">
        <v>73881</v>
      </c>
      <c r="H25" s="370">
        <v>402190</v>
      </c>
      <c r="I25" s="370">
        <v>664276</v>
      </c>
      <c r="J25" s="370">
        <v>139062</v>
      </c>
      <c r="K25" s="370">
        <v>2910147</v>
      </c>
      <c r="L25" s="370">
        <v>105787</v>
      </c>
      <c r="M25" s="370">
        <v>768135</v>
      </c>
      <c r="N25" s="370">
        <v>13962378</v>
      </c>
      <c r="O25" s="370">
        <v>132390</v>
      </c>
      <c r="P25" s="370">
        <v>4106795</v>
      </c>
      <c r="Q25" s="370">
        <v>594711</v>
      </c>
      <c r="R25" s="370">
        <v>13366556</v>
      </c>
      <c r="S25" s="370">
        <v>0</v>
      </c>
      <c r="T25" s="370">
        <v>0</v>
      </c>
      <c r="U25" s="370">
        <v>0</v>
      </c>
      <c r="V25" s="370">
        <v>0</v>
      </c>
      <c r="W25" s="370">
        <v>0</v>
      </c>
      <c r="X25" s="370">
        <v>0</v>
      </c>
      <c r="Y25" s="370">
        <v>82287363</v>
      </c>
      <c r="Z25" s="370">
        <v>11914841</v>
      </c>
      <c r="AA25" s="370">
        <v>70372522</v>
      </c>
      <c r="AB25" s="370">
        <v>6871515</v>
      </c>
      <c r="AC25" s="370">
        <v>52978335</v>
      </c>
      <c r="AD25" s="370">
        <v>5043326</v>
      </c>
      <c r="AE25" s="370">
        <v>11914841</v>
      </c>
      <c r="AF25" s="370">
        <v>54249465</v>
      </c>
      <c r="AG25" s="370">
        <v>4140926</v>
      </c>
      <c r="AH25" s="370">
        <v>0</v>
      </c>
      <c r="AI25" s="370">
        <v>-52978335</v>
      </c>
      <c r="AJ25" s="370">
        <v>3488439</v>
      </c>
      <c r="AK25" s="370">
        <v>1154244</v>
      </c>
      <c r="AL25" s="370">
        <v>0</v>
      </c>
      <c r="AM25" s="370">
        <v>41021115</v>
      </c>
      <c r="AN25" s="370">
        <v>56653052</v>
      </c>
      <c r="AO25" s="370">
        <v>25553866</v>
      </c>
      <c r="AP25" s="370">
        <v>6032489</v>
      </c>
      <c r="AQ25" s="370">
        <v>130414766</v>
      </c>
      <c r="AR25" s="370">
        <v>48323369</v>
      </c>
      <c r="AS25" s="370">
        <v>35305071</v>
      </c>
      <c r="AT25" s="370">
        <v>0</v>
      </c>
      <c r="AU25" s="371">
        <v>0.65926848330283716</v>
      </c>
      <c r="AV25" s="371">
        <v>8.3141752895710741E-2</v>
      </c>
      <c r="AW25" s="371">
        <v>0.89720246764129052</v>
      </c>
      <c r="AX25" s="371">
        <v>0.14479551374127764</v>
      </c>
      <c r="AY25" s="371">
        <v>0.64382103239837685</v>
      </c>
      <c r="AZ25" s="371">
        <v>1.8222059959067109E-2</v>
      </c>
      <c r="BA25" s="371">
        <v>5.0198978534963461E-2</v>
      </c>
    </row>
    <row r="26" spans="1:53" ht="15.4" x14ac:dyDescent="0.45">
      <c r="A26" s="334" t="s">
        <v>239</v>
      </c>
      <c r="B26" s="370">
        <v>2857268</v>
      </c>
      <c r="C26" s="370">
        <v>139357975</v>
      </c>
      <c r="D26" s="370">
        <v>100365869</v>
      </c>
      <c r="E26" s="370">
        <v>40075832</v>
      </c>
      <c r="F26" s="370">
        <v>627615</v>
      </c>
      <c r="G26" s="370">
        <v>0</v>
      </c>
      <c r="H26" s="370">
        <v>8901536</v>
      </c>
      <c r="I26" s="370">
        <v>1246566</v>
      </c>
      <c r="J26" s="370">
        <v>1065993</v>
      </c>
      <c r="K26" s="370">
        <v>3279583</v>
      </c>
      <c r="L26" s="370">
        <v>5222603</v>
      </c>
      <c r="M26" s="370">
        <v>14606614</v>
      </c>
      <c r="N26" s="370">
        <v>3365532</v>
      </c>
      <c r="O26" s="370">
        <v>6722274</v>
      </c>
      <c r="P26" s="370">
        <v>59650009</v>
      </c>
      <c r="Q26" s="370">
        <v>1275861</v>
      </c>
      <c r="R26" s="370">
        <v>5379793</v>
      </c>
      <c r="S26" s="370">
        <v>19307893</v>
      </c>
      <c r="T26" s="370">
        <v>0</v>
      </c>
      <c r="U26" s="370">
        <v>0</v>
      </c>
      <c r="V26" s="370">
        <v>0</v>
      </c>
      <c r="W26" s="370">
        <v>0</v>
      </c>
      <c r="X26" s="370">
        <v>0</v>
      </c>
      <c r="Y26" s="370">
        <v>413308816</v>
      </c>
      <c r="Z26" s="370">
        <v>140502962</v>
      </c>
      <c r="AA26" s="370">
        <v>272805854</v>
      </c>
      <c r="AB26" s="370">
        <v>95339773</v>
      </c>
      <c r="AC26" s="370">
        <v>140674095</v>
      </c>
      <c r="AD26" s="370">
        <v>45163189</v>
      </c>
      <c r="AE26" s="370">
        <v>140502962</v>
      </c>
      <c r="AF26" s="370">
        <v>143781729</v>
      </c>
      <c r="AG26" s="370">
        <v>38055596</v>
      </c>
      <c r="AH26" s="370">
        <v>-991886</v>
      </c>
      <c r="AI26" s="370">
        <v>-127340473</v>
      </c>
      <c r="AJ26" s="370">
        <v>37453476</v>
      </c>
      <c r="AK26" s="370">
        <v>71517452</v>
      </c>
      <c r="AL26" s="370">
        <v>0</v>
      </c>
      <c r="AM26" s="370">
        <v>43005640</v>
      </c>
      <c r="AN26" s="370">
        <v>773142861</v>
      </c>
      <c r="AO26" s="370">
        <v>20447381</v>
      </c>
      <c r="AP26" s="370">
        <v>256093341</v>
      </c>
      <c r="AQ26" s="370">
        <v>1164209943</v>
      </c>
      <c r="AR26" s="370">
        <v>439940415</v>
      </c>
      <c r="AS26" s="370">
        <v>221069779</v>
      </c>
      <c r="AT26" s="370">
        <v>0</v>
      </c>
      <c r="AU26" s="371">
        <v>0.347879656648795</v>
      </c>
      <c r="AV26" s="371">
        <v>0.2528292000699619</v>
      </c>
      <c r="AW26" s="371">
        <v>0.73488185664303318</v>
      </c>
      <c r="AX26" s="371">
        <v>0.33994668528919064</v>
      </c>
      <c r="AY26" s="371">
        <v>0.34036074130100336</v>
      </c>
      <c r="AZ26" s="371">
        <v>9.1524843574863804E-2</v>
      </c>
      <c r="BA26" s="371">
        <v>0.13304639829703269</v>
      </c>
    </row>
    <row r="27" spans="1:53" ht="15.4" x14ac:dyDescent="0.45">
      <c r="A27" s="334" t="s">
        <v>240</v>
      </c>
      <c r="B27" s="370">
        <v>1587870</v>
      </c>
      <c r="C27" s="370">
        <v>191454923</v>
      </c>
      <c r="D27" s="370">
        <v>119806045</v>
      </c>
      <c r="E27" s="370">
        <v>34262239</v>
      </c>
      <c r="F27" s="370">
        <v>340501</v>
      </c>
      <c r="G27" s="370">
        <v>869481</v>
      </c>
      <c r="H27" s="370">
        <v>16013594</v>
      </c>
      <c r="I27" s="370">
        <v>2144348</v>
      </c>
      <c r="J27" s="370">
        <v>4369653</v>
      </c>
      <c r="K27" s="370">
        <v>7758951</v>
      </c>
      <c r="L27" s="370">
        <v>4723044</v>
      </c>
      <c r="M27" s="370">
        <v>11070143</v>
      </c>
      <c r="N27" s="370">
        <v>6278633</v>
      </c>
      <c r="O27" s="370">
        <v>16672633</v>
      </c>
      <c r="P27" s="370">
        <v>16803821</v>
      </c>
      <c r="Q27" s="370">
        <v>9389987</v>
      </c>
      <c r="R27" s="370">
        <v>564866</v>
      </c>
      <c r="S27" s="370">
        <v>48590</v>
      </c>
      <c r="T27" s="370">
        <v>0</v>
      </c>
      <c r="U27" s="370">
        <v>0</v>
      </c>
      <c r="V27" s="370">
        <v>0</v>
      </c>
      <c r="W27" s="370">
        <v>0</v>
      </c>
      <c r="X27" s="370">
        <v>0</v>
      </c>
      <c r="Y27" s="370">
        <v>444159322</v>
      </c>
      <c r="Z27" s="370">
        <v>633041977</v>
      </c>
      <c r="AA27" s="370">
        <v>-188882655</v>
      </c>
      <c r="AB27" s="370">
        <v>562263996</v>
      </c>
      <c r="AC27" s="370">
        <v>77467751</v>
      </c>
      <c r="AD27" s="370">
        <v>70777433</v>
      </c>
      <c r="AE27" s="370">
        <v>633041977</v>
      </c>
      <c r="AF27" s="370">
        <v>62242702</v>
      </c>
      <c r="AG27" s="370">
        <v>73344702</v>
      </c>
      <c r="AH27" s="370">
        <v>-6995194</v>
      </c>
      <c r="AI27" s="370">
        <v>-77377515</v>
      </c>
      <c r="AJ27" s="370">
        <v>22111339</v>
      </c>
      <c r="AK27" s="370">
        <v>36469567</v>
      </c>
      <c r="AL27" s="370">
        <v>310060720</v>
      </c>
      <c r="AM27" s="370">
        <v>113761328</v>
      </c>
      <c r="AN27" s="370">
        <v>851037214.89999998</v>
      </c>
      <c r="AO27" s="370">
        <v>109762338</v>
      </c>
      <c r="AP27" s="370">
        <v>12502237</v>
      </c>
      <c r="AQ27" s="370">
        <v>1433672870</v>
      </c>
      <c r="AR27" s="370">
        <v>770814685</v>
      </c>
      <c r="AS27" s="370">
        <v>375944026</v>
      </c>
      <c r="AT27" s="370">
        <v>226551190</v>
      </c>
      <c r="AU27" s="371">
        <v>0.14013598030483304</v>
      </c>
      <c r="AV27" s="371">
        <v>0.40751128236014827</v>
      </c>
      <c r="AW27" s="371">
        <v>0.66030031558659086</v>
      </c>
      <c r="AX27" s="371">
        <v>1.4252587881066696</v>
      </c>
      <c r="AY27" s="371">
        <v>0.17441433099089609</v>
      </c>
      <c r="AZ27" s="371">
        <v>9.8356509454101654E-2</v>
      </c>
      <c r="BA27" s="371">
        <v>5.7595407837775496E-2</v>
      </c>
    </row>
    <row r="28" spans="1:53" ht="15.4" x14ac:dyDescent="0.45">
      <c r="A28" s="334" t="s">
        <v>241</v>
      </c>
      <c r="B28" s="370">
        <v>19344561</v>
      </c>
      <c r="C28" s="370">
        <v>0</v>
      </c>
      <c r="D28" s="370">
        <v>62092625</v>
      </c>
      <c r="E28" s="370">
        <v>0</v>
      </c>
      <c r="F28" s="370">
        <v>0</v>
      </c>
      <c r="G28" s="370">
        <v>0</v>
      </c>
      <c r="H28" s="370">
        <v>7256081</v>
      </c>
      <c r="I28" s="370">
        <v>0</v>
      </c>
      <c r="J28" s="370">
        <v>0</v>
      </c>
      <c r="K28" s="370">
        <v>0</v>
      </c>
      <c r="L28" s="370">
        <v>0</v>
      </c>
      <c r="M28" s="370">
        <v>0</v>
      </c>
      <c r="N28" s="370">
        <v>5454411</v>
      </c>
      <c r="O28" s="370">
        <v>0</v>
      </c>
      <c r="P28" s="370">
        <v>3329507</v>
      </c>
      <c r="Q28" s="370">
        <v>845441</v>
      </c>
      <c r="R28" s="370">
        <v>0</v>
      </c>
      <c r="S28" s="370">
        <v>0</v>
      </c>
      <c r="T28" s="370">
        <v>0</v>
      </c>
      <c r="U28" s="370">
        <v>0</v>
      </c>
      <c r="V28" s="370">
        <v>0</v>
      </c>
      <c r="W28" s="370">
        <v>0</v>
      </c>
      <c r="X28" s="370">
        <v>0</v>
      </c>
      <c r="Y28" s="370">
        <v>98322626</v>
      </c>
      <c r="Z28" s="370">
        <v>70518232</v>
      </c>
      <c r="AA28" s="370">
        <v>27804394</v>
      </c>
      <c r="AB28" s="370">
        <v>22341197</v>
      </c>
      <c r="AC28" s="370">
        <v>9698819</v>
      </c>
      <c r="AD28" s="370">
        <v>48177035</v>
      </c>
      <c r="AE28" s="370">
        <v>70518232</v>
      </c>
      <c r="AF28" s="370">
        <v>15332535</v>
      </c>
      <c r="AG28" s="370">
        <v>12120184</v>
      </c>
      <c r="AH28" s="370">
        <v>0</v>
      </c>
      <c r="AI28" s="370">
        <v>-9455659</v>
      </c>
      <c r="AJ28" s="370">
        <v>13259642</v>
      </c>
      <c r="AK28" s="370">
        <v>18322654</v>
      </c>
      <c r="AL28" s="370">
        <v>0</v>
      </c>
      <c r="AM28" s="370">
        <v>17530496</v>
      </c>
      <c r="AN28" s="370">
        <v>111219458</v>
      </c>
      <c r="AO28" s="370">
        <v>15984501</v>
      </c>
      <c r="AP28" s="370">
        <v>24896372</v>
      </c>
      <c r="AQ28" s="370">
        <v>187953481</v>
      </c>
      <c r="AR28" s="370">
        <v>97846516</v>
      </c>
      <c r="AS28" s="370">
        <v>89703530</v>
      </c>
      <c r="AT28" s="370">
        <v>0</v>
      </c>
      <c r="AU28" s="371">
        <v>0.15594106487757967</v>
      </c>
      <c r="AV28" s="371">
        <v>0.21655350387376268</v>
      </c>
      <c r="AW28" s="371">
        <v>0.7139496461181154</v>
      </c>
      <c r="AX28" s="371">
        <v>0.71721265866108985</v>
      </c>
      <c r="AY28" s="371">
        <v>9.8642798657554168E-2</v>
      </c>
      <c r="AZ28" s="371">
        <v>2.1772976080238843E-2</v>
      </c>
      <c r="BA28" s="371">
        <v>1.4187745360282835E-2</v>
      </c>
    </row>
    <row r="29" spans="1:53" ht="15.4" x14ac:dyDescent="0.45">
      <c r="A29" s="334" t="s">
        <v>41</v>
      </c>
      <c r="B29" s="370">
        <v>460388</v>
      </c>
      <c r="C29" s="370">
        <v>3130839</v>
      </c>
      <c r="D29" s="370">
        <v>25995133</v>
      </c>
      <c r="E29" s="370">
        <v>2809110</v>
      </c>
      <c r="F29" s="370">
        <v>5029</v>
      </c>
      <c r="G29" s="370">
        <v>5755552</v>
      </c>
      <c r="H29" s="370">
        <v>1182551</v>
      </c>
      <c r="I29" s="370">
        <v>0</v>
      </c>
      <c r="J29" s="370">
        <v>1016517</v>
      </c>
      <c r="K29" s="370">
        <v>59218</v>
      </c>
      <c r="L29" s="370">
        <v>343016</v>
      </c>
      <c r="M29" s="370">
        <v>0</v>
      </c>
      <c r="N29" s="370">
        <v>180909</v>
      </c>
      <c r="O29" s="370">
        <v>0</v>
      </c>
      <c r="P29" s="370">
        <v>537086</v>
      </c>
      <c r="Q29" s="370">
        <v>510276</v>
      </c>
      <c r="R29" s="370">
        <v>88365</v>
      </c>
      <c r="S29" s="370">
        <v>0</v>
      </c>
      <c r="T29" s="370">
        <v>0</v>
      </c>
      <c r="U29" s="370">
        <v>0</v>
      </c>
      <c r="V29" s="370">
        <v>0</v>
      </c>
      <c r="W29" s="370">
        <v>0</v>
      </c>
      <c r="X29" s="370">
        <v>0</v>
      </c>
      <c r="Y29" s="370">
        <v>42073989</v>
      </c>
      <c r="Z29" s="370">
        <v>31714746</v>
      </c>
      <c r="AA29" s="370">
        <v>10359243</v>
      </c>
      <c r="AB29" s="370">
        <v>21569304</v>
      </c>
      <c r="AC29" s="370">
        <v>20454806</v>
      </c>
      <c r="AD29" s="370">
        <v>10145442</v>
      </c>
      <c r="AE29" s="370">
        <v>31714746</v>
      </c>
      <c r="AF29" s="370">
        <v>5858425</v>
      </c>
      <c r="AG29" s="370">
        <v>10578008</v>
      </c>
      <c r="AH29" s="370">
        <v>14185</v>
      </c>
      <c r="AI29" s="370">
        <v>-19452579</v>
      </c>
      <c r="AJ29" s="370">
        <v>-3001961</v>
      </c>
      <c r="AK29" s="370">
        <v>2787917</v>
      </c>
      <c r="AL29" s="370">
        <v>0</v>
      </c>
      <c r="AM29" s="370">
        <v>6878920</v>
      </c>
      <c r="AN29" s="370">
        <v>98506834</v>
      </c>
      <c r="AO29" s="370">
        <v>24178264</v>
      </c>
      <c r="AP29" s="370">
        <v>4677839</v>
      </c>
      <c r="AQ29" s="370">
        <v>137567633</v>
      </c>
      <c r="AR29" s="370">
        <v>55133712</v>
      </c>
      <c r="AS29" s="370">
        <v>45226662</v>
      </c>
      <c r="AT29" s="370">
        <v>0</v>
      </c>
      <c r="AU29" s="371">
        <v>0.13924101658152738</v>
      </c>
      <c r="AV29" s="371">
        <v>0.5407211587192936</v>
      </c>
      <c r="AW29" s="371">
        <v>0.87816566110817185</v>
      </c>
      <c r="AX29" s="371">
        <v>0.75378509986300557</v>
      </c>
      <c r="AY29" s="371">
        <v>0.48616274534843845</v>
      </c>
      <c r="AZ29" s="371">
        <v>9.3170411874193854E-3</v>
      </c>
      <c r="BA29" s="371">
        <v>5.4210110795321819E-3</v>
      </c>
    </row>
    <row r="30" spans="1:53" ht="15.4" x14ac:dyDescent="0.45">
      <c r="A30" s="334" t="s">
        <v>42</v>
      </c>
      <c r="B30" s="370">
        <v>5576906</v>
      </c>
      <c r="C30" s="370">
        <v>35725811</v>
      </c>
      <c r="D30" s="370">
        <v>185606712</v>
      </c>
      <c r="E30" s="370">
        <v>29292174</v>
      </c>
      <c r="F30" s="370">
        <v>433747</v>
      </c>
      <c r="G30" s="370">
        <v>0</v>
      </c>
      <c r="H30" s="370">
        <v>3834374</v>
      </c>
      <c r="I30" s="370">
        <v>969654</v>
      </c>
      <c r="J30" s="370">
        <v>4189048</v>
      </c>
      <c r="K30" s="370">
        <v>3126565</v>
      </c>
      <c r="L30" s="370">
        <v>27819</v>
      </c>
      <c r="M30" s="370">
        <v>16832307</v>
      </c>
      <c r="N30" s="370">
        <v>1583060</v>
      </c>
      <c r="O30" s="370">
        <v>10415899</v>
      </c>
      <c r="P30" s="370">
        <v>11702723</v>
      </c>
      <c r="Q30" s="370">
        <v>4035727</v>
      </c>
      <c r="R30" s="370">
        <v>39960</v>
      </c>
      <c r="S30" s="370">
        <v>0</v>
      </c>
      <c r="T30" s="370">
        <v>0</v>
      </c>
      <c r="U30" s="370">
        <v>0</v>
      </c>
      <c r="V30" s="370">
        <v>0</v>
      </c>
      <c r="W30" s="370">
        <v>1142596</v>
      </c>
      <c r="X30" s="370">
        <v>217359</v>
      </c>
      <c r="Y30" s="370">
        <v>314752441</v>
      </c>
      <c r="Z30" s="370">
        <v>156756276</v>
      </c>
      <c r="AA30" s="370">
        <v>157996165</v>
      </c>
      <c r="AB30" s="370">
        <v>105428734</v>
      </c>
      <c r="AC30" s="370">
        <v>78266328</v>
      </c>
      <c r="AD30" s="370">
        <v>51327542</v>
      </c>
      <c r="AE30" s="370">
        <v>156756276</v>
      </c>
      <c r="AF30" s="370">
        <v>116619609</v>
      </c>
      <c r="AG30" s="370">
        <v>4550665</v>
      </c>
      <c r="AH30" s="370">
        <v>0</v>
      </c>
      <c r="AI30" s="370">
        <v>-77891052</v>
      </c>
      <c r="AJ30" s="370">
        <v>30295457</v>
      </c>
      <c r="AK30" s="370">
        <v>62005350</v>
      </c>
      <c r="AL30" s="370">
        <v>0</v>
      </c>
      <c r="AM30" s="370">
        <v>36393192</v>
      </c>
      <c r="AN30" s="370">
        <v>209558577</v>
      </c>
      <c r="AO30" s="370">
        <v>118301951</v>
      </c>
      <c r="AP30" s="370">
        <v>49405300</v>
      </c>
      <c r="AQ30" s="370">
        <v>475664370</v>
      </c>
      <c r="AR30" s="370">
        <v>280452306</v>
      </c>
      <c r="AS30" s="370">
        <v>152483990</v>
      </c>
      <c r="AT30" s="370">
        <v>0</v>
      </c>
      <c r="AU30" s="371">
        <v>0.37051216705258211</v>
      </c>
      <c r="AV30" s="371">
        <v>0.33722548465582108</v>
      </c>
      <c r="AW30" s="371">
        <v>0.51141989530281784</v>
      </c>
      <c r="AX30" s="371">
        <v>0.49803037429025054</v>
      </c>
      <c r="AY30" s="371">
        <v>0.24865995558712761</v>
      </c>
      <c r="AZ30" s="371">
        <v>6.970010513236076E-2</v>
      </c>
      <c r="BA30" s="371">
        <v>0.10791231303289041</v>
      </c>
    </row>
    <row r="31" spans="1:53" ht="15.4" x14ac:dyDescent="0.45">
      <c r="A31" s="334" t="s">
        <v>242</v>
      </c>
      <c r="B31" s="408">
        <v>56695081.230000004</v>
      </c>
      <c r="C31" s="408">
        <v>1382993013.5999999</v>
      </c>
      <c r="D31" s="408">
        <v>1452093816.8</v>
      </c>
      <c r="E31" s="408">
        <v>324916154.10000002</v>
      </c>
      <c r="F31" s="408">
        <v>11240094.789999999</v>
      </c>
      <c r="G31" s="408">
        <v>82696160</v>
      </c>
      <c r="H31" s="408">
        <v>124730097.47</v>
      </c>
      <c r="I31" s="408">
        <v>34033894.25</v>
      </c>
      <c r="J31" s="408">
        <v>20920377.789999999</v>
      </c>
      <c r="K31" s="408">
        <v>55995183.049999997</v>
      </c>
      <c r="L31" s="408">
        <v>25991972.030000001</v>
      </c>
      <c r="M31" s="408">
        <v>173266908.68000001</v>
      </c>
      <c r="N31" s="408">
        <v>87270677.079999998</v>
      </c>
      <c r="O31" s="408">
        <v>119102921.94</v>
      </c>
      <c r="P31" s="408">
        <v>256734772.43000001</v>
      </c>
      <c r="Q31" s="408">
        <v>194393300.15000001</v>
      </c>
      <c r="R31" s="408">
        <v>55741471.060000002</v>
      </c>
      <c r="S31" s="408">
        <v>30627203.140000001</v>
      </c>
      <c r="T31" s="408">
        <v>1794232</v>
      </c>
      <c r="U31" s="408">
        <v>255797</v>
      </c>
      <c r="V31" s="408">
        <v>0</v>
      </c>
      <c r="W31" s="408">
        <v>1142596</v>
      </c>
      <c r="X31" s="408">
        <v>217359</v>
      </c>
      <c r="Y31" s="408">
        <v>4515810132.6000004</v>
      </c>
      <c r="Z31" s="408">
        <v>2724573943.1100001</v>
      </c>
      <c r="AA31" s="408">
        <v>1791236189.55</v>
      </c>
      <c r="AB31" s="408">
        <v>1866849549.74</v>
      </c>
      <c r="AC31" s="408">
        <v>892773206.86000001</v>
      </c>
      <c r="AD31" s="408">
        <v>817308937.33000004</v>
      </c>
      <c r="AE31" s="408">
        <v>2724573943.1100001</v>
      </c>
      <c r="AF31" s="408">
        <v>1080688623.22</v>
      </c>
      <c r="AG31" s="408">
        <v>249159328.27200001</v>
      </c>
      <c r="AH31" s="408">
        <v>-5596156.790000001</v>
      </c>
      <c r="AI31" s="408">
        <v>-859536171.37</v>
      </c>
      <c r="AJ31" s="408">
        <v>302851153.09200001</v>
      </c>
      <c r="AK31" s="408">
        <v>929235918.22000003</v>
      </c>
      <c r="AL31" s="408">
        <v>326543877</v>
      </c>
      <c r="AM31" s="408">
        <v>1629504571.29</v>
      </c>
      <c r="AN31" s="408">
        <v>4430723310.0900002</v>
      </c>
      <c r="AO31" s="408">
        <v>813401327.60000002</v>
      </c>
      <c r="AP31" s="408">
        <v>794748398.58116663</v>
      </c>
      <c r="AQ31" s="408">
        <v>8989997742.5</v>
      </c>
      <c r="AR31" s="408">
        <v>4982661940.6999998</v>
      </c>
      <c r="AS31" s="408">
        <v>3550775623.0999999</v>
      </c>
      <c r="AT31" s="408">
        <v>285500840</v>
      </c>
      <c r="AU31" s="409">
        <v>0.30105335999642358</v>
      </c>
      <c r="AV31" s="409">
        <v>0.29573128995444914</v>
      </c>
      <c r="AW31" s="409">
        <v>0.67299709712518863</v>
      </c>
      <c r="AX31" s="410">
        <v>0.59347915694706221</v>
      </c>
      <c r="AY31" s="410">
        <v>0.28985662370537907</v>
      </c>
      <c r="AZ31" s="411">
        <v>1</v>
      </c>
      <c r="BA31" s="411">
        <v>0.99999999999999989</v>
      </c>
    </row>
  </sheetData>
  <mergeCells count="1">
    <mergeCell ref="Z1:BA1"/>
  </mergeCells>
  <dataValidations count="1">
    <dataValidation type="list" allowBlank="1" showInputMessage="1" showErrorMessage="1" sqref="A3" xr:uid="{2C0956DD-B3BD-4AF0-A8C8-5ED9BC2C567A}">
      <formula1>$A$6:$A$30</formula1>
    </dataValidation>
  </dataValidations>
  <pageMargins left="0.7" right="0.7" top="0.75" bottom="0.75" header="0.3" footer="0.3"/>
  <legacyDrawing r:id="rId1"/>
</worksheet>
</file>

<file path=xl/worksheets/sheet5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0DDC6E-7FF8-4140-B8C4-6BFFAC9AED99}">
  <dimension ref="A1:BA31"/>
  <sheetViews>
    <sheetView tabSelected="1" workbookViewId="0">
      <selection activeCell="B1" sqref="B1"/>
    </sheetView>
  </sheetViews>
  <sheetFormatPr defaultRowHeight="12.75" x14ac:dyDescent="0.35"/>
  <cols>
    <col min="1" max="1" width="49.1328125" bestFit="1" customWidth="1"/>
    <col min="2" max="2" width="34.1328125" customWidth="1"/>
    <col min="3" max="3" width="37" bestFit="1" customWidth="1"/>
    <col min="4" max="4" width="21.59765625" bestFit="1" customWidth="1"/>
    <col min="5" max="5" width="17.86328125" bestFit="1" customWidth="1"/>
    <col min="6" max="6" width="30.86328125" bestFit="1" customWidth="1"/>
    <col min="7" max="7" width="15.3984375" bestFit="1" customWidth="1"/>
    <col min="8" max="8" width="24.59765625" bestFit="1" customWidth="1"/>
    <col min="9" max="9" width="31.86328125" bestFit="1" customWidth="1"/>
    <col min="10" max="10" width="16.1328125" bestFit="1" customWidth="1"/>
    <col min="11" max="11" width="44" bestFit="1" customWidth="1"/>
    <col min="12" max="12" width="18.265625" bestFit="1" customWidth="1"/>
    <col min="13" max="13" width="16.73046875" bestFit="1" customWidth="1"/>
    <col min="14" max="14" width="20.265625" bestFit="1" customWidth="1"/>
    <col min="15" max="15" width="19.265625" bestFit="1" customWidth="1"/>
    <col min="16" max="17" width="16" bestFit="1" customWidth="1"/>
    <col min="18" max="19" width="15.3984375" bestFit="1" customWidth="1"/>
    <col min="20" max="20" width="20" bestFit="1" customWidth="1"/>
    <col min="21" max="21" width="16.59765625" bestFit="1" customWidth="1"/>
    <col min="22" max="22" width="25.1328125" bestFit="1" customWidth="1"/>
    <col min="23" max="23" width="14.265625" bestFit="1" customWidth="1"/>
    <col min="24" max="24" width="15.1328125" bestFit="1" customWidth="1"/>
    <col min="25" max="25" width="17.86328125" bestFit="1" customWidth="1"/>
    <col min="26" max="26" width="18.3984375" bestFit="1" customWidth="1"/>
    <col min="27" max="27" width="18.73046875" bestFit="1" customWidth="1"/>
    <col min="28" max="28" width="18.1328125" bestFit="1" customWidth="1"/>
    <col min="29" max="30" width="16.59765625" bestFit="1" customWidth="1"/>
    <col min="31" max="31" width="18.3984375" bestFit="1" customWidth="1"/>
    <col min="32" max="32" width="16.59765625" bestFit="1" customWidth="1"/>
    <col min="33" max="33" width="16.265625" customWidth="1"/>
    <col min="34" max="34" width="17.59765625" bestFit="1" customWidth="1"/>
    <col min="35" max="35" width="19" bestFit="1" customWidth="1"/>
    <col min="36" max="36" width="16.265625" customWidth="1"/>
    <col min="37" max="38" width="16.59765625" bestFit="1" customWidth="1"/>
    <col min="39" max="39" width="18.1328125" bestFit="1" customWidth="1"/>
    <col min="40" max="40" width="17.86328125" bestFit="1" customWidth="1"/>
    <col min="41" max="42" width="16.59765625" bestFit="1" customWidth="1"/>
    <col min="43" max="43" width="18.3984375" bestFit="1" customWidth="1"/>
    <col min="44" max="44" width="17.86328125" bestFit="1" customWidth="1"/>
    <col min="45" max="45" width="17.265625" bestFit="1" customWidth="1"/>
    <col min="46" max="46" width="16.59765625" bestFit="1" customWidth="1"/>
    <col min="47" max="47" width="15.86328125" bestFit="1" customWidth="1"/>
    <col min="48" max="48" width="13.1328125" bestFit="1" customWidth="1"/>
    <col min="49" max="51" width="15" bestFit="1" customWidth="1"/>
    <col min="52" max="52" width="13.86328125" bestFit="1" customWidth="1"/>
    <col min="53" max="53" width="16.265625" customWidth="1"/>
  </cols>
  <sheetData>
    <row r="1" spans="1:53" ht="23.25" x14ac:dyDescent="0.7">
      <c r="A1" s="351" t="s">
        <v>246</v>
      </c>
      <c r="B1" s="351" t="s">
        <v>92</v>
      </c>
      <c r="C1" s="351"/>
      <c r="D1" s="351"/>
      <c r="E1" s="351"/>
      <c r="F1" s="351"/>
      <c r="G1" s="351"/>
      <c r="H1" s="351"/>
      <c r="I1" s="351"/>
      <c r="J1" s="351"/>
      <c r="K1" s="351"/>
      <c r="L1" s="351"/>
      <c r="M1" s="351"/>
      <c r="N1" s="351"/>
      <c r="O1" s="351"/>
      <c r="P1" s="351"/>
      <c r="Q1" s="351"/>
      <c r="R1" s="351"/>
      <c r="S1" s="351"/>
      <c r="T1" s="351"/>
      <c r="U1" s="351"/>
      <c r="V1" s="351"/>
      <c r="W1" s="351"/>
      <c r="X1" s="351"/>
      <c r="Y1" s="351"/>
      <c r="Z1" s="413"/>
      <c r="AA1" s="413"/>
      <c r="AB1" s="413"/>
      <c r="AC1" s="413"/>
      <c r="AD1" s="413"/>
      <c r="AE1" s="413"/>
      <c r="AF1" s="413"/>
      <c r="AG1" s="413"/>
      <c r="AH1" s="413"/>
      <c r="AI1" s="413"/>
      <c r="AJ1" s="413"/>
      <c r="AK1" s="413"/>
      <c r="AL1" s="413"/>
      <c r="AM1" s="413"/>
      <c r="AN1" s="413"/>
      <c r="AO1" s="413"/>
      <c r="AP1" s="413"/>
      <c r="AQ1" s="413"/>
      <c r="AR1" s="413"/>
      <c r="AS1" s="413"/>
      <c r="AT1" s="413"/>
      <c r="AU1" s="413"/>
      <c r="AV1" s="413"/>
      <c r="AW1" s="413"/>
      <c r="AX1" s="413"/>
      <c r="AY1" s="413"/>
      <c r="AZ1" s="413"/>
      <c r="BA1" s="413"/>
    </row>
    <row r="2" spans="1:53" ht="42.75" x14ac:dyDescent="0.35">
      <c r="A2" s="350"/>
      <c r="B2" s="412" t="str">
        <f>B5</f>
        <v>Fire, Theft and property  (Private)</v>
      </c>
      <c r="C2" s="412" t="str">
        <f t="shared" ref="C2:BA2" si="0">C5</f>
        <v>Fire, Theft and property  (Commercial)</v>
      </c>
      <c r="D2" s="412" t="str">
        <f t="shared" si="0"/>
        <v>Motor Comprehensive</v>
      </c>
      <c r="E2" s="412" t="str">
        <f t="shared" si="0"/>
        <v>Motor Third Party</v>
      </c>
      <c r="F2" s="412" t="str">
        <f t="shared" si="0"/>
        <v>Motor Third Party, Fire &amp; Theft</v>
      </c>
      <c r="G2" s="412" t="str">
        <f t="shared" si="0"/>
        <v>Motor Others</v>
      </c>
      <c r="H2" s="412" t="str">
        <f t="shared" si="0"/>
        <v>Accident- Public Liability</v>
      </c>
      <c r="I2" s="412" t="str">
        <f t="shared" si="0"/>
        <v>Accident- Professional Indemnity</v>
      </c>
      <c r="J2" s="412" t="str">
        <f t="shared" si="0"/>
        <v>Accident- Travel</v>
      </c>
      <c r="K2" s="412" t="str">
        <f t="shared" si="0"/>
        <v>Workmen Compensation/ Employers Liability</v>
      </c>
      <c r="L2" s="412" t="str">
        <f t="shared" si="0"/>
        <v>Accident- Personal</v>
      </c>
      <c r="M2" s="412" t="str">
        <f t="shared" si="0"/>
        <v>Accident- Others</v>
      </c>
      <c r="N2" s="412" t="str">
        <f t="shared" si="0"/>
        <v>Engineering-All Risk</v>
      </c>
      <c r="O2" s="412" t="str">
        <f t="shared" si="0"/>
        <v>Engineering Others</v>
      </c>
      <c r="P2" s="412" t="str">
        <f t="shared" si="0"/>
        <v>Bonds</v>
      </c>
      <c r="Q2" s="412" t="str">
        <f t="shared" si="0"/>
        <v>Marine Cargo</v>
      </c>
      <c r="R2" s="412" t="str">
        <f t="shared" si="0"/>
        <v>Marine Hull</v>
      </c>
      <c r="S2" s="412" t="str">
        <f t="shared" si="0"/>
        <v>Aviation</v>
      </c>
      <c r="T2" s="412" t="str">
        <f t="shared" si="0"/>
        <v>Agric Weather Index</v>
      </c>
      <c r="U2" s="412" t="str">
        <f t="shared" si="0"/>
        <v>Agric Area Index</v>
      </c>
      <c r="V2" s="412" t="str">
        <f t="shared" si="0"/>
        <v>Agric Poultry &amp; Livestock</v>
      </c>
      <c r="W2" s="412" t="str">
        <f t="shared" si="0"/>
        <v>Agric Others</v>
      </c>
      <c r="X2" s="412" t="str">
        <f t="shared" si="0"/>
        <v>Microinsurance</v>
      </c>
      <c r="Y2" s="412" t="str">
        <f t="shared" si="0"/>
        <v>Insurance revenue</v>
      </c>
      <c r="Z2" s="412" t="str">
        <f t="shared" si="0"/>
        <v>Insurance services expenses</v>
      </c>
      <c r="AA2" s="412" t="str">
        <f t="shared" si="0"/>
        <v>Insurance service result from insurance contracts issued</v>
      </c>
      <c r="AB2" s="412" t="str">
        <f t="shared" si="0"/>
        <v>Total Incurred Claims</v>
      </c>
      <c r="AC2" s="412" t="str">
        <f t="shared" si="0"/>
        <v>Non-Attributable Expenses</v>
      </c>
      <c r="AD2" s="412" t="str">
        <f t="shared" si="0"/>
        <v>Acquisition Cashflow</v>
      </c>
      <c r="AE2" s="412" t="str">
        <f t="shared" si="0"/>
        <v>Total Attributable Expenses</v>
      </c>
      <c r="AF2" s="412" t="str">
        <f t="shared" si="0"/>
        <v>Insurance service result</v>
      </c>
      <c r="AG2" s="412" t="str">
        <f t="shared" si="0"/>
        <v>Net investment income</v>
      </c>
      <c r="AH2" s="412" t="str">
        <f t="shared" si="0"/>
        <v>Total insurance finance income or expenses</v>
      </c>
      <c r="AI2" s="412" t="str">
        <f t="shared" si="0"/>
        <v>Total other income and expenses</v>
      </c>
      <c r="AJ2" s="412" t="str">
        <f t="shared" si="0"/>
        <v>Profit for the year</v>
      </c>
      <c r="AK2" s="412" t="str">
        <f t="shared" si="0"/>
        <v>Cash  and cash equivalents</v>
      </c>
      <c r="AL2" s="412" t="str">
        <f t="shared" si="0"/>
        <v>Insurance contract assets</v>
      </c>
      <c r="AM2" s="412" t="str">
        <f t="shared" si="0"/>
        <v>Reinsurance contract assets</v>
      </c>
      <c r="AN2" s="412" t="str">
        <f t="shared" si="0"/>
        <v>Total Investments</v>
      </c>
      <c r="AO2" s="412" t="str">
        <f t="shared" si="0"/>
        <v>Total Receivables</v>
      </c>
      <c r="AP2" s="412" t="str">
        <f t="shared" si="0"/>
        <v>Total Property, Plant &amp; Equipment</v>
      </c>
      <c r="AQ2" s="412" t="str">
        <f t="shared" si="0"/>
        <v>Total Assets</v>
      </c>
      <c r="AR2" s="412" t="str">
        <f t="shared" si="0"/>
        <v>Total Liabilities</v>
      </c>
      <c r="AS2" s="412" t="str">
        <f t="shared" si="0"/>
        <v>Insurance contract liabilities</v>
      </c>
      <c r="AT2" s="412" t="str">
        <f t="shared" si="0"/>
        <v>Reinsurance contract liabilities</v>
      </c>
      <c r="AU2" s="412" t="str">
        <f t="shared" si="0"/>
        <v>Technical Results Margin</v>
      </c>
      <c r="AV2" s="412" t="str">
        <f t="shared" si="0"/>
        <v>Claims Ratio</v>
      </c>
      <c r="AW2" s="412" t="str">
        <f t="shared" si="0"/>
        <v>Expense Ratio</v>
      </c>
      <c r="AX2" s="412" t="str">
        <f t="shared" si="0"/>
        <v>Attributable Expense Ratio</v>
      </c>
      <c r="AY2" s="412" t="str">
        <f t="shared" si="0"/>
        <v>Non-attributable Expense Ratio</v>
      </c>
      <c r="AZ2" s="412" t="str">
        <f t="shared" si="0"/>
        <v>Market Share</v>
      </c>
      <c r="BA2" s="412" t="str">
        <f t="shared" si="0"/>
        <v>Share of Insurance Service Results</v>
      </c>
    </row>
    <row r="3" spans="1:53" ht="15.4" x14ac:dyDescent="0.45">
      <c r="A3" s="346" t="s">
        <v>42</v>
      </c>
      <c r="B3" s="345">
        <f>INDEX(B4:B30,MATCH($A$3,$A$4:$A$30,0))</f>
        <v>5451118</v>
      </c>
      <c r="C3" s="345">
        <f t="shared" ref="C3:BA3" si="1">INDEX(C4:C30,MATCH($A$3,$A$4:$A$30,0))</f>
        <v>49300933</v>
      </c>
      <c r="D3" s="345">
        <f t="shared" si="1"/>
        <v>254388870</v>
      </c>
      <c r="E3" s="345">
        <f t="shared" si="1"/>
        <v>39730512</v>
      </c>
      <c r="F3" s="345">
        <f t="shared" si="1"/>
        <v>593030</v>
      </c>
      <c r="G3" s="345">
        <f t="shared" si="1"/>
        <v>0</v>
      </c>
      <c r="H3" s="345">
        <f t="shared" si="1"/>
        <v>4813362</v>
      </c>
      <c r="I3" s="345">
        <f t="shared" si="1"/>
        <v>1263864</v>
      </c>
      <c r="J3" s="345">
        <f t="shared" si="1"/>
        <v>5217352</v>
      </c>
      <c r="K3" s="345">
        <f t="shared" si="1"/>
        <v>4263897</v>
      </c>
      <c r="L3" s="345">
        <f t="shared" si="1"/>
        <v>37403</v>
      </c>
      <c r="M3" s="345">
        <f t="shared" si="1"/>
        <v>22545911</v>
      </c>
      <c r="N3" s="345">
        <f t="shared" si="1"/>
        <v>2189353</v>
      </c>
      <c r="O3" s="345">
        <f t="shared" si="1"/>
        <v>13326762</v>
      </c>
      <c r="P3" s="345">
        <f t="shared" si="1"/>
        <v>16226900</v>
      </c>
      <c r="Q3" s="345">
        <f t="shared" si="1"/>
        <v>65861</v>
      </c>
      <c r="R3" s="345">
        <f t="shared" si="1"/>
        <v>5885615</v>
      </c>
      <c r="S3" s="345">
        <f t="shared" si="1"/>
        <v>0</v>
      </c>
      <c r="T3" s="345">
        <f t="shared" si="1"/>
        <v>0</v>
      </c>
      <c r="U3" s="345">
        <f t="shared" si="1"/>
        <v>0</v>
      </c>
      <c r="V3" s="345">
        <f t="shared" si="1"/>
        <v>0</v>
      </c>
      <c r="W3" s="345">
        <f t="shared" si="1"/>
        <v>1168402</v>
      </c>
      <c r="X3" s="345">
        <f t="shared" si="1"/>
        <v>0</v>
      </c>
      <c r="Y3" s="345">
        <f t="shared" si="1"/>
        <v>426469145</v>
      </c>
      <c r="Z3" s="345">
        <f t="shared" si="1"/>
        <v>213442636</v>
      </c>
      <c r="AA3" s="345">
        <f t="shared" si="1"/>
        <v>213026509</v>
      </c>
      <c r="AB3" s="345">
        <f t="shared" si="1"/>
        <v>136015502</v>
      </c>
      <c r="AC3" s="345">
        <f t="shared" si="1"/>
        <v>116681593</v>
      </c>
      <c r="AD3" s="345">
        <f t="shared" si="1"/>
        <v>77427134</v>
      </c>
      <c r="AE3" s="345">
        <f t="shared" si="1"/>
        <v>213442636</v>
      </c>
      <c r="AF3" s="345">
        <f t="shared" si="1"/>
        <v>154114173</v>
      </c>
      <c r="AG3" s="345">
        <f t="shared" si="1"/>
        <v>-8602928</v>
      </c>
      <c r="AH3" s="345">
        <f t="shared" si="1"/>
        <v>0</v>
      </c>
      <c r="AI3" s="345">
        <f t="shared" si="1"/>
        <v>-116390771</v>
      </c>
      <c r="AJ3" s="345">
        <f t="shared" si="1"/>
        <v>23120474</v>
      </c>
      <c r="AK3" s="345">
        <f t="shared" si="1"/>
        <v>55132445</v>
      </c>
      <c r="AL3" s="345">
        <f t="shared" si="1"/>
        <v>0</v>
      </c>
      <c r="AM3" s="345">
        <f t="shared" si="1"/>
        <v>40633918</v>
      </c>
      <c r="AN3" s="345">
        <f t="shared" si="1"/>
        <v>192989031</v>
      </c>
      <c r="AO3" s="345">
        <f t="shared" si="1"/>
        <v>105366797</v>
      </c>
      <c r="AP3" s="345">
        <f t="shared" si="1"/>
        <v>49353943</v>
      </c>
      <c r="AQ3" s="345">
        <f t="shared" si="1"/>
        <v>443476134</v>
      </c>
      <c r="AR3" s="345">
        <f t="shared" si="1"/>
        <v>260266653</v>
      </c>
      <c r="AS3" s="345">
        <f t="shared" si="1"/>
        <v>165244301</v>
      </c>
      <c r="AT3" s="345">
        <f t="shared" si="1"/>
        <v>0</v>
      </c>
      <c r="AU3" s="365">
        <f t="shared" si="1"/>
        <v>0.36137238720986486</v>
      </c>
      <c r="AV3" s="365">
        <f t="shared" si="1"/>
        <v>0.32198762822693117</v>
      </c>
      <c r="AW3" s="365">
        <f t="shared" si="1"/>
        <v>0.56840017049364389</v>
      </c>
      <c r="AX3" s="365">
        <f t="shared" si="1"/>
        <v>0.50048787468551803</v>
      </c>
      <c r="AY3" s="365">
        <f t="shared" si="1"/>
        <v>0.27359914396620649</v>
      </c>
      <c r="AZ3" s="365">
        <f t="shared" si="1"/>
        <v>7.2370468570345667E-2</v>
      </c>
      <c r="BA3" s="365">
        <f t="shared" si="1"/>
        <v>0.10281167347840332</v>
      </c>
    </row>
    <row r="5" spans="1:53" ht="42.75" x14ac:dyDescent="0.45">
      <c r="A5" s="344" t="s">
        <v>136</v>
      </c>
      <c r="B5" s="405" t="s">
        <v>203</v>
      </c>
      <c r="C5" s="405" t="s">
        <v>204</v>
      </c>
      <c r="D5" s="405" t="s">
        <v>155</v>
      </c>
      <c r="E5" s="405" t="s">
        <v>156</v>
      </c>
      <c r="F5" s="405" t="s">
        <v>157</v>
      </c>
      <c r="G5" s="405" t="s">
        <v>205</v>
      </c>
      <c r="H5" s="405" t="s">
        <v>159</v>
      </c>
      <c r="I5" s="405" t="s">
        <v>160</v>
      </c>
      <c r="J5" s="405" t="s">
        <v>161</v>
      </c>
      <c r="K5" s="405" t="s">
        <v>206</v>
      </c>
      <c r="L5" s="405" t="s">
        <v>163</v>
      </c>
      <c r="M5" s="405" t="s">
        <v>164</v>
      </c>
      <c r="N5" s="405" t="s">
        <v>207</v>
      </c>
      <c r="O5" s="405" t="s">
        <v>208</v>
      </c>
      <c r="P5" s="405" t="s">
        <v>166</v>
      </c>
      <c r="Q5" s="405" t="s">
        <v>167</v>
      </c>
      <c r="R5" s="405" t="s">
        <v>168</v>
      </c>
      <c r="S5" s="405" t="s">
        <v>169</v>
      </c>
      <c r="T5" s="405" t="s">
        <v>209</v>
      </c>
      <c r="U5" s="405" t="s">
        <v>210</v>
      </c>
      <c r="V5" s="405" t="s">
        <v>172</v>
      </c>
      <c r="W5" s="405" t="s">
        <v>211</v>
      </c>
      <c r="X5" s="405" t="s">
        <v>212</v>
      </c>
      <c r="Y5" s="405" t="s">
        <v>213</v>
      </c>
      <c r="Z5" s="406" t="s">
        <v>214</v>
      </c>
      <c r="AA5" s="406" t="s">
        <v>215</v>
      </c>
      <c r="AB5" s="406" t="s">
        <v>178</v>
      </c>
      <c r="AC5" s="406" t="s">
        <v>179</v>
      </c>
      <c r="AD5" s="406" t="s">
        <v>180</v>
      </c>
      <c r="AE5" s="406" t="s">
        <v>181</v>
      </c>
      <c r="AF5" s="406" t="s">
        <v>216</v>
      </c>
      <c r="AG5" s="406" t="s">
        <v>217</v>
      </c>
      <c r="AH5" s="406" t="s">
        <v>218</v>
      </c>
      <c r="AI5" s="406" t="s">
        <v>219</v>
      </c>
      <c r="AJ5" s="406" t="s">
        <v>220</v>
      </c>
      <c r="AK5" s="406" t="s">
        <v>221</v>
      </c>
      <c r="AL5" s="406" t="s">
        <v>222</v>
      </c>
      <c r="AM5" s="406" t="s">
        <v>223</v>
      </c>
      <c r="AN5" s="406" t="s">
        <v>224</v>
      </c>
      <c r="AO5" s="406" t="s">
        <v>225</v>
      </c>
      <c r="AP5" s="406" t="s">
        <v>226</v>
      </c>
      <c r="AQ5" s="406" t="s">
        <v>9</v>
      </c>
      <c r="AR5" s="406" t="s">
        <v>199</v>
      </c>
      <c r="AS5" s="407" t="s">
        <v>227</v>
      </c>
      <c r="AT5" s="407" t="s">
        <v>228</v>
      </c>
      <c r="AU5" s="407" t="s">
        <v>191</v>
      </c>
      <c r="AV5" s="407" t="s">
        <v>17</v>
      </c>
      <c r="AW5" s="407" t="s">
        <v>18</v>
      </c>
      <c r="AX5" s="407" t="s">
        <v>192</v>
      </c>
      <c r="AY5" s="407" t="s">
        <v>193</v>
      </c>
      <c r="AZ5" s="407" t="s">
        <v>19</v>
      </c>
      <c r="BA5" s="407" t="s">
        <v>200</v>
      </c>
    </row>
    <row r="6" spans="1:53" ht="15.4" x14ac:dyDescent="0.45">
      <c r="A6" s="334" t="s">
        <v>229</v>
      </c>
      <c r="B6" s="370">
        <v>722631</v>
      </c>
      <c r="C6" s="370">
        <v>95633189</v>
      </c>
      <c r="D6" s="370">
        <v>22530819</v>
      </c>
      <c r="E6" s="370">
        <v>3788067</v>
      </c>
      <c r="F6" s="370">
        <v>308979</v>
      </c>
      <c r="G6" s="370">
        <v>0</v>
      </c>
      <c r="H6" s="370">
        <v>12802391</v>
      </c>
      <c r="I6" s="370">
        <v>717447</v>
      </c>
      <c r="J6" s="370">
        <v>340120</v>
      </c>
      <c r="K6" s="370">
        <v>1798327</v>
      </c>
      <c r="L6" s="370">
        <v>1001154</v>
      </c>
      <c r="M6" s="370">
        <v>11590077</v>
      </c>
      <c r="N6" s="370">
        <v>-1098375</v>
      </c>
      <c r="O6" s="370">
        <v>1661115</v>
      </c>
      <c r="P6" s="370">
        <v>1162684</v>
      </c>
      <c r="Q6" s="370">
        <v>13468133</v>
      </c>
      <c r="R6" s="370">
        <v>0</v>
      </c>
      <c r="S6" s="370">
        <v>0</v>
      </c>
      <c r="T6" s="370">
        <v>0</v>
      </c>
      <c r="U6" s="370">
        <v>0</v>
      </c>
      <c r="V6" s="370">
        <v>0</v>
      </c>
      <c r="W6" s="370">
        <v>0</v>
      </c>
      <c r="X6" s="370">
        <v>0</v>
      </c>
      <c r="Y6" s="370">
        <v>166426758</v>
      </c>
      <c r="Z6" s="370">
        <v>46710394</v>
      </c>
      <c r="AA6" s="370">
        <v>119716364</v>
      </c>
      <c r="AB6" s="370">
        <v>32129990</v>
      </c>
      <c r="AC6" s="370">
        <v>43791490.369999997</v>
      </c>
      <c r="AD6" s="370">
        <v>14580404</v>
      </c>
      <c r="AE6" s="370">
        <v>46710394</v>
      </c>
      <c r="AF6" s="370">
        <v>34223510</v>
      </c>
      <c r="AG6" s="370">
        <v>7712535</v>
      </c>
      <c r="AH6" s="370">
        <v>-551462.727636297</v>
      </c>
      <c r="AI6" s="370">
        <v>-43177698.909999996</v>
      </c>
      <c r="AJ6" s="370">
        <v>-1793116.6376362899</v>
      </c>
      <c r="AK6" s="370">
        <v>100228168.33</v>
      </c>
      <c r="AL6" s="370">
        <v>0</v>
      </c>
      <c r="AM6" s="370">
        <v>137887073</v>
      </c>
      <c r="AN6" s="370">
        <v>68232095.699999899</v>
      </c>
      <c r="AO6" s="370">
        <v>11472676.7199999</v>
      </c>
      <c r="AP6" s="370">
        <v>51525162.460000001</v>
      </c>
      <c r="AQ6" s="370">
        <v>369669140</v>
      </c>
      <c r="AR6" s="370">
        <v>283391615.41763628</v>
      </c>
      <c r="AS6" s="370">
        <v>243563254</v>
      </c>
      <c r="AT6" s="370">
        <v>0</v>
      </c>
      <c r="AU6" s="371">
        <v>0.20563706468403356</v>
      </c>
      <c r="AV6" s="371">
        <v>0.2911871991935519</v>
      </c>
      <c r="AW6" s="371">
        <v>0.8477751587050546</v>
      </c>
      <c r="AX6" s="371">
        <v>0.28066636976729425</v>
      </c>
      <c r="AY6" s="371">
        <v>0.26312770191677948</v>
      </c>
      <c r="AZ6" s="371">
        <v>2.8242095824080132E-2</v>
      </c>
      <c r="BA6" s="371">
        <v>2.2830971784826508E-2</v>
      </c>
    </row>
    <row r="7" spans="1:53" ht="15.4" x14ac:dyDescent="0.45">
      <c r="A7" s="334" t="s">
        <v>87</v>
      </c>
      <c r="B7" s="370">
        <v>75785</v>
      </c>
      <c r="C7" s="370">
        <v>253782</v>
      </c>
      <c r="D7" s="370">
        <v>3614300</v>
      </c>
      <c r="E7" s="370">
        <v>8385727</v>
      </c>
      <c r="F7" s="370">
        <v>5101</v>
      </c>
      <c r="G7" s="370">
        <v>0</v>
      </c>
      <c r="H7" s="370">
        <v>11849</v>
      </c>
      <c r="I7" s="370">
        <v>15077</v>
      </c>
      <c r="J7" s="370">
        <v>0</v>
      </c>
      <c r="K7" s="370">
        <v>10416</v>
      </c>
      <c r="L7" s="370">
        <v>8423</v>
      </c>
      <c r="M7" s="370">
        <v>46103</v>
      </c>
      <c r="N7" s="370">
        <v>3650</v>
      </c>
      <c r="O7" s="370">
        <v>9470</v>
      </c>
      <c r="P7" s="370">
        <v>103069</v>
      </c>
      <c r="Q7" s="370">
        <v>1974</v>
      </c>
      <c r="R7" s="370">
        <v>0</v>
      </c>
      <c r="S7" s="370">
        <v>0</v>
      </c>
      <c r="T7" s="370">
        <v>0</v>
      </c>
      <c r="U7" s="370">
        <v>0</v>
      </c>
      <c r="V7" s="370">
        <v>0</v>
      </c>
      <c r="W7" s="370">
        <v>0</v>
      </c>
      <c r="X7" s="370">
        <v>0</v>
      </c>
      <c r="Y7" s="370">
        <v>12544726</v>
      </c>
      <c r="Z7" s="370">
        <v>9381139</v>
      </c>
      <c r="AA7" s="370">
        <v>3163587</v>
      </c>
      <c r="AB7" s="370">
        <v>3103196</v>
      </c>
      <c r="AC7" s="370">
        <v>5978808</v>
      </c>
      <c r="AD7" s="370">
        <v>6277943</v>
      </c>
      <c r="AE7" s="370">
        <v>9381139</v>
      </c>
      <c r="AF7" s="370">
        <v>1303636</v>
      </c>
      <c r="AG7" s="370">
        <v>3348301</v>
      </c>
      <c r="AH7" s="370">
        <v>0</v>
      </c>
      <c r="AI7" s="370">
        <v>-5912431</v>
      </c>
      <c r="AJ7" s="370">
        <v>-1260494</v>
      </c>
      <c r="AK7" s="370">
        <v>-247991</v>
      </c>
      <c r="AL7" s="370">
        <v>0</v>
      </c>
      <c r="AM7" s="370">
        <v>768033</v>
      </c>
      <c r="AN7" s="370">
        <v>24206086</v>
      </c>
      <c r="AO7" s="370">
        <v>33420298</v>
      </c>
      <c r="AP7" s="370">
        <v>9007927</v>
      </c>
      <c r="AQ7" s="370">
        <v>67154353</v>
      </c>
      <c r="AR7" s="370">
        <v>12475610</v>
      </c>
      <c r="AS7" s="370">
        <v>9009588</v>
      </c>
      <c r="AT7" s="370">
        <v>0</v>
      </c>
      <c r="AU7" s="371">
        <v>0.10391904932798054</v>
      </c>
      <c r="AV7" s="371">
        <v>0.29043157202655179</v>
      </c>
      <c r="AW7" s="371">
        <v>1.1471229857437335</v>
      </c>
      <c r="AX7" s="371">
        <v>0.74781537675673426</v>
      </c>
      <c r="AY7" s="371">
        <v>0.47659932947120565</v>
      </c>
      <c r="AZ7" s="371">
        <v>2.1288004287076806E-3</v>
      </c>
      <c r="BA7" s="371">
        <v>8.6967341262436518E-4</v>
      </c>
    </row>
    <row r="8" spans="1:53" ht="15.4" x14ac:dyDescent="0.45">
      <c r="A8" s="334" t="s">
        <v>60</v>
      </c>
      <c r="B8" s="370">
        <v>660494</v>
      </c>
      <c r="C8" s="370">
        <v>0</v>
      </c>
      <c r="D8" s="370">
        <v>12788688</v>
      </c>
      <c r="E8" s="370">
        <v>0</v>
      </c>
      <c r="F8" s="370">
        <v>0</v>
      </c>
      <c r="G8" s="370">
        <v>0</v>
      </c>
      <c r="H8" s="370">
        <v>802259</v>
      </c>
      <c r="I8" s="370">
        <v>0</v>
      </c>
      <c r="J8" s="370">
        <v>24385</v>
      </c>
      <c r="K8" s="370">
        <v>0</v>
      </c>
      <c r="L8" s="370">
        <v>0</v>
      </c>
      <c r="M8" s="370">
        <v>0</v>
      </c>
      <c r="N8" s="370">
        <v>232210</v>
      </c>
      <c r="O8" s="370">
        <v>0</v>
      </c>
      <c r="P8" s="370">
        <v>947036</v>
      </c>
      <c r="Q8" s="370">
        <v>7602</v>
      </c>
      <c r="R8" s="370">
        <v>0</v>
      </c>
      <c r="S8" s="370">
        <v>0</v>
      </c>
      <c r="T8" s="370">
        <v>0</v>
      </c>
      <c r="U8" s="370">
        <v>0</v>
      </c>
      <c r="V8" s="370">
        <v>0</v>
      </c>
      <c r="W8" s="370">
        <v>0</v>
      </c>
      <c r="X8" s="370">
        <v>0</v>
      </c>
      <c r="Y8" s="370">
        <v>15462674</v>
      </c>
      <c r="Z8" s="370">
        <v>8539552</v>
      </c>
      <c r="AA8" s="370">
        <v>6923121.9999999898</v>
      </c>
      <c r="AB8" s="370">
        <v>6837255</v>
      </c>
      <c r="AC8" s="370">
        <v>16495848</v>
      </c>
      <c r="AD8" s="370">
        <v>1702297</v>
      </c>
      <c r="AE8" s="370">
        <v>8539552</v>
      </c>
      <c r="AF8" s="370">
        <v>7634180.9999999898</v>
      </c>
      <c r="AG8" s="370">
        <v>4771254</v>
      </c>
      <c r="AH8" s="370">
        <v>149106</v>
      </c>
      <c r="AI8" s="370">
        <v>-20779874</v>
      </c>
      <c r="AJ8" s="370">
        <v>-8225333</v>
      </c>
      <c r="AK8" s="370">
        <v>405012</v>
      </c>
      <c r="AL8" s="370">
        <v>33350</v>
      </c>
      <c r="AM8" s="370">
        <v>1224462</v>
      </c>
      <c r="AN8" s="370">
        <v>56345614</v>
      </c>
      <c r="AO8" s="370">
        <v>26059880</v>
      </c>
      <c r="AP8" s="370">
        <v>1040312</v>
      </c>
      <c r="AQ8" s="370">
        <v>87166338</v>
      </c>
      <c r="AR8" s="370">
        <v>35668426</v>
      </c>
      <c r="AS8" s="370">
        <v>5095640</v>
      </c>
      <c r="AT8" s="370">
        <v>6078253</v>
      </c>
      <c r="AU8" s="371">
        <v>0.49371674006707961</v>
      </c>
      <c r="AV8" s="371">
        <v>0.26513056173075245</v>
      </c>
      <c r="AW8" s="371">
        <v>1.4323667440433443</v>
      </c>
      <c r="AX8" s="371">
        <v>0.55226877317597201</v>
      </c>
      <c r="AY8" s="371">
        <v>1.0668172917569108</v>
      </c>
      <c r="AZ8" s="371">
        <v>2.6239669993722548E-3</v>
      </c>
      <c r="BA8" s="371">
        <v>5.0928665999267278E-3</v>
      </c>
    </row>
    <row r="9" spans="1:53" ht="15.4" x14ac:dyDescent="0.45">
      <c r="A9" s="334" t="s">
        <v>230</v>
      </c>
      <c r="B9" s="370">
        <v>1004725</v>
      </c>
      <c r="C9" s="370">
        <v>21574126</v>
      </c>
      <c r="D9" s="370">
        <v>53655821</v>
      </c>
      <c r="E9" s="370">
        <v>4687058</v>
      </c>
      <c r="F9" s="370">
        <v>53724</v>
      </c>
      <c r="G9" s="370">
        <v>0</v>
      </c>
      <c r="H9" s="370">
        <v>684866</v>
      </c>
      <c r="I9" s="370">
        <v>278869</v>
      </c>
      <c r="J9" s="370">
        <v>153666</v>
      </c>
      <c r="K9" s="370">
        <v>1270690</v>
      </c>
      <c r="L9" s="370">
        <v>291233</v>
      </c>
      <c r="M9" s="370">
        <v>15440614</v>
      </c>
      <c r="N9" s="370">
        <v>1868426</v>
      </c>
      <c r="O9" s="370">
        <v>3448227</v>
      </c>
      <c r="P9" s="370">
        <v>0</v>
      </c>
      <c r="Q9" s="370">
        <v>1282129</v>
      </c>
      <c r="R9" s="370">
        <v>147497</v>
      </c>
      <c r="S9" s="370">
        <v>0</v>
      </c>
      <c r="T9" s="370">
        <v>0</v>
      </c>
      <c r="U9" s="370">
        <v>0</v>
      </c>
      <c r="V9" s="370">
        <v>0</v>
      </c>
      <c r="W9" s="370">
        <v>0</v>
      </c>
      <c r="X9" s="370">
        <v>0</v>
      </c>
      <c r="Y9" s="370">
        <v>105841671</v>
      </c>
      <c r="Z9" s="370">
        <v>73615071</v>
      </c>
      <c r="AA9" s="370">
        <v>32226600</v>
      </c>
      <c r="AB9" s="370">
        <v>58142592</v>
      </c>
      <c r="AC9" s="370">
        <v>6556823</v>
      </c>
      <c r="AD9" s="370">
        <v>15472479</v>
      </c>
      <c r="AE9" s="370">
        <v>73615071</v>
      </c>
      <c r="AF9" s="370">
        <v>21633473</v>
      </c>
      <c r="AG9" s="370">
        <v>8040337</v>
      </c>
      <c r="AH9" s="370">
        <v>-2018226</v>
      </c>
      <c r="AI9" s="370">
        <v>-16398274</v>
      </c>
      <c r="AJ9" s="370">
        <v>8491607</v>
      </c>
      <c r="AK9" s="370">
        <v>14503904</v>
      </c>
      <c r="AL9" s="370">
        <v>0</v>
      </c>
      <c r="AM9" s="370">
        <v>20790380</v>
      </c>
      <c r="AN9" s="370">
        <v>86467364</v>
      </c>
      <c r="AO9" s="370">
        <v>657406</v>
      </c>
      <c r="AP9" s="370">
        <v>15547923</v>
      </c>
      <c r="AQ9" s="370">
        <v>137966977</v>
      </c>
      <c r="AR9" s="370">
        <v>68416640</v>
      </c>
      <c r="AS9" s="370">
        <v>56141582</v>
      </c>
      <c r="AT9" s="370">
        <v>0</v>
      </c>
      <c r="AU9" s="371">
        <v>0.2043946660668273</v>
      </c>
      <c r="AV9" s="371">
        <v>0.56051962125615817</v>
      </c>
      <c r="AW9" s="371">
        <v>0.26091355873102168</v>
      </c>
      <c r="AX9" s="371">
        <v>0.69552068012985169</v>
      </c>
      <c r="AY9" s="371">
        <v>6.1949352632575123E-2</v>
      </c>
      <c r="AZ9" s="371">
        <v>1.796099768141108E-2</v>
      </c>
      <c r="BA9" s="371">
        <v>1.4431985838705792E-2</v>
      </c>
    </row>
    <row r="10" spans="1:53" ht="15.4" x14ac:dyDescent="0.45">
      <c r="A10" s="334" t="s">
        <v>231</v>
      </c>
      <c r="B10" s="370">
        <v>1002196</v>
      </c>
      <c r="C10" s="370">
        <v>9511923</v>
      </c>
      <c r="D10" s="370">
        <v>39466997</v>
      </c>
      <c r="E10" s="370">
        <v>28080418</v>
      </c>
      <c r="F10" s="370">
        <v>199329</v>
      </c>
      <c r="G10" s="370">
        <v>0</v>
      </c>
      <c r="H10" s="370">
        <v>468652</v>
      </c>
      <c r="I10" s="370">
        <v>230427</v>
      </c>
      <c r="J10" s="370">
        <v>0</v>
      </c>
      <c r="K10" s="370">
        <v>3672793</v>
      </c>
      <c r="L10" s="370">
        <v>28677</v>
      </c>
      <c r="M10" s="370">
        <v>1728559</v>
      </c>
      <c r="N10" s="370">
        <v>859161</v>
      </c>
      <c r="O10" s="370">
        <v>1774368</v>
      </c>
      <c r="P10" s="370">
        <v>4595103</v>
      </c>
      <c r="Q10" s="370">
        <v>139369</v>
      </c>
      <c r="R10" s="370">
        <v>1183592</v>
      </c>
      <c r="S10" s="370">
        <v>0</v>
      </c>
      <c r="T10" s="370">
        <v>0</v>
      </c>
      <c r="U10" s="370">
        <v>0</v>
      </c>
      <c r="V10" s="370">
        <v>0</v>
      </c>
      <c r="W10" s="370">
        <v>0</v>
      </c>
      <c r="X10" s="370">
        <v>0</v>
      </c>
      <c r="Y10" s="370">
        <v>92941564</v>
      </c>
      <c r="Z10" s="370">
        <v>57680076</v>
      </c>
      <c r="AA10" s="370">
        <v>35261488</v>
      </c>
      <c r="AB10" s="370">
        <v>22988884</v>
      </c>
      <c r="AC10" s="370">
        <v>21412135</v>
      </c>
      <c r="AD10" s="370">
        <v>35486706</v>
      </c>
      <c r="AE10" s="370">
        <v>57680076</v>
      </c>
      <c r="AF10" s="370">
        <v>20006878</v>
      </c>
      <c r="AG10" s="370">
        <v>-2861959</v>
      </c>
      <c r="AH10" s="370">
        <v>0</v>
      </c>
      <c r="AI10" s="370">
        <v>-21390306</v>
      </c>
      <c r="AJ10" s="370">
        <v>-4245387</v>
      </c>
      <c r="AK10" s="370">
        <v>16188237</v>
      </c>
      <c r="AL10" s="370">
        <v>0</v>
      </c>
      <c r="AM10" s="370">
        <v>9844649</v>
      </c>
      <c r="AN10" s="370">
        <v>53353409</v>
      </c>
      <c r="AO10" s="370">
        <v>20953312</v>
      </c>
      <c r="AP10" s="370">
        <v>13980413</v>
      </c>
      <c r="AQ10" s="370">
        <v>119209822</v>
      </c>
      <c r="AR10" s="370">
        <v>68832332</v>
      </c>
      <c r="AS10" s="370">
        <v>46422751</v>
      </c>
      <c r="AT10" s="370">
        <v>0</v>
      </c>
      <c r="AU10" s="371">
        <v>0.21526297965031016</v>
      </c>
      <c r="AV10" s="371">
        <v>0.27898644009046442</v>
      </c>
      <c r="AW10" s="371">
        <v>0.75002346342634463</v>
      </c>
      <c r="AX10" s="371">
        <v>0.62060582496761085</v>
      </c>
      <c r="AY10" s="371">
        <v>0.23038277040399277</v>
      </c>
      <c r="AZ10" s="371">
        <v>1.577189021808546E-2</v>
      </c>
      <c r="BA10" s="371">
        <v>1.3346862058288767E-2</v>
      </c>
    </row>
    <row r="11" spans="1:53" ht="15.4" x14ac:dyDescent="0.45">
      <c r="A11" s="334" t="s">
        <v>232</v>
      </c>
      <c r="B11" s="370">
        <v>13380717</v>
      </c>
      <c r="C11" s="370">
        <v>222673835</v>
      </c>
      <c r="D11" s="370">
        <v>306097165</v>
      </c>
      <c r="E11" s="370">
        <v>27814859</v>
      </c>
      <c r="F11" s="370">
        <v>1670153</v>
      </c>
      <c r="G11" s="370">
        <v>0</v>
      </c>
      <c r="H11" s="370">
        <v>17381654</v>
      </c>
      <c r="I11" s="370">
        <v>8258698</v>
      </c>
      <c r="J11" s="370">
        <v>3291683</v>
      </c>
      <c r="K11" s="370">
        <v>18967851</v>
      </c>
      <c r="L11" s="370">
        <v>11491466</v>
      </c>
      <c r="M11" s="370">
        <v>35016499</v>
      </c>
      <c r="N11" s="370">
        <v>20100017</v>
      </c>
      <c r="O11" s="370">
        <v>35104385</v>
      </c>
      <c r="P11" s="370">
        <v>20663182</v>
      </c>
      <c r="Q11" s="370">
        <v>34506959</v>
      </c>
      <c r="R11" s="370">
        <v>24419815</v>
      </c>
      <c r="S11" s="370">
        <v>1892323</v>
      </c>
      <c r="T11" s="370">
        <v>0</v>
      </c>
      <c r="U11" s="370">
        <v>19627</v>
      </c>
      <c r="V11" s="370">
        <v>0</v>
      </c>
      <c r="W11" s="370">
        <v>0</v>
      </c>
      <c r="X11" s="370">
        <v>0</v>
      </c>
      <c r="Y11" s="370">
        <v>802750888</v>
      </c>
      <c r="Z11" s="370">
        <v>428235884</v>
      </c>
      <c r="AA11" s="370">
        <v>374515004</v>
      </c>
      <c r="AB11" s="370">
        <v>298894793</v>
      </c>
      <c r="AC11" s="370">
        <v>141704936</v>
      </c>
      <c r="AD11" s="370">
        <v>129341091</v>
      </c>
      <c r="AE11" s="370">
        <v>428235884</v>
      </c>
      <c r="AF11" s="370">
        <v>183381298</v>
      </c>
      <c r="AG11" s="370">
        <v>18064333</v>
      </c>
      <c r="AH11" s="370">
        <v>-16204978</v>
      </c>
      <c r="AI11" s="370">
        <v>-120208060</v>
      </c>
      <c r="AJ11" s="370">
        <v>45522815</v>
      </c>
      <c r="AK11" s="370">
        <v>76282042</v>
      </c>
      <c r="AL11" s="370">
        <v>0</v>
      </c>
      <c r="AM11" s="370">
        <v>144529429</v>
      </c>
      <c r="AN11" s="370">
        <v>354535041</v>
      </c>
      <c r="AO11" s="370">
        <v>131868117</v>
      </c>
      <c r="AP11" s="370">
        <v>18878557</v>
      </c>
      <c r="AQ11" s="370">
        <v>726093186</v>
      </c>
      <c r="AR11" s="370">
        <v>434276043</v>
      </c>
      <c r="AS11" s="370">
        <v>367431902</v>
      </c>
      <c r="AT11" s="370">
        <v>0</v>
      </c>
      <c r="AU11" s="371">
        <v>0.22844110264005091</v>
      </c>
      <c r="AV11" s="371">
        <v>0.38180044169380511</v>
      </c>
      <c r="AW11" s="371">
        <v>0.5358124012414377</v>
      </c>
      <c r="AX11" s="371">
        <v>0.53346049241617277</v>
      </c>
      <c r="AY11" s="371">
        <v>0.17652417221617572</v>
      </c>
      <c r="AZ11" s="371">
        <v>0.13622429334206834</v>
      </c>
      <c r="BA11" s="371">
        <v>0.12233617301389781</v>
      </c>
    </row>
    <row r="12" spans="1:53" ht="15.4" x14ac:dyDescent="0.45">
      <c r="A12" s="334" t="s">
        <v>233</v>
      </c>
      <c r="B12" s="370">
        <v>0</v>
      </c>
      <c r="C12" s="370">
        <v>266127276</v>
      </c>
      <c r="D12" s="370">
        <v>116403085</v>
      </c>
      <c r="E12" s="370">
        <v>0</v>
      </c>
      <c r="F12" s="370">
        <v>0</v>
      </c>
      <c r="G12" s="370">
        <v>0</v>
      </c>
      <c r="H12" s="370">
        <v>0</v>
      </c>
      <c r="I12" s="370">
        <v>0</v>
      </c>
      <c r="J12" s="370">
        <v>0</v>
      </c>
      <c r="K12" s="370">
        <v>0</v>
      </c>
      <c r="L12" s="370">
        <v>0</v>
      </c>
      <c r="M12" s="370">
        <v>51357205</v>
      </c>
      <c r="N12" s="370">
        <v>0</v>
      </c>
      <c r="O12" s="370">
        <v>24485709</v>
      </c>
      <c r="P12" s="370">
        <v>17503029</v>
      </c>
      <c r="Q12" s="370">
        <v>11383009</v>
      </c>
      <c r="R12" s="370">
        <v>0</v>
      </c>
      <c r="S12" s="370">
        <v>0</v>
      </c>
      <c r="T12" s="370">
        <v>0</v>
      </c>
      <c r="U12" s="370">
        <v>0</v>
      </c>
      <c r="V12" s="370">
        <v>0</v>
      </c>
      <c r="W12" s="370">
        <v>0</v>
      </c>
      <c r="X12" s="370">
        <v>0</v>
      </c>
      <c r="Y12" s="370">
        <v>487259313</v>
      </c>
      <c r="Z12" s="370">
        <v>119227491</v>
      </c>
      <c r="AA12" s="370">
        <v>368031822</v>
      </c>
      <c r="AB12" s="370">
        <v>70774030</v>
      </c>
      <c r="AC12" s="370">
        <v>9288471</v>
      </c>
      <c r="AD12" s="370">
        <v>48453461</v>
      </c>
      <c r="AE12" s="370">
        <v>119227491</v>
      </c>
      <c r="AF12" s="370">
        <v>46551992</v>
      </c>
      <c r="AG12" s="370">
        <v>-6499341</v>
      </c>
      <c r="AH12" s="370">
        <v>0</v>
      </c>
      <c r="AI12" s="370">
        <v>-9138471</v>
      </c>
      <c r="AJ12" s="370">
        <v>15588697</v>
      </c>
      <c r="AK12" s="370">
        <v>100524336</v>
      </c>
      <c r="AL12" s="370">
        <v>0</v>
      </c>
      <c r="AM12" s="370">
        <v>236632934</v>
      </c>
      <c r="AN12" s="370">
        <v>223389514</v>
      </c>
      <c r="AO12" s="370">
        <v>539280</v>
      </c>
      <c r="AP12" s="370">
        <v>68030915</v>
      </c>
      <c r="AQ12" s="370">
        <v>629747888</v>
      </c>
      <c r="AR12" s="370">
        <v>385783909</v>
      </c>
      <c r="AS12" s="370">
        <v>318628657</v>
      </c>
      <c r="AT12" s="370">
        <v>11250115</v>
      </c>
      <c r="AU12" s="371">
        <v>9.5538434582983542E-2</v>
      </c>
      <c r="AV12" s="371">
        <v>0.30040708595105053</v>
      </c>
      <c r="AW12" s="371">
        <v>0.42519503033890366</v>
      </c>
      <c r="AX12" s="371">
        <v>0.24469001991143061</v>
      </c>
      <c r="AY12" s="371">
        <v>1.9062685416543285E-2</v>
      </c>
      <c r="AZ12" s="371">
        <v>8.268636831176783E-2</v>
      </c>
      <c r="BA12" s="371">
        <v>3.105547081171596E-2</v>
      </c>
    </row>
    <row r="13" spans="1:53" ht="15.4" x14ac:dyDescent="0.45">
      <c r="A13" s="334" t="s">
        <v>26</v>
      </c>
      <c r="B13" s="370">
        <v>2393358</v>
      </c>
      <c r="C13" s="370">
        <v>229557459</v>
      </c>
      <c r="D13" s="370">
        <v>72698018</v>
      </c>
      <c r="E13" s="370">
        <v>18653516</v>
      </c>
      <c r="F13" s="370">
        <v>209845</v>
      </c>
      <c r="G13" s="370">
        <v>0</v>
      </c>
      <c r="H13" s="370">
        <v>29139003</v>
      </c>
      <c r="I13" s="370">
        <v>702529</v>
      </c>
      <c r="J13" s="370">
        <v>0</v>
      </c>
      <c r="K13" s="370">
        <v>3457106</v>
      </c>
      <c r="L13" s="370">
        <v>1340977</v>
      </c>
      <c r="M13" s="370">
        <v>7719248</v>
      </c>
      <c r="N13" s="370">
        <v>65049844</v>
      </c>
      <c r="O13" s="370">
        <v>4384216</v>
      </c>
      <c r="P13" s="370">
        <v>41649601</v>
      </c>
      <c r="Q13" s="370">
        <v>84066460</v>
      </c>
      <c r="R13" s="370">
        <v>13047546</v>
      </c>
      <c r="S13" s="370">
        <v>0</v>
      </c>
      <c r="T13" s="370">
        <v>2738199</v>
      </c>
      <c r="U13" s="370">
        <v>331985</v>
      </c>
      <c r="V13" s="370">
        <v>39078</v>
      </c>
      <c r="W13" s="370">
        <v>0</v>
      </c>
      <c r="X13" s="370">
        <v>0</v>
      </c>
      <c r="Y13" s="370">
        <v>577177988</v>
      </c>
      <c r="Z13" s="370">
        <v>242450065.387225</v>
      </c>
      <c r="AA13" s="370">
        <v>334727922.61277401</v>
      </c>
      <c r="AB13" s="370">
        <v>190933404.8534902</v>
      </c>
      <c r="AC13" s="370">
        <v>52611677</v>
      </c>
      <c r="AD13" s="370">
        <v>51826434.2355038</v>
      </c>
      <c r="AE13" s="370">
        <v>242450065.387225</v>
      </c>
      <c r="AF13" s="370">
        <v>106673508.073511</v>
      </c>
      <c r="AG13" s="370">
        <v>16208707</v>
      </c>
      <c r="AH13" s="370">
        <v>-2440097.5053455001</v>
      </c>
      <c r="AI13" s="370">
        <v>-49379455.409999996</v>
      </c>
      <c r="AJ13" s="370">
        <v>48628514.1581655</v>
      </c>
      <c r="AK13" s="370">
        <v>22973646</v>
      </c>
      <c r="AL13" s="370">
        <v>0</v>
      </c>
      <c r="AM13" s="370">
        <v>95125475.672214597</v>
      </c>
      <c r="AN13" s="370">
        <v>262659100.75650901</v>
      </c>
      <c r="AO13" s="370">
        <v>5231374.8600000003</v>
      </c>
      <c r="AP13" s="370">
        <v>28847833.4599999</v>
      </c>
      <c r="AQ13" s="370">
        <v>420453165.25</v>
      </c>
      <c r="AR13" s="370">
        <v>219952683.349347</v>
      </c>
      <c r="AS13" s="370">
        <v>166804281.08318201</v>
      </c>
      <c r="AT13" s="370">
        <v>0</v>
      </c>
      <c r="AU13" s="371">
        <v>0.18481908577828682</v>
      </c>
      <c r="AV13" s="371">
        <v>0.48841303455171536</v>
      </c>
      <c r="AW13" s="371">
        <v>0.33775282544122742</v>
      </c>
      <c r="AX13" s="371">
        <v>0.42006117770940532</v>
      </c>
      <c r="AY13" s="371">
        <v>9.1153297758818891E-2</v>
      </c>
      <c r="AZ13" s="371">
        <v>9.7945283802534755E-2</v>
      </c>
      <c r="BA13" s="371">
        <v>7.1163356798142341E-2</v>
      </c>
    </row>
    <row r="14" spans="1:53" ht="15.4" x14ac:dyDescent="0.45">
      <c r="A14" s="334" t="s">
        <v>234</v>
      </c>
      <c r="B14" s="370">
        <v>7822667.5999999996</v>
      </c>
      <c r="C14" s="370">
        <v>234421924.74000001</v>
      </c>
      <c r="D14" s="370">
        <v>181380477.69</v>
      </c>
      <c r="E14" s="370">
        <v>21560419.25</v>
      </c>
      <c r="F14" s="370">
        <v>805250.75</v>
      </c>
      <c r="G14" s="370">
        <v>0</v>
      </c>
      <c r="H14" s="370">
        <v>35314882.119999997</v>
      </c>
      <c r="I14" s="370">
        <v>1306888.3799999999</v>
      </c>
      <c r="J14" s="370">
        <v>2543387.9</v>
      </c>
      <c r="K14" s="370">
        <v>7344801.5</v>
      </c>
      <c r="L14" s="370">
        <v>3167534.16</v>
      </c>
      <c r="M14" s="370">
        <v>23666844.899999999</v>
      </c>
      <c r="N14" s="370">
        <v>629712.37</v>
      </c>
      <c r="O14" s="370">
        <v>10052766.720000001</v>
      </c>
      <c r="P14" s="370">
        <v>7106708.8200000003</v>
      </c>
      <c r="Q14" s="370">
        <v>17782022.609999999</v>
      </c>
      <c r="R14" s="370">
        <v>1460172.25</v>
      </c>
      <c r="S14" s="370">
        <v>146506.62</v>
      </c>
      <c r="T14" s="370">
        <v>339218.51</v>
      </c>
      <c r="U14" s="370">
        <v>0</v>
      </c>
      <c r="V14" s="370">
        <v>0</v>
      </c>
      <c r="W14" s="370">
        <v>0</v>
      </c>
      <c r="X14" s="370">
        <v>0</v>
      </c>
      <c r="Y14" s="370">
        <v>556852186.88999999</v>
      </c>
      <c r="Z14" s="370">
        <v>272914075.51999998</v>
      </c>
      <c r="AA14" s="370">
        <v>283938111.37</v>
      </c>
      <c r="AB14" s="370">
        <v>154377214.59999999</v>
      </c>
      <c r="AC14" s="370">
        <v>28583450</v>
      </c>
      <c r="AD14" s="370">
        <v>118536860.919999</v>
      </c>
      <c r="AE14" s="370">
        <v>272914075.51999998</v>
      </c>
      <c r="AF14" s="370">
        <v>56365196.209999897</v>
      </c>
      <c r="AG14" s="370">
        <v>-31751210.579999998</v>
      </c>
      <c r="AH14" s="370">
        <v>4597133.1099999901</v>
      </c>
      <c r="AI14" s="370">
        <v>-27156397.73</v>
      </c>
      <c r="AJ14" s="370">
        <v>-11926644.99</v>
      </c>
      <c r="AK14" s="370">
        <v>137513749.78</v>
      </c>
      <c r="AL14" s="370">
        <v>0</v>
      </c>
      <c r="AM14" s="370">
        <v>76117689.389999896</v>
      </c>
      <c r="AN14" s="370">
        <v>153703700.572714</v>
      </c>
      <c r="AO14" s="370">
        <v>17996382.519999899</v>
      </c>
      <c r="AP14" s="370">
        <v>20629393.789999999</v>
      </c>
      <c r="AQ14" s="370">
        <v>406220902.63999999</v>
      </c>
      <c r="AR14" s="370">
        <v>255501972.78000098</v>
      </c>
      <c r="AS14" s="370">
        <v>208433578.19999999</v>
      </c>
      <c r="AT14" s="370">
        <v>0</v>
      </c>
      <c r="AU14" s="371">
        <v>0.10122110954578009</v>
      </c>
      <c r="AV14" s="371">
        <v>0.4360141110264224</v>
      </c>
      <c r="AW14" s="371">
        <v>0.47440139185219871</v>
      </c>
      <c r="AX14" s="371">
        <v>0.49010147027385409</v>
      </c>
      <c r="AY14" s="371">
        <v>5.1330408092024507E-2</v>
      </c>
      <c r="AZ14" s="371">
        <v>9.4496059473777386E-2</v>
      </c>
      <c r="BA14" s="371">
        <v>3.7601993609560139E-2</v>
      </c>
    </row>
    <row r="15" spans="1:53" ht="15.4" x14ac:dyDescent="0.45">
      <c r="A15" s="334" t="s">
        <v>244</v>
      </c>
      <c r="B15" s="370">
        <v>1076725</v>
      </c>
      <c r="C15" s="370">
        <v>6087708.9999999898</v>
      </c>
      <c r="D15" s="370">
        <v>58089214</v>
      </c>
      <c r="E15" s="370">
        <v>19768324</v>
      </c>
      <c r="F15" s="370">
        <v>36767</v>
      </c>
      <c r="G15" s="370">
        <v>0</v>
      </c>
      <c r="H15" s="370">
        <v>277588</v>
      </c>
      <c r="I15" s="370">
        <v>54726</v>
      </c>
      <c r="J15" s="370">
        <v>1825573</v>
      </c>
      <c r="K15" s="370">
        <v>1486393</v>
      </c>
      <c r="L15" s="370">
        <v>293003</v>
      </c>
      <c r="M15" s="370">
        <v>735388</v>
      </c>
      <c r="N15" s="370">
        <v>46811</v>
      </c>
      <c r="O15" s="370">
        <v>144275</v>
      </c>
      <c r="P15" s="370">
        <v>348363</v>
      </c>
      <c r="Q15" s="370">
        <v>742920</v>
      </c>
      <c r="R15" s="370">
        <v>24954.999999999902</v>
      </c>
      <c r="S15" s="370">
        <v>0</v>
      </c>
      <c r="T15" s="370">
        <v>0</v>
      </c>
      <c r="U15" s="370">
        <v>0</v>
      </c>
      <c r="V15" s="370">
        <v>0</v>
      </c>
      <c r="W15" s="370">
        <v>0</v>
      </c>
      <c r="X15" s="370">
        <v>0</v>
      </c>
      <c r="Y15" s="370">
        <v>91038734</v>
      </c>
      <c r="Z15" s="370">
        <v>73075548</v>
      </c>
      <c r="AA15" s="370">
        <v>17963186</v>
      </c>
      <c r="AB15" s="370">
        <v>41125796</v>
      </c>
      <c r="AC15" s="370">
        <v>20832815</v>
      </c>
      <c r="AD15" s="370">
        <v>31949752</v>
      </c>
      <c r="AE15" s="370">
        <v>73075548</v>
      </c>
      <c r="AF15" s="370">
        <v>5340351</v>
      </c>
      <c r="AG15" s="370">
        <v>8845914</v>
      </c>
      <c r="AH15" s="370">
        <v>236669</v>
      </c>
      <c r="AI15" s="370">
        <v>-20735469</v>
      </c>
      <c r="AJ15" s="370">
        <v>-9196607</v>
      </c>
      <c r="AK15" s="370">
        <v>2108694.0699999998</v>
      </c>
      <c r="AL15" s="370">
        <v>0</v>
      </c>
      <c r="AM15" s="370">
        <v>18687120</v>
      </c>
      <c r="AN15" s="370">
        <v>53022289.32</v>
      </c>
      <c r="AO15" s="370">
        <v>39417165</v>
      </c>
      <c r="AP15" s="370">
        <v>3940139</v>
      </c>
      <c r="AQ15" s="370">
        <v>152095957.63999999</v>
      </c>
      <c r="AR15" s="370">
        <v>70720053.999999985</v>
      </c>
      <c r="AS15" s="370">
        <v>60342307</v>
      </c>
      <c r="AT15" s="370">
        <v>13558</v>
      </c>
      <c r="AU15" s="371">
        <v>5.8660207203672231E-2</v>
      </c>
      <c r="AV15" s="371">
        <v>0.51438034465018045</v>
      </c>
      <c r="AW15" s="371">
        <v>0.68737412699071276</v>
      </c>
      <c r="AX15" s="371">
        <v>0.80268633788338928</v>
      </c>
      <c r="AY15" s="371">
        <v>0.22883462988402278</v>
      </c>
      <c r="AZ15" s="371">
        <v>1.5448985969737762E-2</v>
      </c>
      <c r="BA15" s="371">
        <v>3.5626212215541311E-3</v>
      </c>
    </row>
    <row r="16" spans="1:53" ht="15.4" x14ac:dyDescent="0.45">
      <c r="A16" s="334" t="s">
        <v>69</v>
      </c>
      <c r="B16" s="370">
        <v>476915</v>
      </c>
      <c r="C16" s="370">
        <v>204392</v>
      </c>
      <c r="D16" s="370">
        <v>34742576</v>
      </c>
      <c r="E16" s="370">
        <v>14476073</v>
      </c>
      <c r="F16" s="370">
        <v>8685644</v>
      </c>
      <c r="G16" s="370">
        <v>0</v>
      </c>
      <c r="H16" s="370">
        <v>817569</v>
      </c>
      <c r="I16" s="370">
        <v>545046</v>
      </c>
      <c r="J16" s="370">
        <v>0</v>
      </c>
      <c r="K16" s="370">
        <v>1226353</v>
      </c>
      <c r="L16" s="370">
        <v>510980</v>
      </c>
      <c r="M16" s="370">
        <v>306588</v>
      </c>
      <c r="N16" s="370">
        <v>2384575</v>
      </c>
      <c r="O16" s="370">
        <v>1021961</v>
      </c>
      <c r="P16" s="370">
        <v>2725229</v>
      </c>
      <c r="Q16" s="370">
        <v>6812</v>
      </c>
      <c r="R16" s="370">
        <v>0</v>
      </c>
      <c r="S16" s="370">
        <v>0</v>
      </c>
      <c r="T16" s="370">
        <v>0</v>
      </c>
      <c r="U16" s="370">
        <v>0</v>
      </c>
      <c r="V16" s="370">
        <v>0</v>
      </c>
      <c r="W16" s="370">
        <v>0</v>
      </c>
      <c r="X16" s="370">
        <v>0</v>
      </c>
      <c r="Y16" s="370">
        <v>68130713</v>
      </c>
      <c r="Z16" s="370">
        <v>24765599</v>
      </c>
      <c r="AA16" s="370">
        <v>43365114</v>
      </c>
      <c r="AB16" s="370">
        <v>24765599</v>
      </c>
      <c r="AC16" s="370">
        <v>34030961</v>
      </c>
      <c r="AD16" s="370">
        <v>0</v>
      </c>
      <c r="AE16" s="370">
        <v>24765599</v>
      </c>
      <c r="AF16" s="370">
        <v>39338566</v>
      </c>
      <c r="AG16" s="370">
        <v>191657</v>
      </c>
      <c r="AH16" s="370">
        <v>0</v>
      </c>
      <c r="AI16" s="370">
        <v>-33376567</v>
      </c>
      <c r="AJ16" s="370">
        <v>6153656</v>
      </c>
      <c r="AK16" s="370">
        <v>12751529</v>
      </c>
      <c r="AL16" s="370">
        <v>0</v>
      </c>
      <c r="AM16" s="370">
        <v>0</v>
      </c>
      <c r="AN16" s="370">
        <v>74201324</v>
      </c>
      <c r="AO16" s="370">
        <v>5785572</v>
      </c>
      <c r="AP16" s="370">
        <v>53903700</v>
      </c>
      <c r="AQ16" s="370">
        <v>147647171</v>
      </c>
      <c r="AR16" s="370">
        <v>43201086</v>
      </c>
      <c r="AS16" s="370">
        <v>32629522</v>
      </c>
      <c r="AT16" s="370">
        <v>3236263</v>
      </c>
      <c r="AU16" s="371">
        <v>0.5773984194176861</v>
      </c>
      <c r="AV16" s="371">
        <v>0.30515229280105705</v>
      </c>
      <c r="AW16" s="371">
        <v>0.601098047768865</v>
      </c>
      <c r="AX16" s="371">
        <v>0.36350124502586667</v>
      </c>
      <c r="AY16" s="371">
        <v>0.49949515426324687</v>
      </c>
      <c r="AZ16" s="371">
        <v>1.1561567071497613E-2</v>
      </c>
      <c r="BA16" s="371">
        <v>2.6243295629277515E-2</v>
      </c>
    </row>
    <row r="17" spans="1:53" ht="15.4" x14ac:dyDescent="0.45">
      <c r="A17" s="334" t="s">
        <v>29</v>
      </c>
      <c r="B17" s="370">
        <v>0</v>
      </c>
      <c r="C17" s="370">
        <v>4561401</v>
      </c>
      <c r="D17" s="370">
        <v>37330800</v>
      </c>
      <c r="E17" s="370">
        <v>0</v>
      </c>
      <c r="F17" s="370">
        <v>0</v>
      </c>
      <c r="G17" s="370">
        <v>0</v>
      </c>
      <c r="H17" s="370">
        <v>1129512</v>
      </c>
      <c r="I17" s="370">
        <v>0</v>
      </c>
      <c r="J17" s="370">
        <v>342371</v>
      </c>
      <c r="K17" s="370">
        <v>1605537</v>
      </c>
      <c r="L17" s="370">
        <v>0</v>
      </c>
      <c r="M17" s="370">
        <v>0</v>
      </c>
      <c r="N17" s="370">
        <v>1169402</v>
      </c>
      <c r="O17" s="370">
        <v>0</v>
      </c>
      <c r="P17" s="370">
        <v>6068740</v>
      </c>
      <c r="Q17" s="370">
        <v>582852</v>
      </c>
      <c r="R17" s="370">
        <v>0</v>
      </c>
      <c r="S17" s="370">
        <v>0</v>
      </c>
      <c r="T17" s="370">
        <v>0</v>
      </c>
      <c r="U17" s="370">
        <v>0</v>
      </c>
      <c r="V17" s="370">
        <v>0</v>
      </c>
      <c r="W17" s="370">
        <v>0</v>
      </c>
      <c r="X17" s="370">
        <v>0</v>
      </c>
      <c r="Y17" s="370">
        <v>52790615</v>
      </c>
      <c r="Z17" s="370">
        <v>40783426</v>
      </c>
      <c r="AA17" s="370">
        <v>12007189</v>
      </c>
      <c r="AB17" s="370">
        <v>40783426</v>
      </c>
      <c r="AC17" s="370">
        <v>23341808</v>
      </c>
      <c r="AD17" s="370">
        <v>0</v>
      </c>
      <c r="AE17" s="370">
        <v>40783426</v>
      </c>
      <c r="AF17" s="370">
        <v>4560747</v>
      </c>
      <c r="AG17" s="370">
        <v>17666788</v>
      </c>
      <c r="AH17" s="370">
        <v>3027081</v>
      </c>
      <c r="AI17" s="370">
        <v>-22970269</v>
      </c>
      <c r="AJ17" s="370">
        <v>1599043</v>
      </c>
      <c r="AK17" s="370">
        <v>11817792</v>
      </c>
      <c r="AL17" s="370">
        <v>0</v>
      </c>
      <c r="AM17" s="370">
        <v>0</v>
      </c>
      <c r="AN17" s="370">
        <v>104054470</v>
      </c>
      <c r="AO17" s="370">
        <v>18800201</v>
      </c>
      <c r="AP17" s="370">
        <v>30139039</v>
      </c>
      <c r="AQ17" s="370">
        <v>170240257</v>
      </c>
      <c r="AR17" s="370">
        <v>61594168</v>
      </c>
      <c r="AS17" s="370">
        <v>19038318</v>
      </c>
      <c r="AT17" s="370">
        <v>28769526</v>
      </c>
      <c r="AU17" s="371">
        <v>8.6393140144323005E-2</v>
      </c>
      <c r="AV17" s="371">
        <v>0.8834311869620326</v>
      </c>
      <c r="AW17" s="371">
        <v>0.59659675327750716</v>
      </c>
      <c r="AX17" s="371">
        <v>0.77255068917079295</v>
      </c>
      <c r="AY17" s="371">
        <v>0.44215828893071241</v>
      </c>
      <c r="AZ17" s="371">
        <v>8.9584008326480877E-3</v>
      </c>
      <c r="BA17" s="371">
        <v>3.042536726207573E-3</v>
      </c>
    </row>
    <row r="18" spans="1:53" ht="15.4" x14ac:dyDescent="0.45">
      <c r="A18" s="334" t="s">
        <v>235</v>
      </c>
      <c r="B18" s="370">
        <v>518088</v>
      </c>
      <c r="C18" s="370">
        <v>3633404</v>
      </c>
      <c r="D18" s="370">
        <v>17251562</v>
      </c>
      <c r="E18" s="370">
        <v>8973252</v>
      </c>
      <c r="F18" s="370">
        <v>121118</v>
      </c>
      <c r="G18" s="370">
        <v>0</v>
      </c>
      <c r="H18" s="370">
        <v>250368</v>
      </c>
      <c r="I18" s="370">
        <v>156431</v>
      </c>
      <c r="J18" s="370">
        <v>403503</v>
      </c>
      <c r="K18" s="370">
        <v>459186</v>
      </c>
      <c r="L18" s="370">
        <v>245767</v>
      </c>
      <c r="M18" s="370">
        <v>5745866</v>
      </c>
      <c r="N18" s="370">
        <v>462614</v>
      </c>
      <c r="O18" s="370">
        <v>0</v>
      </c>
      <c r="P18" s="370">
        <v>142403</v>
      </c>
      <c r="Q18" s="370">
        <v>4194872</v>
      </c>
      <c r="R18" s="370">
        <v>98612</v>
      </c>
      <c r="S18" s="370">
        <v>2551307</v>
      </c>
      <c r="T18" s="370">
        <v>0</v>
      </c>
      <c r="U18" s="370">
        <v>0</v>
      </c>
      <c r="V18" s="370">
        <v>0</v>
      </c>
      <c r="W18" s="370">
        <v>0</v>
      </c>
      <c r="X18" s="370">
        <v>0</v>
      </c>
      <c r="Y18" s="370">
        <v>45208353</v>
      </c>
      <c r="Z18" s="370">
        <v>0</v>
      </c>
      <c r="AA18" s="370">
        <v>45208353</v>
      </c>
      <c r="AB18" s="370">
        <v>0</v>
      </c>
      <c r="AC18" s="370">
        <v>19392361</v>
      </c>
      <c r="AD18" s="370">
        <v>0</v>
      </c>
      <c r="AE18" s="370">
        <v>0</v>
      </c>
      <c r="AF18" s="370">
        <v>45208353</v>
      </c>
      <c r="AG18" s="370">
        <v>0</v>
      </c>
      <c r="AH18" s="370">
        <v>0</v>
      </c>
      <c r="AI18" s="370">
        <v>-19381034</v>
      </c>
      <c r="AJ18" s="370">
        <v>25301582</v>
      </c>
      <c r="AK18" s="370">
        <v>14336502</v>
      </c>
      <c r="AL18" s="370">
        <v>0</v>
      </c>
      <c r="AM18" s="370">
        <v>15138681</v>
      </c>
      <c r="AN18" s="370">
        <v>93686455</v>
      </c>
      <c r="AO18" s="370">
        <v>2080184</v>
      </c>
      <c r="AP18" s="370">
        <v>14290720</v>
      </c>
      <c r="AQ18" s="370">
        <v>139532542</v>
      </c>
      <c r="AR18" s="370">
        <v>58301295</v>
      </c>
      <c r="AS18" s="370">
        <v>32604227</v>
      </c>
      <c r="AT18" s="370">
        <v>0</v>
      </c>
      <c r="AU18" s="371">
        <v>1</v>
      </c>
      <c r="AV18" s="371">
        <v>0</v>
      </c>
      <c r="AW18" s="371">
        <v>0.42895526408582058</v>
      </c>
      <c r="AX18" s="371">
        <v>0</v>
      </c>
      <c r="AY18" s="371">
        <v>0.42895526408582058</v>
      </c>
      <c r="AZ18" s="371">
        <v>7.6717148901911583E-3</v>
      </c>
      <c r="BA18" s="371">
        <v>3.0159110850449786E-2</v>
      </c>
    </row>
    <row r="19" spans="1:53" ht="15.4" x14ac:dyDescent="0.45">
      <c r="A19" s="334" t="s">
        <v>32</v>
      </c>
      <c r="B19" s="370">
        <v>0</v>
      </c>
      <c r="C19" s="370">
        <v>19519811</v>
      </c>
      <c r="D19" s="370">
        <v>0</v>
      </c>
      <c r="E19" s="370">
        <v>0</v>
      </c>
      <c r="F19" s="370">
        <v>0</v>
      </c>
      <c r="G19" s="370">
        <v>102093207</v>
      </c>
      <c r="H19" s="370">
        <v>0</v>
      </c>
      <c r="I19" s="370">
        <v>0</v>
      </c>
      <c r="J19" s="370">
        <v>405513</v>
      </c>
      <c r="K19" s="370">
        <v>5646075</v>
      </c>
      <c r="L19" s="370">
        <v>0</v>
      </c>
      <c r="M19" s="370">
        <v>3838777</v>
      </c>
      <c r="N19" s="370">
        <v>0</v>
      </c>
      <c r="O19" s="370">
        <v>30351644</v>
      </c>
      <c r="P19" s="370">
        <v>70322451</v>
      </c>
      <c r="Q19" s="370">
        <v>751571</v>
      </c>
      <c r="R19" s="370">
        <v>0</v>
      </c>
      <c r="S19" s="370">
        <v>0</v>
      </c>
      <c r="T19" s="370">
        <v>0</v>
      </c>
      <c r="U19" s="370">
        <v>0</v>
      </c>
      <c r="V19" s="370">
        <v>0</v>
      </c>
      <c r="W19" s="370">
        <v>0</v>
      </c>
      <c r="X19" s="370">
        <v>0</v>
      </c>
      <c r="Y19" s="370">
        <v>232929049</v>
      </c>
      <c r="Z19" s="370">
        <v>144964039</v>
      </c>
      <c r="AA19" s="370">
        <v>87965010</v>
      </c>
      <c r="AB19" s="370">
        <v>94977747</v>
      </c>
      <c r="AC19" s="370">
        <v>20185151</v>
      </c>
      <c r="AD19" s="370">
        <v>49986292</v>
      </c>
      <c r="AE19" s="370">
        <v>144964039</v>
      </c>
      <c r="AF19" s="370">
        <v>34709750</v>
      </c>
      <c r="AG19" s="370">
        <v>9538117</v>
      </c>
      <c r="AH19" s="370">
        <v>0</v>
      </c>
      <c r="AI19" s="370">
        <v>-20148476</v>
      </c>
      <c r="AJ19" s="370">
        <v>16242618</v>
      </c>
      <c r="AK19" s="370">
        <v>17597384</v>
      </c>
      <c r="AL19" s="370">
        <v>0</v>
      </c>
      <c r="AM19" s="370">
        <v>48147480</v>
      </c>
      <c r="AN19" s="370">
        <v>187049456</v>
      </c>
      <c r="AO19" s="370">
        <v>6731713</v>
      </c>
      <c r="AP19" s="370">
        <v>5468812</v>
      </c>
      <c r="AQ19" s="370">
        <v>264994845</v>
      </c>
      <c r="AR19" s="370">
        <v>190437269</v>
      </c>
      <c r="AS19" s="370">
        <v>113716347</v>
      </c>
      <c r="AT19" s="370">
        <v>0</v>
      </c>
      <c r="AU19" s="371">
        <v>0.14901426056137806</v>
      </c>
      <c r="AV19" s="371">
        <v>0.51351690953809026</v>
      </c>
      <c r="AW19" s="371">
        <v>0.4030556758816633</v>
      </c>
      <c r="AX19" s="371">
        <v>0.62235277060698424</v>
      </c>
      <c r="AY19" s="371">
        <v>8.6657937628037113E-2</v>
      </c>
      <c r="AZ19" s="371">
        <v>3.9527324819184764E-2</v>
      </c>
      <c r="BA19" s="371">
        <v>2.3155349141814555E-2</v>
      </c>
    </row>
    <row r="20" spans="1:53" ht="15.4" x14ac:dyDescent="0.45">
      <c r="A20" s="334" t="s">
        <v>33</v>
      </c>
      <c r="B20" s="370">
        <v>476694</v>
      </c>
      <c r="C20" s="370">
        <v>20705940</v>
      </c>
      <c r="D20" s="370">
        <v>61443947</v>
      </c>
      <c r="E20" s="370">
        <v>32577435</v>
      </c>
      <c r="F20" s="370">
        <v>148753</v>
      </c>
      <c r="G20" s="370">
        <v>1349</v>
      </c>
      <c r="H20" s="370">
        <v>1254186</v>
      </c>
      <c r="I20" s="370">
        <v>277803</v>
      </c>
      <c r="J20" s="370">
        <v>1133432</v>
      </c>
      <c r="K20" s="370">
        <v>1564954</v>
      </c>
      <c r="L20" s="370">
        <v>398722</v>
      </c>
      <c r="M20" s="370">
        <v>3388153</v>
      </c>
      <c r="N20" s="370">
        <v>3563920</v>
      </c>
      <c r="O20" s="370">
        <v>6364100</v>
      </c>
      <c r="P20" s="370">
        <v>34605359</v>
      </c>
      <c r="Q20" s="370">
        <v>5655618</v>
      </c>
      <c r="R20" s="370">
        <v>81828</v>
      </c>
      <c r="S20" s="370">
        <v>0</v>
      </c>
      <c r="T20" s="370">
        <v>0</v>
      </c>
      <c r="U20" s="370">
        <v>0</v>
      </c>
      <c r="V20" s="370">
        <v>0</v>
      </c>
      <c r="W20" s="370">
        <v>0</v>
      </c>
      <c r="X20" s="370">
        <v>0</v>
      </c>
      <c r="Y20" s="370">
        <v>173642193</v>
      </c>
      <c r="Z20" s="370">
        <v>68158593</v>
      </c>
      <c r="AA20" s="370">
        <v>105483600</v>
      </c>
      <c r="AB20" s="370">
        <v>40899617</v>
      </c>
      <c r="AC20" s="370">
        <v>81482803</v>
      </c>
      <c r="AD20" s="370">
        <v>27258976</v>
      </c>
      <c r="AE20" s="370">
        <v>68158593</v>
      </c>
      <c r="AF20" s="370">
        <v>93255036</v>
      </c>
      <c r="AG20" s="370">
        <v>65078</v>
      </c>
      <c r="AH20" s="370">
        <v>1733728</v>
      </c>
      <c r="AI20" s="370">
        <v>-71296459</v>
      </c>
      <c r="AJ20" s="370">
        <v>17074518</v>
      </c>
      <c r="AK20" s="370">
        <v>6426612</v>
      </c>
      <c r="AL20" s="370">
        <v>0</v>
      </c>
      <c r="AM20" s="370">
        <v>10370425</v>
      </c>
      <c r="AN20" s="370">
        <v>121143882</v>
      </c>
      <c r="AO20" s="370">
        <v>31429935</v>
      </c>
      <c r="AP20" s="370">
        <v>22214461</v>
      </c>
      <c r="AQ20" s="370">
        <v>192358648</v>
      </c>
      <c r="AR20" s="370">
        <v>120824305</v>
      </c>
      <c r="AS20" s="370">
        <v>99936128</v>
      </c>
      <c r="AT20" s="370">
        <v>13052965</v>
      </c>
      <c r="AU20" s="371">
        <v>0.53705285788460411</v>
      </c>
      <c r="AV20" s="371">
        <v>0.24961042341665055</v>
      </c>
      <c r="AW20" s="371">
        <v>0.67708888075795004</v>
      </c>
      <c r="AX20" s="371">
        <v>0.39252322158820008</v>
      </c>
      <c r="AY20" s="371">
        <v>0.46925693342285768</v>
      </c>
      <c r="AZ20" s="371">
        <v>2.9466532381826581E-2</v>
      </c>
      <c r="BA20" s="371">
        <v>6.2211710479403784E-2</v>
      </c>
    </row>
    <row r="21" spans="1:53" ht="15.4" x14ac:dyDescent="0.45">
      <c r="A21" s="334" t="s">
        <v>236</v>
      </c>
      <c r="B21" s="370">
        <v>78643</v>
      </c>
      <c r="C21" s="370">
        <v>2542785</v>
      </c>
      <c r="D21" s="370">
        <v>36700007</v>
      </c>
      <c r="E21" s="370">
        <v>50059679</v>
      </c>
      <c r="F21" s="370">
        <v>104237</v>
      </c>
      <c r="G21" s="370">
        <v>0</v>
      </c>
      <c r="H21" s="370">
        <v>4641167</v>
      </c>
      <c r="I21" s="370">
        <v>100408</v>
      </c>
      <c r="J21" s="370">
        <v>0</v>
      </c>
      <c r="K21" s="370">
        <v>1653859</v>
      </c>
      <c r="L21" s="370">
        <v>18342</v>
      </c>
      <c r="M21" s="370">
        <v>2679066</v>
      </c>
      <c r="N21" s="370">
        <v>1474837</v>
      </c>
      <c r="O21" s="370">
        <v>707843</v>
      </c>
      <c r="P21" s="370">
        <v>6528049</v>
      </c>
      <c r="Q21" s="370">
        <v>133859</v>
      </c>
      <c r="R21" s="370">
        <v>0</v>
      </c>
      <c r="S21" s="370">
        <v>0</v>
      </c>
      <c r="T21" s="370">
        <v>0</v>
      </c>
      <c r="U21" s="370">
        <v>0</v>
      </c>
      <c r="V21" s="370">
        <v>0</v>
      </c>
      <c r="W21" s="370">
        <v>0</v>
      </c>
      <c r="X21" s="370">
        <v>0</v>
      </c>
      <c r="Y21" s="370">
        <v>107422781</v>
      </c>
      <c r="Z21" s="370">
        <v>60580946</v>
      </c>
      <c r="AA21" s="370">
        <v>46841835</v>
      </c>
      <c r="AB21" s="370">
        <v>17240892</v>
      </c>
      <c r="AC21" s="370">
        <v>13346309</v>
      </c>
      <c r="AD21" s="370">
        <v>43340054</v>
      </c>
      <c r="AE21" s="370">
        <v>60580946</v>
      </c>
      <c r="AF21" s="370">
        <v>34967469</v>
      </c>
      <c r="AG21" s="370">
        <v>8828850</v>
      </c>
      <c r="AH21" s="370">
        <v>-61247</v>
      </c>
      <c r="AI21" s="370">
        <v>-13123716</v>
      </c>
      <c r="AJ21" s="370">
        <v>21427950</v>
      </c>
      <c r="AK21" s="370">
        <v>10325304</v>
      </c>
      <c r="AL21" s="370">
        <v>17866255</v>
      </c>
      <c r="AM21" s="370">
        <v>5524173</v>
      </c>
      <c r="AN21" s="370">
        <v>92438416</v>
      </c>
      <c r="AO21" s="370">
        <v>7513120</v>
      </c>
      <c r="AP21" s="370">
        <v>28248340</v>
      </c>
      <c r="AQ21" s="370">
        <v>161915608</v>
      </c>
      <c r="AR21" s="370">
        <v>73907034</v>
      </c>
      <c r="AS21" s="370">
        <v>38696853</v>
      </c>
      <c r="AT21" s="370">
        <v>8805298</v>
      </c>
      <c r="AU21" s="371">
        <v>0.32551260239669277</v>
      </c>
      <c r="AV21" s="371">
        <v>0.12560788281555665</v>
      </c>
      <c r="AW21" s="371">
        <v>0.63296739649210831</v>
      </c>
      <c r="AX21" s="371">
        <v>0.56394877730823223</v>
      </c>
      <c r="AY21" s="371">
        <v>0.12424095592907802</v>
      </c>
      <c r="AZ21" s="371">
        <v>1.8229307060654121E-2</v>
      </c>
      <c r="BA21" s="371">
        <v>2.3327277012959675E-2</v>
      </c>
    </row>
    <row r="22" spans="1:53" ht="15.4" x14ac:dyDescent="0.45">
      <c r="A22" s="334" t="s">
        <v>237</v>
      </c>
      <c r="B22" s="370">
        <v>0</v>
      </c>
      <c r="C22" s="370">
        <v>18514092</v>
      </c>
      <c r="D22" s="370">
        <v>101444890</v>
      </c>
      <c r="E22" s="370">
        <v>0</v>
      </c>
      <c r="F22" s="370">
        <v>0</v>
      </c>
      <c r="G22" s="370">
        <v>0</v>
      </c>
      <c r="H22" s="370">
        <v>0</v>
      </c>
      <c r="I22" s="370">
        <v>0</v>
      </c>
      <c r="J22" s="370">
        <v>0</v>
      </c>
      <c r="K22" s="370">
        <v>0</v>
      </c>
      <c r="L22" s="370">
        <v>0</v>
      </c>
      <c r="M22" s="370">
        <v>862764</v>
      </c>
      <c r="N22" s="370">
        <v>7460762</v>
      </c>
      <c r="O22" s="370">
        <v>0</v>
      </c>
      <c r="P22" s="370">
        <v>13278085</v>
      </c>
      <c r="Q22" s="370">
        <v>0</v>
      </c>
      <c r="R22" s="370">
        <v>4396568</v>
      </c>
      <c r="S22" s="370">
        <v>0</v>
      </c>
      <c r="T22" s="370">
        <v>0</v>
      </c>
      <c r="U22" s="370">
        <v>0</v>
      </c>
      <c r="V22" s="370">
        <v>0</v>
      </c>
      <c r="W22" s="370">
        <v>0</v>
      </c>
      <c r="X22" s="370">
        <v>0</v>
      </c>
      <c r="Y22" s="370">
        <v>145957161</v>
      </c>
      <c r="Z22" s="370">
        <v>83850210</v>
      </c>
      <c r="AA22" s="370">
        <v>62106951</v>
      </c>
      <c r="AB22" s="370">
        <v>48895623</v>
      </c>
      <c r="AC22" s="370">
        <v>57195019</v>
      </c>
      <c r="AD22" s="370">
        <v>34954587</v>
      </c>
      <c r="AE22" s="370">
        <v>83850210</v>
      </c>
      <c r="AF22" s="370">
        <v>62517721</v>
      </c>
      <c r="AG22" s="370">
        <v>10028179</v>
      </c>
      <c r="AH22" s="370">
        <v>-69200</v>
      </c>
      <c r="AI22" s="370">
        <v>-57195019</v>
      </c>
      <c r="AJ22" s="370">
        <v>11197299</v>
      </c>
      <c r="AK22" s="370">
        <v>15818113</v>
      </c>
      <c r="AL22" s="370">
        <v>0</v>
      </c>
      <c r="AM22" s="370">
        <v>53001332</v>
      </c>
      <c r="AN22" s="370">
        <v>74892546</v>
      </c>
      <c r="AO22" s="370">
        <v>9139970</v>
      </c>
      <c r="AP22" s="370">
        <v>30716929</v>
      </c>
      <c r="AQ22" s="370">
        <v>183568890</v>
      </c>
      <c r="AR22" s="370">
        <v>101404584</v>
      </c>
      <c r="AS22" s="370">
        <v>78939232</v>
      </c>
      <c r="AT22" s="370">
        <v>0</v>
      </c>
      <c r="AU22" s="371">
        <v>0.42832924792227223</v>
      </c>
      <c r="AV22" s="371">
        <v>0.3321855033889019</v>
      </c>
      <c r="AW22" s="371">
        <v>0.63134693336492065</v>
      </c>
      <c r="AX22" s="371">
        <v>0.57448507099970247</v>
      </c>
      <c r="AY22" s="371">
        <v>0.39186168467609478</v>
      </c>
      <c r="AZ22" s="371">
        <v>2.4768469786407132E-2</v>
      </c>
      <c r="BA22" s="371">
        <v>4.1706427079006674E-2</v>
      </c>
    </row>
    <row r="23" spans="1:53" ht="15.4" x14ac:dyDescent="0.45">
      <c r="A23" s="334" t="s">
        <v>36</v>
      </c>
      <c r="B23" s="370">
        <v>0</v>
      </c>
      <c r="C23" s="370">
        <v>0</v>
      </c>
      <c r="D23" s="370">
        <v>0</v>
      </c>
      <c r="E23" s="370">
        <v>0</v>
      </c>
      <c r="F23" s="370">
        <v>0</v>
      </c>
      <c r="G23" s="370">
        <v>0</v>
      </c>
      <c r="H23" s="370">
        <v>0</v>
      </c>
      <c r="I23" s="370">
        <v>0</v>
      </c>
      <c r="J23" s="370">
        <v>0</v>
      </c>
      <c r="K23" s="370">
        <v>0</v>
      </c>
      <c r="L23" s="370">
        <v>0</v>
      </c>
      <c r="M23" s="370">
        <v>0</v>
      </c>
      <c r="N23" s="370">
        <v>0</v>
      </c>
      <c r="O23" s="370">
        <v>0</v>
      </c>
      <c r="P23" s="370">
        <v>0</v>
      </c>
      <c r="Q23" s="370">
        <v>0</v>
      </c>
      <c r="R23" s="370">
        <v>0</v>
      </c>
      <c r="S23" s="370">
        <v>0</v>
      </c>
      <c r="T23" s="370">
        <v>0</v>
      </c>
      <c r="U23" s="370">
        <v>0</v>
      </c>
      <c r="V23" s="370">
        <v>0</v>
      </c>
      <c r="W23" s="370">
        <v>0</v>
      </c>
      <c r="X23" s="370">
        <v>0</v>
      </c>
      <c r="Y23" s="370">
        <v>0</v>
      </c>
      <c r="Z23" s="370">
        <v>0</v>
      </c>
      <c r="AA23" s="370">
        <v>0</v>
      </c>
      <c r="AB23" s="370">
        <v>0</v>
      </c>
      <c r="AC23" s="370">
        <v>0</v>
      </c>
      <c r="AD23" s="370">
        <v>0</v>
      </c>
      <c r="AE23" s="370">
        <v>0</v>
      </c>
      <c r="AF23" s="370">
        <v>0</v>
      </c>
      <c r="AG23" s="370">
        <v>0</v>
      </c>
      <c r="AH23" s="370">
        <v>0</v>
      </c>
      <c r="AI23" s="370">
        <v>0</v>
      </c>
      <c r="AJ23" s="370">
        <v>0</v>
      </c>
      <c r="AK23" s="370">
        <v>0</v>
      </c>
      <c r="AL23" s="370">
        <v>0</v>
      </c>
      <c r="AM23" s="370">
        <v>0</v>
      </c>
      <c r="AN23" s="370">
        <v>0</v>
      </c>
      <c r="AO23" s="370">
        <v>0</v>
      </c>
      <c r="AP23" s="370">
        <v>0</v>
      </c>
      <c r="AQ23" s="370">
        <v>0</v>
      </c>
      <c r="AR23" s="370">
        <v>0</v>
      </c>
      <c r="AS23" s="370">
        <v>0</v>
      </c>
      <c r="AT23" s="370">
        <v>0</v>
      </c>
      <c r="AU23" s="371" t="s">
        <v>245</v>
      </c>
      <c r="AV23" s="371" t="s">
        <v>245</v>
      </c>
      <c r="AW23" s="371" t="s">
        <v>245</v>
      </c>
      <c r="AX23" s="371" t="s">
        <v>245</v>
      </c>
      <c r="AY23" s="371" t="s">
        <v>245</v>
      </c>
      <c r="AZ23" s="371"/>
      <c r="BA23" s="371"/>
    </row>
    <row r="24" spans="1:53" ht="15.4" x14ac:dyDescent="0.45">
      <c r="A24" s="334" t="s">
        <v>238</v>
      </c>
      <c r="B24" s="370">
        <v>0</v>
      </c>
      <c r="C24" s="370">
        <v>58554954</v>
      </c>
      <c r="D24" s="370">
        <v>87353645</v>
      </c>
      <c r="E24" s="370">
        <v>0</v>
      </c>
      <c r="F24" s="370">
        <v>0</v>
      </c>
      <c r="G24" s="370">
        <v>0</v>
      </c>
      <c r="H24" s="370">
        <v>26123671</v>
      </c>
      <c r="I24" s="370">
        <v>0</v>
      </c>
      <c r="J24" s="370">
        <v>429289</v>
      </c>
      <c r="K24" s="370">
        <v>2352545</v>
      </c>
      <c r="L24" s="370">
        <v>9349835</v>
      </c>
      <c r="M24" s="370">
        <v>0</v>
      </c>
      <c r="N24" s="370">
        <v>2647379</v>
      </c>
      <c r="O24" s="370">
        <v>0</v>
      </c>
      <c r="P24" s="370">
        <v>3056958</v>
      </c>
      <c r="Q24" s="370">
        <v>25944749</v>
      </c>
      <c r="R24" s="370">
        <v>0</v>
      </c>
      <c r="S24" s="370">
        <v>0</v>
      </c>
      <c r="T24" s="370">
        <v>0</v>
      </c>
      <c r="U24" s="370">
        <v>0</v>
      </c>
      <c r="V24" s="370">
        <v>0</v>
      </c>
      <c r="W24" s="370">
        <v>0</v>
      </c>
      <c r="X24" s="370">
        <v>0</v>
      </c>
      <c r="Y24" s="370">
        <v>215813025</v>
      </c>
      <c r="Z24" s="370">
        <v>330069887</v>
      </c>
      <c r="AA24" s="370">
        <v>-114256862</v>
      </c>
      <c r="AB24" s="370">
        <v>303404070</v>
      </c>
      <c r="AC24" s="370">
        <v>53401638</v>
      </c>
      <c r="AD24" s="370">
        <v>26665817</v>
      </c>
      <c r="AE24" s="370">
        <v>330069887</v>
      </c>
      <c r="AF24" s="370">
        <v>61220852</v>
      </c>
      <c r="AG24" s="370">
        <v>19691976</v>
      </c>
      <c r="AH24" s="370">
        <v>0</v>
      </c>
      <c r="AI24" s="370">
        <v>-52826303</v>
      </c>
      <c r="AJ24" s="370">
        <v>19660521</v>
      </c>
      <c r="AK24" s="370">
        <v>109951448</v>
      </c>
      <c r="AL24" s="370">
        <v>6451094</v>
      </c>
      <c r="AM24" s="370">
        <v>322298962</v>
      </c>
      <c r="AN24" s="370">
        <v>218269432</v>
      </c>
      <c r="AO24" s="370">
        <v>22050501</v>
      </c>
      <c r="AP24" s="370">
        <v>9559665</v>
      </c>
      <c r="AQ24" s="370">
        <v>688990632</v>
      </c>
      <c r="AR24" s="370">
        <v>485210805</v>
      </c>
      <c r="AS24" s="370">
        <v>407876141</v>
      </c>
      <c r="AT24" s="370">
        <v>3194699</v>
      </c>
      <c r="AU24" s="371">
        <v>0.28367542691179087</v>
      </c>
      <c r="AV24" s="371">
        <v>0.1153344511806661</v>
      </c>
      <c r="AW24" s="371">
        <v>0.80595748850308935</v>
      </c>
      <c r="AX24" s="371">
        <v>1.5294252374248496</v>
      </c>
      <c r="AY24" s="371">
        <v>0.24744399926742142</v>
      </c>
      <c r="AZ24" s="371">
        <v>3.6622789540457196E-2</v>
      </c>
      <c r="BA24" s="371">
        <v>4.084126802467191E-2</v>
      </c>
    </row>
    <row r="25" spans="1:53" ht="15.4" x14ac:dyDescent="0.45">
      <c r="A25" s="334" t="s">
        <v>77</v>
      </c>
      <c r="B25" s="370">
        <v>194967</v>
      </c>
      <c r="C25" s="370">
        <v>15406239</v>
      </c>
      <c r="D25" s="370">
        <v>20131627</v>
      </c>
      <c r="E25" s="370">
        <v>17968171</v>
      </c>
      <c r="F25" s="370">
        <v>118892</v>
      </c>
      <c r="G25" s="370">
        <v>35180</v>
      </c>
      <c r="H25" s="370">
        <v>382969</v>
      </c>
      <c r="I25" s="370">
        <v>56355</v>
      </c>
      <c r="J25" s="370">
        <v>184909</v>
      </c>
      <c r="K25" s="370">
        <v>4811191</v>
      </c>
      <c r="L25" s="370">
        <v>266393</v>
      </c>
      <c r="M25" s="370">
        <v>2767162</v>
      </c>
      <c r="N25" s="370">
        <v>24019005</v>
      </c>
      <c r="O25" s="370">
        <v>0</v>
      </c>
      <c r="P25" s="370">
        <v>11963853</v>
      </c>
      <c r="Q25" s="370">
        <v>86260</v>
      </c>
      <c r="R25" s="370">
        <v>23783069</v>
      </c>
      <c r="S25" s="370">
        <v>0</v>
      </c>
      <c r="T25" s="370">
        <v>0</v>
      </c>
      <c r="U25" s="370">
        <v>0</v>
      </c>
      <c r="V25" s="370">
        <v>0</v>
      </c>
      <c r="W25" s="370">
        <v>0</v>
      </c>
      <c r="X25" s="370">
        <v>0</v>
      </c>
      <c r="Y25" s="370">
        <v>122176242</v>
      </c>
      <c r="Z25" s="370">
        <v>19451537</v>
      </c>
      <c r="AA25" s="370">
        <v>102724705</v>
      </c>
      <c r="AB25" s="370">
        <v>10445148</v>
      </c>
      <c r="AC25" s="370">
        <v>72518335</v>
      </c>
      <c r="AD25" s="370">
        <v>9006389</v>
      </c>
      <c r="AE25" s="370">
        <v>19451537</v>
      </c>
      <c r="AF25" s="370">
        <v>81635667</v>
      </c>
      <c r="AG25" s="370">
        <v>5110440</v>
      </c>
      <c r="AH25" s="370">
        <v>0</v>
      </c>
      <c r="AI25" s="370">
        <v>-72518335</v>
      </c>
      <c r="AJ25" s="370">
        <v>9959442</v>
      </c>
      <c r="AK25" s="370">
        <v>17724281</v>
      </c>
      <c r="AL25" s="370">
        <v>0</v>
      </c>
      <c r="AM25" s="370">
        <v>33717788</v>
      </c>
      <c r="AN25" s="370">
        <v>38933255</v>
      </c>
      <c r="AO25" s="370">
        <v>39161251</v>
      </c>
      <c r="AP25" s="370">
        <v>6268574</v>
      </c>
      <c r="AQ25" s="370">
        <v>135805149</v>
      </c>
      <c r="AR25" s="370">
        <v>51104056</v>
      </c>
      <c r="AS25" s="370">
        <v>32401375</v>
      </c>
      <c r="AT25" s="370">
        <v>0</v>
      </c>
      <c r="AU25" s="371">
        <v>0.66817955490888314</v>
      </c>
      <c r="AV25" s="371">
        <v>8.6289722348353512E-2</v>
      </c>
      <c r="AW25" s="371">
        <v>0.82180371329522628</v>
      </c>
      <c r="AX25" s="371">
        <v>0.15920883374363407</v>
      </c>
      <c r="AY25" s="371">
        <v>0.59355512833665325</v>
      </c>
      <c r="AZ25" s="371">
        <v>2.0732922851204032E-2</v>
      </c>
      <c r="BA25" s="371">
        <v>5.4460270437266443E-2</v>
      </c>
    </row>
    <row r="26" spans="1:53" ht="15.4" x14ac:dyDescent="0.45">
      <c r="A26" s="334" t="s">
        <v>239</v>
      </c>
      <c r="B26" s="370">
        <v>3229059</v>
      </c>
      <c r="C26" s="370">
        <v>239383493</v>
      </c>
      <c r="D26" s="370">
        <v>111816270</v>
      </c>
      <c r="E26" s="370">
        <v>42167217</v>
      </c>
      <c r="F26" s="370">
        <v>676012</v>
      </c>
      <c r="G26" s="370">
        <v>0</v>
      </c>
      <c r="H26" s="370">
        <v>13617710</v>
      </c>
      <c r="I26" s="370">
        <v>2565326</v>
      </c>
      <c r="J26" s="370">
        <v>1496153</v>
      </c>
      <c r="K26" s="370">
        <v>4415917</v>
      </c>
      <c r="L26" s="370">
        <v>7767062</v>
      </c>
      <c r="M26" s="370">
        <v>20556654</v>
      </c>
      <c r="N26" s="370">
        <v>2974825</v>
      </c>
      <c r="O26" s="370">
        <v>6516514</v>
      </c>
      <c r="P26" s="370">
        <v>109287529</v>
      </c>
      <c r="Q26" s="370">
        <v>1896772</v>
      </c>
      <c r="R26" s="370">
        <v>5579035</v>
      </c>
      <c r="S26" s="370">
        <v>24549543</v>
      </c>
      <c r="T26" s="370">
        <v>0</v>
      </c>
      <c r="U26" s="370">
        <v>0</v>
      </c>
      <c r="V26" s="370">
        <v>0</v>
      </c>
      <c r="W26" s="370">
        <v>0</v>
      </c>
      <c r="X26" s="370">
        <v>0</v>
      </c>
      <c r="Y26" s="370">
        <v>598495091</v>
      </c>
      <c r="Z26" s="370">
        <v>170502422</v>
      </c>
      <c r="AA26" s="370">
        <v>427992669</v>
      </c>
      <c r="AB26" s="370">
        <v>113157218</v>
      </c>
      <c r="AC26" s="370">
        <v>211980498</v>
      </c>
      <c r="AD26" s="370">
        <v>57345204</v>
      </c>
      <c r="AE26" s="370">
        <v>170502422</v>
      </c>
      <c r="AF26" s="370">
        <v>226402590</v>
      </c>
      <c r="AG26" s="370">
        <v>46613628</v>
      </c>
      <c r="AH26" s="370">
        <v>-1587168</v>
      </c>
      <c r="AI26" s="370">
        <v>-172108581</v>
      </c>
      <c r="AJ26" s="370">
        <v>69524329</v>
      </c>
      <c r="AK26" s="370">
        <v>85499528</v>
      </c>
      <c r="AL26" s="370">
        <v>0</v>
      </c>
      <c r="AM26" s="370">
        <v>33485074</v>
      </c>
      <c r="AN26" s="370">
        <v>738829358</v>
      </c>
      <c r="AO26" s="370">
        <v>33119428</v>
      </c>
      <c r="AP26" s="370">
        <v>253893148</v>
      </c>
      <c r="AQ26" s="370">
        <v>1144826536</v>
      </c>
      <c r="AR26" s="370">
        <v>391228554</v>
      </c>
      <c r="AS26" s="370">
        <v>104591275</v>
      </c>
      <c r="AT26" s="370">
        <v>0</v>
      </c>
      <c r="AU26" s="371">
        <v>0.37828646116664638</v>
      </c>
      <c r="AV26" s="371">
        <v>0.17897904389565161</v>
      </c>
      <c r="AW26" s="371">
        <v>0.77929079991196271</v>
      </c>
      <c r="AX26" s="371">
        <v>0.28488524728768411</v>
      </c>
      <c r="AY26" s="371">
        <v>0.35418920086012867</v>
      </c>
      <c r="AZ26" s="371">
        <v>0.1015627289348721</v>
      </c>
      <c r="BA26" s="371">
        <v>0.15103626554674385</v>
      </c>
    </row>
    <row r="27" spans="1:53" ht="15.4" x14ac:dyDescent="0.45">
      <c r="A27" s="334" t="s">
        <v>240</v>
      </c>
      <c r="B27" s="370">
        <v>2092948</v>
      </c>
      <c r="C27" s="370">
        <v>257368159</v>
      </c>
      <c r="D27" s="370">
        <v>162153580</v>
      </c>
      <c r="E27" s="370">
        <v>46363408</v>
      </c>
      <c r="F27" s="370">
        <v>452175</v>
      </c>
      <c r="G27" s="370">
        <v>1185032</v>
      </c>
      <c r="H27" s="370">
        <v>20551138</v>
      </c>
      <c r="I27" s="370">
        <v>2628740</v>
      </c>
      <c r="J27" s="370">
        <v>5816782</v>
      </c>
      <c r="K27" s="370">
        <v>10852033</v>
      </c>
      <c r="L27" s="370">
        <v>5740183</v>
      </c>
      <c r="M27" s="370">
        <v>15523064</v>
      </c>
      <c r="N27" s="370">
        <v>8369165</v>
      </c>
      <c r="O27" s="370">
        <v>21165852</v>
      </c>
      <c r="P27" s="370">
        <v>21781099</v>
      </c>
      <c r="Q27" s="370">
        <v>13006809</v>
      </c>
      <c r="R27" s="370">
        <v>569389</v>
      </c>
      <c r="S27" s="370">
        <v>46298</v>
      </c>
      <c r="T27" s="370">
        <v>0</v>
      </c>
      <c r="U27" s="370">
        <v>0</v>
      </c>
      <c r="V27" s="370">
        <v>0</v>
      </c>
      <c r="W27" s="370">
        <v>0</v>
      </c>
      <c r="X27" s="370">
        <v>0</v>
      </c>
      <c r="Y27" s="370">
        <v>595665854</v>
      </c>
      <c r="Z27" s="370">
        <v>702350817</v>
      </c>
      <c r="AA27" s="370">
        <v>-106684963</v>
      </c>
      <c r="AB27" s="370">
        <v>607162702</v>
      </c>
      <c r="AC27" s="370">
        <v>100302765</v>
      </c>
      <c r="AD27" s="370">
        <v>95191620</v>
      </c>
      <c r="AE27" s="370">
        <v>702350817</v>
      </c>
      <c r="AF27" s="370">
        <v>137870116</v>
      </c>
      <c r="AG27" s="370">
        <v>39249270</v>
      </c>
      <c r="AH27" s="370">
        <v>-12911497</v>
      </c>
      <c r="AI27" s="370">
        <v>-41122118</v>
      </c>
      <c r="AJ27" s="370">
        <v>71886473</v>
      </c>
      <c r="AK27" s="370">
        <v>39860815</v>
      </c>
      <c r="AL27" s="370">
        <v>398666118</v>
      </c>
      <c r="AM27" s="370">
        <v>79355161</v>
      </c>
      <c r="AN27" s="370">
        <v>883548531</v>
      </c>
      <c r="AO27" s="370">
        <v>97841363</v>
      </c>
      <c r="AP27" s="370">
        <v>12177791</v>
      </c>
      <c r="AQ27" s="370">
        <v>1514067257</v>
      </c>
      <c r="AR27" s="370">
        <v>800767965</v>
      </c>
      <c r="AS27" s="370">
        <v>435157634</v>
      </c>
      <c r="AT27" s="370">
        <v>171831616</v>
      </c>
      <c r="AU27" s="371">
        <v>0.23145546294819175</v>
      </c>
      <c r="AV27" s="371">
        <v>0.25505473380334664</v>
      </c>
      <c r="AW27" s="371">
        <v>0.62487652141226468</v>
      </c>
      <c r="AX27" s="371">
        <v>1.1791020289036074</v>
      </c>
      <c r="AY27" s="371">
        <v>0.16838763599835285</v>
      </c>
      <c r="AZ27" s="371">
        <v>0.10108261634106053</v>
      </c>
      <c r="BA27" s="371">
        <v>9.1975040794084459E-2</v>
      </c>
    </row>
    <row r="28" spans="1:53" ht="15.4" x14ac:dyDescent="0.45">
      <c r="A28" s="334" t="s">
        <v>241</v>
      </c>
      <c r="B28" s="370">
        <v>24301948</v>
      </c>
      <c r="C28" s="370">
        <v>0</v>
      </c>
      <c r="D28" s="370">
        <v>95008646</v>
      </c>
      <c r="E28" s="370">
        <v>0</v>
      </c>
      <c r="F28" s="370">
        <v>0</v>
      </c>
      <c r="G28" s="370">
        <v>0</v>
      </c>
      <c r="H28" s="370">
        <v>9204567</v>
      </c>
      <c r="I28" s="370">
        <v>0</v>
      </c>
      <c r="J28" s="370">
        <v>0</v>
      </c>
      <c r="K28" s="370">
        <v>0</v>
      </c>
      <c r="L28" s="370">
        <v>0</v>
      </c>
      <c r="M28" s="370">
        <v>0</v>
      </c>
      <c r="N28" s="370">
        <v>6466565</v>
      </c>
      <c r="O28" s="370">
        <v>0</v>
      </c>
      <c r="P28" s="370">
        <v>4708586</v>
      </c>
      <c r="Q28" s="370">
        <v>1396910</v>
      </c>
      <c r="R28" s="370">
        <v>0</v>
      </c>
      <c r="S28" s="370">
        <v>0</v>
      </c>
      <c r="T28" s="370">
        <v>0</v>
      </c>
      <c r="U28" s="370">
        <v>0</v>
      </c>
      <c r="V28" s="370">
        <v>0</v>
      </c>
      <c r="W28" s="370">
        <v>0</v>
      </c>
      <c r="X28" s="370">
        <v>0</v>
      </c>
      <c r="Y28" s="370">
        <v>141087222</v>
      </c>
      <c r="Z28" s="370">
        <v>104709326</v>
      </c>
      <c r="AA28" s="370">
        <v>36377896</v>
      </c>
      <c r="AB28" s="370">
        <v>38347406</v>
      </c>
      <c r="AC28" s="370">
        <v>17517884</v>
      </c>
      <c r="AD28" s="370">
        <v>66361920</v>
      </c>
      <c r="AE28" s="370">
        <v>104709326</v>
      </c>
      <c r="AF28" s="370">
        <v>23615366</v>
      </c>
      <c r="AG28" s="370">
        <v>16820383</v>
      </c>
      <c r="AH28" s="370">
        <v>0</v>
      </c>
      <c r="AI28" s="370">
        <v>-16990188</v>
      </c>
      <c r="AJ28" s="370">
        <v>17015686</v>
      </c>
      <c r="AK28" s="370">
        <v>21268671</v>
      </c>
      <c r="AL28" s="370">
        <v>0</v>
      </c>
      <c r="AM28" s="370">
        <v>17934426</v>
      </c>
      <c r="AN28" s="370">
        <v>101464509</v>
      </c>
      <c r="AO28" s="370">
        <v>27040242</v>
      </c>
      <c r="AP28" s="370">
        <v>15722053</v>
      </c>
      <c r="AQ28" s="370">
        <v>183429901</v>
      </c>
      <c r="AR28" s="370">
        <v>89566894</v>
      </c>
      <c r="AS28" s="370">
        <v>74436298</v>
      </c>
      <c r="AT28" s="370">
        <v>0</v>
      </c>
      <c r="AU28" s="371">
        <v>0.16738132387353974</v>
      </c>
      <c r="AV28" s="371">
        <v>0.23308196221361485</v>
      </c>
      <c r="AW28" s="371">
        <v>0.71494637761786439</v>
      </c>
      <c r="AX28" s="371">
        <v>0.74216023616936766</v>
      </c>
      <c r="AY28" s="371">
        <v>0.12416350504087464</v>
      </c>
      <c r="AZ28" s="371">
        <v>2.3942056500777756E-2</v>
      </c>
      <c r="BA28" s="371">
        <v>1.5754133776294459E-2</v>
      </c>
    </row>
    <row r="29" spans="1:53" ht="15.4" x14ac:dyDescent="0.45">
      <c r="A29" s="334" t="s">
        <v>41</v>
      </c>
      <c r="B29" s="370">
        <v>496966</v>
      </c>
      <c r="C29" s="370">
        <v>2535772</v>
      </c>
      <c r="D29" s="370">
        <v>37199975</v>
      </c>
      <c r="E29" s="370">
        <v>14921071</v>
      </c>
      <c r="F29" s="370">
        <v>13334</v>
      </c>
      <c r="G29" s="370">
        <v>0</v>
      </c>
      <c r="H29" s="370">
        <v>178311</v>
      </c>
      <c r="I29" s="370">
        <v>20839</v>
      </c>
      <c r="J29" s="370">
        <v>1387167</v>
      </c>
      <c r="K29" s="370">
        <v>386443</v>
      </c>
      <c r="L29" s="370">
        <v>173707</v>
      </c>
      <c r="M29" s="370">
        <v>367212</v>
      </c>
      <c r="N29" s="370">
        <v>217069</v>
      </c>
      <c r="O29" s="370">
        <v>154898</v>
      </c>
      <c r="P29" s="370">
        <v>469746</v>
      </c>
      <c r="Q29" s="370">
        <v>239626</v>
      </c>
      <c r="R29" s="370">
        <v>15376</v>
      </c>
      <c r="S29" s="370">
        <v>0</v>
      </c>
      <c r="T29" s="370">
        <v>0</v>
      </c>
      <c r="U29" s="370">
        <v>0</v>
      </c>
      <c r="V29" s="370">
        <v>0</v>
      </c>
      <c r="W29" s="370">
        <v>0</v>
      </c>
      <c r="X29" s="370">
        <v>0</v>
      </c>
      <c r="Y29" s="370">
        <v>58777512</v>
      </c>
      <c r="Z29" s="370">
        <v>38447549</v>
      </c>
      <c r="AA29" s="370">
        <v>20329963</v>
      </c>
      <c r="AB29" s="370">
        <v>35435460</v>
      </c>
      <c r="AC29" s="370">
        <v>22572531</v>
      </c>
      <c r="AD29" s="370">
        <v>3012089</v>
      </c>
      <c r="AE29" s="370">
        <v>38447549</v>
      </c>
      <c r="AF29" s="370">
        <v>16464459</v>
      </c>
      <c r="AG29" s="370">
        <v>15073163</v>
      </c>
      <c r="AH29" s="370">
        <v>-110782</v>
      </c>
      <c r="AI29" s="370">
        <v>-22202737</v>
      </c>
      <c r="AJ29" s="370">
        <v>6918077</v>
      </c>
      <c r="AK29" s="370">
        <v>10618609</v>
      </c>
      <c r="AL29" s="370">
        <v>0</v>
      </c>
      <c r="AM29" s="370">
        <v>8872098</v>
      </c>
      <c r="AN29" s="370">
        <v>99305115</v>
      </c>
      <c r="AO29" s="370">
        <v>21930576</v>
      </c>
      <c r="AP29" s="370">
        <v>3541974</v>
      </c>
      <c r="AQ29" s="370">
        <v>144777545</v>
      </c>
      <c r="AR29" s="370">
        <v>52423866</v>
      </c>
      <c r="AS29" s="370">
        <v>35569591</v>
      </c>
      <c r="AT29" s="370">
        <v>0</v>
      </c>
      <c r="AU29" s="371">
        <v>0.28011493579381175</v>
      </c>
      <c r="AV29" s="371">
        <v>0.62677508715234875</v>
      </c>
      <c r="AW29" s="371">
        <v>0.49027258679208835</v>
      </c>
      <c r="AX29" s="371">
        <v>0.65412004849745942</v>
      </c>
      <c r="AY29" s="371">
        <v>0.38403345483558404</v>
      </c>
      <c r="AZ29" s="371">
        <v>9.9743583673306893E-3</v>
      </c>
      <c r="BA29" s="371">
        <v>1.0983665874173421E-2</v>
      </c>
    </row>
    <row r="30" spans="1:53" ht="15.4" x14ac:dyDescent="0.45">
      <c r="A30" s="334" t="s">
        <v>42</v>
      </c>
      <c r="B30" s="370">
        <v>5451118</v>
      </c>
      <c r="C30" s="370">
        <v>49300933</v>
      </c>
      <c r="D30" s="370">
        <v>254388870</v>
      </c>
      <c r="E30" s="370">
        <v>39730512</v>
      </c>
      <c r="F30" s="370">
        <v>593030</v>
      </c>
      <c r="G30" s="370">
        <v>0</v>
      </c>
      <c r="H30" s="370">
        <v>4813362</v>
      </c>
      <c r="I30" s="370">
        <v>1263864</v>
      </c>
      <c r="J30" s="370">
        <v>5217352</v>
      </c>
      <c r="K30" s="370">
        <v>4263897</v>
      </c>
      <c r="L30" s="370">
        <v>37403</v>
      </c>
      <c r="M30" s="370">
        <v>22545911</v>
      </c>
      <c r="N30" s="370">
        <v>2189353</v>
      </c>
      <c r="O30" s="370">
        <v>13326762</v>
      </c>
      <c r="P30" s="370">
        <v>16226900</v>
      </c>
      <c r="Q30" s="370">
        <v>65861</v>
      </c>
      <c r="R30" s="370">
        <v>5885615</v>
      </c>
      <c r="S30" s="370">
        <v>0</v>
      </c>
      <c r="T30" s="370">
        <v>0</v>
      </c>
      <c r="U30" s="370">
        <v>0</v>
      </c>
      <c r="V30" s="370">
        <v>0</v>
      </c>
      <c r="W30" s="370">
        <v>1168402</v>
      </c>
      <c r="X30" s="370">
        <v>0</v>
      </c>
      <c r="Y30" s="370">
        <v>426469145</v>
      </c>
      <c r="Z30" s="370">
        <v>213442636</v>
      </c>
      <c r="AA30" s="370">
        <v>213026509</v>
      </c>
      <c r="AB30" s="370">
        <v>136015502</v>
      </c>
      <c r="AC30" s="370">
        <v>116681593</v>
      </c>
      <c r="AD30" s="370">
        <v>77427134</v>
      </c>
      <c r="AE30" s="370">
        <v>213442636</v>
      </c>
      <c r="AF30" s="370">
        <v>154114173</v>
      </c>
      <c r="AG30" s="370">
        <v>-8602928</v>
      </c>
      <c r="AH30" s="370">
        <v>0</v>
      </c>
      <c r="AI30" s="370">
        <v>-116390771</v>
      </c>
      <c r="AJ30" s="370">
        <v>23120474</v>
      </c>
      <c r="AK30" s="370">
        <v>55132445</v>
      </c>
      <c r="AL30" s="370">
        <v>0</v>
      </c>
      <c r="AM30" s="370">
        <v>40633918</v>
      </c>
      <c r="AN30" s="370">
        <v>192989031</v>
      </c>
      <c r="AO30" s="370">
        <v>105366797</v>
      </c>
      <c r="AP30" s="370">
        <v>49353943</v>
      </c>
      <c r="AQ30" s="370">
        <v>443476134</v>
      </c>
      <c r="AR30" s="370">
        <v>260266653</v>
      </c>
      <c r="AS30" s="370">
        <v>165244301</v>
      </c>
      <c r="AT30" s="370">
        <v>0</v>
      </c>
      <c r="AU30" s="371">
        <v>0.36137238720986486</v>
      </c>
      <c r="AV30" s="371">
        <v>0.32198762822693117</v>
      </c>
      <c r="AW30" s="371">
        <v>0.56840017049364389</v>
      </c>
      <c r="AX30" s="371">
        <v>0.50048787468551803</v>
      </c>
      <c r="AY30" s="371">
        <v>0.27359914396620649</v>
      </c>
      <c r="AZ30" s="371">
        <v>7.2370468570345667E-2</v>
      </c>
      <c r="BA30" s="371">
        <v>0.10281167347840332</v>
      </c>
    </row>
    <row r="31" spans="1:53" ht="15.4" x14ac:dyDescent="0.45">
      <c r="A31" s="334" t="s">
        <v>242</v>
      </c>
      <c r="B31" s="408">
        <v>65456644.600000001</v>
      </c>
      <c r="C31" s="408">
        <v>1778072598.74</v>
      </c>
      <c r="D31" s="408">
        <v>1923690979.6900001</v>
      </c>
      <c r="E31" s="408">
        <v>399975206.25</v>
      </c>
      <c r="F31" s="408">
        <v>14202343.75</v>
      </c>
      <c r="G31" s="408">
        <v>103314768</v>
      </c>
      <c r="H31" s="408">
        <v>179847674.12</v>
      </c>
      <c r="I31" s="408">
        <v>19179473.379999999</v>
      </c>
      <c r="J31" s="408">
        <v>24995285.899999999</v>
      </c>
      <c r="K31" s="408">
        <v>77246367.5</v>
      </c>
      <c r="L31" s="408">
        <v>42130861.159999996</v>
      </c>
      <c r="M31" s="408">
        <v>225881754.90000001</v>
      </c>
      <c r="N31" s="408">
        <v>151090927.37</v>
      </c>
      <c r="O31" s="408">
        <v>160674105.72</v>
      </c>
      <c r="P31" s="408">
        <v>395243762.81999999</v>
      </c>
      <c r="Q31" s="408">
        <v>217343148.61000001</v>
      </c>
      <c r="R31" s="408">
        <v>80693069.25</v>
      </c>
      <c r="S31" s="408">
        <v>29185977.620000001</v>
      </c>
      <c r="T31" s="408">
        <v>3077417.51</v>
      </c>
      <c r="U31" s="408">
        <v>351612</v>
      </c>
      <c r="V31" s="408">
        <v>39078</v>
      </c>
      <c r="W31" s="408">
        <v>1168402</v>
      </c>
      <c r="X31" s="408">
        <v>0</v>
      </c>
      <c r="Y31" s="408">
        <v>5892861458.8899994</v>
      </c>
      <c r="Z31" s="408">
        <v>3333906282.9072251</v>
      </c>
      <c r="AA31" s="408">
        <v>2558955175.9827738</v>
      </c>
      <c r="AB31" s="408">
        <v>2390837565.4534903</v>
      </c>
      <c r="AC31" s="408">
        <v>1191206109.3699999</v>
      </c>
      <c r="AD31" s="408">
        <v>944177510.1555028</v>
      </c>
      <c r="AE31" s="408">
        <v>3333906282.9072251</v>
      </c>
      <c r="AF31" s="408">
        <v>1498994888.2835109</v>
      </c>
      <c r="AG31" s="408">
        <v>206153471.42000002</v>
      </c>
      <c r="AH31" s="408">
        <v>-26210941.122981809</v>
      </c>
      <c r="AI31" s="408">
        <v>-1065927010.05</v>
      </c>
      <c r="AJ31" s="408">
        <v>398665718.5305292</v>
      </c>
      <c r="AK31" s="408">
        <v>899608831.18000007</v>
      </c>
      <c r="AL31" s="408">
        <v>423016817</v>
      </c>
      <c r="AM31" s="408">
        <v>1410086763.0622144</v>
      </c>
      <c r="AN31" s="408">
        <v>4356719994.3492231</v>
      </c>
      <c r="AO31" s="408">
        <v>715606745.09999979</v>
      </c>
      <c r="AP31" s="408">
        <v>766927724.70999992</v>
      </c>
      <c r="AQ31" s="408">
        <v>8631408844.5299988</v>
      </c>
      <c r="AR31" s="408">
        <v>4615257819.5469847</v>
      </c>
      <c r="AS31" s="408">
        <v>3152710782.2831821</v>
      </c>
      <c r="AT31" s="408">
        <v>246232293</v>
      </c>
      <c r="AU31" s="409">
        <v>0.30690735502861194</v>
      </c>
      <c r="AV31" s="409">
        <v>0.33476155166307725</v>
      </c>
      <c r="AW31" s="409">
        <v>0.65314142900703975</v>
      </c>
      <c r="AX31" s="410">
        <v>0.57194282518348394</v>
      </c>
      <c r="AY31" s="410">
        <v>0.30224083028292165</v>
      </c>
      <c r="AZ31" s="411">
        <v>1</v>
      </c>
      <c r="BA31" s="411">
        <v>1</v>
      </c>
    </row>
  </sheetData>
  <mergeCells count="1">
    <mergeCell ref="Z1:BA1"/>
  </mergeCells>
  <dataValidations count="1">
    <dataValidation type="list" allowBlank="1" showInputMessage="1" showErrorMessage="1" sqref="A3" xr:uid="{C5267FAB-FA47-4F72-BDCF-1B27E71FDED2}">
      <formula1>$A$6:$A$30</formula1>
    </dataValidation>
  </dataValidations>
  <pageMargins left="0.7" right="0.7" top="0.75" bottom="0.75" header="0.3" footer="0.3"/>
  <legacy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55</vt:i4>
      </vt:variant>
    </vt:vector>
  </HeadingPairs>
  <TitlesOfParts>
    <vt:vector size="55" baseType="lpstr">
      <vt:lpstr> Introduction </vt:lpstr>
      <vt:lpstr>Reliance and Limitation</vt:lpstr>
      <vt:lpstr>PERIOD SHORTCUTS</vt:lpstr>
      <vt:lpstr>Q1, 2013</vt:lpstr>
      <vt:lpstr>Q2, 2013</vt:lpstr>
      <vt:lpstr>Q3, 2013</vt:lpstr>
      <vt:lpstr>Q4, 2013</vt:lpstr>
      <vt:lpstr>Q1 2014</vt:lpstr>
      <vt:lpstr>Q2, 2014</vt:lpstr>
      <vt:lpstr>Q3, 2014</vt:lpstr>
      <vt:lpstr>Q4,2014</vt:lpstr>
      <vt:lpstr>Q1, 2015</vt:lpstr>
      <vt:lpstr>Q2, 2015</vt:lpstr>
      <vt:lpstr>Q3, 2015</vt:lpstr>
      <vt:lpstr>Q4, 2015</vt:lpstr>
      <vt:lpstr>Q1, 2016</vt:lpstr>
      <vt:lpstr>Q2, 2016</vt:lpstr>
      <vt:lpstr>Q3, 2016</vt:lpstr>
      <vt:lpstr>Q4, 2016</vt:lpstr>
      <vt:lpstr>Q1, 2017</vt:lpstr>
      <vt:lpstr>Q2, 2017</vt:lpstr>
      <vt:lpstr>Q3, 2017</vt:lpstr>
      <vt:lpstr>Q4, 2017</vt:lpstr>
      <vt:lpstr>Q1, 2018</vt:lpstr>
      <vt:lpstr>Q2,2018</vt:lpstr>
      <vt:lpstr>Q3,2018</vt:lpstr>
      <vt:lpstr>Q4, 2018</vt:lpstr>
      <vt:lpstr>Q1, 2019</vt:lpstr>
      <vt:lpstr>Q2,2019</vt:lpstr>
      <vt:lpstr>Q3,2019</vt:lpstr>
      <vt:lpstr>Q4, 2019</vt:lpstr>
      <vt:lpstr>Q1, 2020</vt:lpstr>
      <vt:lpstr>Q2, 2020</vt:lpstr>
      <vt:lpstr>Q3 2020</vt:lpstr>
      <vt:lpstr>Q4 2020</vt:lpstr>
      <vt:lpstr>Q1 2021</vt:lpstr>
      <vt:lpstr>Q2 2021</vt:lpstr>
      <vt:lpstr>Q3 2021</vt:lpstr>
      <vt:lpstr>Q4 2021</vt:lpstr>
      <vt:lpstr>Q1 2022</vt:lpstr>
      <vt:lpstr>Q2 2022</vt:lpstr>
      <vt:lpstr>Q3 2022</vt:lpstr>
      <vt:lpstr>Q4 2022</vt:lpstr>
      <vt:lpstr>Q1 2023</vt:lpstr>
      <vt:lpstr>Q2 2023</vt:lpstr>
      <vt:lpstr>Q3 2023</vt:lpstr>
      <vt:lpstr>Q4 2023</vt:lpstr>
      <vt:lpstr>Q1 2024</vt:lpstr>
      <vt:lpstr>Q2 2024</vt:lpstr>
      <vt:lpstr>Q3 2024</vt:lpstr>
      <vt:lpstr>Q4 2024</vt:lpstr>
      <vt:lpstr>Q1 2025</vt:lpstr>
      <vt:lpstr>Q2 2025</vt:lpstr>
      <vt:lpstr>Q3 2025</vt:lpstr>
      <vt:lpstr>Q4 2025</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NICSupervisionCentre</dc:creator>
  <cp:keywords/>
  <dc:description/>
  <cp:lastModifiedBy>Cyril Tobil</cp:lastModifiedBy>
  <cp:revision/>
  <dcterms:created xsi:type="dcterms:W3CDTF">2018-03-23T13:29:32Z</dcterms:created>
  <dcterms:modified xsi:type="dcterms:W3CDTF">2026-03-24T07:44:55Z</dcterms:modified>
  <cp:category/>
  <cp:contentStatus/>
</cp:coreProperties>
</file>