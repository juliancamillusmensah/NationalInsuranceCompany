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drawings/drawing2.xml" ContentType="application/vnd.openxmlformats-officedocument.drawing+xml"/>
  <Override PartName="/xl/customProperty3.bin" ContentType="application/vnd.openxmlformats-officedocument.spreadsheetml.customProperty"/>
  <Override PartName="/xl/drawings/drawing3.xml" ContentType="application/vnd.openxmlformats-officedocument.drawing+xml"/>
  <Override PartName="/xl/customProperty4.bin" ContentType="application/vnd.openxmlformats-officedocument.spreadsheetml.customProperty"/>
  <Override PartName="/xl/drawings/drawing4.xml" ContentType="application/vnd.openxmlformats-officedocument.drawing+xml"/>
  <Override PartName="/xl/drawings/drawing5.xml" ContentType="application/vnd.openxmlformats-officedocument.drawing+xml"/>
  <Override PartName="/xl/customProperty5.bin" ContentType="application/vnd.openxmlformats-officedocument.spreadsheetml.customProperty"/>
  <Override PartName="/xl/customProperty6.bin" ContentType="application/vnd.openxmlformats-officedocument.spreadsheetml.customProperty"/>
  <Override PartName="/xl/comments1.xml" ContentType="application/vnd.openxmlformats-officedocument.spreadsheetml.comments+xml"/>
  <Override PartName="/xl/customProperty7.bin" ContentType="application/vnd.openxmlformats-officedocument.spreadsheetml.customProperty"/>
  <Override PartName="/xl/comments2.xml" ContentType="application/vnd.openxmlformats-officedocument.spreadsheetml.comments+xml"/>
  <Override PartName="/xl/customProperty8.bin" ContentType="application/vnd.openxmlformats-officedocument.spreadsheetml.customProperty"/>
  <Override PartName="/xl/comments3.xml" ContentType="application/vnd.openxmlformats-officedocument.spreadsheetml.comments+xml"/>
  <Override PartName="/xl/customProperty9.bin" ContentType="application/vnd.openxmlformats-officedocument.spreadsheetml.customProperty"/>
  <Override PartName="/xl/comments4.xml" ContentType="application/vnd.openxmlformats-officedocument.spreadsheetml.comments+xml"/>
  <Override PartName="/xl/customProperty10.bin" ContentType="application/vnd.openxmlformats-officedocument.spreadsheetml.customProperty"/>
  <Override PartName="/xl/comments5.xml" ContentType="application/vnd.openxmlformats-officedocument.spreadsheetml.comments+xml"/>
  <Override PartName="/xl/customProperty11.bin" ContentType="application/vnd.openxmlformats-officedocument.spreadsheetml.customProperty"/>
  <Override PartName="/xl/comments6.xml" ContentType="application/vnd.openxmlformats-officedocument.spreadsheetml.comments+xml"/>
  <Override PartName="/xl/customProperty12.bin" ContentType="application/vnd.openxmlformats-officedocument.spreadsheetml.customProperty"/>
  <Override PartName="/xl/comments7.xml" ContentType="application/vnd.openxmlformats-officedocument.spreadsheetml.comments+xml"/>
  <Override PartName="/xl/customProperty13.bin" ContentType="application/vnd.openxmlformats-officedocument.spreadsheetml.customProperty"/>
  <Override PartName="/xl/comments8.xml" ContentType="application/vnd.openxmlformats-officedocument.spreadsheetml.comments+xml"/>
  <Override PartName="/xl/customProperty14.bin" ContentType="application/vnd.openxmlformats-officedocument.spreadsheetml.customProperty"/>
  <Override PartName="/xl/comments9.xml" ContentType="application/vnd.openxmlformats-officedocument.spreadsheetml.comments+xml"/>
  <Override PartName="/xl/customProperty15.bin" ContentType="application/vnd.openxmlformats-officedocument.spreadsheetml.customProperty"/>
  <Override PartName="/xl/comments10.xml" ContentType="application/vnd.openxmlformats-officedocument.spreadsheetml.comments+xml"/>
  <Override PartName="/xl/customProperty16.bin" ContentType="application/vnd.openxmlformats-officedocument.spreadsheetml.customProperty"/>
  <Override PartName="/xl/comments11.xml" ContentType="application/vnd.openxmlformats-officedocument.spreadsheetml.comments+xml"/>
  <Override PartName="/xl/customProperty17.bin" ContentType="application/vnd.openxmlformats-officedocument.spreadsheetml.customProperty"/>
  <Override PartName="/xl/comments12.xml" ContentType="application/vnd.openxmlformats-officedocument.spreadsheetml.comments+xml"/>
  <Override PartName="/xl/customProperty18.bin" ContentType="application/vnd.openxmlformats-officedocument.spreadsheetml.customProperty"/>
  <Override PartName="/xl/comments13.xml" ContentType="application/vnd.openxmlformats-officedocument.spreadsheetml.comments+xml"/>
  <Override PartName="/xl/customProperty19.bin" ContentType="application/vnd.openxmlformats-officedocument.spreadsheetml.customProperty"/>
  <Override PartName="/xl/comments14.xml" ContentType="application/vnd.openxmlformats-officedocument.spreadsheetml.comments+xml"/>
  <Override PartName="/xl/customProperty20.bin" ContentType="application/vnd.openxmlformats-officedocument.spreadsheetml.customProperty"/>
  <Override PartName="/xl/comments15.xml" ContentType="application/vnd.openxmlformats-officedocument.spreadsheetml.comments+xml"/>
  <Override PartName="/xl/customProperty21.bin" ContentType="application/vnd.openxmlformats-officedocument.spreadsheetml.customProperty"/>
  <Override PartName="/xl/comments16.xml" ContentType="application/vnd.openxmlformats-officedocument.spreadsheetml.comments+xml"/>
  <Override PartName="/xl/customProperty22.bin" ContentType="application/vnd.openxmlformats-officedocument.spreadsheetml.customProperty"/>
  <Override PartName="/xl/comments17.xml" ContentType="application/vnd.openxmlformats-officedocument.spreadsheetml.comments+xml"/>
  <Override PartName="/xl/customProperty23.bin" ContentType="application/vnd.openxmlformats-officedocument.spreadsheetml.customProperty"/>
  <Override PartName="/xl/comments18.xml" ContentType="application/vnd.openxmlformats-officedocument.spreadsheetml.comments+xml"/>
  <Override PartName="/xl/customProperty24.bin" ContentType="application/vnd.openxmlformats-officedocument.spreadsheetml.customProperty"/>
  <Override PartName="/xl/comments19.xml" ContentType="application/vnd.openxmlformats-officedocument.spreadsheetml.comments+xml"/>
  <Override PartName="/xl/customProperty25.bin" ContentType="application/vnd.openxmlformats-officedocument.spreadsheetml.customProperty"/>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howObjects="none" filterPrivacy="1" codeName="ThisWorkbook" defaultThemeVersion="124226"/>
  <xr:revisionPtr revIDLastSave="0" documentId="13_ncr:1_{0F50F5FF-1717-47C3-9F3F-6431A398EA2C}" xr6:coauthVersionLast="47" xr6:coauthVersionMax="47" xr10:uidLastSave="{00000000-0000-0000-0000-000000000000}"/>
  <bookViews>
    <workbookView xWindow="-98" yWindow="-98" windowWidth="21795" windowHeight="12975" tabRatio="643" firstSheet="47" activeTab="54" xr2:uid="{00000000-000D-0000-FFFF-FFFF00000000}"/>
  </bookViews>
  <sheets>
    <sheet name="Introduction" sheetId="31" r:id="rId1"/>
    <sheet name="PERIOD SHORTCUTS" sheetId="32" r:id="rId2"/>
    <sheet name="Reliance and Limitation" sheetId="30" r:id="rId3"/>
    <sheet name="Q1,2013" sheetId="2" r:id="rId4"/>
    <sheet name="Q2,2013" sheetId="16" r:id="rId5"/>
    <sheet name="Q3,2013" sheetId="15" r:id="rId6"/>
    <sheet name="Q4,2013" sheetId="14" r:id="rId7"/>
    <sheet name="Q1,2014" sheetId="6" r:id="rId8"/>
    <sheet name="Q2, 2014" sheetId="17" r:id="rId9"/>
    <sheet name="Q3, 2014" sheetId="18" r:id="rId10"/>
    <sheet name="Q4,2014" sheetId="19" r:id="rId11"/>
    <sheet name="Q1, 2015" sheetId="21" r:id="rId12"/>
    <sheet name="Q2,2015" sheetId="22" r:id="rId13"/>
    <sheet name="Q3,2015" sheetId="20" r:id="rId14"/>
    <sheet name="Q4,2015" sheetId="7" r:id="rId15"/>
    <sheet name="Q1, 2016" sheetId="24" r:id="rId16"/>
    <sheet name="Q2, 2016" sheetId="25" r:id="rId17"/>
    <sheet name="Q3,2016" sheetId="23" r:id="rId18"/>
    <sheet name="Q4, 2016" sheetId="8" r:id="rId19"/>
    <sheet name="Q1, 2017" sheetId="26" r:id="rId20"/>
    <sheet name="Q2, 2017" sheetId="27" r:id="rId21"/>
    <sheet name="Q3, 2017" sheetId="28" r:id="rId22"/>
    <sheet name="Q4, 2017" sheetId="29" r:id="rId23"/>
    <sheet name="Q1, 2018" sheetId="33" r:id="rId24"/>
    <sheet name="Q2, 2018" sheetId="35" r:id="rId25"/>
    <sheet name="Q3, 2018" sheetId="36" r:id="rId26"/>
    <sheet name="Q4, 2018" sheetId="37" r:id="rId27"/>
    <sheet name="Q1, 2019" sheetId="38" r:id="rId28"/>
    <sheet name="Q2,2019" sheetId="39" r:id="rId29"/>
    <sheet name="Q3, 2019" sheetId="42" r:id="rId30"/>
    <sheet name="Q4, 2019" sheetId="43" r:id="rId31"/>
    <sheet name="Q1, 2020" sheetId="46" r:id="rId32"/>
    <sheet name="Q2, 2020" sheetId="47" r:id="rId33"/>
    <sheet name="Q3 2020" sheetId="48" r:id="rId34"/>
    <sheet name="Q4 2020" sheetId="49" r:id="rId35"/>
    <sheet name="Q1, 2021" sheetId="51" r:id="rId36"/>
    <sheet name="Q2, 2021" sheetId="50" r:id="rId37"/>
    <sheet name="Q3, 2021" sheetId="54" r:id="rId38"/>
    <sheet name="Q4, 2021" sheetId="55" r:id="rId39"/>
    <sheet name="Q1, 2022" sheetId="56" r:id="rId40"/>
    <sheet name="Q2, 2022" sheetId="57" r:id="rId41"/>
    <sheet name="Q3,2022" sheetId="58" r:id="rId42"/>
    <sheet name="Q4,2022" sheetId="59" r:id="rId43"/>
    <sheet name="Q1,2023" sheetId="61" r:id="rId44"/>
    <sheet name="Q2 2023" sheetId="62" r:id="rId45"/>
    <sheet name="Q3, 2023" sheetId="63" r:id="rId46"/>
    <sheet name="Q4, 2023" sheetId="64" r:id="rId47"/>
    <sheet name="Q1, 2024" sheetId="65" r:id="rId48"/>
    <sheet name="Q2, 2024" sheetId="66" r:id="rId49"/>
    <sheet name="Q3, 2024" sheetId="67" r:id="rId50"/>
    <sheet name="Q4, 2024" sheetId="68" r:id="rId51"/>
    <sheet name="Q1, 2025" sheetId="69" r:id="rId52"/>
    <sheet name="Q2, 2025" sheetId="70" r:id="rId53"/>
    <sheet name="Q3 2025" sheetId="71" r:id="rId54"/>
    <sheet name="Q4 2025" sheetId="72" r:id="rId5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3" i="72" l="1"/>
  <c r="AQ3" i="72"/>
  <c r="AP3" i="72"/>
  <c r="AO3" i="72"/>
  <c r="AN3" i="72"/>
  <c r="AM3" i="72"/>
  <c r="AL3" i="72"/>
  <c r="AK3" i="72"/>
  <c r="AJ3" i="72"/>
  <c r="AI3" i="72"/>
  <c r="AH3" i="72"/>
  <c r="AG3" i="72"/>
  <c r="AF3" i="72"/>
  <c r="AE3" i="72"/>
  <c r="AD3"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R2" i="72"/>
  <c r="AQ2" i="72"/>
  <c r="AP2" i="72"/>
  <c r="AO2" i="72"/>
  <c r="AN2" i="72"/>
  <c r="AM2" i="72"/>
  <c r="AL2" i="72"/>
  <c r="AK2" i="72"/>
  <c r="AJ2" i="72"/>
  <c r="AI2" i="72"/>
  <c r="AH2" i="72"/>
  <c r="AG2" i="72"/>
  <c r="AF2" i="72"/>
  <c r="AE2" i="72"/>
  <c r="AD2" i="72"/>
  <c r="AC2" i="72"/>
  <c r="AB2" i="72"/>
  <c r="AA2" i="72"/>
  <c r="Z2" i="72"/>
  <c r="Y2" i="72"/>
  <c r="X2" i="72"/>
  <c r="W2" i="72"/>
  <c r="V2" i="72"/>
  <c r="U2" i="72"/>
  <c r="T2" i="72"/>
  <c r="S2" i="72"/>
  <c r="R2" i="72"/>
  <c r="Q2" i="72"/>
  <c r="P2" i="72"/>
  <c r="O2" i="72"/>
  <c r="N2" i="72"/>
  <c r="M2" i="72"/>
  <c r="L2" i="72"/>
  <c r="K2" i="72"/>
  <c r="J2" i="72"/>
  <c r="I2" i="72"/>
  <c r="H2" i="72"/>
  <c r="G2" i="72"/>
  <c r="F2" i="72"/>
  <c r="E2" i="72"/>
  <c r="D2" i="72"/>
  <c r="C2" i="72"/>
  <c r="B2" i="72"/>
  <c r="C2" i="71"/>
  <c r="D2" i="71"/>
  <c r="E2" i="71"/>
  <c r="F2" i="71"/>
  <c r="G2" i="71"/>
  <c r="H2" i="71"/>
  <c r="I2" i="71"/>
  <c r="J2" i="71"/>
  <c r="K2" i="71"/>
  <c r="L2" i="71"/>
  <c r="M2" i="71"/>
  <c r="N2" i="71"/>
  <c r="O2" i="71"/>
  <c r="P2" i="71"/>
  <c r="Q2" i="71"/>
  <c r="R2" i="71"/>
  <c r="S2" i="71"/>
  <c r="T2" i="71"/>
  <c r="U2" i="71"/>
  <c r="V2" i="71"/>
  <c r="W2" i="71"/>
  <c r="X2" i="71"/>
  <c r="Y2" i="71"/>
  <c r="Z2" i="71"/>
  <c r="AA2" i="71"/>
  <c r="AB2" i="71"/>
  <c r="AC2" i="71"/>
  <c r="AD2" i="71"/>
  <c r="AE2" i="71"/>
  <c r="AF2" i="71"/>
  <c r="AG2" i="71"/>
  <c r="AH2" i="71"/>
  <c r="AI2" i="71"/>
  <c r="AJ2" i="71"/>
  <c r="AK2" i="71"/>
  <c r="AL2" i="71"/>
  <c r="AM2" i="71"/>
  <c r="AN2" i="71"/>
  <c r="AO2" i="71"/>
  <c r="AP2" i="71"/>
  <c r="AQ2" i="71"/>
  <c r="AR2" i="71"/>
  <c r="B2" i="71"/>
  <c r="AR3" i="71"/>
  <c r="AQ3" i="71"/>
  <c r="AP3" i="71"/>
  <c r="AO3" i="71"/>
  <c r="AN3" i="71"/>
  <c r="AM3" i="71"/>
  <c r="AL3" i="71"/>
  <c r="AK3" i="71"/>
  <c r="AJ3" i="71"/>
  <c r="AI3" i="71"/>
  <c r="AH3" i="71"/>
  <c r="AG3" i="71"/>
  <c r="AF3" i="71"/>
  <c r="AE3" i="71"/>
  <c r="AD3"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AQ22" i="70"/>
  <c r="AP22" i="70"/>
  <c r="AO22" i="70"/>
  <c r="AN22" i="70"/>
  <c r="AM22" i="70"/>
  <c r="AL22" i="70"/>
  <c r="AK22" i="70"/>
  <c r="AJ22" i="70"/>
  <c r="AI22" i="70"/>
  <c r="AH22" i="70"/>
  <c r="AG22" i="70"/>
  <c r="AF22" i="70"/>
  <c r="AE22" i="70"/>
  <c r="AD22" i="70"/>
  <c r="AC22" i="70"/>
  <c r="AB22" i="70"/>
  <c r="AA22" i="70"/>
  <c r="Z22" i="70"/>
  <c r="Y22" i="70"/>
  <c r="X22" i="70"/>
  <c r="W22" i="70"/>
  <c r="V22" i="70"/>
  <c r="U22" i="70"/>
  <c r="T22" i="70"/>
  <c r="S22" i="70"/>
  <c r="R22" i="70"/>
  <c r="Q22" i="70"/>
  <c r="P22" i="70"/>
  <c r="O22" i="70"/>
  <c r="AR14" i="70" s="1"/>
  <c r="AQ3" i="70"/>
  <c r="AP3" i="70"/>
  <c r="AO3" i="70"/>
  <c r="AN3" i="70"/>
  <c r="AM3" i="70"/>
  <c r="AL3" i="70"/>
  <c r="AK3" i="70"/>
  <c r="AJ3" i="70"/>
  <c r="AI3" i="70"/>
  <c r="AH3" i="70"/>
  <c r="AG3" i="70"/>
  <c r="AF3" i="70"/>
  <c r="AE3" i="70"/>
  <c r="AD3" i="70"/>
  <c r="AC3" i="70"/>
  <c r="AB3" i="70"/>
  <c r="AA3" i="70"/>
  <c r="Z3" i="70"/>
  <c r="Y3" i="70"/>
  <c r="X3" i="70"/>
  <c r="W3" i="70"/>
  <c r="V3" i="70"/>
  <c r="U3" i="70"/>
  <c r="T3" i="70"/>
  <c r="S3" i="70"/>
  <c r="R3" i="70"/>
  <c r="Q3" i="70"/>
  <c r="P3" i="70"/>
  <c r="O3" i="70"/>
  <c r="N3" i="70"/>
  <c r="M3" i="70"/>
  <c r="L3" i="70"/>
  <c r="K3" i="70"/>
  <c r="J3" i="70"/>
  <c r="I3" i="70"/>
  <c r="H3" i="70"/>
  <c r="G3" i="70"/>
  <c r="F3" i="70"/>
  <c r="E3" i="70"/>
  <c r="D3" i="70"/>
  <c r="C3" i="70"/>
  <c r="B3" i="70"/>
  <c r="AK3" i="69"/>
  <c r="AL3" i="69"/>
  <c r="AR15" i="70" l="1"/>
  <c r="AR16" i="70"/>
  <c r="AR17" i="70"/>
  <c r="AR18" i="70"/>
  <c r="AR19" i="70"/>
  <c r="AR9" i="70"/>
  <c r="AR20" i="70"/>
  <c r="AR7" i="70"/>
  <c r="AR8" i="70"/>
  <c r="AR12" i="70"/>
  <c r="AR13" i="70"/>
  <c r="AR3" i="70" s="1"/>
  <c r="AQ22" i="69"/>
  <c r="AP22" i="69"/>
  <c r="AO22" i="69"/>
  <c r="AN22" i="69"/>
  <c r="AM22" i="69"/>
  <c r="AL22" i="69"/>
  <c r="AK22" i="69"/>
  <c r="AJ22" i="69"/>
  <c r="AI22" i="69"/>
  <c r="AH22" i="69"/>
  <c r="AG22" i="69"/>
  <c r="AF22" i="69"/>
  <c r="AE22" i="69"/>
  <c r="AD22" i="69"/>
  <c r="AC22" i="69"/>
  <c r="AB22" i="69"/>
  <c r="AA22" i="69"/>
  <c r="Z22" i="69"/>
  <c r="Y22" i="69"/>
  <c r="X22" i="69"/>
  <c r="W22" i="69"/>
  <c r="V22" i="69"/>
  <c r="U22" i="69"/>
  <c r="T22" i="69"/>
  <c r="S22" i="69"/>
  <c r="R22" i="69"/>
  <c r="Q22" i="69"/>
  <c r="P22" i="69"/>
  <c r="O22" i="69"/>
  <c r="N22" i="69"/>
  <c r="M22" i="69"/>
  <c r="L22" i="69"/>
  <c r="K22" i="69"/>
  <c r="J22" i="69"/>
  <c r="I22" i="69"/>
  <c r="H22" i="69"/>
  <c r="G22" i="69"/>
  <c r="F22" i="69"/>
  <c r="E22" i="69"/>
  <c r="D22" i="69"/>
  <c r="C22" i="69"/>
  <c r="B22" i="69"/>
  <c r="AQ3" i="69"/>
  <c r="AP3" i="69"/>
  <c r="AO3" i="69"/>
  <c r="AN3" i="69"/>
  <c r="AM3" i="69"/>
  <c r="AJ3" i="69"/>
  <c r="AI3" i="69"/>
  <c r="AH3" i="69"/>
  <c r="AG3" i="69"/>
  <c r="AF3" i="69"/>
  <c r="AE3" i="69"/>
  <c r="AD3" i="69"/>
  <c r="AC3" i="69"/>
  <c r="AB3" i="69"/>
  <c r="AA3" i="69"/>
  <c r="Z3" i="69"/>
  <c r="Y3" i="69"/>
  <c r="X3" i="69"/>
  <c r="W3" i="69"/>
  <c r="V3" i="69"/>
  <c r="U3" i="69"/>
  <c r="T3" i="69"/>
  <c r="S3" i="69"/>
  <c r="R3" i="69"/>
  <c r="Q3" i="69"/>
  <c r="P3" i="69"/>
  <c r="O3" i="69"/>
  <c r="N3" i="69"/>
  <c r="M3" i="69"/>
  <c r="L3" i="69"/>
  <c r="K3" i="69"/>
  <c r="J3" i="69"/>
  <c r="I3" i="69"/>
  <c r="H3" i="69"/>
  <c r="G3" i="69"/>
  <c r="F3" i="69"/>
  <c r="E3" i="69"/>
  <c r="D3" i="69"/>
  <c r="C3" i="69"/>
  <c r="B3" i="69"/>
  <c r="AR22" i="70" l="1"/>
  <c r="AR14" i="69"/>
  <c r="AR13" i="69"/>
  <c r="AR7" i="69"/>
  <c r="AR19" i="69"/>
  <c r="AR18" i="69"/>
  <c r="AR8" i="69"/>
  <c r="AR20" i="69"/>
  <c r="AR15" i="69"/>
  <c r="AR9" i="69"/>
  <c r="AR12" i="69"/>
  <c r="AR16" i="69"/>
  <c r="AR3" i="69"/>
  <c r="AR17" i="69"/>
  <c r="AI3" i="68"/>
  <c r="AI22" i="68"/>
  <c r="AQ22" i="68"/>
  <c r="AP22" i="68"/>
  <c r="AO22" i="68"/>
  <c r="AN22" i="68"/>
  <c r="AM22" i="68"/>
  <c r="AL22" i="68"/>
  <c r="AK22" i="68"/>
  <c r="AJ22" i="68"/>
  <c r="AH22" i="68"/>
  <c r="AG22" i="68"/>
  <c r="AF22" i="68"/>
  <c r="AE22" i="68"/>
  <c r="AD22" i="68"/>
  <c r="AC22" i="68"/>
  <c r="AB22" i="68"/>
  <c r="AA22" i="68"/>
  <c r="Z22" i="68"/>
  <c r="Y22" i="68"/>
  <c r="X22" i="68"/>
  <c r="W22" i="68"/>
  <c r="V22" i="68"/>
  <c r="U22" i="68"/>
  <c r="T22" i="68"/>
  <c r="S22" i="68"/>
  <c r="R22" i="68"/>
  <c r="Q22" i="68"/>
  <c r="P22" i="68"/>
  <c r="O22" i="68"/>
  <c r="N22" i="68"/>
  <c r="M22" i="68"/>
  <c r="L22" i="68"/>
  <c r="K22" i="68"/>
  <c r="J22" i="68"/>
  <c r="I22" i="68"/>
  <c r="H22" i="68"/>
  <c r="G22" i="68"/>
  <c r="F22" i="68"/>
  <c r="E22" i="68"/>
  <c r="D22" i="68"/>
  <c r="C22" i="68"/>
  <c r="B22" i="68"/>
  <c r="AQ3" i="68"/>
  <c r="AP3" i="68"/>
  <c r="AO3" i="68"/>
  <c r="AN3" i="68"/>
  <c r="AM3" i="68"/>
  <c r="AL3" i="68"/>
  <c r="AK3" i="68"/>
  <c r="AJ3" i="68"/>
  <c r="AH3" i="68"/>
  <c r="AG3" i="68"/>
  <c r="AF3" i="68"/>
  <c r="AE3" i="68"/>
  <c r="AD3" i="68"/>
  <c r="AC3" i="68"/>
  <c r="AB3" i="68"/>
  <c r="AA3" i="68"/>
  <c r="Z3" i="68"/>
  <c r="Y3" i="68"/>
  <c r="X3" i="68"/>
  <c r="W3" i="68"/>
  <c r="V3" i="68"/>
  <c r="U3" i="68"/>
  <c r="T3" i="68"/>
  <c r="S3" i="68"/>
  <c r="R3" i="68"/>
  <c r="Q3" i="68"/>
  <c r="P3" i="68"/>
  <c r="O3" i="68"/>
  <c r="N3" i="68"/>
  <c r="M3" i="68"/>
  <c r="L3" i="68"/>
  <c r="K3" i="68"/>
  <c r="J3" i="68"/>
  <c r="I3" i="68"/>
  <c r="H3" i="68"/>
  <c r="G3" i="68"/>
  <c r="F3" i="68"/>
  <c r="E3" i="68"/>
  <c r="D3" i="68"/>
  <c r="C3" i="68"/>
  <c r="B3" i="68"/>
  <c r="V23" i="65"/>
  <c r="V23" i="66"/>
  <c r="AR22" i="69" l="1"/>
  <c r="AR3" i="68"/>
  <c r="T24" i="67"/>
  <c r="P3" i="66"/>
  <c r="P23" i="66"/>
  <c r="P24" i="67" l="1"/>
  <c r="P3" i="67"/>
  <c r="AO3" i="67"/>
  <c r="AP3" i="67"/>
  <c r="AO24" i="67"/>
  <c r="AP24" i="67"/>
  <c r="AN23" i="66"/>
  <c r="AO23" i="66"/>
  <c r="AP23" i="66"/>
  <c r="AO3" i="66"/>
  <c r="AP3" i="66"/>
  <c r="AO23" i="65"/>
  <c r="AP23" i="65"/>
  <c r="AO3" i="65"/>
  <c r="AP3" i="65"/>
  <c r="W3" i="67"/>
  <c r="W24" i="67"/>
  <c r="AN3" i="67"/>
  <c r="AN24" i="67"/>
  <c r="AM24" i="67"/>
  <c r="V3" i="66"/>
  <c r="AN3" i="66"/>
  <c r="AM23" i="65"/>
  <c r="G3" i="65"/>
  <c r="H3" i="65"/>
  <c r="I3" i="65"/>
  <c r="J3" i="65"/>
  <c r="T3" i="65"/>
  <c r="V3" i="65"/>
  <c r="AA3" i="65"/>
  <c r="AC3" i="65"/>
  <c r="AD3" i="65"/>
  <c r="AM3" i="65"/>
  <c r="AK3" i="67"/>
  <c r="AL3" i="67"/>
  <c r="AC3" i="67"/>
  <c r="AD3" i="67"/>
  <c r="AA3" i="67"/>
  <c r="T3" i="67"/>
  <c r="G3" i="67"/>
  <c r="H3" i="67"/>
  <c r="I3" i="67"/>
  <c r="J3" i="67"/>
  <c r="AK3" i="65"/>
  <c r="AL3" i="65"/>
  <c r="AK23" i="65"/>
  <c r="AL23" i="65"/>
  <c r="T3" i="66"/>
  <c r="AA3" i="66"/>
  <c r="AC3" i="66"/>
  <c r="AD3" i="66"/>
  <c r="AK3" i="66"/>
  <c r="AL3" i="66"/>
  <c r="G3" i="66"/>
  <c r="H3" i="66"/>
  <c r="I3" i="66"/>
  <c r="J3" i="66"/>
  <c r="AK23" i="66"/>
  <c r="AL23" i="66"/>
  <c r="AN3" i="65" l="1"/>
  <c r="T23" i="66"/>
  <c r="T23" i="65"/>
  <c r="C23" i="65" l="1"/>
  <c r="D23" i="65"/>
  <c r="E23" i="65"/>
  <c r="F23" i="65"/>
  <c r="G23" i="65"/>
  <c r="H23" i="65"/>
  <c r="I23" i="65"/>
  <c r="J23" i="65"/>
  <c r="K23" i="65"/>
  <c r="L23" i="65"/>
  <c r="M23" i="65"/>
  <c r="N23" i="65"/>
  <c r="O23" i="65"/>
  <c r="Q23" i="65"/>
  <c r="R23" i="65"/>
  <c r="S23" i="65"/>
  <c r="U23" i="65"/>
  <c r="W23" i="65"/>
  <c r="X23" i="65"/>
  <c r="Y23" i="65"/>
  <c r="Z23" i="65"/>
  <c r="AA23" i="65"/>
  <c r="AB23" i="65"/>
  <c r="AC23" i="65"/>
  <c r="AD23" i="65"/>
  <c r="AE23" i="65"/>
  <c r="AF23" i="65"/>
  <c r="AG23" i="65"/>
  <c r="AH23" i="65"/>
  <c r="AI23" i="65"/>
  <c r="G23" i="66"/>
  <c r="H23" i="66"/>
  <c r="I23" i="66"/>
  <c r="J23" i="66"/>
  <c r="K23" i="66"/>
  <c r="L23" i="66"/>
  <c r="M23" i="66"/>
  <c r="N23" i="66"/>
  <c r="O23" i="66"/>
  <c r="Q23" i="66"/>
  <c r="R23" i="66"/>
  <c r="S23" i="66"/>
  <c r="U23" i="66"/>
  <c r="W23" i="66"/>
  <c r="X23" i="66"/>
  <c r="Y23" i="66"/>
  <c r="Z23" i="66"/>
  <c r="AA23" i="66"/>
  <c r="AB23" i="66"/>
  <c r="AC23" i="66"/>
  <c r="AD23" i="66"/>
  <c r="AE23" i="66"/>
  <c r="AF23" i="66"/>
  <c r="AG23" i="66"/>
  <c r="AH23" i="66"/>
  <c r="AI23" i="66"/>
  <c r="AJ23" i="66"/>
  <c r="AG24" i="67"/>
  <c r="AH24" i="67"/>
  <c r="AI24" i="67"/>
  <c r="AJ24" i="67"/>
  <c r="AK24" i="67"/>
  <c r="AL24" i="67"/>
  <c r="AD24" i="67"/>
  <c r="AE24" i="67"/>
  <c r="AF24" i="67"/>
  <c r="AC24" i="67"/>
  <c r="AA24" i="67"/>
  <c r="H24" i="67"/>
  <c r="I24" i="67"/>
  <c r="J24" i="67"/>
  <c r="G24" i="67"/>
  <c r="AB24" i="67"/>
  <c r="Z24" i="67"/>
  <c r="Y24" i="67"/>
  <c r="X24" i="67"/>
  <c r="V24" i="67"/>
  <c r="U24" i="67"/>
  <c r="S24" i="67"/>
  <c r="R24" i="67"/>
  <c r="Q24" i="67"/>
  <c r="O24" i="67"/>
  <c r="AQ19" i="67" s="1"/>
  <c r="N24" i="67"/>
  <c r="M24" i="67"/>
  <c r="L24" i="67"/>
  <c r="K24" i="67"/>
  <c r="F24" i="67"/>
  <c r="E24" i="67"/>
  <c r="D24" i="67"/>
  <c r="C24" i="67"/>
  <c r="B24" i="67"/>
  <c r="AM3" i="67"/>
  <c r="AJ3" i="67"/>
  <c r="AI3" i="67"/>
  <c r="AH3" i="67"/>
  <c r="AG3" i="67"/>
  <c r="AF3" i="67"/>
  <c r="AE3" i="67"/>
  <c r="AB3" i="67"/>
  <c r="Z3" i="67"/>
  <c r="Y3" i="67"/>
  <c r="X3" i="67"/>
  <c r="V3" i="67"/>
  <c r="U3" i="67"/>
  <c r="S3" i="67"/>
  <c r="R3" i="67"/>
  <c r="Q3" i="67"/>
  <c r="O3" i="67"/>
  <c r="N3" i="67"/>
  <c r="M3" i="67"/>
  <c r="L3" i="67"/>
  <c r="K3" i="67"/>
  <c r="F3" i="67"/>
  <c r="E3" i="67"/>
  <c r="D3" i="67"/>
  <c r="C3" i="67"/>
  <c r="B3" i="67"/>
  <c r="AM23" i="66"/>
  <c r="F23" i="66"/>
  <c r="E23" i="66"/>
  <c r="D23" i="66"/>
  <c r="C23" i="66"/>
  <c r="B23" i="66"/>
  <c r="AM3" i="66"/>
  <c r="AJ3" i="66"/>
  <c r="AI3" i="66"/>
  <c r="AH3" i="66"/>
  <c r="AG3" i="66"/>
  <c r="AF3" i="66"/>
  <c r="AE3" i="66"/>
  <c r="AB3" i="66"/>
  <c r="Z3" i="66"/>
  <c r="Y3" i="66"/>
  <c r="X3" i="66"/>
  <c r="W3" i="66"/>
  <c r="U3" i="66"/>
  <c r="S3" i="66"/>
  <c r="R3" i="66"/>
  <c r="Q3" i="66"/>
  <c r="O3" i="66"/>
  <c r="N3" i="66"/>
  <c r="M3" i="66"/>
  <c r="L3" i="66"/>
  <c r="K3" i="66"/>
  <c r="F3" i="66"/>
  <c r="E3" i="66"/>
  <c r="D3" i="66"/>
  <c r="C3" i="66"/>
  <c r="B3" i="66"/>
  <c r="AN23" i="65"/>
  <c r="AJ23" i="65"/>
  <c r="B23" i="65"/>
  <c r="AJ3" i="65"/>
  <c r="AI3" i="65"/>
  <c r="AH3" i="65"/>
  <c r="AG3" i="65"/>
  <c r="AF3" i="65"/>
  <c r="AE3" i="65"/>
  <c r="AB3" i="65"/>
  <c r="Z3" i="65"/>
  <c r="Y3" i="65"/>
  <c r="X3" i="65"/>
  <c r="W3" i="65"/>
  <c r="U3" i="65"/>
  <c r="S3" i="65"/>
  <c r="R3" i="65"/>
  <c r="Q3" i="65"/>
  <c r="O3" i="65"/>
  <c r="N3" i="65"/>
  <c r="M3" i="65"/>
  <c r="L3" i="65"/>
  <c r="K3" i="65"/>
  <c r="F3" i="65"/>
  <c r="E3" i="65"/>
  <c r="D3" i="65"/>
  <c r="C3" i="65"/>
  <c r="B3" i="65"/>
  <c r="AE23" i="64"/>
  <c r="AA23" i="64"/>
  <c r="AQ9" i="67" l="1"/>
  <c r="AQ10" i="67"/>
  <c r="AQ14" i="67"/>
  <c r="AQ22" i="67"/>
  <c r="AQ16" i="67"/>
  <c r="AQ17" i="67"/>
  <c r="AQ15" i="67"/>
  <c r="AQ3" i="67" s="1"/>
  <c r="AQ9" i="66"/>
  <c r="AQ16" i="66"/>
  <c r="AQ15" i="66"/>
  <c r="AQ10" i="66"/>
  <c r="AQ17" i="66"/>
  <c r="AQ14" i="66"/>
  <c r="AQ16" i="65"/>
  <c r="AQ10" i="65"/>
  <c r="AQ3" i="66"/>
  <c r="AQ8" i="66"/>
  <c r="AQ9" i="65"/>
  <c r="AQ14" i="65"/>
  <c r="AQ15" i="65"/>
  <c r="AQ8" i="67"/>
  <c r="AF23" i="64"/>
  <c r="AD23" i="64"/>
  <c r="AC23" i="64"/>
  <c r="AB23" i="64"/>
  <c r="Z23" i="64"/>
  <c r="Y23" i="64"/>
  <c r="X23" i="64"/>
  <c r="W23" i="64"/>
  <c r="V23" i="64"/>
  <c r="U23" i="64"/>
  <c r="T23" i="64"/>
  <c r="S23" i="64"/>
  <c r="R23" i="64"/>
  <c r="Q23" i="64"/>
  <c r="P23" i="64"/>
  <c r="O23" i="64"/>
  <c r="N23" i="64"/>
  <c r="M23" i="64"/>
  <c r="L23" i="64"/>
  <c r="K23" i="64"/>
  <c r="AG21" i="64" s="1"/>
  <c r="J23" i="64"/>
  <c r="I23" i="64"/>
  <c r="H23" i="64"/>
  <c r="G23" i="64"/>
  <c r="F23" i="64"/>
  <c r="E23" i="64"/>
  <c r="D23" i="64"/>
  <c r="C23" i="64"/>
  <c r="B23" i="64"/>
  <c r="AF3" i="64"/>
  <c r="AE3" i="64"/>
  <c r="AD3" i="64"/>
  <c r="AC3" i="64"/>
  <c r="AB3" i="64"/>
  <c r="AA3" i="64"/>
  <c r="Z3" i="64"/>
  <c r="Y3" i="64"/>
  <c r="X3" i="64"/>
  <c r="W3" i="64"/>
  <c r="V3" i="64"/>
  <c r="U3" i="64"/>
  <c r="T3" i="64"/>
  <c r="S3" i="64"/>
  <c r="R3" i="64"/>
  <c r="Q3" i="64"/>
  <c r="P3" i="64"/>
  <c r="O3" i="64"/>
  <c r="N3" i="64"/>
  <c r="M3" i="64"/>
  <c r="L3" i="64"/>
  <c r="K3" i="64"/>
  <c r="J3" i="64"/>
  <c r="I3" i="64"/>
  <c r="H3" i="64"/>
  <c r="G3" i="64"/>
  <c r="F3" i="64"/>
  <c r="E3" i="64"/>
  <c r="D3" i="64"/>
  <c r="C3" i="64"/>
  <c r="B3" i="64"/>
  <c r="AG9" i="64" l="1"/>
  <c r="AG16" i="64"/>
  <c r="AG17" i="64"/>
  <c r="AG7" i="64"/>
  <c r="AQ3" i="65"/>
  <c r="AG12" i="64"/>
  <c r="AG20" i="64"/>
  <c r="AQ23" i="65"/>
  <c r="AG14" i="64"/>
  <c r="AG11" i="64"/>
  <c r="AQ23" i="66"/>
  <c r="AQ24" i="67"/>
  <c r="AG10" i="64"/>
  <c r="AG22" i="64"/>
  <c r="AG18" i="64"/>
  <c r="AG6" i="64"/>
  <c r="AG13" i="64"/>
  <c r="AG19" i="64"/>
  <c r="AG8" i="64"/>
  <c r="AG15" i="64"/>
  <c r="AG3" i="64" s="1"/>
  <c r="B23" i="63"/>
  <c r="C23" i="63"/>
  <c r="D23" i="63"/>
  <c r="E23" i="63"/>
  <c r="F23" i="63"/>
  <c r="G23" i="63"/>
  <c r="H23" i="63"/>
  <c r="I23" i="63"/>
  <c r="AF23" i="63" l="1"/>
  <c r="AE23" i="63"/>
  <c r="AD23" i="63"/>
  <c r="AC23" i="63"/>
  <c r="AB23" i="63"/>
  <c r="AA23" i="63"/>
  <c r="Z23" i="63"/>
  <c r="Y23" i="63"/>
  <c r="X23" i="63"/>
  <c r="W23" i="63"/>
  <c r="V23" i="63"/>
  <c r="U23" i="63"/>
  <c r="T23" i="63"/>
  <c r="S23" i="63"/>
  <c r="R23" i="63"/>
  <c r="Q23" i="63"/>
  <c r="P23" i="63"/>
  <c r="O23" i="63"/>
  <c r="N23" i="63"/>
  <c r="M23" i="63"/>
  <c r="L23" i="63"/>
  <c r="K23" i="63"/>
  <c r="AG21" i="63" s="1"/>
  <c r="J23" i="63"/>
  <c r="AG14" i="63"/>
  <c r="AF3" i="63"/>
  <c r="AE3" i="63"/>
  <c r="AD3" i="63"/>
  <c r="AC3" i="63"/>
  <c r="AB3" i="63"/>
  <c r="AA3" i="63"/>
  <c r="Z3" i="63"/>
  <c r="Y3" i="63"/>
  <c r="X3" i="63"/>
  <c r="W3" i="63"/>
  <c r="V3" i="63"/>
  <c r="U3" i="63"/>
  <c r="T3" i="63"/>
  <c r="S3" i="63"/>
  <c r="R3" i="63"/>
  <c r="Q3" i="63"/>
  <c r="P3" i="63"/>
  <c r="O3" i="63"/>
  <c r="N3" i="63"/>
  <c r="M3" i="63"/>
  <c r="L3" i="63"/>
  <c r="K3" i="63"/>
  <c r="J3" i="63"/>
  <c r="I3" i="63"/>
  <c r="H3" i="63"/>
  <c r="G3" i="63"/>
  <c r="F3" i="63"/>
  <c r="E3" i="63"/>
  <c r="D3" i="63"/>
  <c r="C3" i="63"/>
  <c r="B3" i="63"/>
  <c r="AG7" i="63" l="1"/>
  <c r="AG8" i="63"/>
  <c r="AG13" i="63"/>
  <c r="AG22" i="63"/>
  <c r="AG12" i="63"/>
  <c r="AG16" i="63"/>
  <c r="AG17" i="63"/>
  <c r="AG6" i="63"/>
  <c r="AG19" i="63"/>
  <c r="AG20" i="63"/>
  <c r="AG10" i="63"/>
  <c r="AG18" i="63"/>
  <c r="AG9" i="63"/>
  <c r="AG15" i="63"/>
  <c r="AG3" i="63" s="1"/>
  <c r="AC25" i="59"/>
  <c r="AE24" i="62"/>
  <c r="AF24" i="62"/>
  <c r="AD24" i="62" l="1"/>
  <c r="AC24" i="62"/>
  <c r="AB24" i="62"/>
  <c r="AA24" i="62"/>
  <c r="Z24" i="62"/>
  <c r="Y24" i="62"/>
  <c r="X24" i="62"/>
  <c r="W24" i="62"/>
  <c r="V24" i="62"/>
  <c r="U24" i="62"/>
  <c r="T24" i="62"/>
  <c r="S24" i="62"/>
  <c r="R24" i="62"/>
  <c r="Q24" i="62"/>
  <c r="P24" i="62"/>
  <c r="O24" i="62"/>
  <c r="N24" i="62"/>
  <c r="M24" i="62"/>
  <c r="L24" i="62"/>
  <c r="K24" i="62"/>
  <c r="AG24" i="62" s="1"/>
  <c r="J24" i="62"/>
  <c r="I24" i="62"/>
  <c r="H24" i="62"/>
  <c r="G24" i="62"/>
  <c r="F24" i="62"/>
  <c r="E24" i="62"/>
  <c r="D24" i="62"/>
  <c r="C24" i="62"/>
  <c r="B24" i="62"/>
  <c r="AF3" i="62"/>
  <c r="AE3" i="62"/>
  <c r="AD3" i="62"/>
  <c r="AC3" i="62"/>
  <c r="AB3" i="62"/>
  <c r="AA3" i="62"/>
  <c r="Z3" i="62"/>
  <c r="Y3" i="62"/>
  <c r="X3" i="62"/>
  <c r="W3" i="62"/>
  <c r="V3" i="62"/>
  <c r="U3" i="62"/>
  <c r="T3" i="62"/>
  <c r="S3" i="62"/>
  <c r="R3" i="62"/>
  <c r="Q3" i="62"/>
  <c r="P3" i="62"/>
  <c r="O3" i="62"/>
  <c r="N3" i="62"/>
  <c r="M3" i="62"/>
  <c r="L3" i="62"/>
  <c r="K3" i="62"/>
  <c r="J3" i="62"/>
  <c r="I3" i="62"/>
  <c r="H3" i="62"/>
  <c r="G3" i="62"/>
  <c r="F3" i="62"/>
  <c r="E3" i="62"/>
  <c r="D3" i="62"/>
  <c r="C3" i="62"/>
  <c r="B3" i="62"/>
  <c r="AG11" i="62" l="1"/>
  <c r="AG20" i="62"/>
  <c r="AG16" i="62"/>
  <c r="AG3" i="62" s="1"/>
  <c r="AG17" i="62"/>
  <c r="AG8" i="62"/>
  <c r="AG9" i="62"/>
  <c r="AG6" i="62"/>
  <c r="AG14" i="62"/>
  <c r="AG22" i="62"/>
  <c r="AG7" i="62"/>
  <c r="AG15" i="62"/>
  <c r="AG23" i="62"/>
  <c r="AG18" i="62"/>
  <c r="AG19" i="62"/>
  <c r="AG12" i="62"/>
  <c r="AG13" i="62"/>
  <c r="AG21" i="62"/>
  <c r="K11" i="61"/>
  <c r="AD24" i="61" l="1"/>
  <c r="AA24" i="61"/>
  <c r="Z24" i="61"/>
  <c r="Y24" i="61"/>
  <c r="X24" i="61"/>
  <c r="S24" i="61"/>
  <c r="O24" i="61"/>
  <c r="M24" i="61"/>
  <c r="K24" i="61"/>
  <c r="AG12" i="61" s="1"/>
  <c r="J24" i="61"/>
  <c r="I24" i="61"/>
  <c r="H24" i="61"/>
  <c r="G24" i="61"/>
  <c r="F24" i="61"/>
  <c r="E24" i="61"/>
  <c r="D24" i="61"/>
  <c r="C24" i="61"/>
  <c r="B24" i="61"/>
  <c r="AF3" i="61"/>
  <c r="AE3" i="61"/>
  <c r="AD3" i="61"/>
  <c r="AC3" i="61"/>
  <c r="AC24" i="61" s="1"/>
  <c r="AB3" i="61"/>
  <c r="AB24" i="61" s="1"/>
  <c r="AA3" i="61"/>
  <c r="Z3" i="61"/>
  <c r="Y3" i="61"/>
  <c r="X3" i="61"/>
  <c r="W3" i="61"/>
  <c r="W24" i="61" s="1"/>
  <c r="V3" i="61"/>
  <c r="V24" i="61" s="1"/>
  <c r="U3" i="61"/>
  <c r="U24" i="61" s="1"/>
  <c r="T3" i="61"/>
  <c r="T24" i="61" s="1"/>
  <c r="S3" i="61"/>
  <c r="R3" i="61"/>
  <c r="R24" i="61" s="1"/>
  <c r="Q3" i="61"/>
  <c r="Q24" i="61" s="1"/>
  <c r="P3" i="61"/>
  <c r="O3" i="61"/>
  <c r="N3" i="61"/>
  <c r="N24" i="61" s="1"/>
  <c r="M3" i="61"/>
  <c r="L3" i="61"/>
  <c r="K3" i="61"/>
  <c r="J3" i="61"/>
  <c r="I3" i="61"/>
  <c r="H3" i="61"/>
  <c r="G3" i="61"/>
  <c r="F3" i="61"/>
  <c r="E3" i="61"/>
  <c r="D3" i="61"/>
  <c r="C3" i="61"/>
  <c r="B3" i="61"/>
  <c r="P24" i="61" l="1"/>
  <c r="L24" i="61"/>
  <c r="AG16" i="61"/>
  <c r="AG3" i="61" s="1"/>
  <c r="AG13" i="61"/>
  <c r="AG14" i="61"/>
  <c r="AG15" i="61"/>
  <c r="AG21" i="61"/>
  <c r="AG17" i="61"/>
  <c r="AG8" i="61"/>
  <c r="AG24" i="61"/>
  <c r="AG18" i="61"/>
  <c r="AG6" i="61"/>
  <c r="AG19" i="61"/>
  <c r="AG7" i="61"/>
  <c r="AG20" i="61"/>
  <c r="AG9" i="61"/>
  <c r="AG22" i="61"/>
  <c r="AG11" i="61"/>
  <c r="AG23" i="61"/>
  <c r="B25" i="59"/>
  <c r="B25" i="57" l="1"/>
  <c r="AF25" i="58" l="1"/>
  <c r="AE25" i="58"/>
  <c r="AF3" i="59" l="1"/>
  <c r="AE3" i="59"/>
  <c r="AD3" i="59"/>
  <c r="AC3" i="59"/>
  <c r="AB3" i="59"/>
  <c r="AA3" i="59"/>
  <c r="Z3" i="59"/>
  <c r="Y3" i="59"/>
  <c r="X3" i="59"/>
  <c r="W3" i="59"/>
  <c r="V3" i="59"/>
  <c r="U3" i="59"/>
  <c r="T3" i="59"/>
  <c r="S3" i="59"/>
  <c r="R3" i="59"/>
  <c r="Q3" i="59"/>
  <c r="P3" i="59"/>
  <c r="O3" i="59"/>
  <c r="N3" i="59"/>
  <c r="M3" i="59"/>
  <c r="L3" i="59"/>
  <c r="K3" i="59"/>
  <c r="J3" i="59"/>
  <c r="I3" i="59"/>
  <c r="H3" i="59"/>
  <c r="G3" i="59"/>
  <c r="F3" i="59"/>
  <c r="E3" i="59"/>
  <c r="D3" i="59"/>
  <c r="C3" i="59"/>
  <c r="B3" i="59"/>
  <c r="K25" i="59"/>
  <c r="AD25" i="59"/>
  <c r="AB25" i="59"/>
  <c r="AA25" i="59"/>
  <c r="Z25" i="59"/>
  <c r="Y25" i="59"/>
  <c r="X25" i="59"/>
  <c r="W25" i="59"/>
  <c r="V25" i="59"/>
  <c r="U25" i="59"/>
  <c r="T25" i="59"/>
  <c r="S25" i="59"/>
  <c r="R25" i="59"/>
  <c r="Q25" i="59"/>
  <c r="P25" i="59"/>
  <c r="O25" i="59"/>
  <c r="N25" i="59"/>
  <c r="M25" i="59"/>
  <c r="L25" i="59"/>
  <c r="J25" i="59"/>
  <c r="I25" i="59"/>
  <c r="H25" i="59"/>
  <c r="G25" i="59"/>
  <c r="F25" i="59"/>
  <c r="E25" i="59"/>
  <c r="D25" i="59"/>
  <c r="C25" i="59"/>
  <c r="AD25" i="58"/>
  <c r="AC25" i="58"/>
  <c r="AB25" i="58"/>
  <c r="AA25" i="58"/>
  <c r="Z25" i="58"/>
  <c r="Y25" i="58"/>
  <c r="X25" i="58"/>
  <c r="W25" i="58"/>
  <c r="V25" i="58"/>
  <c r="U25" i="58"/>
  <c r="T25" i="58"/>
  <c r="S25" i="58"/>
  <c r="R25" i="58"/>
  <c r="Q25" i="58"/>
  <c r="P25" i="58"/>
  <c r="O25" i="58"/>
  <c r="N25" i="58"/>
  <c r="M25" i="58"/>
  <c r="L25" i="58"/>
  <c r="K25" i="58"/>
  <c r="J25" i="58"/>
  <c r="I25" i="58"/>
  <c r="H25" i="58"/>
  <c r="G25" i="58"/>
  <c r="F25" i="58"/>
  <c r="E25" i="58"/>
  <c r="D25" i="58"/>
  <c r="C25" i="58"/>
  <c r="B25" i="58"/>
  <c r="AF3" i="58"/>
  <c r="AE3" i="58"/>
  <c r="AD3" i="58"/>
  <c r="AC3" i="58"/>
  <c r="AB3" i="58"/>
  <c r="AA3" i="58"/>
  <c r="Z3" i="58"/>
  <c r="Y3" i="58"/>
  <c r="X3" i="58"/>
  <c r="W3" i="58"/>
  <c r="V3" i="58"/>
  <c r="U3" i="58"/>
  <c r="T3" i="58"/>
  <c r="S3" i="58"/>
  <c r="R3" i="58"/>
  <c r="Q3" i="58"/>
  <c r="P3" i="58"/>
  <c r="O3" i="58"/>
  <c r="N3" i="58"/>
  <c r="M3" i="58"/>
  <c r="L3" i="58"/>
  <c r="K3" i="58"/>
  <c r="J3" i="58"/>
  <c r="I3" i="58"/>
  <c r="H3" i="58"/>
  <c r="G3" i="58"/>
  <c r="F3" i="58"/>
  <c r="E3" i="58"/>
  <c r="D3" i="58"/>
  <c r="C3" i="58"/>
  <c r="B3" i="58"/>
  <c r="AF25" i="57"/>
  <c r="AE25" i="57"/>
  <c r="AD25" i="57"/>
  <c r="AC25" i="57"/>
  <c r="AB25" i="57"/>
  <c r="AA25" i="57"/>
  <c r="Z25" i="57"/>
  <c r="Y25" i="57"/>
  <c r="X25" i="57"/>
  <c r="W25" i="57"/>
  <c r="V25" i="57"/>
  <c r="U25" i="57"/>
  <c r="T25" i="57"/>
  <c r="S25" i="57"/>
  <c r="R25" i="57"/>
  <c r="Q25" i="57"/>
  <c r="P25" i="57"/>
  <c r="O25" i="57"/>
  <c r="N25" i="57"/>
  <c r="M25" i="57"/>
  <c r="L25" i="57"/>
  <c r="K25" i="57"/>
  <c r="AG9" i="57" s="1"/>
  <c r="J25" i="57"/>
  <c r="I25" i="57"/>
  <c r="H25" i="57"/>
  <c r="G25" i="57"/>
  <c r="F25" i="57"/>
  <c r="E25" i="57"/>
  <c r="D25" i="57"/>
  <c r="C25" i="57"/>
  <c r="AF3" i="57"/>
  <c r="AE3" i="57"/>
  <c r="AD3" i="57"/>
  <c r="AC3" i="57"/>
  <c r="AB3" i="57"/>
  <c r="AA3" i="57"/>
  <c r="Z3" i="57"/>
  <c r="Y3" i="57"/>
  <c r="X3" i="57"/>
  <c r="W3" i="57"/>
  <c r="V3" i="57"/>
  <c r="U3" i="57"/>
  <c r="T3" i="57"/>
  <c r="S3" i="57"/>
  <c r="R3" i="57"/>
  <c r="Q3" i="57"/>
  <c r="P3" i="57"/>
  <c r="O3" i="57"/>
  <c r="N3" i="57"/>
  <c r="M3" i="57"/>
  <c r="L3" i="57"/>
  <c r="K3" i="57"/>
  <c r="J3" i="57"/>
  <c r="I3" i="57"/>
  <c r="H3" i="57"/>
  <c r="G3" i="57"/>
  <c r="F3" i="57"/>
  <c r="E3" i="57"/>
  <c r="D3" i="57"/>
  <c r="C3" i="57"/>
  <c r="B3" i="57"/>
  <c r="M25" i="56"/>
  <c r="B25" i="56"/>
  <c r="S25" i="56"/>
  <c r="R25" i="56"/>
  <c r="AF25" i="56"/>
  <c r="AE25" i="56"/>
  <c r="AD25" i="56"/>
  <c r="AC25" i="56"/>
  <c r="AB25" i="56"/>
  <c r="AA25" i="56"/>
  <c r="Z25" i="56"/>
  <c r="Y25" i="56"/>
  <c r="X25" i="56"/>
  <c r="W25" i="56"/>
  <c r="V25" i="56"/>
  <c r="U25" i="56"/>
  <c r="T25" i="56"/>
  <c r="Q25" i="56"/>
  <c r="P25" i="56"/>
  <c r="O25" i="56"/>
  <c r="N25" i="56"/>
  <c r="L25" i="56"/>
  <c r="K25" i="56"/>
  <c r="AG14" i="56" s="1"/>
  <c r="J25" i="56"/>
  <c r="I25" i="56"/>
  <c r="H25" i="56"/>
  <c r="G25" i="56"/>
  <c r="F25" i="56"/>
  <c r="E25" i="56"/>
  <c r="D25" i="56"/>
  <c r="C25" i="56"/>
  <c r="AF3" i="56"/>
  <c r="AE3" i="56"/>
  <c r="AD3" i="56"/>
  <c r="AC3" i="56"/>
  <c r="AB3" i="56"/>
  <c r="AA3" i="56"/>
  <c r="Z3" i="56"/>
  <c r="Y3" i="56"/>
  <c r="X3" i="56"/>
  <c r="W3" i="56"/>
  <c r="V3" i="56"/>
  <c r="U3" i="56"/>
  <c r="T3" i="56"/>
  <c r="S3" i="56"/>
  <c r="R3" i="56"/>
  <c r="Q3" i="56"/>
  <c r="P3" i="56"/>
  <c r="O3" i="56"/>
  <c r="N3" i="56"/>
  <c r="M3" i="56"/>
  <c r="L3" i="56"/>
  <c r="K3" i="56"/>
  <c r="J3" i="56"/>
  <c r="I3" i="56"/>
  <c r="H3" i="56"/>
  <c r="G3" i="56"/>
  <c r="F3" i="56"/>
  <c r="E3" i="56"/>
  <c r="D3" i="56"/>
  <c r="C3" i="56"/>
  <c r="B3" i="56"/>
  <c r="AB26" i="55"/>
  <c r="B26" i="55"/>
  <c r="K19" i="55"/>
  <c r="K26" i="55" s="1"/>
  <c r="W3" i="55"/>
  <c r="AF26" i="55"/>
  <c r="AE26" i="55"/>
  <c r="S26" i="55"/>
  <c r="Q26" i="55"/>
  <c r="O26" i="55"/>
  <c r="N26" i="55"/>
  <c r="M26" i="55"/>
  <c r="L26" i="55"/>
  <c r="P26" i="55"/>
  <c r="T26" i="55"/>
  <c r="U26" i="55"/>
  <c r="V26" i="55"/>
  <c r="W26" i="55"/>
  <c r="X26" i="55"/>
  <c r="Y26" i="55"/>
  <c r="Z26" i="55"/>
  <c r="AA26" i="55"/>
  <c r="AC26" i="55"/>
  <c r="AD26" i="55"/>
  <c r="C26" i="55"/>
  <c r="D26" i="55"/>
  <c r="E26" i="55"/>
  <c r="F26" i="55"/>
  <c r="G26" i="55"/>
  <c r="H26" i="55"/>
  <c r="I26" i="55"/>
  <c r="J26" i="55"/>
  <c r="AF3" i="55"/>
  <c r="AE3" i="55"/>
  <c r="AD3" i="55"/>
  <c r="AC3" i="55"/>
  <c r="AB3" i="55"/>
  <c r="AA3" i="55"/>
  <c r="Z3" i="55"/>
  <c r="Y3" i="55"/>
  <c r="X3" i="55"/>
  <c r="V3" i="55"/>
  <c r="U3" i="55"/>
  <c r="T3" i="55"/>
  <c r="S3" i="55"/>
  <c r="R3" i="55"/>
  <c r="Q3" i="55"/>
  <c r="P3" i="55"/>
  <c r="O3" i="55"/>
  <c r="N3" i="55"/>
  <c r="M3" i="55"/>
  <c r="L3" i="55"/>
  <c r="K3" i="55"/>
  <c r="J3" i="55"/>
  <c r="I3" i="55"/>
  <c r="H3" i="55"/>
  <c r="G3" i="55"/>
  <c r="F3" i="55"/>
  <c r="E3" i="55"/>
  <c r="D3" i="55"/>
  <c r="C3" i="55"/>
  <c r="B3" i="55"/>
  <c r="B26" i="54"/>
  <c r="AF26" i="54"/>
  <c r="AE26" i="54"/>
  <c r="AD26" i="54"/>
  <c r="AC26" i="54"/>
  <c r="AB26" i="54"/>
  <c r="AA26" i="54"/>
  <c r="Z26" i="54"/>
  <c r="Y26" i="54"/>
  <c r="X26" i="54"/>
  <c r="W26" i="54"/>
  <c r="V26" i="54"/>
  <c r="U26" i="54"/>
  <c r="T26" i="54"/>
  <c r="S26" i="54"/>
  <c r="R26" i="54"/>
  <c r="Q26" i="54"/>
  <c r="P26" i="54"/>
  <c r="O26" i="54"/>
  <c r="N26" i="54"/>
  <c r="M26" i="54"/>
  <c r="L26" i="54"/>
  <c r="J26" i="54"/>
  <c r="I26" i="54"/>
  <c r="H26" i="54"/>
  <c r="G26" i="54"/>
  <c r="F26" i="54"/>
  <c r="E26" i="54"/>
  <c r="D26" i="54"/>
  <c r="C26" i="54"/>
  <c r="K3" i="54"/>
  <c r="AF3" i="54"/>
  <c r="AE3" i="54"/>
  <c r="AD3" i="54"/>
  <c r="AC3" i="54"/>
  <c r="AB3" i="54"/>
  <c r="AA3" i="54"/>
  <c r="Z3" i="54"/>
  <c r="Y3" i="54"/>
  <c r="X3" i="54"/>
  <c r="W3" i="54"/>
  <c r="V3" i="54"/>
  <c r="U3" i="54"/>
  <c r="T3" i="54"/>
  <c r="S3" i="54"/>
  <c r="R3" i="54"/>
  <c r="Q3" i="54"/>
  <c r="P3" i="54"/>
  <c r="O3" i="54"/>
  <c r="N3" i="54"/>
  <c r="M3" i="54"/>
  <c r="L3" i="54"/>
  <c r="J3" i="54"/>
  <c r="I3" i="54"/>
  <c r="H3" i="54"/>
  <c r="G3" i="54"/>
  <c r="F3" i="54"/>
  <c r="E3" i="54"/>
  <c r="D3" i="54"/>
  <c r="C3" i="54"/>
  <c r="B3" i="54"/>
  <c r="B3" i="51"/>
  <c r="C3" i="51"/>
  <c r="D3" i="51"/>
  <c r="E3" i="51"/>
  <c r="F3" i="51"/>
  <c r="G3" i="51"/>
  <c r="H3" i="51"/>
  <c r="I3" i="51"/>
  <c r="J3" i="51"/>
  <c r="K3" i="51"/>
  <c r="L3" i="51"/>
  <c r="M3" i="51"/>
  <c r="N3" i="51"/>
  <c r="O3" i="51"/>
  <c r="P3" i="51"/>
  <c r="Q3" i="51"/>
  <c r="R3" i="51"/>
  <c r="S3" i="51"/>
  <c r="T3" i="51"/>
  <c r="U3" i="51"/>
  <c r="V3" i="51"/>
  <c r="W3" i="51"/>
  <c r="X3" i="51"/>
  <c r="Y3" i="51"/>
  <c r="Z3" i="51"/>
  <c r="AA3" i="51"/>
  <c r="AB3" i="51"/>
  <c r="B26" i="51"/>
  <c r="C26" i="51"/>
  <c r="D26" i="51"/>
  <c r="E26" i="51"/>
  <c r="F26" i="51"/>
  <c r="G26" i="51"/>
  <c r="H26" i="51"/>
  <c r="I26" i="51"/>
  <c r="J26" i="51"/>
  <c r="K26" i="51"/>
  <c r="L26" i="51"/>
  <c r="M26" i="51"/>
  <c r="N26" i="51"/>
  <c r="O26" i="51"/>
  <c r="P26" i="51"/>
  <c r="Q26" i="51"/>
  <c r="R26" i="51"/>
  <c r="S26" i="51"/>
  <c r="T26" i="51"/>
  <c r="U26" i="51"/>
  <c r="V26" i="51"/>
  <c r="W26" i="51"/>
  <c r="X26" i="51"/>
  <c r="Y26" i="51"/>
  <c r="Z26" i="51"/>
  <c r="AA26" i="51"/>
  <c r="AB26" i="51"/>
  <c r="K26" i="54"/>
  <c r="AG3" i="54"/>
  <c r="AD28" i="50"/>
  <c r="AF28" i="50"/>
  <c r="AE28" i="50"/>
  <c r="C28" i="50"/>
  <c r="D28" i="50"/>
  <c r="E28" i="50"/>
  <c r="F28" i="50"/>
  <c r="G28" i="50"/>
  <c r="H28" i="50"/>
  <c r="I28" i="50"/>
  <c r="J28" i="50"/>
  <c r="L28" i="50"/>
  <c r="M28" i="50"/>
  <c r="N28" i="50"/>
  <c r="O28" i="50"/>
  <c r="P28" i="50"/>
  <c r="Q28" i="50"/>
  <c r="R28" i="50"/>
  <c r="S28" i="50"/>
  <c r="T28" i="50"/>
  <c r="U28" i="50"/>
  <c r="V28" i="50"/>
  <c r="W28" i="50"/>
  <c r="X28" i="50"/>
  <c r="Y28" i="50"/>
  <c r="Z28" i="50"/>
  <c r="AA28" i="50"/>
  <c r="AB28" i="50"/>
  <c r="AC28" i="50"/>
  <c r="B28" i="50"/>
  <c r="C3" i="50"/>
  <c r="D3" i="50"/>
  <c r="E3" i="50"/>
  <c r="F3" i="50"/>
  <c r="G3" i="50"/>
  <c r="H3" i="50"/>
  <c r="I3" i="50"/>
  <c r="J3" i="50"/>
  <c r="L3" i="50"/>
  <c r="M3" i="50"/>
  <c r="N3" i="50"/>
  <c r="O3" i="50"/>
  <c r="P3" i="50"/>
  <c r="Q3" i="50"/>
  <c r="R3" i="50"/>
  <c r="S3" i="50"/>
  <c r="T3" i="50"/>
  <c r="U3" i="50"/>
  <c r="V3" i="50"/>
  <c r="W3" i="50"/>
  <c r="X3" i="50"/>
  <c r="Y3" i="50"/>
  <c r="Z3" i="50"/>
  <c r="AA3" i="50"/>
  <c r="AB3" i="50"/>
  <c r="AC3" i="50"/>
  <c r="AD3" i="50"/>
  <c r="AE3" i="50"/>
  <c r="AF3" i="50"/>
  <c r="K7" i="50"/>
  <c r="K8" i="50"/>
  <c r="K9" i="50"/>
  <c r="K10" i="50"/>
  <c r="K11" i="50"/>
  <c r="K12" i="50"/>
  <c r="K3" i="50" s="1"/>
  <c r="K13" i="50"/>
  <c r="K14" i="50"/>
  <c r="K15" i="50"/>
  <c r="K16" i="50"/>
  <c r="K17" i="50"/>
  <c r="K18" i="50"/>
  <c r="K19" i="50"/>
  <c r="K20" i="50"/>
  <c r="K21" i="50"/>
  <c r="K22" i="50"/>
  <c r="K23" i="50"/>
  <c r="K24" i="50"/>
  <c r="K25" i="50"/>
  <c r="K26" i="50"/>
  <c r="K27" i="50"/>
  <c r="K6" i="50"/>
  <c r="B3" i="50"/>
  <c r="AG26" i="54"/>
  <c r="M3" i="49"/>
  <c r="M26" i="49"/>
  <c r="J26" i="49"/>
  <c r="I26" i="49"/>
  <c r="H26" i="49"/>
  <c r="G26" i="49"/>
  <c r="F26" i="49"/>
  <c r="E26" i="49"/>
  <c r="D26" i="49"/>
  <c r="C26" i="49"/>
  <c r="B26" i="49"/>
  <c r="L3" i="49"/>
  <c r="K3" i="49"/>
  <c r="J3" i="49"/>
  <c r="I3" i="49"/>
  <c r="H3" i="49"/>
  <c r="G3" i="49"/>
  <c r="F3" i="49"/>
  <c r="E3" i="49"/>
  <c r="D3" i="49"/>
  <c r="C3" i="49"/>
  <c r="B3" i="49"/>
  <c r="J26" i="48"/>
  <c r="I26" i="48"/>
  <c r="H26" i="48"/>
  <c r="G26" i="48"/>
  <c r="F26" i="48"/>
  <c r="E26" i="48"/>
  <c r="D26" i="48"/>
  <c r="M26" i="48" s="1"/>
  <c r="C26" i="48"/>
  <c r="B26" i="48"/>
  <c r="L3" i="48"/>
  <c r="K3" i="48"/>
  <c r="J3" i="48"/>
  <c r="I3" i="48"/>
  <c r="H3" i="48"/>
  <c r="G3" i="48"/>
  <c r="F3" i="48"/>
  <c r="E3" i="48"/>
  <c r="D3" i="48"/>
  <c r="C3" i="48"/>
  <c r="B3" i="48"/>
  <c r="C26" i="47"/>
  <c r="D26" i="47"/>
  <c r="E26" i="47"/>
  <c r="F26" i="47"/>
  <c r="G26" i="47"/>
  <c r="H26" i="47"/>
  <c r="I26" i="47"/>
  <c r="J26" i="47"/>
  <c r="B26" i="47"/>
  <c r="C3" i="47"/>
  <c r="D3" i="47"/>
  <c r="E3" i="47"/>
  <c r="F3" i="47"/>
  <c r="G3" i="47"/>
  <c r="H3" i="47"/>
  <c r="I3" i="47"/>
  <c r="J3" i="47"/>
  <c r="K3" i="47"/>
  <c r="L3" i="47"/>
  <c r="M3" i="47"/>
  <c r="B3" i="47"/>
  <c r="M3" i="43"/>
  <c r="M3" i="46"/>
  <c r="L3" i="46"/>
  <c r="K3" i="46"/>
  <c r="J3" i="46"/>
  <c r="I3" i="46"/>
  <c r="H3" i="46"/>
  <c r="G3" i="46"/>
  <c r="F3" i="46"/>
  <c r="E3" i="46"/>
  <c r="D3" i="46"/>
  <c r="C3" i="46"/>
  <c r="B3" i="46"/>
  <c r="J27" i="46"/>
  <c r="I27" i="46"/>
  <c r="H27" i="46"/>
  <c r="G27" i="46"/>
  <c r="F27" i="46"/>
  <c r="E27" i="46"/>
  <c r="D27" i="46"/>
  <c r="M27" i="46" s="1"/>
  <c r="C27" i="46"/>
  <c r="B27" i="46"/>
  <c r="B3" i="43"/>
  <c r="C3" i="43"/>
  <c r="D3" i="43"/>
  <c r="E3" i="43"/>
  <c r="F3" i="43"/>
  <c r="G3" i="43"/>
  <c r="H3" i="43"/>
  <c r="I3" i="43"/>
  <c r="J3" i="43"/>
  <c r="K3" i="43"/>
  <c r="L3" i="43"/>
  <c r="B26" i="43"/>
  <c r="C26" i="43"/>
  <c r="D26" i="43"/>
  <c r="E26" i="43"/>
  <c r="F26" i="43"/>
  <c r="G26" i="43"/>
  <c r="H26" i="43"/>
  <c r="I26" i="43"/>
  <c r="J26" i="43"/>
  <c r="C23" i="42"/>
  <c r="J19" i="42" s="1"/>
  <c r="G23" i="42"/>
  <c r="F23" i="42"/>
  <c r="E23" i="42"/>
  <c r="D23" i="42"/>
  <c r="C23" i="38"/>
  <c r="J11" i="38" s="1"/>
  <c r="G23" i="39"/>
  <c r="C23" i="39"/>
  <c r="J6" i="39" s="1"/>
  <c r="F23" i="39"/>
  <c r="E23" i="39"/>
  <c r="D23" i="39"/>
  <c r="D23" i="38"/>
  <c r="E23" i="38"/>
  <c r="F23" i="38"/>
  <c r="G23" i="38"/>
  <c r="C27" i="37"/>
  <c r="H12" i="37" s="1"/>
  <c r="J27" i="37"/>
  <c r="I27" i="37"/>
  <c r="E27" i="37"/>
  <c r="D27" i="37"/>
  <c r="B27" i="36"/>
  <c r="G4" i="36" s="1"/>
  <c r="I27" i="36"/>
  <c r="H27" i="36"/>
  <c r="C27" i="36"/>
  <c r="D27" i="36"/>
  <c r="J28" i="33"/>
  <c r="I28" i="33"/>
  <c r="D28" i="33"/>
  <c r="E28" i="33"/>
  <c r="C28" i="33"/>
  <c r="H18" i="33" s="1"/>
  <c r="F3" i="27"/>
  <c r="F4" i="27"/>
  <c r="F5" i="27"/>
  <c r="F6" i="27"/>
  <c r="F7" i="27"/>
  <c r="F8" i="27"/>
  <c r="F9" i="27"/>
  <c r="F10" i="27"/>
  <c r="F11" i="27"/>
  <c r="F12" i="27"/>
  <c r="F13" i="27"/>
  <c r="F14" i="27"/>
  <c r="F15" i="27"/>
  <c r="F16" i="27"/>
  <c r="F17" i="27"/>
  <c r="F18" i="27"/>
  <c r="F19" i="27"/>
  <c r="F20" i="27"/>
  <c r="F21" i="27"/>
  <c r="F22" i="27"/>
  <c r="F3" i="29"/>
  <c r="F4" i="29"/>
  <c r="F5" i="29"/>
  <c r="F6" i="29"/>
  <c r="F7" i="29"/>
  <c r="F8" i="29"/>
  <c r="F9" i="29"/>
  <c r="F10" i="29"/>
  <c r="F11" i="29"/>
  <c r="F12" i="29"/>
  <c r="F13" i="29"/>
  <c r="F14" i="29"/>
  <c r="F15" i="29"/>
  <c r="F16" i="29"/>
  <c r="F17" i="29"/>
  <c r="F18" i="29"/>
  <c r="F19" i="29"/>
  <c r="F20" i="29"/>
  <c r="F21" i="29"/>
  <c r="F22" i="29"/>
  <c r="F23" i="29"/>
  <c r="F24" i="29"/>
  <c r="F3" i="28"/>
  <c r="F4" i="28"/>
  <c r="F5" i="28"/>
  <c r="F6" i="28"/>
  <c r="F7" i="28"/>
  <c r="F8" i="28"/>
  <c r="F9" i="28"/>
  <c r="F10" i="28"/>
  <c r="F11" i="28"/>
  <c r="F12" i="28"/>
  <c r="F13" i="28"/>
  <c r="F14" i="28"/>
  <c r="F15" i="28"/>
  <c r="F16" i="28"/>
  <c r="F17" i="28"/>
  <c r="F18" i="28"/>
  <c r="F19" i="28"/>
  <c r="F20" i="28"/>
  <c r="F21" i="28"/>
  <c r="F22" i="28"/>
  <c r="F23" i="28"/>
  <c r="F3" i="26"/>
  <c r="F4" i="26"/>
  <c r="F5" i="26"/>
  <c r="F6" i="26"/>
  <c r="F7" i="26"/>
  <c r="F8" i="26"/>
  <c r="F9" i="26"/>
  <c r="F10" i="26"/>
  <c r="F11" i="26"/>
  <c r="F12" i="26"/>
  <c r="F13" i="26"/>
  <c r="F14" i="26"/>
  <c r="F15" i="26"/>
  <c r="F16" i="26"/>
  <c r="F17" i="26"/>
  <c r="F18" i="26"/>
  <c r="F19" i="26"/>
  <c r="F20" i="26"/>
  <c r="F21" i="26"/>
  <c r="F22" i="26"/>
  <c r="F23" i="26"/>
  <c r="F24" i="26"/>
  <c r="F25" i="26"/>
  <c r="F26" i="26"/>
  <c r="F4" i="23"/>
  <c r="F5" i="23"/>
  <c r="F6" i="23"/>
  <c r="F7" i="23"/>
  <c r="F8" i="23"/>
  <c r="F9" i="23"/>
  <c r="F10" i="23"/>
  <c r="F11" i="23"/>
  <c r="F12" i="23"/>
  <c r="F13" i="23"/>
  <c r="F14" i="23"/>
  <c r="F15" i="23"/>
  <c r="F16" i="23"/>
  <c r="F17" i="23"/>
  <c r="F18" i="23"/>
  <c r="F19" i="23"/>
  <c r="F20" i="23"/>
  <c r="F21" i="23"/>
  <c r="F22" i="23"/>
  <c r="F3" i="23"/>
  <c r="F3" i="25"/>
  <c r="F4" i="25"/>
  <c r="F5" i="25"/>
  <c r="F6" i="25"/>
  <c r="F7" i="25"/>
  <c r="F8" i="25"/>
  <c r="F9" i="25"/>
  <c r="F10" i="25"/>
  <c r="F11" i="25"/>
  <c r="F12" i="25"/>
  <c r="F13" i="25"/>
  <c r="F14" i="25"/>
  <c r="F15" i="25"/>
  <c r="F16" i="25"/>
  <c r="F17" i="25"/>
  <c r="F18" i="25"/>
  <c r="F19" i="25"/>
  <c r="F20" i="25"/>
  <c r="F21" i="25"/>
  <c r="F2" i="25"/>
  <c r="F3" i="24"/>
  <c r="F4" i="24"/>
  <c r="F5" i="24"/>
  <c r="F6" i="24"/>
  <c r="F7" i="24"/>
  <c r="F8" i="24"/>
  <c r="F9" i="24"/>
  <c r="F10" i="24"/>
  <c r="F11" i="24"/>
  <c r="F12" i="24"/>
  <c r="F13" i="24"/>
  <c r="F14" i="24"/>
  <c r="F15" i="24"/>
  <c r="F16" i="24"/>
  <c r="F17" i="24"/>
  <c r="F18" i="24"/>
  <c r="F19" i="24"/>
  <c r="F20" i="24"/>
  <c r="F21" i="24"/>
  <c r="F2" i="24"/>
  <c r="F3" i="7"/>
  <c r="F4" i="7"/>
  <c r="F5" i="7"/>
  <c r="F6" i="7"/>
  <c r="F7" i="7"/>
  <c r="F8" i="7"/>
  <c r="F9" i="7"/>
  <c r="F10" i="7"/>
  <c r="F11" i="7"/>
  <c r="F12" i="7"/>
  <c r="F13" i="7"/>
  <c r="F14" i="7"/>
  <c r="F15" i="7"/>
  <c r="F16" i="7"/>
  <c r="F17" i="7"/>
  <c r="F18" i="7"/>
  <c r="F19" i="7"/>
  <c r="F2" i="7"/>
  <c r="F3" i="20"/>
  <c r="F4" i="20"/>
  <c r="F5" i="20"/>
  <c r="F6" i="20"/>
  <c r="F7" i="20"/>
  <c r="F8" i="20"/>
  <c r="F9" i="20"/>
  <c r="F10" i="20"/>
  <c r="F11" i="20"/>
  <c r="F12" i="20"/>
  <c r="F13" i="20"/>
  <c r="F14" i="20"/>
  <c r="F15" i="20"/>
  <c r="F16" i="20"/>
  <c r="F17" i="20"/>
  <c r="F18" i="20"/>
  <c r="F19" i="20"/>
  <c r="F2" i="20"/>
  <c r="F3" i="22"/>
  <c r="F4" i="22"/>
  <c r="F5" i="22"/>
  <c r="F6" i="22"/>
  <c r="F7" i="22"/>
  <c r="F8" i="22"/>
  <c r="F9" i="22"/>
  <c r="F10" i="22"/>
  <c r="F11" i="22"/>
  <c r="F12" i="22"/>
  <c r="F13" i="22"/>
  <c r="F14" i="22"/>
  <c r="F15" i="22"/>
  <c r="F16" i="22"/>
  <c r="F17" i="22"/>
  <c r="F18" i="22"/>
  <c r="F19" i="22"/>
  <c r="F2" i="22"/>
  <c r="F4" i="21"/>
  <c r="F5" i="21"/>
  <c r="F6" i="21"/>
  <c r="F7" i="21"/>
  <c r="F8" i="21"/>
  <c r="F9" i="21"/>
  <c r="F10" i="21"/>
  <c r="F11" i="21"/>
  <c r="F12" i="21"/>
  <c r="F13" i="21"/>
  <c r="F14" i="21"/>
  <c r="F15" i="21"/>
  <c r="F16" i="21"/>
  <c r="F17" i="21"/>
  <c r="F18" i="21"/>
  <c r="F19" i="21"/>
  <c r="F20" i="21"/>
  <c r="F3" i="21"/>
  <c r="F4" i="19"/>
  <c r="F5" i="19"/>
  <c r="F6" i="19"/>
  <c r="F7" i="19"/>
  <c r="F8" i="19"/>
  <c r="F9" i="19"/>
  <c r="F10" i="19"/>
  <c r="F11" i="19"/>
  <c r="F12" i="19"/>
  <c r="F13" i="19"/>
  <c r="F14" i="19"/>
  <c r="F15" i="19"/>
  <c r="F16" i="19"/>
  <c r="F17" i="19"/>
  <c r="F18" i="19"/>
  <c r="F19" i="19"/>
  <c r="F3" i="19"/>
  <c r="F3" i="18"/>
  <c r="F4" i="18"/>
  <c r="F5" i="18"/>
  <c r="F6" i="18"/>
  <c r="F7" i="18"/>
  <c r="F8" i="18"/>
  <c r="F9" i="18"/>
  <c r="F10" i="18"/>
  <c r="F11" i="18"/>
  <c r="F12" i="18"/>
  <c r="F13" i="18"/>
  <c r="F14" i="18"/>
  <c r="F15" i="18"/>
  <c r="F16" i="18"/>
  <c r="F17" i="18"/>
  <c r="F18" i="18"/>
  <c r="F19" i="18"/>
  <c r="F20" i="18"/>
  <c r="F2" i="18"/>
  <c r="F3" i="17"/>
  <c r="F4" i="17"/>
  <c r="F5" i="17"/>
  <c r="F6" i="17"/>
  <c r="F7" i="17"/>
  <c r="F8" i="17"/>
  <c r="F9" i="17"/>
  <c r="F10" i="17"/>
  <c r="F11" i="17"/>
  <c r="F12" i="17"/>
  <c r="F13" i="17"/>
  <c r="F14" i="17"/>
  <c r="F15" i="17"/>
  <c r="F16" i="17"/>
  <c r="F17" i="17"/>
  <c r="F18" i="17"/>
  <c r="F19" i="17"/>
  <c r="F2" i="17"/>
  <c r="F3" i="6"/>
  <c r="F4" i="6"/>
  <c r="F5" i="6"/>
  <c r="F6" i="6"/>
  <c r="F7" i="6"/>
  <c r="F8" i="6"/>
  <c r="F9" i="6"/>
  <c r="F10" i="6"/>
  <c r="F11" i="6"/>
  <c r="F12" i="6"/>
  <c r="F13" i="6"/>
  <c r="F14" i="6"/>
  <c r="F15" i="6"/>
  <c r="F16" i="6"/>
  <c r="F17" i="6"/>
  <c r="F18" i="6"/>
  <c r="F19" i="6"/>
  <c r="F2" i="6"/>
  <c r="F3" i="14"/>
  <c r="F4" i="14"/>
  <c r="F5" i="14"/>
  <c r="F6" i="14"/>
  <c r="F7" i="14"/>
  <c r="F8" i="14"/>
  <c r="F9" i="14"/>
  <c r="F10" i="14"/>
  <c r="F11" i="14"/>
  <c r="F12" i="14"/>
  <c r="F13" i="14"/>
  <c r="F14" i="14"/>
  <c r="F15" i="14"/>
  <c r="F16" i="14"/>
  <c r="F17" i="14"/>
  <c r="F18" i="14"/>
  <c r="F2" i="14"/>
  <c r="F3" i="15"/>
  <c r="F4" i="15"/>
  <c r="F5" i="15"/>
  <c r="F6" i="15"/>
  <c r="F7" i="15"/>
  <c r="F8" i="15"/>
  <c r="F9" i="15"/>
  <c r="F10" i="15"/>
  <c r="F11" i="15"/>
  <c r="F12" i="15"/>
  <c r="F13" i="15"/>
  <c r="F14" i="15"/>
  <c r="F15" i="15"/>
  <c r="F16" i="15"/>
  <c r="F17" i="15"/>
  <c r="F18" i="15"/>
  <c r="F2" i="15"/>
  <c r="F3" i="16"/>
  <c r="F4" i="16"/>
  <c r="F5" i="16"/>
  <c r="F6" i="16"/>
  <c r="F7" i="16"/>
  <c r="F8" i="16"/>
  <c r="F9" i="16"/>
  <c r="F10" i="16"/>
  <c r="F11" i="16"/>
  <c r="F12" i="16"/>
  <c r="F13" i="16"/>
  <c r="F14" i="16"/>
  <c r="F15" i="16"/>
  <c r="F16" i="16"/>
  <c r="F17" i="16"/>
  <c r="F18" i="16"/>
  <c r="F2" i="16"/>
  <c r="F3" i="2"/>
  <c r="F4" i="2"/>
  <c r="F5" i="2"/>
  <c r="F6" i="2"/>
  <c r="F7" i="2"/>
  <c r="F8" i="2"/>
  <c r="F9" i="2"/>
  <c r="F10" i="2"/>
  <c r="F11" i="2"/>
  <c r="F12" i="2"/>
  <c r="F13" i="2"/>
  <c r="F14" i="2"/>
  <c r="F15" i="2"/>
  <c r="F16" i="2"/>
  <c r="F17" i="2"/>
  <c r="F18" i="2"/>
  <c r="F2" i="2"/>
  <c r="F2" i="19"/>
  <c r="F17" i="8"/>
  <c r="F13" i="8"/>
  <c r="F9" i="8"/>
  <c r="F21" i="8"/>
  <c r="F5" i="8"/>
  <c r="F20" i="8"/>
  <c r="F16" i="8"/>
  <c r="F12" i="8"/>
  <c r="F8" i="8"/>
  <c r="F4" i="8"/>
  <c r="F19" i="8"/>
  <c r="F15" i="8"/>
  <c r="F11" i="8"/>
  <c r="F7" i="8"/>
  <c r="F18" i="8"/>
  <c r="F14" i="8"/>
  <c r="F10" i="8"/>
  <c r="F6" i="8"/>
  <c r="F3" i="8"/>
  <c r="F2" i="8"/>
  <c r="J23" i="38"/>
  <c r="J15" i="38"/>
  <c r="J14" i="38"/>
  <c r="J18" i="39"/>
  <c r="J21" i="39"/>
  <c r="H10" i="33"/>
  <c r="H9" i="33"/>
  <c r="H21" i="37"/>
  <c r="H6" i="37"/>
  <c r="J6" i="38"/>
  <c r="H23" i="37"/>
  <c r="J21" i="38"/>
  <c r="J13" i="38"/>
  <c r="J5" i="38"/>
  <c r="J3" i="38"/>
  <c r="H6" i="33"/>
  <c r="H24" i="37"/>
  <c r="J20" i="38"/>
  <c r="J12" i="38"/>
  <c r="J4" i="38"/>
  <c r="J19" i="38"/>
  <c r="H13" i="33"/>
  <c r="G6" i="36"/>
  <c r="H18" i="37"/>
  <c r="H26" i="37"/>
  <c r="J18" i="38"/>
  <c r="J10" i="38"/>
  <c r="H12" i="33"/>
  <c r="J17" i="38"/>
  <c r="J9" i="38"/>
  <c r="G23" i="36"/>
  <c r="J16" i="38"/>
  <c r="M20" i="48"/>
  <c r="AG19" i="56"/>
  <c r="AG12" i="56"/>
  <c r="J15" i="39"/>
  <c r="M16" i="48"/>
  <c r="AG6" i="56"/>
  <c r="AG18" i="56"/>
  <c r="AG14" i="57"/>
  <c r="AG3" i="57" s="1"/>
  <c r="AG24" i="56"/>
  <c r="AG17" i="56"/>
  <c r="AG9" i="56"/>
  <c r="AG3" i="56" s="1"/>
  <c r="M15" i="48"/>
  <c r="M3" i="48" s="1"/>
  <c r="AG23" i="56"/>
  <c r="AG16" i="56"/>
  <c r="AG8" i="56"/>
  <c r="M11" i="48"/>
  <c r="J5" i="39"/>
  <c r="J14" i="39"/>
  <c r="AG22" i="56"/>
  <c r="AG15" i="56"/>
  <c r="J17" i="39" l="1"/>
  <c r="J8" i="39"/>
  <c r="J11" i="39"/>
  <c r="H19" i="37"/>
  <c r="H10" i="37"/>
  <c r="H16" i="37"/>
  <c r="H15" i="37"/>
  <c r="H3" i="37"/>
  <c r="H20" i="37"/>
  <c r="H4" i="37"/>
  <c r="J9" i="39"/>
  <c r="J22" i="39"/>
  <c r="J12" i="39"/>
  <c r="H25" i="37"/>
  <c r="H17" i="37"/>
  <c r="H11" i="37"/>
  <c r="J16" i="39"/>
  <c r="J20" i="39"/>
  <c r="H9" i="37"/>
  <c r="H13" i="37"/>
  <c r="J13" i="39"/>
  <c r="J19" i="39"/>
  <c r="H8" i="37"/>
  <c r="H7" i="37"/>
  <c r="J10" i="39"/>
  <c r="J3" i="39"/>
  <c r="J7" i="39"/>
  <c r="J4" i="39"/>
  <c r="H22" i="37"/>
  <c r="H5" i="37"/>
  <c r="AG16" i="57"/>
  <c r="G8" i="36"/>
  <c r="AG12" i="57"/>
  <c r="G17" i="36"/>
  <c r="G19" i="36"/>
  <c r="G5" i="36"/>
  <c r="G7" i="36"/>
  <c r="G14" i="36"/>
  <c r="G15" i="36"/>
  <c r="G16" i="36"/>
  <c r="G25" i="36"/>
  <c r="G12" i="36"/>
  <c r="G13" i="36"/>
  <c r="G22" i="36"/>
  <c r="G24" i="36"/>
  <c r="G26" i="36"/>
  <c r="H25" i="33"/>
  <c r="J10" i="42"/>
  <c r="G20" i="36"/>
  <c r="G21" i="36"/>
  <c r="G9" i="36"/>
  <c r="G10" i="36"/>
  <c r="G11" i="36"/>
  <c r="G18" i="36"/>
  <c r="AG13" i="55"/>
  <c r="AG12" i="55"/>
  <c r="AG8" i="55"/>
  <c r="AG14" i="55"/>
  <c r="AG7" i="55"/>
  <c r="AG23" i="55"/>
  <c r="AG10" i="55"/>
  <c r="AG20" i="55"/>
  <c r="AG15" i="55"/>
  <c r="AG17" i="55"/>
  <c r="AG11" i="55"/>
  <c r="AG18" i="55"/>
  <c r="AG24" i="55"/>
  <c r="AG6" i="55"/>
  <c r="AG21" i="55"/>
  <c r="AG9" i="55"/>
  <c r="AG3" i="55" s="1"/>
  <c r="AG25" i="55"/>
  <c r="AG22" i="55"/>
  <c r="AG16" i="55"/>
  <c r="AG19" i="55"/>
  <c r="M10" i="48"/>
  <c r="AG19" i="57"/>
  <c r="M22" i="48"/>
  <c r="AG21" i="57"/>
  <c r="M7" i="48"/>
  <c r="M8" i="48"/>
  <c r="AG23" i="57"/>
  <c r="H5" i="33"/>
  <c r="H20" i="33"/>
  <c r="H16" i="33"/>
  <c r="H11" i="33"/>
  <c r="H24" i="33"/>
  <c r="J8" i="38"/>
  <c r="M24" i="48"/>
  <c r="M25" i="48"/>
  <c r="M12" i="48"/>
  <c r="M17" i="48"/>
  <c r="M21" i="48"/>
  <c r="H17" i="33"/>
  <c r="H19" i="33"/>
  <c r="H23" i="33"/>
  <c r="H14" i="37"/>
  <c r="M19" i="48"/>
  <c r="AG13" i="57"/>
  <c r="AG7" i="57"/>
  <c r="M23" i="48"/>
  <c r="M13" i="48"/>
  <c r="M18" i="48"/>
  <c r="AG20" i="57"/>
  <c r="M14" i="48"/>
  <c r="AG15" i="57"/>
  <c r="AG8" i="57"/>
  <c r="M9" i="48"/>
  <c r="H4" i="33"/>
  <c r="H8" i="33"/>
  <c r="H26" i="33"/>
  <c r="H3" i="33"/>
  <c r="J12" i="42"/>
  <c r="J7" i="42"/>
  <c r="J3" i="42"/>
  <c r="H15" i="33"/>
  <c r="J17" i="42"/>
  <c r="J15" i="42"/>
  <c r="J7" i="38"/>
  <c r="H14" i="33"/>
  <c r="K28" i="50"/>
  <c r="AG25" i="50" s="1"/>
  <c r="J6" i="42"/>
  <c r="J22" i="38"/>
  <c r="J18" i="42"/>
  <c r="H7" i="33"/>
  <c r="H22" i="33"/>
  <c r="G3" i="36"/>
  <c r="H27" i="37"/>
  <c r="J20" i="42"/>
  <c r="J14" i="42"/>
  <c r="J21" i="42"/>
  <c r="M6" i="48"/>
  <c r="H21" i="33"/>
  <c r="J16" i="42"/>
  <c r="J9" i="42"/>
  <c r="J13" i="42"/>
  <c r="H27" i="33"/>
  <c r="J8" i="42"/>
  <c r="J11" i="42"/>
  <c r="J4" i="42"/>
  <c r="J22" i="42"/>
  <c r="J5" i="42"/>
  <c r="AG6" i="59"/>
  <c r="AG20" i="59"/>
  <c r="AG24" i="58"/>
  <c r="AG11" i="58"/>
  <c r="AG12" i="58"/>
  <c r="AG6" i="57"/>
  <c r="AG11" i="57"/>
  <c r="AG24" i="57"/>
  <c r="AG22" i="57"/>
  <c r="AG18" i="57"/>
  <c r="AG17" i="57"/>
  <c r="AG10" i="57"/>
  <c r="AG14" i="58"/>
  <c r="AG6" i="58"/>
  <c r="AG23" i="58"/>
  <c r="AG10" i="58"/>
  <c r="AG17" i="58"/>
  <c r="AG22" i="58"/>
  <c r="AG13" i="58"/>
  <c r="AG7" i="58"/>
  <c r="AG21" i="58"/>
  <c r="AG20" i="58"/>
  <c r="AG19" i="58"/>
  <c r="AG16" i="58"/>
  <c r="AG3" i="58" s="1"/>
  <c r="AG15" i="58"/>
  <c r="AG18" i="58"/>
  <c r="AG8" i="58"/>
  <c r="AG7" i="56"/>
  <c r="AG13" i="56"/>
  <c r="AG10" i="56"/>
  <c r="AG11" i="56"/>
  <c r="AG21" i="56"/>
  <c r="AG20" i="56"/>
  <c r="AG13" i="59"/>
  <c r="AG24" i="59"/>
  <c r="AG25" i="59"/>
  <c r="AG23" i="59"/>
  <c r="AG21" i="59"/>
  <c r="AG12" i="59"/>
  <c r="AG22" i="59"/>
  <c r="AG19" i="59"/>
  <c r="AG10" i="59"/>
  <c r="AG8" i="59"/>
  <c r="AG16" i="59"/>
  <c r="AG7" i="59"/>
  <c r="AG15" i="59"/>
  <c r="AG18" i="59"/>
  <c r="AG14" i="59"/>
  <c r="AG17" i="59"/>
  <c r="AG3" i="59" s="1"/>
  <c r="AG20" i="50" l="1"/>
  <c r="AG21" i="50"/>
  <c r="AG16" i="50"/>
  <c r="G27" i="36"/>
  <c r="AG19" i="50"/>
  <c r="AG23" i="50"/>
  <c r="H28" i="33"/>
  <c r="AG17" i="50"/>
  <c r="AG7" i="50"/>
  <c r="AG10" i="50"/>
  <c r="AG9" i="50"/>
  <c r="AG24" i="50"/>
  <c r="AG27" i="50"/>
  <c r="AG26" i="55"/>
  <c r="AG22" i="50"/>
  <c r="AG11" i="50"/>
  <c r="AG6" i="50"/>
  <c r="AG18" i="50"/>
  <c r="AG8" i="50"/>
  <c r="AG12" i="50"/>
  <c r="AG3" i="50" s="1"/>
  <c r="AG15" i="50"/>
  <c r="AG14" i="50"/>
  <c r="AG13" i="50"/>
  <c r="AG26" i="50"/>
  <c r="AG25" i="57"/>
  <c r="AG25" i="58"/>
  <c r="AG25" i="56"/>
  <c r="AG28" i="5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1E00-000001000000}">
      <text>
        <r>
          <rPr>
            <b/>
            <sz val="9"/>
            <color indexed="81"/>
            <rFont val="Tahoma"/>
            <family val="2"/>
          </rPr>
          <t>Author:</t>
        </r>
        <r>
          <rPr>
            <sz val="9"/>
            <color indexed="81"/>
            <rFont val="Tahoma"/>
            <family val="2"/>
          </rPr>
          <t xml:space="preserve">
Augustin Harun: Please select from drop dwon list to display company specific data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1F00-000001000000}">
      <text>
        <r>
          <rPr>
            <b/>
            <sz val="9"/>
            <color indexed="81"/>
            <rFont val="Tahoma"/>
            <family val="2"/>
          </rPr>
          <t>Author:</t>
        </r>
        <r>
          <rPr>
            <sz val="9"/>
            <color indexed="81"/>
            <rFont val="Tahoma"/>
            <family val="2"/>
          </rPr>
          <t xml:space="preserve">
Please select from drop dwon list to display company specific data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000-000001000000}">
      <text>
        <r>
          <rPr>
            <b/>
            <sz val="9"/>
            <color indexed="81"/>
            <rFont val="Tahoma"/>
            <family val="2"/>
          </rPr>
          <t>Author:</t>
        </r>
        <r>
          <rPr>
            <sz val="9"/>
            <color indexed="81"/>
            <rFont val="Tahoma"/>
            <family val="2"/>
          </rPr>
          <t xml:space="preserve">
Please select from drop dwon list to display company specific data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100-000001000000}">
      <text>
        <r>
          <rPr>
            <b/>
            <sz val="9"/>
            <color indexed="81"/>
            <rFont val="Tahoma"/>
            <family val="2"/>
          </rPr>
          <t>Author:</t>
        </r>
        <r>
          <rPr>
            <sz val="9"/>
            <color indexed="81"/>
            <rFont val="Tahoma"/>
            <family val="2"/>
          </rPr>
          <t xml:space="preserve">
Please select from drop dwon list to display company specific data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200-000001000000}">
      <text>
        <r>
          <rPr>
            <b/>
            <sz val="9"/>
            <color indexed="81"/>
            <rFont val="Tahoma"/>
            <family val="2"/>
          </rPr>
          <t>Author:</t>
        </r>
        <r>
          <rPr>
            <sz val="9"/>
            <color indexed="81"/>
            <rFont val="Tahoma"/>
            <family val="2"/>
          </rPr>
          <t xml:space="preserve">
Please select from drop dwon list to display company specific data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300-000001000000}">
      <text>
        <r>
          <rPr>
            <b/>
            <sz val="9"/>
            <color indexed="81"/>
            <rFont val="Tahoma"/>
            <family val="2"/>
          </rPr>
          <t>Please select from drop down list to display company specific data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400-000001000000}">
      <text>
        <r>
          <rPr>
            <b/>
            <sz val="9"/>
            <color indexed="81"/>
            <rFont val="Tahoma"/>
            <family val="2"/>
          </rPr>
          <t>Please select from drop down list to display company specific data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500-000001000000}">
      <text>
        <r>
          <rPr>
            <b/>
            <sz val="9"/>
            <color indexed="81"/>
            <rFont val="Tahoma"/>
            <family val="2"/>
          </rPr>
          <t>Please select from drop down list to display company specific data</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600-000001000000}">
      <text>
        <r>
          <rPr>
            <b/>
            <sz val="9"/>
            <color indexed="81"/>
            <rFont val="Tahoma"/>
            <family val="2"/>
          </rPr>
          <t>Please select from drop down list to display company specific data</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700-000001000000}">
      <text>
        <r>
          <rPr>
            <b/>
            <sz val="9"/>
            <color indexed="81"/>
            <rFont val="Tahoma"/>
            <family val="2"/>
          </rPr>
          <t>Please select from drop down list to display company specific data</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800-000001000000}">
      <text>
        <r>
          <rPr>
            <b/>
            <sz val="9"/>
            <color indexed="81"/>
            <rFont val="Tahoma"/>
            <family val="2"/>
          </rPr>
          <t>Please select from drop down list to display company specific data</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900-000001000000}">
      <text>
        <r>
          <rPr>
            <b/>
            <sz val="9"/>
            <color indexed="81"/>
            <rFont val="Tahoma"/>
            <family val="2"/>
          </rPr>
          <t>Please select from drop down list to display company specific data</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A00-000001000000}">
      <text>
        <r>
          <rPr>
            <b/>
            <sz val="9"/>
            <color indexed="81"/>
            <rFont val="Tahoma"/>
            <family val="2"/>
          </rPr>
          <t>Please select from drop down list to display company specific data</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B00-000001000000}">
      <text>
        <r>
          <rPr>
            <b/>
            <sz val="9"/>
            <color indexed="81"/>
            <rFont val="Tahoma"/>
            <family val="2"/>
          </rPr>
          <t>Please select from drop down list to display company specific data</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C00-000001000000}">
      <text>
        <r>
          <rPr>
            <b/>
            <sz val="9"/>
            <color indexed="81"/>
            <rFont val="Tahoma"/>
            <family val="2"/>
          </rPr>
          <t>Please select from drop down list to display company specific data</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D00-000001000000}">
      <text>
        <r>
          <rPr>
            <b/>
            <sz val="9"/>
            <color indexed="81"/>
            <rFont val="Tahoma"/>
            <family val="2"/>
          </rPr>
          <t>Please select from drop down list to display company specific data</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E00-000001000000}">
      <text>
        <r>
          <rPr>
            <b/>
            <sz val="9"/>
            <color indexed="81"/>
            <rFont val="Tahoma"/>
            <family val="2"/>
          </rPr>
          <t>Please select from drop down list to display company specific data</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F00-000001000000}">
      <text>
        <r>
          <rPr>
            <b/>
            <sz val="9"/>
            <color indexed="81"/>
            <rFont val="Tahoma"/>
            <family val="2"/>
          </rPr>
          <t>Please select from drop down list to display company specific data</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3000-000001000000}">
      <text>
        <r>
          <rPr>
            <b/>
            <sz val="9"/>
            <color indexed="81"/>
            <rFont val="Tahoma"/>
            <family val="2"/>
          </rPr>
          <t>Please select from drop down list to display company specific data</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3100-000001000000}">
      <text>
        <r>
          <rPr>
            <b/>
            <sz val="9"/>
            <color indexed="81"/>
            <rFont val="Tahoma"/>
            <family val="2"/>
          </rPr>
          <t>Please select from drop down list to display company specific data</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3200-000001000000}">
      <text>
        <r>
          <rPr>
            <b/>
            <sz val="9"/>
            <color indexed="81"/>
            <rFont val="Tahoma"/>
            <family val="2"/>
          </rPr>
          <t>Please select from drop down list to display company specific data</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3300-000001000000}">
      <text>
        <r>
          <rPr>
            <b/>
            <sz val="9"/>
            <color indexed="81"/>
            <rFont val="Tahoma"/>
            <family val="2"/>
          </rPr>
          <t>Please select from drop down list to display company specific data</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18CE00F6-0E6B-4DB2-AF5E-E7CC8E39F337}">
      <text>
        <r>
          <rPr>
            <b/>
            <sz val="9"/>
            <color indexed="81"/>
            <rFont val="Tahoma"/>
            <family val="2"/>
          </rPr>
          <t>Please select from drop down list to display company specific data</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55B4B763-801F-4675-A212-8C6A8C142DCB}">
      <text>
        <r>
          <rPr>
            <b/>
            <sz val="9"/>
            <color indexed="81"/>
            <rFont val="Tahoma"/>
            <family val="2"/>
          </rPr>
          <t>Please select from drop down list to display company specific data</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CC87EC90-EFBF-43F1-BA44-8A6C524AAB94}">
      <text>
        <r>
          <rPr>
            <b/>
            <sz val="9"/>
            <color indexed="81"/>
            <rFont val="Tahoma"/>
            <family val="2"/>
          </rPr>
          <t>Please select from drop down list to display company specific data</t>
        </r>
      </text>
    </comment>
  </commentList>
</comments>
</file>

<file path=xl/sharedStrings.xml><?xml version="1.0" encoding="utf-8"?>
<sst xmlns="http://schemas.openxmlformats.org/spreadsheetml/2006/main" count="2924" uniqueCount="236">
  <si>
    <t>TYPE OF INDUSTRY DATA</t>
  </si>
  <si>
    <t>QUARTERLY (UNAUDITED )</t>
  </si>
  <si>
    <t>PERIOD</t>
  </si>
  <si>
    <t>QTR 1 - QTR 4</t>
  </si>
  <si>
    <t xml:space="preserve"> YEAR</t>
  </si>
  <si>
    <t>2013 - 2022</t>
  </si>
  <si>
    <t>The insurance data presented in this workbook is unaudited and was extracted from the quarterly returns submitted to the NIC in accordance with  the Insurance Act 2006, Act 724. No adjustments have been made to the submitted data, except rounding off the figures to the nearest whole number. All amounts are stated in Ghana Cedis and in full. Please note for the purposes of analyses, the data in respect of each quater is cumulative to the fourth quarter of the year relating to the four quarters in question. That is the first quarter is from January to March; the second quarter is from January to June; the third quarter is from January to September; and the fourth quarter is from January to December of the year in question.</t>
  </si>
  <si>
    <t>Q1, 2013</t>
  </si>
  <si>
    <t>Total Premiums</t>
  </si>
  <si>
    <t>Policy Holder Benefits Paid</t>
  </si>
  <si>
    <t>Management Expenses</t>
  </si>
  <si>
    <t>Expense Ratio</t>
  </si>
  <si>
    <t>Market Share</t>
  </si>
  <si>
    <t>Total Assets</t>
  </si>
  <si>
    <t>Total Investment</t>
  </si>
  <si>
    <t>Capital Express Assurance (Gh) Limited</t>
  </si>
  <si>
    <t>Donewell Life Insurance Company Limited</t>
  </si>
  <si>
    <t>Enterprise Life Assurance Company Limited</t>
  </si>
  <si>
    <t>Ghana Life Insurance Company</t>
  </si>
  <si>
    <t>Ghana Union Assurance Life Company Limited</t>
  </si>
  <si>
    <t>Glico Life Insurance Company Limited</t>
  </si>
  <si>
    <t>Metropolitan Life Insurance Ghana Limited</t>
  </si>
  <si>
    <t>Old Mutual Assurance Ghana Limited</t>
  </si>
  <si>
    <t>Phoenix Life Assurance Company Limited</t>
  </si>
  <si>
    <t>Prudential Life Insurance Ghana</t>
  </si>
  <si>
    <t>Quality Life Assurance Company Limited</t>
  </si>
  <si>
    <t>Saham Life Insurance Ghana Limited</t>
  </si>
  <si>
    <t>SIC Life Insurance Company Limited</t>
  </si>
  <si>
    <t>StarLife Assurance Company Limited</t>
  </si>
  <si>
    <t>Unique Life Assurance Company Limited</t>
  </si>
  <si>
    <t>UT Life Insurance Company Limited</t>
  </si>
  <si>
    <t>Vanguard Life Assurance Company Limited</t>
  </si>
  <si>
    <t>Total By Year</t>
  </si>
  <si>
    <t>Q2, 2013</t>
  </si>
  <si>
    <t>Gross Premiums</t>
  </si>
  <si>
    <t>Q3, 2013</t>
  </si>
  <si>
    <t>Q4, 2013</t>
  </si>
  <si>
    <t>Q1, 2014</t>
  </si>
  <si>
    <t>Policy Holder  Benefits Paid</t>
  </si>
  <si>
    <t>Total Assests</t>
  </si>
  <si>
    <t>Esich Life Assurance Company limited</t>
  </si>
  <si>
    <t>Q2, 2014</t>
  </si>
  <si>
    <t>Q3, 2014</t>
  </si>
  <si>
    <t>Q4, 2014</t>
  </si>
  <si>
    <t>Q1, 2015</t>
  </si>
  <si>
    <t>Policy Holder Benefits paid</t>
  </si>
  <si>
    <t xml:space="preserve">Market Share </t>
  </si>
  <si>
    <t>GN Life Assurance Company Limited</t>
  </si>
  <si>
    <t>Q2, 2015</t>
  </si>
  <si>
    <t>Q3, 2015</t>
  </si>
  <si>
    <t>Q4, 2015</t>
  </si>
  <si>
    <t>Q1, 2016</t>
  </si>
  <si>
    <t>Total Premium</t>
  </si>
  <si>
    <t>First Insurance Company Limited</t>
  </si>
  <si>
    <t>Q2, 2016</t>
  </si>
  <si>
    <t>Q3, 2016</t>
  </si>
  <si>
    <t>Gross Premium</t>
  </si>
  <si>
    <t>-</t>
  </si>
  <si>
    <t>Q4, 2016</t>
  </si>
  <si>
    <t>Q1 2017</t>
  </si>
  <si>
    <t>Company</t>
  </si>
  <si>
    <t>Policyholder Benefits Paid</t>
  </si>
  <si>
    <t>A-Plus Iife Assurance Company Limited</t>
  </si>
  <si>
    <t>Avance Life</t>
  </si>
  <si>
    <t>Hollard Life Assurance Company Limited</t>
  </si>
  <si>
    <t>IGI Life Assurance Ghana Limited</t>
  </si>
  <si>
    <t>Millennium Life Insurance Company Limited</t>
  </si>
  <si>
    <t>Total By Quarter</t>
  </si>
  <si>
    <t>Total "Current::GrossPremiumWritten" Over Periods</t>
  </si>
  <si>
    <t>Average "Current::GrossPremiumWritten" By Company</t>
  </si>
  <si>
    <t>Total "Current::GrossPremiumWritten" By Company</t>
  </si>
  <si>
    <t>Q2, 2017</t>
  </si>
  <si>
    <t>Avance Life Assurance (Gh) Limited</t>
  </si>
  <si>
    <t>Q3, 2017</t>
  </si>
  <si>
    <t>Net Policyholders Benefit Payment</t>
  </si>
  <si>
    <t>Q4, 2017</t>
  </si>
  <si>
    <t>Africa Life Insurance Company Limited</t>
  </si>
  <si>
    <t>Q1, 2018</t>
  </si>
  <si>
    <t>Policyholder Benefit Cover</t>
  </si>
  <si>
    <t>Inv. Assets</t>
  </si>
  <si>
    <t>Allianz Life Insurance Company Limited</t>
  </si>
  <si>
    <t>Avance Life Insurance Company Limited</t>
  </si>
  <si>
    <t>Beige Assure</t>
  </si>
  <si>
    <t>Q2, 2018</t>
  </si>
  <si>
    <t>Q3, 2018</t>
  </si>
  <si>
    <t>Adamas Life Assurance Co. Ltd.</t>
  </si>
  <si>
    <t>Q4, 2018</t>
  </si>
  <si>
    <t>Exceed Iife Assurance Company Limited</t>
  </si>
  <si>
    <t>TOTAL BY QUARTER</t>
  </si>
  <si>
    <t>Q1, 2019</t>
  </si>
  <si>
    <t>Exceed life Assurance Company Limited</t>
  </si>
  <si>
    <t>MiLife Insurance Company Limited</t>
  </si>
  <si>
    <t>Total</t>
  </si>
  <si>
    <t>Q2 2019</t>
  </si>
  <si>
    <t>ExceedLife Assurance Company Limited</t>
  </si>
  <si>
    <t>`</t>
  </si>
  <si>
    <t>Q3 2019</t>
  </si>
  <si>
    <t>Exceed Life Assurance Company Limited</t>
  </si>
  <si>
    <t>Mi Life Insurance Company Limited</t>
  </si>
  <si>
    <t xml:space="preserve">COMPANY  SPECIFIC DATA </t>
  </si>
  <si>
    <t>Net Written Premiums</t>
  </si>
  <si>
    <t>Gross policyholder benefit paid</t>
  </si>
  <si>
    <t>Commission Exp.</t>
  </si>
  <si>
    <t>Commission Income</t>
  </si>
  <si>
    <t>Q4, 2019</t>
  </si>
  <si>
    <t>Market Share (%)</t>
  </si>
  <si>
    <t>Net Risk Premium Written</t>
  </si>
  <si>
    <t>Q1, 2021</t>
  </si>
  <si>
    <t>Universal Life and Investment Products</t>
  </si>
  <si>
    <t>Group Life</t>
  </si>
  <si>
    <t>Term</t>
  </si>
  <si>
    <t>Credit Life</t>
  </si>
  <si>
    <t>Whole Life and Endowment</t>
  </si>
  <si>
    <t>Dread Disease</t>
  </si>
  <si>
    <t>Annuities</t>
  </si>
  <si>
    <t>Total and Permanent disability &amp; income protection</t>
  </si>
  <si>
    <t>Other Approved Products</t>
  </si>
  <si>
    <t>Total Net Inflows</t>
  </si>
  <si>
    <t>Decrease /(increase) in Provision for Policyholder Benefits</t>
  </si>
  <si>
    <t>Net Income</t>
  </si>
  <si>
    <t>Underwriting  Results</t>
  </si>
  <si>
    <t>Investment Income</t>
  </si>
  <si>
    <t>Other Income</t>
  </si>
  <si>
    <t>Ne Porfit Before Tax</t>
  </si>
  <si>
    <t>Policyholder Benefit Cover (%)</t>
  </si>
  <si>
    <t>Expense Ratio (%)</t>
  </si>
  <si>
    <t>LIFE INSURERS</t>
  </si>
  <si>
    <t>Q2, 2021</t>
  </si>
  <si>
    <t>Cash Balance</t>
  </si>
  <si>
    <t>Receivables</t>
  </si>
  <si>
    <t>PPEs</t>
  </si>
  <si>
    <t>Technical Provision</t>
  </si>
  <si>
    <t>Payables</t>
  </si>
  <si>
    <t>Market Share(%)</t>
  </si>
  <si>
    <t>Q3, 2021</t>
  </si>
  <si>
    <t>Profit AfterTax</t>
  </si>
  <si>
    <t>Q4, 2021</t>
  </si>
  <si>
    <t>Q1, 2022</t>
  </si>
  <si>
    <t>Q2, 2022</t>
  </si>
  <si>
    <t>Q3, 2022</t>
  </si>
  <si>
    <t>Q4, 2022</t>
  </si>
  <si>
    <t>Sanlam Life Insurance Ghana Limited</t>
  </si>
  <si>
    <t>Q1, 2023</t>
  </si>
  <si>
    <t>Q2, 2023</t>
  </si>
  <si>
    <t>Impact Life Assurance Company</t>
  </si>
  <si>
    <t>Q3, 2023</t>
  </si>
  <si>
    <t>Q4, 2023</t>
  </si>
  <si>
    <t>Q1, 2024</t>
  </si>
  <si>
    <t>Universal Life Products</t>
  </si>
  <si>
    <t>Unit-Linked Policies</t>
  </si>
  <si>
    <t xml:space="preserve">Investment-Linked Policies </t>
  </si>
  <si>
    <t>Group Policies</t>
  </si>
  <si>
    <t xml:space="preserve">Term </t>
  </si>
  <si>
    <t>Whole Life</t>
  </si>
  <si>
    <t>Endowment Policy</t>
  </si>
  <si>
    <t>Critical Illness (Dread Disease)</t>
  </si>
  <si>
    <t>Total and permanent disability &amp; income protection</t>
  </si>
  <si>
    <t>Microinsurance</t>
  </si>
  <si>
    <t>Insurance Service Revenue</t>
  </si>
  <si>
    <t>Net Insurance Service Revenue</t>
  </si>
  <si>
    <t>Total Insurance Service Expenses</t>
  </si>
  <si>
    <t xml:space="preserve">Insurance Results from Insurance Contracts Issued </t>
  </si>
  <si>
    <t>Non-Attributable Expenses</t>
  </si>
  <si>
    <t>Attributable Expenses</t>
  </si>
  <si>
    <t>Insurance acquisition cash flows</t>
  </si>
  <si>
    <t>Incurred Claims</t>
  </si>
  <si>
    <t>Insurance Service Results</t>
  </si>
  <si>
    <t>Total Insurance Finance Income/ Expense</t>
  </si>
  <si>
    <t>Total Other Income/ Expense</t>
  </si>
  <si>
    <t>Profit After Tax</t>
  </si>
  <si>
    <t>Insurance Contract Assets</t>
  </si>
  <si>
    <t>Reinsurance Contract Assets</t>
  </si>
  <si>
    <t>Insurance Contract Liabilities</t>
  </si>
  <si>
    <t>Investment Contract Liabilities</t>
  </si>
  <si>
    <t>Reinsurance Contract Liabilities</t>
  </si>
  <si>
    <t>Contractual Service Margin</t>
  </si>
  <si>
    <t>Expense Ratio %</t>
  </si>
  <si>
    <t>Technical Result margin %</t>
  </si>
  <si>
    <t>Attributable Expense Ratio</t>
  </si>
  <si>
    <t>Non-Attributable Expense Ratio</t>
  </si>
  <si>
    <t>Q2, 2024</t>
  </si>
  <si>
    <t>Technical Result Margin %</t>
  </si>
  <si>
    <t>Attributable Ratio</t>
  </si>
  <si>
    <t>Non-Attributable Ratio</t>
  </si>
  <si>
    <t>Q3, 2024</t>
  </si>
  <si>
    <t xml:space="preserve">Expense Ratio </t>
  </si>
  <si>
    <t>Technical Result Margin  %</t>
  </si>
  <si>
    <t>Sanlam Allainz Company Limited</t>
  </si>
  <si>
    <t>Q4, 2024</t>
  </si>
  <si>
    <t>SanlamAllianz Life Insurance Ghana Limited</t>
  </si>
  <si>
    <t>Total Liabilities</t>
  </si>
  <si>
    <t>Q1 2025</t>
  </si>
  <si>
    <t>Pinnacle Life Insurance Ghana Limited</t>
  </si>
  <si>
    <t>Aster Life Insurance Company Limited</t>
  </si>
  <si>
    <t>Q2 2025</t>
  </si>
  <si>
    <t>LIFE INSURER</t>
  </si>
  <si>
    <t>Insurance revenue</t>
  </si>
  <si>
    <t>Insurance services expenses</t>
  </si>
  <si>
    <t>Insurance service result from insurance contracts issued</t>
  </si>
  <si>
    <t>Total Incurred Claims</t>
  </si>
  <si>
    <t>Acquisition Cashflow</t>
  </si>
  <si>
    <t>Total Attributable Expenses</t>
  </si>
  <si>
    <t>Insurance service result</t>
  </si>
  <si>
    <t>Net investment income</t>
  </si>
  <si>
    <t>Total insurance finance income or expenses</t>
  </si>
  <si>
    <t>Total other income and expenses</t>
  </si>
  <si>
    <t>Profit for the year</t>
  </si>
  <si>
    <t>Cash  and cash equivalents</t>
  </si>
  <si>
    <t>Insurance contract assets</t>
  </si>
  <si>
    <t>Reinsurance contract assets</t>
  </si>
  <si>
    <t>Total Investments</t>
  </si>
  <si>
    <t>Total Receivables</t>
  </si>
  <si>
    <t>Total Property, Plant &amp; Equipment</t>
  </si>
  <si>
    <t>Insurance contract liabilities:</t>
  </si>
  <si>
    <t>Reinsurance contract liabilities</t>
  </si>
  <si>
    <t>Investment Contracts Liabilities</t>
  </si>
  <si>
    <t>CSM</t>
  </si>
  <si>
    <t>Technical Results Margin</t>
  </si>
  <si>
    <t>Non-attributable Expense Ratio</t>
  </si>
  <si>
    <t>Share of Insurance Service Results</t>
  </si>
  <si>
    <t>Investment-Linked Policies</t>
  </si>
  <si>
    <t/>
  </si>
  <si>
    <t>Enterprise Life Assurance Company Ltd</t>
  </si>
  <si>
    <t>Glico Life Insurance Ghana LTD</t>
  </si>
  <si>
    <t>Metropolitan Life Insurance Ghana LTD</t>
  </si>
  <si>
    <t>miLife Insurance Company Limited</t>
  </si>
  <si>
    <t>Pinnacle Life Insurance Ghana</t>
  </si>
  <si>
    <t>Prudential Life Insurance Ghana Limited</t>
  </si>
  <si>
    <t>Quality Life Insurance Company limited</t>
  </si>
  <si>
    <t>SanlamAllianz Life Insurance Company Limited</t>
  </si>
  <si>
    <t>SIC Life Insurance PLC</t>
  </si>
  <si>
    <t>Q3 2025</t>
  </si>
  <si>
    <t>Q4 2025</t>
  </si>
  <si>
    <t>Pinnacle Life Insurance Ghana (Formerly Donewell Life)</t>
  </si>
  <si>
    <t>Emple Life Insurance Ghana LTD</t>
  </si>
  <si>
    <t xml:space="preserve">Aster Life Insurance Company Limited (Formerly GN Life)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</si>
</sst>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41" formatCode="_(* #,##0_);_(* \(#,##0\);_(* &quot;-&quot;_);_(@_)"/>
    <numFmt numFmtId="44" formatCode="_(&quot;$&quot;* #,##0.00_);_(&quot;$&quot;* \(#,##0.00\);_(&quot;$&quot;* &quot;-&quot;??_);_(@_)"/>
    <numFmt numFmtId="43" formatCode="_(* #,##0.00_);_(* \(#,##0.00\);_(* &quot;-&quot;??_);_(@_)"/>
    <numFmt numFmtId="164" formatCode="_-* #,##0.00_-;\-* #,##0.00_-;_-* &quot;-&quot;??_-;_-@_-"/>
    <numFmt numFmtId="165" formatCode="_(* #,##0_);_(* \(#,##0\);_(* &quot;-&quot;??_);_(@_)"/>
    <numFmt numFmtId="166" formatCode="0.0%"/>
    <numFmt numFmtId="167" formatCode="_-* #,##0_-;\-* #,##0_-;_-* &quot;-&quot;??_-;_-@_-"/>
    <numFmt numFmtId="168" formatCode="_(* #,##0.00_);_(* \(\ #,##0.00\ \);_(* &quot;-&quot;??_);_(\ @_ \)"/>
    <numFmt numFmtId="169" formatCode="0.0"/>
    <numFmt numFmtId="170" formatCode="_-&quot;$&quot;* #,##0.00_-;\-&quot;$&quot;* #,##0.00_-;_-&quot;$&quot;* &quot;-&quot;??_-;_-@_-"/>
    <numFmt numFmtId="171" formatCode="_(* #,##0_);_(* \(\ #,##0\ \);_(* &quot;-&quot;??_);_(\ @_ \)"/>
    <numFmt numFmtId="172" formatCode="_(* #,##0.0_);_(* \(#,##0.0\);_(* &quot;-&quot;??_);_(@_)"/>
    <numFmt numFmtId="173" formatCode="_ * #,##0.00_ ;_ * \-#,##0.00_ ;_ * &quot;-&quot;??_ ;_ @_ "/>
  </numFmts>
  <fonts count="79" x14ac:knownFonts="1">
    <font>
      <sz val="11"/>
      <color theme="1"/>
      <name val="Calibri"/>
      <family val="2"/>
      <scheme val="minor"/>
    </font>
    <font>
      <sz val="12"/>
      <color theme="1"/>
      <name val="Times New Roman"/>
      <family val="1"/>
    </font>
    <font>
      <sz val="12"/>
      <color indexed="8"/>
      <name val="Times New Roman"/>
      <family val="1"/>
    </font>
    <font>
      <b/>
      <sz val="12"/>
      <color theme="1"/>
      <name val="Times New Roman"/>
      <family val="1"/>
    </font>
    <font>
      <b/>
      <sz val="12"/>
      <name val="Times New Roman"/>
      <family val="1"/>
    </font>
    <font>
      <sz val="11"/>
      <color theme="1"/>
      <name val="Calibri"/>
      <family val="2"/>
      <scheme val="minor"/>
    </font>
    <font>
      <b/>
      <sz val="11"/>
      <color theme="1"/>
      <name val="Calibri"/>
      <family val="2"/>
      <scheme val="minor"/>
    </font>
    <font>
      <sz val="10"/>
      <name val="Arial"/>
      <family val="2"/>
    </font>
    <font>
      <sz val="10"/>
      <color indexed="8"/>
      <name val="Arial"/>
      <family val="2"/>
    </font>
    <font>
      <b/>
      <sz val="10"/>
      <name val="Arial"/>
      <family val="2"/>
    </font>
    <font>
      <b/>
      <sz val="11"/>
      <color theme="0"/>
      <name val="Calibri"/>
      <family val="2"/>
      <scheme val="minor"/>
    </font>
    <font>
      <b/>
      <sz val="10"/>
      <color theme="0"/>
      <name val="Arial"/>
      <family val="2"/>
    </font>
    <font>
      <b/>
      <sz val="12"/>
      <color theme="0"/>
      <name val="Times New Roman"/>
      <family val="1"/>
    </font>
    <font>
      <b/>
      <sz val="9"/>
      <color theme="0"/>
      <name val="Arial"/>
      <family val="2"/>
    </font>
    <font>
      <sz val="9"/>
      <color theme="1"/>
      <name val="Calibri"/>
      <family val="2"/>
      <scheme val="minor"/>
    </font>
    <font>
      <b/>
      <sz val="9"/>
      <color theme="0"/>
      <name val="Calibri"/>
      <family val="2"/>
      <scheme val="minor"/>
    </font>
    <font>
      <b/>
      <sz val="9"/>
      <color theme="0"/>
      <name val="Times New Roman"/>
      <family val="1"/>
    </font>
    <font>
      <sz val="11"/>
      <color theme="0"/>
      <name val="Calibri"/>
      <family val="2"/>
      <scheme val="minor"/>
    </font>
    <font>
      <b/>
      <sz val="11"/>
      <color rgb="FF7030A0"/>
      <name val="Times New Roman"/>
      <family val="1"/>
    </font>
    <font>
      <b/>
      <u val="singleAccounting"/>
      <sz val="10"/>
      <color indexed="8"/>
      <name val="Arial"/>
      <family val="2"/>
    </font>
    <font>
      <b/>
      <u val="singleAccounting"/>
      <sz val="10"/>
      <name val="Arial"/>
      <family val="2"/>
    </font>
    <font>
      <b/>
      <u/>
      <sz val="10"/>
      <name val="Arial"/>
      <family val="2"/>
    </font>
    <font>
      <b/>
      <u val="singleAccounting"/>
      <sz val="11"/>
      <color theme="1"/>
      <name val="Calibri"/>
      <family val="2"/>
      <scheme val="minor"/>
    </font>
    <font>
      <sz val="12"/>
      <color theme="0"/>
      <name val="Times New Roman"/>
      <family val="1"/>
    </font>
    <font>
      <b/>
      <u val="singleAccounting"/>
      <sz val="12"/>
      <color indexed="8"/>
      <name val="Times New Roman"/>
      <family val="1"/>
    </font>
    <font>
      <b/>
      <u val="singleAccounting"/>
      <sz val="12"/>
      <name val="Times New Roman"/>
      <family val="1"/>
    </font>
    <font>
      <b/>
      <u/>
      <sz val="12"/>
      <name val="Times New Roman"/>
      <family val="1"/>
    </font>
    <font>
      <b/>
      <u/>
      <sz val="12"/>
      <color theme="1"/>
      <name val="Times New Roman"/>
      <family val="1"/>
    </font>
    <font>
      <b/>
      <u val="singleAccounting"/>
      <sz val="12"/>
      <color theme="1"/>
      <name val="Times New Roman"/>
      <family val="1"/>
    </font>
    <font>
      <b/>
      <u val="singleAccounting"/>
      <sz val="12"/>
      <name val="Arial"/>
      <family val="2"/>
    </font>
    <font>
      <sz val="12"/>
      <color indexed="8"/>
      <name val="Arial"/>
      <family val="2"/>
    </font>
    <font>
      <b/>
      <u/>
      <sz val="12"/>
      <name val="Arial"/>
      <family val="2"/>
    </font>
    <font>
      <b/>
      <u/>
      <sz val="12"/>
      <color indexed="8"/>
      <name val="Times New Roman"/>
      <family val="1"/>
    </font>
    <font>
      <sz val="11"/>
      <name val="Times New Roman"/>
      <family val="1"/>
    </font>
    <font>
      <b/>
      <u/>
      <sz val="11"/>
      <color theme="0"/>
      <name val="Calibri"/>
      <family val="2"/>
      <scheme val="minor"/>
    </font>
    <font>
      <u/>
      <sz val="11"/>
      <color theme="0"/>
      <name val="Calibri"/>
      <family val="2"/>
      <scheme val="minor"/>
    </font>
    <font>
      <b/>
      <sz val="8"/>
      <color theme="1"/>
      <name val="Calibri"/>
      <family val="2"/>
      <scheme val="minor"/>
    </font>
    <font>
      <sz val="12"/>
      <color theme="1"/>
      <name val="Calibri"/>
      <family val="2"/>
      <scheme val="minor"/>
    </font>
    <font>
      <sz val="14"/>
      <name val="Viner Hand ITC"/>
      <family val="4"/>
    </font>
    <font>
      <sz val="9"/>
      <color indexed="81"/>
      <name val="Tahoma"/>
      <family val="2"/>
    </font>
    <font>
      <b/>
      <sz val="9"/>
      <color indexed="81"/>
      <name val="Tahoma"/>
      <family val="2"/>
    </font>
    <font>
      <sz val="8"/>
      <color theme="1"/>
      <name val="Castellar"/>
      <family val="1"/>
    </font>
    <font>
      <b/>
      <sz val="14"/>
      <color theme="0"/>
      <name val="Aparajita"/>
      <family val="2"/>
    </font>
    <font>
      <b/>
      <sz val="11"/>
      <color theme="0"/>
      <name val="Aparajita"/>
      <family val="2"/>
    </font>
    <font>
      <sz val="10"/>
      <name val="Tahoma"/>
      <family val="2"/>
    </font>
    <font>
      <b/>
      <sz val="9"/>
      <color theme="1"/>
      <name val="Calibri"/>
      <family val="2"/>
      <scheme val="minor"/>
    </font>
    <font>
      <b/>
      <sz val="11"/>
      <color theme="0" tint="-4.9989318521683403E-2"/>
      <name val="Calibri"/>
      <family val="2"/>
      <scheme val="minor"/>
    </font>
    <font>
      <sz val="10"/>
      <name val="Times New Roman"/>
      <family val="1"/>
    </font>
    <font>
      <sz val="11"/>
      <color indexed="8"/>
      <name val="Calibri"/>
      <family val="2"/>
    </font>
    <font>
      <sz val="11"/>
      <color theme="1"/>
      <name val="Times New Roman"/>
      <family val="1"/>
    </font>
    <font>
      <sz val="16"/>
      <name val="Showcard Gothic"/>
      <family val="5"/>
    </font>
    <font>
      <b/>
      <sz val="12"/>
      <name val="Garamond"/>
      <family val="1"/>
    </font>
    <font>
      <sz val="11"/>
      <name val="Tahoma"/>
      <family val="2"/>
    </font>
    <font>
      <b/>
      <sz val="10"/>
      <name val="Tahoma"/>
      <family val="2"/>
    </font>
    <font>
      <b/>
      <sz val="16"/>
      <name val="Garamond"/>
      <family val="1"/>
    </font>
    <font>
      <b/>
      <i/>
      <sz val="11"/>
      <color theme="1"/>
      <name val="Calibri"/>
      <family val="2"/>
      <scheme val="minor"/>
    </font>
    <font>
      <i/>
      <sz val="11"/>
      <color theme="1"/>
      <name val="Calibri"/>
      <family val="2"/>
      <scheme val="minor"/>
    </font>
    <font>
      <b/>
      <i/>
      <sz val="10"/>
      <name val="Tahoma"/>
      <family val="2"/>
    </font>
    <font>
      <sz val="11"/>
      <color theme="1"/>
      <name val="Tahoma"/>
      <family val="2"/>
    </font>
    <font>
      <sz val="11"/>
      <color rgb="FF000000"/>
      <name val="Arial"/>
      <family val="2"/>
    </font>
    <font>
      <b/>
      <sz val="11"/>
      <color rgb="FF000000"/>
      <name val="Arial"/>
      <family val="2"/>
    </font>
    <font>
      <sz val="9"/>
      <color rgb="FF303030"/>
      <name val="Arial"/>
      <family val="2"/>
    </font>
    <font>
      <sz val="9"/>
      <color rgb="FF000000"/>
      <name val="Arial"/>
      <family val="2"/>
    </font>
    <font>
      <sz val="11"/>
      <color rgb="FF303030"/>
      <name val="Arial"/>
      <family val="2"/>
    </font>
    <font>
      <sz val="11"/>
      <color theme="1"/>
      <name val="Garamond"/>
      <family val="1"/>
    </font>
    <font>
      <b/>
      <sz val="11"/>
      <name val="Garamond"/>
      <family val="1"/>
    </font>
    <font>
      <b/>
      <sz val="11"/>
      <name val="Arial"/>
      <family val="2"/>
    </font>
    <font>
      <b/>
      <sz val="11"/>
      <color theme="1"/>
      <name val="Arial"/>
      <family val="2"/>
    </font>
    <font>
      <b/>
      <i/>
      <sz val="11"/>
      <color theme="1"/>
      <name val="Arial"/>
      <family val="2"/>
    </font>
    <font>
      <sz val="11"/>
      <color theme="1"/>
      <name val="Arial"/>
      <family val="2"/>
    </font>
    <font>
      <b/>
      <i/>
      <sz val="11"/>
      <name val="Arial"/>
      <family val="2"/>
    </font>
    <font>
      <b/>
      <sz val="16"/>
      <name val="Showcard Gothic"/>
      <family val="5"/>
    </font>
    <font>
      <i/>
      <sz val="11"/>
      <color theme="1"/>
      <name val="Arial"/>
      <family val="2"/>
    </font>
    <font>
      <sz val="11"/>
      <name val="Arial"/>
      <family val="2"/>
    </font>
    <font>
      <sz val="12"/>
      <color theme="0"/>
      <name val="Garamond"/>
      <family val="1"/>
    </font>
    <font>
      <b/>
      <sz val="12"/>
      <color theme="0" tint="-4.9989318521683403E-2"/>
      <name val="Garamond"/>
      <family val="1"/>
    </font>
    <font>
      <sz val="12"/>
      <color theme="0" tint="-4.9989318521683403E-2"/>
      <name val="Garamond"/>
      <family val="1"/>
    </font>
    <font>
      <sz val="12"/>
      <color rgb="FF303030"/>
      <name val="Garamond"/>
      <family val="1"/>
    </font>
    <font>
      <b/>
      <sz val="12"/>
      <color rgb="FF303030"/>
      <name val="Garamond"/>
      <family val="1"/>
    </font>
  </fonts>
  <fills count="24">
    <fill>
      <patternFill patternType="none"/>
    </fill>
    <fill>
      <patternFill patternType="gray125"/>
    </fill>
    <fill>
      <patternFill patternType="solid">
        <fgColor indexed="9"/>
        <bgColor indexed="9"/>
      </patternFill>
    </fill>
    <fill>
      <patternFill patternType="solid">
        <fgColor rgb="FF002060"/>
        <bgColor indexed="64"/>
      </patternFill>
    </fill>
    <fill>
      <patternFill patternType="solid">
        <fgColor theme="0" tint="-0.249977111117893"/>
        <bgColor indexed="9"/>
      </patternFill>
    </fill>
    <fill>
      <patternFill patternType="solid">
        <fgColor theme="0" tint="-0.249977111117893"/>
        <bgColor indexed="64"/>
      </patternFill>
    </fill>
    <fill>
      <patternFill patternType="solid">
        <fgColor theme="1" tint="0.34998626667073579"/>
        <bgColor indexed="9"/>
      </patternFill>
    </fill>
    <fill>
      <patternFill patternType="solid">
        <fgColor theme="1" tint="0.34998626667073579"/>
        <bgColor indexed="64"/>
      </patternFill>
    </fill>
    <fill>
      <patternFill patternType="solid">
        <fgColor theme="1" tint="0.499984740745262"/>
        <bgColor indexed="9"/>
      </patternFill>
    </fill>
    <fill>
      <patternFill patternType="solid">
        <fgColor theme="1" tint="0.499984740745262"/>
        <bgColor indexed="64"/>
      </patternFill>
    </fill>
    <fill>
      <patternFill patternType="solid">
        <fgColor theme="0" tint="-0.249977111117893"/>
        <bgColor indexed="1"/>
      </patternFill>
    </fill>
    <fill>
      <patternFill patternType="solid">
        <fgColor theme="6" tint="0.399975585192419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1" tint="0.249977111117893"/>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8"/>
        <bgColor indexed="64"/>
      </patternFill>
    </fill>
    <fill>
      <patternFill patternType="solid">
        <fgColor theme="6" tint="0.59999389629810485"/>
        <bgColor indexed="64"/>
      </patternFill>
    </fill>
    <fill>
      <patternFill patternType="solid">
        <fgColor rgb="FFF0F4F7"/>
        <bgColor rgb="FFFFFFFF"/>
      </patternFill>
    </fill>
    <fill>
      <patternFill patternType="solid">
        <fgColor theme="0" tint="-4.9989318521683403E-2"/>
        <bgColor rgb="FFFFFFFF"/>
      </patternFill>
    </fill>
    <fill>
      <patternFill patternType="solid">
        <fgColor rgb="FFECF5F8"/>
        <bgColor indexed="64"/>
      </patternFill>
    </fill>
    <fill>
      <patternFill patternType="solid">
        <fgColor theme="7"/>
        <bgColor indexed="64"/>
      </patternFill>
    </fill>
  </fills>
  <borders count="12">
    <border>
      <left/>
      <right/>
      <top/>
      <bottom/>
      <diagonal/>
    </border>
    <border>
      <left style="thin">
        <color indexed="55"/>
      </left>
      <right style="thin">
        <color indexed="55"/>
      </right>
      <top style="thin">
        <color indexed="55"/>
      </top>
      <bottom style="thin">
        <color indexed="55"/>
      </bottom>
      <diagonal/>
    </border>
    <border>
      <left/>
      <right style="thin">
        <color indexed="55"/>
      </right>
      <top/>
      <bottom/>
      <diagonal/>
    </border>
    <border>
      <left style="thin">
        <color indexed="64"/>
      </left>
      <right style="thin">
        <color indexed="64"/>
      </right>
      <top style="thin">
        <color indexed="64"/>
      </top>
      <bottom style="thin">
        <color indexed="64"/>
      </bottom>
      <diagonal/>
    </border>
    <border>
      <left style="thin">
        <color indexed="55"/>
      </left>
      <right style="thin">
        <color indexed="55"/>
      </right>
      <top/>
      <bottom style="thin">
        <color indexed="55"/>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rgb="FFA0A0A0"/>
      </right>
      <top style="thin">
        <color rgb="FFA0A0A0"/>
      </top>
      <bottom style="thin">
        <color rgb="FFA0A0A0"/>
      </bottom>
      <diagonal/>
    </border>
    <border>
      <left/>
      <right style="thin">
        <color rgb="FFA0A0A0"/>
      </right>
      <top style="thin">
        <color rgb="FFA0A0A0"/>
      </top>
      <bottom/>
      <diagonal/>
    </border>
    <border>
      <left style="thin">
        <color rgb="FFA0A0A0"/>
      </left>
      <right style="thin">
        <color rgb="FFA0A0A0"/>
      </right>
      <top/>
      <bottom style="thin">
        <color rgb="FFA0A0A0"/>
      </bottom>
      <diagonal/>
    </border>
    <border>
      <left style="thin">
        <color theme="0"/>
      </left>
      <right style="thin">
        <color theme="0"/>
      </right>
      <top style="thin">
        <color theme="0"/>
      </top>
      <bottom style="thin">
        <color theme="0"/>
      </bottom>
      <diagonal/>
    </border>
  </borders>
  <cellStyleXfs count="80">
    <xf numFmtId="0" fontId="0" fillId="0" borderId="0"/>
    <xf numFmtId="43" fontId="5" fillId="0" borderId="0" applyFont="0" applyFill="0" applyBorder="0" applyAlignment="0" applyProtection="0"/>
    <xf numFmtId="9" fontId="5" fillId="0" borderId="0" applyFont="0" applyFill="0" applyBorder="0" applyAlignment="0" applyProtection="0"/>
    <xf numFmtId="0" fontId="5" fillId="0" borderId="0"/>
    <xf numFmtId="41" fontId="5" fillId="0" borderId="0" applyFont="0" applyFill="0" applyBorder="0" applyAlignment="0" applyProtection="0"/>
    <xf numFmtId="0" fontId="44" fillId="0" borderId="0"/>
    <xf numFmtId="168" fontId="44" fillId="0" borderId="0" applyFont="0" applyFill="0" applyBorder="0" applyAlignment="0" applyProtection="0"/>
    <xf numFmtId="9" fontId="44" fillId="0" borderId="0" applyFont="0" applyFill="0" applyBorder="0" applyAlignment="0" applyProtection="0"/>
    <xf numFmtId="0" fontId="47" fillId="0" borderId="0"/>
    <xf numFmtId="164" fontId="48" fillId="0" borderId="0" applyFont="0" applyFill="0" applyBorder="0" applyAlignment="0" applyProtection="0"/>
    <xf numFmtId="164" fontId="48" fillId="0" borderId="0" applyFont="0" applyFill="0" applyBorder="0" applyAlignment="0" applyProtection="0"/>
    <xf numFmtId="164" fontId="48" fillId="0" borderId="0" applyFont="0" applyFill="0" applyBorder="0" applyAlignment="0" applyProtection="0"/>
    <xf numFmtId="170" fontId="47" fillId="0" borderId="0" applyFont="0" applyFill="0" applyBorder="0" applyAlignment="0" applyProtection="0"/>
    <xf numFmtId="0" fontId="5" fillId="0" borderId="0"/>
    <xf numFmtId="0" fontId="7" fillId="0" borderId="0"/>
    <xf numFmtId="0" fontId="47" fillId="0" borderId="0"/>
    <xf numFmtId="0" fontId="7" fillId="0" borderId="0"/>
    <xf numFmtId="0" fontId="7" fillId="0" borderId="0"/>
    <xf numFmtId="9" fontId="48" fillId="0" borderId="0" applyFont="0" applyFill="0" applyBorder="0" applyAlignment="0" applyProtection="0"/>
    <xf numFmtId="0" fontId="47" fillId="0" borderId="0"/>
    <xf numFmtId="164" fontId="47" fillId="0" borderId="0" applyFont="0" applyFill="0" applyBorder="0" applyAlignment="0" applyProtection="0"/>
    <xf numFmtId="164" fontId="48" fillId="0" borderId="0" applyFont="0" applyFill="0" applyBorder="0" applyAlignment="0" applyProtection="0"/>
    <xf numFmtId="170" fontId="47" fillId="0" borderId="0" applyFont="0" applyFill="0" applyBorder="0" applyAlignment="0" applyProtection="0"/>
    <xf numFmtId="0" fontId="5" fillId="0" borderId="0"/>
    <xf numFmtId="9" fontId="48" fillId="0" borderId="0" applyFont="0" applyFill="0" applyBorder="0" applyAlignment="0" applyProtection="0"/>
    <xf numFmtId="164" fontId="5" fillId="0" borderId="0" applyFont="0" applyFill="0" applyBorder="0" applyAlignment="0" applyProtection="0"/>
    <xf numFmtId="44" fontId="5" fillId="0" borderId="0" applyFont="0" applyFill="0" applyBorder="0" applyAlignment="0" applyProtection="0"/>
    <xf numFmtId="9" fontId="47" fillId="0" borderId="0" applyFont="0" applyFill="0" applyBorder="0" applyAlignment="0" applyProtection="0"/>
    <xf numFmtId="0" fontId="44" fillId="0" borderId="0"/>
    <xf numFmtId="0" fontId="5" fillId="0" borderId="0"/>
    <xf numFmtId="164" fontId="47" fillId="0" borderId="0" applyFont="0" applyFill="0" applyBorder="0" applyAlignment="0" applyProtection="0"/>
    <xf numFmtId="164" fontId="48" fillId="0" borderId="0" applyFont="0" applyFill="0" applyBorder="0" applyAlignment="0" applyProtection="0"/>
    <xf numFmtId="164" fontId="48" fillId="0" borderId="0" applyFont="0" applyFill="0" applyBorder="0" applyAlignment="0" applyProtection="0"/>
    <xf numFmtId="0" fontId="47" fillId="0" borderId="0"/>
    <xf numFmtId="9" fontId="48" fillId="0" borderId="0" applyFont="0" applyFill="0" applyBorder="0" applyAlignment="0" applyProtection="0"/>
    <xf numFmtId="164" fontId="5" fillId="0" borderId="0" applyFont="0" applyFill="0" applyBorder="0" applyAlignment="0" applyProtection="0"/>
    <xf numFmtId="0" fontId="47" fillId="0" borderId="0"/>
    <xf numFmtId="164" fontId="48" fillId="0" borderId="0" applyFont="0" applyFill="0" applyBorder="0" applyAlignment="0" applyProtection="0"/>
    <xf numFmtId="164" fontId="48" fillId="0" borderId="0" applyFont="0" applyFill="0" applyBorder="0" applyAlignment="0" applyProtection="0"/>
    <xf numFmtId="164" fontId="48" fillId="0" borderId="0" applyFont="0" applyFill="0" applyBorder="0" applyAlignment="0" applyProtection="0"/>
    <xf numFmtId="164" fontId="48" fillId="0" borderId="0" applyFont="0" applyFill="0" applyBorder="0" applyAlignment="0" applyProtection="0"/>
    <xf numFmtId="164" fontId="48" fillId="0" borderId="0" applyFont="0" applyFill="0" applyBorder="0" applyAlignment="0" applyProtection="0"/>
    <xf numFmtId="164" fontId="48" fillId="0" borderId="0" applyFont="0" applyFill="0" applyBorder="0" applyAlignment="0" applyProtection="0"/>
    <xf numFmtId="164" fontId="48" fillId="0" borderId="0" applyFont="0" applyFill="0" applyBorder="0" applyAlignment="0" applyProtection="0"/>
    <xf numFmtId="164" fontId="48" fillId="0" borderId="0" applyFont="0" applyFill="0" applyBorder="0" applyAlignment="0" applyProtection="0"/>
    <xf numFmtId="164" fontId="48" fillId="0" borderId="0" applyFont="0" applyFill="0" applyBorder="0" applyAlignment="0" applyProtection="0"/>
    <xf numFmtId="164" fontId="5" fillId="0" borderId="0" applyFont="0" applyFill="0" applyBorder="0" applyAlignment="0" applyProtection="0"/>
    <xf numFmtId="164" fontId="47" fillId="0" borderId="0" applyFont="0" applyFill="0" applyBorder="0" applyAlignment="0" applyProtection="0"/>
    <xf numFmtId="164"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9" fontId="48" fillId="0" borderId="0" applyFont="0" applyFill="0" applyBorder="0" applyAlignment="0" applyProtection="0"/>
    <xf numFmtId="9" fontId="47" fillId="0" borderId="0" applyFont="0" applyFill="0" applyBorder="0" applyAlignment="0" applyProtection="0"/>
    <xf numFmtId="9" fontId="5" fillId="0" borderId="0" applyFont="0" applyFill="0" applyBorder="0" applyAlignment="0" applyProtection="0"/>
    <xf numFmtId="9" fontId="47" fillId="0" borderId="0" applyFont="0" applyFill="0" applyBorder="0" applyAlignment="0" applyProtection="0"/>
    <xf numFmtId="173" fontId="7" fillId="0" borderId="0" applyFont="0" applyFill="0" applyBorder="0" applyAlignment="0" applyProtection="0"/>
    <xf numFmtId="44" fontId="5" fillId="0" borderId="0" applyFont="0" applyFill="0" applyBorder="0" applyAlignment="0" applyProtection="0"/>
    <xf numFmtId="170" fontId="47" fillId="0" borderId="0" applyFont="0" applyFill="0" applyBorder="0" applyAlignment="0" applyProtection="0"/>
    <xf numFmtId="170" fontId="47" fillId="0" borderId="0" applyFont="0" applyFill="0" applyBorder="0" applyAlignment="0" applyProtection="0"/>
    <xf numFmtId="170" fontId="47" fillId="0" borderId="0" applyFont="0" applyFill="0" applyBorder="0" applyAlignment="0" applyProtection="0"/>
    <xf numFmtId="170" fontId="47" fillId="0" borderId="0" applyFont="0" applyFill="0" applyBorder="0" applyAlignment="0" applyProtection="0"/>
    <xf numFmtId="170" fontId="47" fillId="0" borderId="0" applyFont="0" applyFill="0" applyBorder="0" applyAlignment="0" applyProtection="0"/>
    <xf numFmtId="170" fontId="47" fillId="0" borderId="0" applyFont="0" applyFill="0" applyBorder="0" applyAlignment="0" applyProtection="0"/>
    <xf numFmtId="170" fontId="47" fillId="0" borderId="0" applyFont="0" applyFill="0" applyBorder="0" applyAlignment="0" applyProtection="0"/>
    <xf numFmtId="170" fontId="47" fillId="0" borderId="0" applyFont="0" applyFill="0" applyBorder="0" applyAlignment="0" applyProtection="0"/>
    <xf numFmtId="170" fontId="47" fillId="0" borderId="0" applyFont="0" applyFill="0" applyBorder="0" applyAlignment="0" applyProtection="0"/>
    <xf numFmtId="0" fontId="47" fillId="0" borderId="0"/>
    <xf numFmtId="164" fontId="47" fillId="0" borderId="0" applyFont="0" applyFill="0" applyBorder="0" applyAlignment="0" applyProtection="0"/>
    <xf numFmtId="170" fontId="4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43" fontId="7" fillId="0" borderId="0" applyFont="0" applyFill="0" applyBorder="0" applyAlignment="0" applyProtection="0"/>
    <xf numFmtId="9" fontId="7" fillId="0" borderId="0" applyFont="0" applyFill="0" applyBorder="0" applyAlignment="0" applyProtection="0"/>
  </cellStyleXfs>
  <cellXfs count="393">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left" wrapText="1"/>
    </xf>
    <xf numFmtId="0" fontId="2" fillId="2" borderId="4" xfId="0" applyFont="1" applyFill="1" applyBorder="1" applyAlignment="1">
      <alignment horizontal="center" wrapText="1"/>
    </xf>
    <xf numFmtId="0" fontId="3" fillId="0" borderId="0" xfId="0" applyFont="1"/>
    <xf numFmtId="0" fontId="2" fillId="2" borderId="4" xfId="0" applyFont="1" applyFill="1" applyBorder="1" applyAlignment="1">
      <alignment horizontal="left" wrapText="1"/>
    </xf>
    <xf numFmtId="0" fontId="2" fillId="0" borderId="4" xfId="0" applyFont="1" applyBorder="1" applyAlignment="1">
      <alignment horizontal="left" wrapText="1"/>
    </xf>
    <xf numFmtId="43" fontId="2" fillId="0" borderId="4" xfId="1" applyFont="1" applyBorder="1" applyAlignment="1">
      <alignment horizontal="left" wrapText="1"/>
    </xf>
    <xf numFmtId="165" fontId="1" fillId="0" borderId="0" xfId="1" applyNumberFormat="1" applyFont="1"/>
    <xf numFmtId="43" fontId="1" fillId="0" borderId="0" xfId="1" applyFont="1" applyAlignment="1">
      <alignment horizontal="left"/>
    </xf>
    <xf numFmtId="0" fontId="7" fillId="0" borderId="5" xfId="0" applyFont="1" applyBorder="1" applyAlignment="1">
      <alignment horizontal="center" wrapText="1"/>
    </xf>
    <xf numFmtId="0" fontId="0" fillId="0" borderId="5" xfId="0" applyBorder="1" applyAlignment="1">
      <alignment horizontal="center"/>
    </xf>
    <xf numFmtId="0" fontId="0" fillId="0" borderId="3" xfId="0" applyBorder="1"/>
    <xf numFmtId="0" fontId="6" fillId="0" borderId="3" xfId="0" applyFont="1" applyBorder="1"/>
    <xf numFmtId="0" fontId="10" fillId="3" borderId="3" xfId="0" applyFont="1" applyFill="1" applyBorder="1" applyAlignment="1">
      <alignment wrapText="1"/>
    </xf>
    <xf numFmtId="0" fontId="12" fillId="3" borderId="3" xfId="0" applyFont="1" applyFill="1" applyBorder="1" applyAlignment="1">
      <alignment horizontal="left" wrapText="1"/>
    </xf>
    <xf numFmtId="0" fontId="13" fillId="3" borderId="3" xfId="0" applyFont="1" applyFill="1" applyBorder="1" applyAlignment="1">
      <alignment horizontal="left" wrapText="1"/>
    </xf>
    <xf numFmtId="0" fontId="14" fillId="0" borderId="3" xfId="0" applyFont="1" applyBorder="1"/>
    <xf numFmtId="0" fontId="15" fillId="3" borderId="3" xfId="0" applyFont="1" applyFill="1" applyBorder="1" applyAlignment="1">
      <alignment wrapText="1"/>
    </xf>
    <xf numFmtId="0" fontId="16" fillId="3" borderId="3" xfId="0" applyFont="1" applyFill="1" applyBorder="1" applyAlignment="1">
      <alignment horizontal="left" wrapText="1"/>
    </xf>
    <xf numFmtId="9" fontId="16" fillId="3" borderId="3" xfId="2" applyFont="1" applyFill="1" applyBorder="1" applyAlignment="1">
      <alignment horizontal="left" wrapText="1"/>
    </xf>
    <xf numFmtId="0" fontId="11" fillId="3" borderId="3" xfId="0" applyFont="1" applyFill="1" applyBorder="1" applyAlignment="1">
      <alignment wrapText="1"/>
    </xf>
    <xf numFmtId="0" fontId="7" fillId="0" borderId="1" xfId="0" applyFont="1" applyBorder="1" applyAlignment="1">
      <alignment horizontal="left" wrapText="1"/>
    </xf>
    <xf numFmtId="3" fontId="7" fillId="0" borderId="1" xfId="0" applyNumberFormat="1" applyFont="1" applyBorder="1" applyAlignment="1">
      <alignment horizontal="left" wrapText="1"/>
    </xf>
    <xf numFmtId="0" fontId="0" fillId="0" borderId="0" xfId="0" applyAlignment="1">
      <alignment horizontal="right"/>
    </xf>
    <xf numFmtId="0" fontId="12" fillId="3" borderId="6" xfId="0" applyFont="1" applyFill="1" applyBorder="1" applyAlignment="1">
      <alignment horizontal="left" wrapText="1"/>
    </xf>
    <xf numFmtId="0" fontId="16" fillId="3" borderId="6" xfId="0" applyFont="1" applyFill="1" applyBorder="1" applyAlignment="1">
      <alignment horizontal="left" wrapText="1"/>
    </xf>
    <xf numFmtId="0" fontId="1" fillId="0" borderId="0" xfId="0" applyFont="1" applyAlignment="1">
      <alignment horizontal="right"/>
    </xf>
    <xf numFmtId="165" fontId="0" fillId="0" borderId="0" xfId="1" applyNumberFormat="1" applyFont="1" applyBorder="1"/>
    <xf numFmtId="166" fontId="0" fillId="0" borderId="0" xfId="2" applyNumberFormat="1" applyFont="1" applyBorder="1"/>
    <xf numFmtId="0" fontId="7" fillId="0" borderId="0" xfId="0" applyFont="1" applyAlignment="1">
      <alignment wrapText="1"/>
    </xf>
    <xf numFmtId="0" fontId="0" fillId="0" borderId="0" xfId="0" applyAlignment="1">
      <alignment horizontal="left"/>
    </xf>
    <xf numFmtId="3" fontId="7" fillId="0" borderId="0" xfId="0" applyNumberFormat="1" applyFont="1" applyAlignment="1">
      <alignment horizontal="left" wrapText="1"/>
    </xf>
    <xf numFmtId="0" fontId="6" fillId="0" borderId="0" xfId="0" applyFont="1"/>
    <xf numFmtId="3" fontId="21" fillId="0" borderId="1" xfId="0" applyNumberFormat="1" applyFont="1" applyBorder="1" applyAlignment="1">
      <alignment horizontal="left" vertical="top" wrapText="1"/>
    </xf>
    <xf numFmtId="165" fontId="19" fillId="2" borderId="3" xfId="1" applyNumberFormat="1" applyFont="1" applyFill="1" applyBorder="1" applyAlignment="1">
      <alignment horizontal="center" vertical="top" wrapText="1"/>
    </xf>
    <xf numFmtId="165" fontId="20" fillId="0" borderId="3" xfId="1" applyNumberFormat="1" applyFont="1" applyBorder="1" applyAlignment="1">
      <alignment horizontal="left" vertical="top" wrapText="1"/>
    </xf>
    <xf numFmtId="165" fontId="6" fillId="0" borderId="3" xfId="1" applyNumberFormat="1" applyFont="1" applyBorder="1" applyAlignment="1">
      <alignment vertical="top"/>
    </xf>
    <xf numFmtId="166" fontId="6" fillId="0" borderId="3" xfId="2" applyNumberFormat="1" applyFont="1" applyBorder="1" applyAlignment="1">
      <alignment vertical="top"/>
    </xf>
    <xf numFmtId="0" fontId="6" fillId="0" borderId="0" xfId="0" applyFont="1" applyAlignment="1">
      <alignment vertical="top"/>
    </xf>
    <xf numFmtId="0" fontId="10" fillId="3" borderId="7" xfId="0" applyFont="1" applyFill="1" applyBorder="1" applyAlignment="1">
      <alignment wrapText="1"/>
    </xf>
    <xf numFmtId="0" fontId="12" fillId="3" borderId="7" xfId="0" applyFont="1" applyFill="1" applyBorder="1" applyAlignment="1">
      <alignment horizontal="left" wrapText="1"/>
    </xf>
    <xf numFmtId="0" fontId="8" fillId="6" borderId="3" xfId="0" applyFont="1" applyFill="1" applyBorder="1" applyAlignment="1">
      <alignment wrapText="1"/>
    </xf>
    <xf numFmtId="0" fontId="9" fillId="7" borderId="3" xfId="0" applyFont="1" applyFill="1" applyBorder="1" applyAlignment="1">
      <alignment horizontal="left" vertical="top" wrapText="1"/>
    </xf>
    <xf numFmtId="0" fontId="3" fillId="0" borderId="0" xfId="0" applyFont="1" applyAlignment="1">
      <alignment horizontal="left"/>
    </xf>
    <xf numFmtId="0" fontId="12" fillId="3" borderId="3" xfId="0" applyFont="1" applyFill="1" applyBorder="1" applyAlignment="1">
      <alignment horizontal="left"/>
    </xf>
    <xf numFmtId="0" fontId="12" fillId="3" borderId="3" xfId="0" applyFont="1" applyFill="1" applyBorder="1"/>
    <xf numFmtId="0" fontId="12" fillId="3" borderId="0" xfId="0" applyFont="1" applyFill="1" applyAlignment="1">
      <alignment horizontal="left"/>
    </xf>
    <xf numFmtId="0" fontId="2" fillId="6" borderId="3" xfId="0" applyFont="1" applyFill="1" applyBorder="1" applyAlignment="1">
      <alignment horizontal="left" wrapText="1"/>
    </xf>
    <xf numFmtId="0" fontId="4" fillId="7" borderId="3" xfId="0" applyFont="1" applyFill="1" applyBorder="1" applyAlignment="1">
      <alignment horizontal="left" wrapText="1"/>
    </xf>
    <xf numFmtId="0" fontId="2" fillId="8" borderId="3" xfId="0" applyFont="1" applyFill="1" applyBorder="1" applyAlignment="1">
      <alignment horizontal="left" wrapText="1"/>
    </xf>
    <xf numFmtId="0" fontId="4" fillId="9" borderId="3" xfId="0" applyFont="1" applyFill="1" applyBorder="1" applyAlignment="1">
      <alignment horizontal="left" wrapText="1"/>
    </xf>
    <xf numFmtId="165" fontId="2" fillId="4" borderId="3" xfId="1" applyNumberFormat="1" applyFont="1" applyFill="1" applyBorder="1" applyAlignment="1">
      <alignment horizontal="left" wrapText="1"/>
    </xf>
    <xf numFmtId="165" fontId="2" fillId="4" borderId="3" xfId="1" applyNumberFormat="1" applyFont="1" applyFill="1" applyBorder="1" applyAlignment="1">
      <alignment horizontal="center" wrapText="1"/>
    </xf>
    <xf numFmtId="166" fontId="1" fillId="5" borderId="3" xfId="2" applyNumberFormat="1" applyFont="1" applyFill="1" applyBorder="1"/>
    <xf numFmtId="165" fontId="3" fillId="5" borderId="3" xfId="1" applyNumberFormat="1" applyFont="1" applyFill="1" applyBorder="1"/>
    <xf numFmtId="165" fontId="2" fillId="6" borderId="3" xfId="1" applyNumberFormat="1" applyFont="1" applyFill="1" applyBorder="1" applyAlignment="1">
      <alignment horizontal="left" wrapText="1"/>
    </xf>
    <xf numFmtId="165" fontId="4" fillId="7" borderId="3" xfId="1" applyNumberFormat="1" applyFont="1" applyFill="1" applyBorder="1" applyAlignment="1">
      <alignment horizontal="left" wrapText="1"/>
    </xf>
    <xf numFmtId="0" fontId="23" fillId="3" borderId="0" xfId="0" applyFont="1" applyFill="1"/>
    <xf numFmtId="165" fontId="12" fillId="3" borderId="3" xfId="1" applyNumberFormat="1" applyFont="1" applyFill="1" applyBorder="1"/>
    <xf numFmtId="0" fontId="12" fillId="3" borderId="0" xfId="0" applyFont="1" applyFill="1"/>
    <xf numFmtId="165" fontId="24" fillId="4" borderId="3" xfId="1" applyNumberFormat="1" applyFont="1" applyFill="1" applyBorder="1" applyAlignment="1">
      <alignment horizontal="left" wrapText="1"/>
    </xf>
    <xf numFmtId="165" fontId="25" fillId="5" borderId="3" xfId="1" applyNumberFormat="1" applyFont="1" applyFill="1" applyBorder="1" applyAlignment="1">
      <alignment horizontal="left" wrapText="1"/>
    </xf>
    <xf numFmtId="165" fontId="4" fillId="7" borderId="3" xfId="1" applyNumberFormat="1" applyFont="1" applyFill="1" applyBorder="1" applyAlignment="1">
      <alignment horizontal="left" vertical="top" wrapText="1"/>
    </xf>
    <xf numFmtId="165" fontId="24" fillId="4" borderId="3" xfId="1" applyNumberFormat="1" applyFont="1" applyFill="1" applyBorder="1" applyAlignment="1">
      <alignment horizontal="left" vertical="top" wrapText="1"/>
    </xf>
    <xf numFmtId="165" fontId="25" fillId="5" borderId="3" xfId="1" applyNumberFormat="1" applyFont="1" applyFill="1" applyBorder="1" applyAlignment="1">
      <alignment horizontal="left" vertical="top" wrapText="1"/>
    </xf>
    <xf numFmtId="165" fontId="3" fillId="5" borderId="3" xfId="1" applyNumberFormat="1" applyFont="1" applyFill="1" applyBorder="1" applyAlignment="1">
      <alignment horizontal="left" vertical="top"/>
    </xf>
    <xf numFmtId="166" fontId="1" fillId="5" borderId="3" xfId="2" applyNumberFormat="1" applyFont="1" applyFill="1" applyBorder="1" applyAlignment="1">
      <alignment horizontal="left" vertical="top"/>
    </xf>
    <xf numFmtId="0" fontId="3" fillId="0" borderId="0" xfId="0" applyFont="1" applyAlignment="1">
      <alignment horizontal="left" vertical="top"/>
    </xf>
    <xf numFmtId="0" fontId="23" fillId="3" borderId="3" xfId="0" applyFont="1" applyFill="1" applyBorder="1"/>
    <xf numFmtId="1" fontId="2" fillId="4" borderId="3" xfId="0" applyNumberFormat="1" applyFont="1" applyFill="1" applyBorder="1" applyAlignment="1">
      <alignment horizontal="center" wrapText="1"/>
    </xf>
    <xf numFmtId="1" fontId="3" fillId="5" borderId="3" xfId="0" applyNumberFormat="1" applyFont="1" applyFill="1" applyBorder="1"/>
    <xf numFmtId="0" fontId="4" fillId="7" borderId="3" xfId="0" applyFont="1" applyFill="1" applyBorder="1" applyAlignment="1">
      <alignment horizontal="left" vertical="top" wrapText="1"/>
    </xf>
    <xf numFmtId="3" fontId="2" fillId="4" borderId="3" xfId="0" applyNumberFormat="1" applyFont="1" applyFill="1" applyBorder="1" applyAlignment="1">
      <alignment horizontal="center" wrapText="1"/>
    </xf>
    <xf numFmtId="0" fontId="2" fillId="4" borderId="3" xfId="0" applyFont="1" applyFill="1" applyBorder="1" applyAlignment="1">
      <alignment horizontal="center" wrapText="1"/>
    </xf>
    <xf numFmtId="0" fontId="3" fillId="5" borderId="3" xfId="0" applyFont="1" applyFill="1" applyBorder="1"/>
    <xf numFmtId="165" fontId="1" fillId="5" borderId="3" xfId="1" applyNumberFormat="1" applyFont="1" applyFill="1" applyBorder="1"/>
    <xf numFmtId="0" fontId="8" fillId="4" borderId="1" xfId="0" applyFont="1" applyFill="1" applyBorder="1" applyAlignment="1">
      <alignment horizontal="center" wrapText="1"/>
    </xf>
    <xf numFmtId="0" fontId="26" fillId="7" borderId="3" xfId="0" applyFont="1" applyFill="1" applyBorder="1" applyAlignment="1">
      <alignment horizontal="left" wrapText="1"/>
    </xf>
    <xf numFmtId="165" fontId="27" fillId="5" borderId="3" xfId="1" applyNumberFormat="1" applyFont="1" applyFill="1" applyBorder="1"/>
    <xf numFmtId="165" fontId="26" fillId="5" borderId="3" xfId="1" applyNumberFormat="1" applyFont="1" applyFill="1" applyBorder="1" applyAlignment="1">
      <alignment horizontal="left" wrapText="1"/>
    </xf>
    <xf numFmtId="166" fontId="27" fillId="5" borderId="3" xfId="2" applyNumberFormat="1" applyFont="1" applyFill="1" applyBorder="1"/>
    <xf numFmtId="0" fontId="27" fillId="0" borderId="0" xfId="0" applyFont="1"/>
    <xf numFmtId="165" fontId="28" fillId="5" borderId="3" xfId="1" applyNumberFormat="1" applyFont="1" applyFill="1" applyBorder="1"/>
    <xf numFmtId="166" fontId="28" fillId="5" borderId="3" xfId="2" applyNumberFormat="1" applyFont="1" applyFill="1" applyBorder="1"/>
    <xf numFmtId="0" fontId="1" fillId="5" borderId="3" xfId="0" applyFont="1" applyFill="1" applyBorder="1"/>
    <xf numFmtId="165" fontId="1" fillId="5" borderId="3" xfId="1" applyNumberFormat="1" applyFont="1" applyFill="1" applyBorder="1" applyAlignment="1">
      <alignment horizontal="right"/>
    </xf>
    <xf numFmtId="166" fontId="3" fillId="5" borderId="3" xfId="2" applyNumberFormat="1" applyFont="1" applyFill="1" applyBorder="1"/>
    <xf numFmtId="165" fontId="12" fillId="3" borderId="3" xfId="1" applyNumberFormat="1" applyFont="1" applyFill="1" applyBorder="1" applyAlignment="1">
      <alignment horizontal="left"/>
    </xf>
    <xf numFmtId="165" fontId="1" fillId="5" borderId="3" xfId="1" applyNumberFormat="1" applyFont="1" applyFill="1" applyBorder="1" applyAlignment="1">
      <alignment horizontal="left"/>
    </xf>
    <xf numFmtId="166" fontId="1" fillId="5" borderId="3" xfId="2" applyNumberFormat="1" applyFont="1" applyFill="1" applyBorder="1" applyAlignment="1">
      <alignment horizontal="left"/>
    </xf>
    <xf numFmtId="3" fontId="8" fillId="4" borderId="1" xfId="0" applyNumberFormat="1" applyFont="1" applyFill="1" applyBorder="1" applyAlignment="1">
      <alignment horizontal="right" wrapText="1"/>
    </xf>
    <xf numFmtId="0" fontId="8" fillId="4" borderId="1" xfId="0" applyFont="1" applyFill="1" applyBorder="1" applyAlignment="1">
      <alignment horizontal="right" wrapText="1"/>
    </xf>
    <xf numFmtId="165" fontId="3" fillId="5" borderId="3" xfId="1" applyNumberFormat="1" applyFont="1" applyFill="1" applyBorder="1" applyAlignment="1">
      <alignment horizontal="left"/>
    </xf>
    <xf numFmtId="166" fontId="3" fillId="5" borderId="3" xfId="2" applyNumberFormat="1" applyFont="1" applyFill="1" applyBorder="1" applyAlignment="1">
      <alignment horizontal="left"/>
    </xf>
    <xf numFmtId="0" fontId="1" fillId="5" borderId="3" xfId="0" applyFont="1" applyFill="1" applyBorder="1" applyAlignment="1">
      <alignment horizontal="left"/>
    </xf>
    <xf numFmtId="0" fontId="3" fillId="5" borderId="3" xfId="0" applyFont="1" applyFill="1" applyBorder="1" applyAlignment="1">
      <alignment horizontal="left"/>
    </xf>
    <xf numFmtId="10" fontId="1" fillId="5" borderId="3" xfId="2" applyNumberFormat="1" applyFont="1" applyFill="1" applyBorder="1" applyAlignment="1">
      <alignment horizontal="left"/>
    </xf>
    <xf numFmtId="0" fontId="12" fillId="3" borderId="0" xfId="0" applyFont="1" applyFill="1" applyAlignment="1">
      <alignment horizontal="right"/>
    </xf>
    <xf numFmtId="0" fontId="12" fillId="3" borderId="2" xfId="0" applyFont="1" applyFill="1" applyBorder="1" applyAlignment="1">
      <alignment horizontal="left" wrapText="1"/>
    </xf>
    <xf numFmtId="0" fontId="23" fillId="3" borderId="0" xfId="0" applyFont="1" applyFill="1" applyAlignment="1">
      <alignment horizontal="left"/>
    </xf>
    <xf numFmtId="165" fontId="0" fillId="5" borderId="3" xfId="1" applyNumberFormat="1" applyFont="1" applyFill="1" applyBorder="1"/>
    <xf numFmtId="0" fontId="8" fillId="4" borderId="3" xfId="0" applyFont="1" applyFill="1" applyBorder="1" applyAlignment="1">
      <alignment horizontal="center" wrapText="1"/>
    </xf>
    <xf numFmtId="166" fontId="0" fillId="5" borderId="3" xfId="2" applyNumberFormat="1" applyFont="1" applyFill="1" applyBorder="1"/>
    <xf numFmtId="3" fontId="8" fillId="4" borderId="3" xfId="0" applyNumberFormat="1" applyFont="1" applyFill="1" applyBorder="1" applyAlignment="1">
      <alignment horizontal="center" wrapText="1"/>
    </xf>
    <xf numFmtId="0" fontId="9" fillId="7" borderId="7" xfId="0" applyFont="1" applyFill="1" applyBorder="1" applyAlignment="1">
      <alignment wrapText="1"/>
    </xf>
    <xf numFmtId="0" fontId="6" fillId="5" borderId="7" xfId="0" applyFont="1" applyFill="1" applyBorder="1"/>
    <xf numFmtId="166" fontId="6" fillId="5" borderId="7" xfId="2" applyNumberFormat="1" applyFont="1" applyFill="1" applyBorder="1"/>
    <xf numFmtId="0" fontId="11" fillId="3" borderId="3" xfId="0" applyFont="1" applyFill="1" applyBorder="1" applyAlignment="1">
      <alignment horizontal="left" wrapText="1"/>
    </xf>
    <xf numFmtId="0" fontId="10" fillId="3" borderId="3" xfId="0" applyFont="1" applyFill="1" applyBorder="1"/>
    <xf numFmtId="0" fontId="10" fillId="3" borderId="0" xfId="0" applyFont="1" applyFill="1"/>
    <xf numFmtId="0" fontId="8" fillId="6" borderId="3" xfId="0" applyFont="1" applyFill="1" applyBorder="1" applyAlignment="1">
      <alignment horizontal="left" wrapText="1"/>
    </xf>
    <xf numFmtId="165" fontId="8" fillId="4" borderId="3" xfId="1" applyNumberFormat="1" applyFont="1" applyFill="1" applyBorder="1" applyAlignment="1">
      <alignment horizontal="center" wrapText="1"/>
    </xf>
    <xf numFmtId="0" fontId="17" fillId="3" borderId="0" xfId="0" applyFont="1" applyFill="1"/>
    <xf numFmtId="0" fontId="0" fillId="5" borderId="3" xfId="0" applyFill="1" applyBorder="1"/>
    <xf numFmtId="3" fontId="0" fillId="5" borderId="3" xfId="0" applyNumberFormat="1" applyFill="1" applyBorder="1"/>
    <xf numFmtId="165" fontId="19" fillId="4" borderId="3" xfId="1" applyNumberFormat="1" applyFont="1" applyFill="1" applyBorder="1" applyAlignment="1">
      <alignment horizontal="left" vertical="top" wrapText="1"/>
    </xf>
    <xf numFmtId="165" fontId="20" fillId="5" borderId="3" xfId="1" applyNumberFormat="1" applyFont="1" applyFill="1" applyBorder="1" applyAlignment="1">
      <alignment horizontal="left" vertical="top" wrapText="1"/>
    </xf>
    <xf numFmtId="165" fontId="22" fillId="5" borderId="3" xfId="1" applyNumberFormat="1" applyFont="1" applyFill="1" applyBorder="1" applyAlignment="1">
      <alignment horizontal="left" vertical="top"/>
    </xf>
    <xf numFmtId="166" fontId="22" fillId="5" borderId="3" xfId="2" applyNumberFormat="1" applyFont="1" applyFill="1" applyBorder="1" applyAlignment="1">
      <alignment horizontal="left" vertical="top"/>
    </xf>
    <xf numFmtId="3" fontId="22" fillId="5" borderId="3" xfId="0" applyNumberFormat="1" applyFont="1" applyFill="1" applyBorder="1" applyAlignment="1">
      <alignment horizontal="left" vertical="top"/>
    </xf>
    <xf numFmtId="0" fontId="10" fillId="3" borderId="6" xfId="0" applyFont="1" applyFill="1" applyBorder="1" applyAlignment="1">
      <alignment horizontal="right" wrapText="1"/>
    </xf>
    <xf numFmtId="0" fontId="0" fillId="11" borderId="0" xfId="0" applyFill="1"/>
    <xf numFmtId="0" fontId="0" fillId="11" borderId="0" xfId="0" applyFill="1" applyAlignment="1">
      <alignment horizontal="center" vertical="top" wrapText="1"/>
    </xf>
    <xf numFmtId="3" fontId="25" fillId="5" borderId="3" xfId="0" applyNumberFormat="1" applyFont="1" applyFill="1" applyBorder="1" applyAlignment="1">
      <alignment horizontal="center" wrapText="1"/>
    </xf>
    <xf numFmtId="165" fontId="24" fillId="4" borderId="3" xfId="1" applyNumberFormat="1" applyFont="1" applyFill="1" applyBorder="1" applyAlignment="1">
      <alignment horizontal="right" wrapText="1"/>
    </xf>
    <xf numFmtId="165" fontId="25" fillId="5" borderId="3" xfId="1" applyNumberFormat="1" applyFont="1" applyFill="1" applyBorder="1" applyAlignment="1">
      <alignment horizontal="right" wrapText="1"/>
    </xf>
    <xf numFmtId="165" fontId="24" fillId="4" borderId="3" xfId="1" applyNumberFormat="1" applyFont="1" applyFill="1" applyBorder="1" applyAlignment="1">
      <alignment horizontal="center" wrapText="1"/>
    </xf>
    <xf numFmtId="3" fontId="26" fillId="5" borderId="3" xfId="0" applyNumberFormat="1" applyFont="1" applyFill="1" applyBorder="1" applyAlignment="1">
      <alignment horizontal="left" vertical="top" wrapText="1"/>
    </xf>
    <xf numFmtId="0" fontId="32" fillId="4" borderId="3" xfId="0" applyFont="1" applyFill="1" applyBorder="1" applyAlignment="1">
      <alignment horizontal="left" vertical="top" wrapText="1"/>
    </xf>
    <xf numFmtId="165" fontId="22" fillId="5" borderId="7" xfId="1" applyNumberFormat="1" applyFont="1" applyFill="1" applyBorder="1"/>
    <xf numFmtId="3" fontId="20" fillId="5" borderId="7" xfId="0" applyNumberFormat="1" applyFont="1" applyFill="1" applyBorder="1" applyAlignment="1">
      <alignment horizontal="left" wrapText="1"/>
    </xf>
    <xf numFmtId="165" fontId="6" fillId="5" borderId="3" xfId="1" applyNumberFormat="1" applyFont="1" applyFill="1" applyBorder="1" applyAlignment="1">
      <alignment horizontal="left" vertical="top"/>
    </xf>
    <xf numFmtId="166" fontId="6" fillId="5" borderId="3" xfId="2" applyNumberFormat="1" applyFont="1" applyFill="1" applyBorder="1" applyAlignment="1">
      <alignment horizontal="left" vertical="top"/>
    </xf>
    <xf numFmtId="165" fontId="1" fillId="0" borderId="0" xfId="1" applyNumberFormat="1" applyFont="1" applyAlignment="1">
      <alignment horizontal="left"/>
    </xf>
    <xf numFmtId="165" fontId="10" fillId="3" borderId="0" xfId="1" applyNumberFormat="1" applyFont="1" applyFill="1"/>
    <xf numFmtId="165" fontId="0" fillId="0" borderId="0" xfId="1" applyNumberFormat="1" applyFont="1"/>
    <xf numFmtId="165" fontId="22" fillId="0" borderId="0" xfId="1" applyNumberFormat="1" applyFont="1"/>
    <xf numFmtId="165" fontId="0" fillId="5" borderId="0" xfId="1" applyNumberFormat="1" applyFont="1" applyFill="1"/>
    <xf numFmtId="3" fontId="8" fillId="4" borderId="3" xfId="0" applyNumberFormat="1" applyFont="1" applyFill="1" applyBorder="1" applyAlignment="1">
      <alignment horizontal="right" wrapText="1"/>
    </xf>
    <xf numFmtId="0" fontId="8" fillId="4" borderId="3" xfId="0" applyFont="1" applyFill="1" applyBorder="1" applyAlignment="1">
      <alignment horizontal="right" wrapText="1"/>
    </xf>
    <xf numFmtId="3" fontId="21" fillId="5" borderId="3" xfId="0" applyNumberFormat="1" applyFont="1" applyFill="1" applyBorder="1" applyAlignment="1">
      <alignment horizontal="left" vertical="top" wrapText="1"/>
    </xf>
    <xf numFmtId="165" fontId="22" fillId="5" borderId="3" xfId="1" applyNumberFormat="1" applyFont="1" applyFill="1" applyBorder="1"/>
    <xf numFmtId="165" fontId="0" fillId="0" borderId="3" xfId="1" applyNumberFormat="1" applyFont="1" applyBorder="1"/>
    <xf numFmtId="3" fontId="21" fillId="5" borderId="3" xfId="0" applyNumberFormat="1" applyFont="1" applyFill="1" applyBorder="1" applyAlignment="1">
      <alignment horizontal="left" wrapText="1"/>
    </xf>
    <xf numFmtId="165" fontId="22" fillId="0" borderId="3" xfId="1" applyNumberFormat="1" applyFont="1" applyBorder="1"/>
    <xf numFmtId="0" fontId="12" fillId="3" borderId="3" xfId="0" applyFont="1" applyFill="1" applyBorder="1" applyAlignment="1">
      <alignment horizontal="right" wrapText="1"/>
    </xf>
    <xf numFmtId="165" fontId="12" fillId="3" borderId="3" xfId="1" applyNumberFormat="1" applyFont="1" applyFill="1" applyBorder="1" applyAlignment="1">
      <alignment horizontal="left" wrapText="1"/>
    </xf>
    <xf numFmtId="3" fontId="31" fillId="5" borderId="3" xfId="0" applyNumberFormat="1" applyFont="1" applyFill="1" applyBorder="1" applyAlignment="1">
      <alignment horizontal="right" wrapText="1"/>
    </xf>
    <xf numFmtId="165" fontId="28" fillId="5" borderId="3" xfId="1" applyNumberFormat="1" applyFont="1" applyFill="1" applyBorder="1" applyAlignment="1">
      <alignment horizontal="left"/>
    </xf>
    <xf numFmtId="165" fontId="12" fillId="3" borderId="7" xfId="0" applyNumberFormat="1" applyFont="1" applyFill="1" applyBorder="1" applyAlignment="1">
      <alignment horizontal="right"/>
    </xf>
    <xf numFmtId="3" fontId="21" fillId="5" borderId="3" xfId="0" applyNumberFormat="1" applyFont="1" applyFill="1" applyBorder="1" applyAlignment="1">
      <alignment horizontal="right" vertical="top" wrapText="1"/>
    </xf>
    <xf numFmtId="3" fontId="8" fillId="2" borderId="3" xfId="0" applyNumberFormat="1" applyFont="1" applyFill="1" applyBorder="1" applyAlignment="1">
      <alignment horizontal="center" wrapText="1"/>
    </xf>
    <xf numFmtId="3" fontId="21" fillId="0" borderId="3" xfId="0" applyNumberFormat="1" applyFont="1" applyBorder="1" applyAlignment="1">
      <alignment horizontal="left" vertical="top" wrapText="1"/>
    </xf>
    <xf numFmtId="3" fontId="8" fillId="10" borderId="3" xfId="0" applyNumberFormat="1" applyFont="1" applyFill="1" applyBorder="1" applyAlignment="1">
      <alignment horizontal="center" wrapText="1"/>
    </xf>
    <xf numFmtId="3" fontId="29" fillId="5" borderId="3" xfId="0" applyNumberFormat="1" applyFont="1" applyFill="1" applyBorder="1" applyAlignment="1">
      <alignment horizontal="left" wrapText="1"/>
    </xf>
    <xf numFmtId="0" fontId="30" fillId="4" borderId="3" xfId="0" applyFont="1" applyFill="1" applyBorder="1" applyAlignment="1">
      <alignment horizontal="center" wrapText="1"/>
    </xf>
    <xf numFmtId="3" fontId="30" fillId="4" borderId="3" xfId="0" applyNumberFormat="1" applyFont="1" applyFill="1" applyBorder="1" applyAlignment="1">
      <alignment horizontal="center" wrapText="1"/>
    </xf>
    <xf numFmtId="3" fontId="31" fillId="5" borderId="3" xfId="0" applyNumberFormat="1" applyFont="1" applyFill="1" applyBorder="1" applyAlignment="1">
      <alignment horizontal="left" vertical="top" wrapText="1"/>
    </xf>
    <xf numFmtId="0" fontId="8" fillId="10" borderId="3" xfId="0" applyFont="1" applyFill="1" applyBorder="1" applyAlignment="1">
      <alignment horizontal="right" wrapText="1"/>
    </xf>
    <xf numFmtId="3" fontId="8" fillId="10" borderId="3" xfId="0" applyNumberFormat="1" applyFont="1" applyFill="1" applyBorder="1" applyAlignment="1">
      <alignment horizontal="right" wrapText="1"/>
    </xf>
    <xf numFmtId="3" fontId="21" fillId="5" borderId="3" xfId="0" applyNumberFormat="1" applyFont="1" applyFill="1" applyBorder="1" applyAlignment="1">
      <alignment horizontal="right" wrapText="1"/>
    </xf>
    <xf numFmtId="9" fontId="0" fillId="0" borderId="0" xfId="2" applyFont="1"/>
    <xf numFmtId="0" fontId="10" fillId="3" borderId="0" xfId="0" applyFont="1" applyFill="1" applyAlignment="1">
      <alignment wrapText="1"/>
    </xf>
    <xf numFmtId="9" fontId="10" fillId="3" borderId="0" xfId="2" applyFont="1" applyFill="1" applyAlignment="1">
      <alignment wrapText="1"/>
    </xf>
    <xf numFmtId="0" fontId="6" fillId="7" borderId="3" xfId="0" applyFont="1" applyFill="1" applyBorder="1"/>
    <xf numFmtId="0" fontId="0" fillId="5" borderId="3" xfId="0" applyFill="1" applyBorder="1" applyAlignment="1">
      <alignment horizontal="center"/>
    </xf>
    <xf numFmtId="9" fontId="0" fillId="5" borderId="3" xfId="2" applyFont="1" applyFill="1" applyBorder="1" applyAlignment="1">
      <alignment horizontal="center"/>
    </xf>
    <xf numFmtId="3" fontId="0" fillId="5" borderId="3" xfId="0" applyNumberFormat="1" applyFill="1" applyBorder="1" applyAlignment="1">
      <alignment horizontal="center"/>
    </xf>
    <xf numFmtId="165" fontId="22" fillId="5" borderId="3" xfId="1" applyNumberFormat="1" applyFont="1" applyFill="1" applyBorder="1" applyAlignment="1">
      <alignment horizontal="center"/>
    </xf>
    <xf numFmtId="0" fontId="22" fillId="5" borderId="3" xfId="0" applyFont="1" applyFill="1" applyBorder="1" applyAlignment="1">
      <alignment horizontal="center"/>
    </xf>
    <xf numFmtId="9" fontId="22" fillId="5" borderId="3" xfId="2" applyFont="1" applyFill="1" applyBorder="1" applyAlignment="1">
      <alignment horizontal="center"/>
    </xf>
    <xf numFmtId="0" fontId="10" fillId="12" borderId="0" xfId="0" applyFont="1" applyFill="1"/>
    <xf numFmtId="9" fontId="10" fillId="3" borderId="3" xfId="2" applyFont="1" applyFill="1" applyBorder="1" applyAlignment="1">
      <alignment wrapText="1"/>
    </xf>
    <xf numFmtId="165" fontId="0" fillId="13" borderId="3" xfId="1" applyNumberFormat="1" applyFont="1" applyFill="1" applyBorder="1"/>
    <xf numFmtId="1" fontId="0" fillId="13" borderId="3" xfId="0" applyNumberFormat="1" applyFill="1" applyBorder="1"/>
    <xf numFmtId="165" fontId="22" fillId="13" borderId="3" xfId="1" applyNumberFormat="1" applyFont="1" applyFill="1" applyBorder="1"/>
    <xf numFmtId="0" fontId="0" fillId="13" borderId="3" xfId="0" applyFill="1" applyBorder="1"/>
    <xf numFmtId="10" fontId="0" fillId="13" borderId="3" xfId="2" applyNumberFormat="1" applyFont="1" applyFill="1" applyBorder="1"/>
    <xf numFmtId="165" fontId="5" fillId="13" borderId="3" xfId="1" applyNumberFormat="1" applyFont="1" applyFill="1" applyBorder="1"/>
    <xf numFmtId="0" fontId="0" fillId="13" borderId="3" xfId="1" applyNumberFormat="1" applyFont="1" applyFill="1" applyBorder="1"/>
    <xf numFmtId="3" fontId="0" fillId="13" borderId="3" xfId="1" applyNumberFormat="1" applyFont="1" applyFill="1" applyBorder="1"/>
    <xf numFmtId="4" fontId="0" fillId="13" borderId="3" xfId="0" applyNumberFormat="1" applyFill="1" applyBorder="1"/>
    <xf numFmtId="3" fontId="5" fillId="13" borderId="3" xfId="1" applyNumberFormat="1" applyFont="1" applyFill="1" applyBorder="1"/>
    <xf numFmtId="0" fontId="5" fillId="13" borderId="3" xfId="0" applyFont="1" applyFill="1" applyBorder="1"/>
    <xf numFmtId="9" fontId="0" fillId="13" borderId="3" xfId="2" applyFont="1" applyFill="1" applyBorder="1"/>
    <xf numFmtId="9" fontId="5" fillId="13" borderId="3" xfId="2" applyFont="1" applyFill="1" applyBorder="1"/>
    <xf numFmtId="3" fontId="0" fillId="13" borderId="3" xfId="0" applyNumberFormat="1" applyFill="1" applyBorder="1"/>
    <xf numFmtId="165" fontId="22" fillId="13" borderId="3" xfId="0" applyNumberFormat="1" applyFont="1" applyFill="1" applyBorder="1"/>
    <xf numFmtId="0" fontId="22" fillId="13" borderId="3" xfId="0" applyFont="1" applyFill="1" applyBorder="1"/>
    <xf numFmtId="9" fontId="22" fillId="13" borderId="3" xfId="2" applyFont="1" applyFill="1" applyBorder="1"/>
    <xf numFmtId="165" fontId="0" fillId="13" borderId="3" xfId="0" applyNumberFormat="1" applyFill="1" applyBorder="1"/>
    <xf numFmtId="165" fontId="6" fillId="13" borderId="3" xfId="0" applyNumberFormat="1" applyFont="1" applyFill="1" applyBorder="1"/>
    <xf numFmtId="0" fontId="6" fillId="13" borderId="3" xfId="0" applyFont="1" applyFill="1" applyBorder="1"/>
    <xf numFmtId="3" fontId="6" fillId="13" borderId="3" xfId="0" applyNumberFormat="1" applyFont="1" applyFill="1" applyBorder="1"/>
    <xf numFmtId="3" fontId="5" fillId="13" borderId="3" xfId="0" applyNumberFormat="1" applyFont="1" applyFill="1" applyBorder="1"/>
    <xf numFmtId="9" fontId="6" fillId="13" borderId="3" xfId="2" applyFont="1" applyFill="1" applyBorder="1"/>
    <xf numFmtId="0" fontId="6" fillId="14" borderId="3" xfId="0" applyFont="1" applyFill="1" applyBorder="1"/>
    <xf numFmtId="0" fontId="0" fillId="14" borderId="3" xfId="0" applyFill="1" applyBorder="1"/>
    <xf numFmtId="41" fontId="0" fillId="5" borderId="3" xfId="4" applyFont="1" applyFill="1" applyBorder="1"/>
    <xf numFmtId="9" fontId="0" fillId="5" borderId="3" xfId="2" applyFont="1" applyFill="1" applyBorder="1"/>
    <xf numFmtId="41" fontId="33" fillId="5" borderId="3" xfId="4" applyFont="1" applyFill="1" applyBorder="1" applyProtection="1"/>
    <xf numFmtId="41" fontId="6" fillId="5" borderId="3" xfId="4" applyFont="1" applyFill="1" applyBorder="1"/>
    <xf numFmtId="9" fontId="6" fillId="5" borderId="3" xfId="2" applyFont="1" applyFill="1" applyBorder="1"/>
    <xf numFmtId="0" fontId="34" fillId="3" borderId="3" xfId="0" applyFont="1" applyFill="1" applyBorder="1"/>
    <xf numFmtId="0" fontId="35" fillId="3" borderId="0" xfId="0" applyFont="1" applyFill="1"/>
    <xf numFmtId="1" fontId="0" fillId="5" borderId="3" xfId="2" applyNumberFormat="1" applyFont="1" applyFill="1" applyBorder="1"/>
    <xf numFmtId="43" fontId="0" fillId="5" borderId="3" xfId="1" applyFont="1" applyFill="1" applyBorder="1"/>
    <xf numFmtId="165" fontId="6" fillId="5" borderId="3" xfId="0" applyNumberFormat="1" applyFont="1" applyFill="1" applyBorder="1"/>
    <xf numFmtId="3" fontId="0" fillId="5" borderId="3" xfId="1" applyNumberFormat="1" applyFont="1" applyFill="1" applyBorder="1"/>
    <xf numFmtId="0" fontId="34" fillId="3" borderId="0" xfId="0" applyFont="1" applyFill="1"/>
    <xf numFmtId="1" fontId="0" fillId="5" borderId="3" xfId="1" applyNumberFormat="1" applyFont="1" applyFill="1" applyBorder="1"/>
    <xf numFmtId="1" fontId="0" fillId="5" borderId="3" xfId="0" applyNumberFormat="1" applyFill="1" applyBorder="1"/>
    <xf numFmtId="0" fontId="14" fillId="11" borderId="0" xfId="0" applyFont="1" applyFill="1"/>
    <xf numFmtId="0" fontId="36" fillId="11" borderId="0" xfId="0" applyFont="1" applyFill="1" applyAlignment="1">
      <alignment wrapText="1"/>
    </xf>
    <xf numFmtId="9" fontId="36" fillId="11" borderId="0" xfId="2" applyFont="1" applyFill="1" applyAlignment="1">
      <alignment wrapText="1"/>
    </xf>
    <xf numFmtId="0" fontId="0" fillId="13" borderId="0" xfId="0" applyFill="1"/>
    <xf numFmtId="9" fontId="0" fillId="13" borderId="0" xfId="2" applyFont="1" applyFill="1"/>
    <xf numFmtId="9" fontId="0" fillId="13" borderId="0" xfId="0" applyNumberFormat="1" applyFill="1"/>
    <xf numFmtId="0" fontId="41" fillId="0" borderId="0" xfId="0" applyFont="1"/>
    <xf numFmtId="41" fontId="0" fillId="0" borderId="0" xfId="4" applyFont="1" applyProtection="1">
      <protection locked="0" hidden="1"/>
    </xf>
    <xf numFmtId="9" fontId="0" fillId="0" borderId="0" xfId="2" applyFont="1" applyProtection="1">
      <protection locked="0" hidden="1"/>
    </xf>
    <xf numFmtId="167" fontId="0" fillId="0" borderId="0" xfId="0" applyNumberFormat="1"/>
    <xf numFmtId="0" fontId="42" fillId="3" borderId="0" xfId="0" applyFont="1" applyFill="1"/>
    <xf numFmtId="0" fontId="43" fillId="3" borderId="0" xfId="0" applyFont="1" applyFill="1"/>
    <xf numFmtId="9" fontId="0" fillId="11" borderId="0" xfId="2" applyFont="1" applyFill="1"/>
    <xf numFmtId="41" fontId="0" fillId="13" borderId="0" xfId="4" applyFont="1" applyFill="1"/>
    <xf numFmtId="1" fontId="0" fillId="0" borderId="0" xfId="2" applyNumberFormat="1" applyFont="1" applyProtection="1">
      <protection locked="0" hidden="1"/>
    </xf>
    <xf numFmtId="9" fontId="17" fillId="3" borderId="0" xfId="2" applyFont="1" applyFill="1" applyAlignment="1">
      <alignment wrapText="1"/>
    </xf>
    <xf numFmtId="9" fontId="36" fillId="11" borderId="0" xfId="7" applyFont="1" applyFill="1" applyAlignment="1">
      <alignment wrapText="1"/>
    </xf>
    <xf numFmtId="9" fontId="0" fillId="11" borderId="0" xfId="7" applyFont="1" applyFill="1"/>
    <xf numFmtId="41" fontId="0" fillId="0" borderId="0" xfId="4" applyFont="1"/>
    <xf numFmtId="9" fontId="10" fillId="3" borderId="0" xfId="2" applyFont="1" applyFill="1"/>
    <xf numFmtId="41" fontId="37" fillId="13" borderId="0" xfId="4" applyFont="1" applyFill="1"/>
    <xf numFmtId="41" fontId="42" fillId="3" borderId="0" xfId="4" applyFont="1" applyFill="1"/>
    <xf numFmtId="169" fontId="0" fillId="0" borderId="0" xfId="0" applyNumberFormat="1"/>
    <xf numFmtId="0" fontId="0" fillId="16" borderId="0" xfId="0" applyFill="1"/>
    <xf numFmtId="0" fontId="0" fillId="5" borderId="0" xfId="0" applyFill="1"/>
    <xf numFmtId="0" fontId="45" fillId="11" borderId="0" xfId="0" applyFont="1" applyFill="1"/>
    <xf numFmtId="0" fontId="6" fillId="5" borderId="0" xfId="0" applyFont="1" applyFill="1"/>
    <xf numFmtId="41" fontId="10" fillId="3" borderId="0" xfId="4" applyFont="1" applyFill="1"/>
    <xf numFmtId="41" fontId="46" fillId="3" borderId="0" xfId="4" applyFont="1" applyFill="1"/>
    <xf numFmtId="3" fontId="0" fillId="13" borderId="0" xfId="0" applyNumberFormat="1" applyFill="1"/>
    <xf numFmtId="2" fontId="0" fillId="13" borderId="0" xfId="0" applyNumberFormat="1" applyFill="1"/>
    <xf numFmtId="4" fontId="0" fillId="13" borderId="0" xfId="0" applyNumberFormat="1" applyFill="1"/>
    <xf numFmtId="41" fontId="0" fillId="5" borderId="0" xfId="4" applyFont="1" applyFill="1"/>
    <xf numFmtId="1" fontId="0" fillId="5" borderId="0" xfId="0" applyNumberFormat="1" applyFill="1"/>
    <xf numFmtId="0" fontId="6" fillId="13" borderId="0" xfId="0" applyFont="1" applyFill="1"/>
    <xf numFmtId="0" fontId="46" fillId="3" borderId="0" xfId="0" applyFont="1" applyFill="1"/>
    <xf numFmtId="3" fontId="0" fillId="0" borderId="0" xfId="0" applyNumberFormat="1"/>
    <xf numFmtId="169" fontId="0" fillId="13" borderId="0" xfId="0" applyNumberFormat="1" applyFill="1"/>
    <xf numFmtId="164" fontId="0" fillId="0" borderId="0" xfId="0" applyNumberFormat="1"/>
    <xf numFmtId="167" fontId="0" fillId="5" borderId="0" xfId="25" applyNumberFormat="1" applyFont="1" applyFill="1" applyBorder="1"/>
    <xf numFmtId="166" fontId="0" fillId="5" borderId="0" xfId="2" applyNumberFormat="1" applyFont="1" applyFill="1"/>
    <xf numFmtId="167" fontId="33" fillId="5" borderId="0" xfId="25" applyNumberFormat="1" applyFont="1" applyFill="1" applyBorder="1" applyProtection="1"/>
    <xf numFmtId="167" fontId="49" fillId="5" borderId="0" xfId="25" applyNumberFormat="1" applyFont="1" applyFill="1" applyBorder="1" applyProtection="1">
      <protection locked="0"/>
    </xf>
    <xf numFmtId="167" fontId="33" fillId="5" borderId="0" xfId="25" applyNumberFormat="1" applyFont="1" applyFill="1" applyBorder="1" applyProtection="1">
      <protection locked="0"/>
    </xf>
    <xf numFmtId="2" fontId="0" fillId="5" borderId="0" xfId="2" applyNumberFormat="1" applyFont="1" applyFill="1"/>
    <xf numFmtId="2" fontId="0" fillId="0" borderId="0" xfId="0" applyNumberFormat="1"/>
    <xf numFmtId="0" fontId="51" fillId="13" borderId="0" xfId="0" applyFont="1" applyFill="1"/>
    <xf numFmtId="41" fontId="52" fillId="5" borderId="0" xfId="4" applyFont="1" applyFill="1" applyProtection="1">
      <protection locked="0" hidden="1"/>
    </xf>
    <xf numFmtId="0" fontId="51" fillId="17" borderId="0" xfId="0" applyFont="1" applyFill="1"/>
    <xf numFmtId="171" fontId="0" fillId="12" borderId="0" xfId="6" applyNumberFormat="1" applyFont="1" applyFill="1"/>
    <xf numFmtId="171" fontId="53" fillId="17" borderId="0" xfId="6" applyNumberFormat="1" applyFont="1" applyFill="1"/>
    <xf numFmtId="171" fontId="56" fillId="12" borderId="0" xfId="6" applyNumberFormat="1" applyFont="1" applyFill="1"/>
    <xf numFmtId="171" fontId="57" fillId="17" borderId="0" xfId="6" applyNumberFormat="1" applyFont="1" applyFill="1"/>
    <xf numFmtId="0" fontId="54" fillId="18" borderId="0" xfId="0" applyFont="1" applyFill="1"/>
    <xf numFmtId="0" fontId="14" fillId="19" borderId="0" xfId="0" applyFont="1" applyFill="1"/>
    <xf numFmtId="0" fontId="0" fillId="19" borderId="0" xfId="0" applyFill="1" applyAlignment="1">
      <alignment horizontal="right" wrapText="1"/>
    </xf>
    <xf numFmtId="0" fontId="44" fillId="19" borderId="0" xfId="0" applyFont="1" applyFill="1" applyAlignment="1">
      <alignment horizontal="right" wrapText="1"/>
    </xf>
    <xf numFmtId="0" fontId="56" fillId="19" borderId="0" xfId="0" applyFont="1" applyFill="1" applyAlignment="1">
      <alignment horizontal="right" wrapText="1"/>
    </xf>
    <xf numFmtId="0" fontId="53" fillId="19" borderId="0" xfId="0" applyFont="1" applyFill="1" applyAlignment="1">
      <alignment vertical="center"/>
    </xf>
    <xf numFmtId="0" fontId="6" fillId="19" borderId="0" xfId="0" applyFont="1" applyFill="1" applyAlignment="1">
      <alignment horizontal="right" wrapText="1"/>
    </xf>
    <xf numFmtId="0" fontId="53" fillId="19" borderId="0" xfId="0" applyFont="1" applyFill="1" applyAlignment="1">
      <alignment horizontal="right" wrapText="1"/>
    </xf>
    <xf numFmtId="0" fontId="55" fillId="19" borderId="0" xfId="0" applyFont="1" applyFill="1" applyAlignment="1">
      <alignment horizontal="right" wrapText="1"/>
    </xf>
    <xf numFmtId="0" fontId="0" fillId="12" borderId="0" xfId="6" applyNumberFormat="1" applyFont="1" applyFill="1"/>
    <xf numFmtId="3" fontId="0" fillId="12" borderId="0" xfId="6" applyNumberFormat="1" applyFont="1" applyFill="1"/>
    <xf numFmtId="0" fontId="56" fillId="12" borderId="0" xfId="6" applyNumberFormat="1" applyFont="1" applyFill="1"/>
    <xf numFmtId="43" fontId="57" fillId="17" borderId="0" xfId="2" applyNumberFormat="1" applyFont="1" applyFill="1"/>
    <xf numFmtId="2" fontId="52" fillId="5" borderId="0" xfId="2" applyNumberFormat="1" applyFont="1" applyFill="1" applyProtection="1">
      <protection locked="0" hidden="1"/>
    </xf>
    <xf numFmtId="172" fontId="56" fillId="12" borderId="0" xfId="1" applyNumberFormat="1" applyFont="1" applyFill="1"/>
    <xf numFmtId="9" fontId="57" fillId="17" borderId="0" xfId="2" applyFont="1" applyFill="1"/>
    <xf numFmtId="166" fontId="56" fillId="12" borderId="0" xfId="2" applyNumberFormat="1" applyFont="1" applyFill="1"/>
    <xf numFmtId="41" fontId="58" fillId="5" borderId="0" xfId="4" applyFont="1" applyFill="1" applyProtection="1">
      <protection locked="0" hidden="1"/>
    </xf>
    <xf numFmtId="41" fontId="52" fillId="5" borderId="0" xfId="4" applyFont="1" applyFill="1" applyProtection="1">
      <protection hidden="1"/>
    </xf>
    <xf numFmtId="166" fontId="52" fillId="5" borderId="0" xfId="2" applyNumberFormat="1" applyFont="1" applyFill="1" applyProtection="1">
      <protection hidden="1"/>
    </xf>
    <xf numFmtId="1" fontId="56" fillId="12" borderId="0" xfId="6" applyNumberFormat="1" applyFont="1" applyFill="1"/>
    <xf numFmtId="3" fontId="59" fillId="20" borderId="8" xfId="0" applyNumberFormat="1" applyFont="1" applyFill="1" applyBorder="1" applyAlignment="1">
      <alignment horizontal="center" wrapText="1"/>
    </xf>
    <xf numFmtId="3" fontId="59" fillId="20" borderId="9" xfId="0" applyNumberFormat="1" applyFont="1" applyFill="1" applyBorder="1" applyAlignment="1">
      <alignment horizontal="center" wrapText="1"/>
    </xf>
    <xf numFmtId="0" fontId="44" fillId="19" borderId="0" xfId="0" applyFont="1" applyFill="1" applyAlignment="1">
      <alignment horizontal="center" wrapText="1"/>
    </xf>
    <xf numFmtId="41" fontId="52" fillId="5" borderId="0" xfId="4" applyFont="1" applyFill="1" applyAlignment="1" applyProtection="1">
      <alignment horizontal="center"/>
      <protection hidden="1"/>
    </xf>
    <xf numFmtId="0" fontId="53" fillId="19" borderId="0" xfId="0" applyFont="1" applyFill="1" applyAlignment="1">
      <alignment horizontal="center" wrapText="1"/>
    </xf>
    <xf numFmtId="0" fontId="0" fillId="0" borderId="0" xfId="0" applyAlignment="1">
      <alignment horizontal="center"/>
    </xf>
    <xf numFmtId="0" fontId="53" fillId="19" borderId="0" xfId="0" applyFont="1" applyFill="1" applyAlignment="1">
      <alignment vertical="center" wrapText="1"/>
    </xf>
    <xf numFmtId="0" fontId="0" fillId="0" borderId="0" xfId="0" applyAlignment="1">
      <alignment wrapText="1"/>
    </xf>
    <xf numFmtId="166" fontId="59" fillId="20" borderId="8" xfId="2" applyNumberFormat="1" applyFont="1" applyFill="1" applyBorder="1" applyAlignment="1">
      <alignment horizontal="center" wrapText="1"/>
    </xf>
    <xf numFmtId="166" fontId="59" fillId="20" borderId="9" xfId="2" applyNumberFormat="1" applyFont="1" applyFill="1" applyBorder="1" applyAlignment="1">
      <alignment horizontal="center" wrapText="1"/>
    </xf>
    <xf numFmtId="166" fontId="57" fillId="12" borderId="3" xfId="2" applyNumberFormat="1" applyFont="1" applyFill="1" applyBorder="1"/>
    <xf numFmtId="0" fontId="0" fillId="19" borderId="0" xfId="0" applyFill="1" applyAlignment="1">
      <alignment horizontal="center" wrapText="1"/>
    </xf>
    <xf numFmtId="0" fontId="6" fillId="19" borderId="0" xfId="0" applyFont="1" applyFill="1" applyAlignment="1">
      <alignment horizontal="center" wrapText="1"/>
    </xf>
    <xf numFmtId="165" fontId="51" fillId="12" borderId="3" xfId="1" applyNumberFormat="1" applyFont="1" applyFill="1" applyBorder="1"/>
    <xf numFmtId="165" fontId="53" fillId="12" borderId="3" xfId="1" applyNumberFormat="1" applyFont="1" applyFill="1" applyBorder="1" applyAlignment="1">
      <alignment horizontal="center"/>
    </xf>
    <xf numFmtId="165" fontId="53" fillId="12" borderId="3" xfId="1" applyNumberFormat="1" applyFont="1" applyFill="1" applyBorder="1"/>
    <xf numFmtId="165" fontId="53" fillId="12" borderId="3" xfId="1" applyNumberFormat="1" applyFont="1" applyFill="1" applyBorder="1" applyAlignment="1">
      <alignment horizontal="center" vertical="center"/>
    </xf>
    <xf numFmtId="165" fontId="60" fillId="21" borderId="3" xfId="1" applyNumberFormat="1" applyFont="1" applyFill="1" applyBorder="1" applyAlignment="1">
      <alignment horizontal="center" wrapText="1"/>
    </xf>
    <xf numFmtId="165" fontId="57" fillId="12" borderId="3" xfId="1" applyNumberFormat="1" applyFont="1" applyFill="1" applyBorder="1"/>
    <xf numFmtId="3" fontId="59" fillId="21" borderId="8" xfId="0" applyNumberFormat="1" applyFont="1" applyFill="1" applyBorder="1" applyAlignment="1">
      <alignment horizontal="center" wrapText="1"/>
    </xf>
    <xf numFmtId="165" fontId="0" fillId="22" borderId="3" xfId="1" applyNumberFormat="1" applyFont="1" applyFill="1" applyBorder="1" applyAlignment="1"/>
    <xf numFmtId="0" fontId="59" fillId="0" borderId="10" xfId="0" applyFont="1" applyBorder="1" applyAlignment="1">
      <alignment horizontal="center" wrapText="1"/>
    </xf>
    <xf numFmtId="165" fontId="0" fillId="19" borderId="0" xfId="1" applyNumberFormat="1" applyFont="1" applyFill="1" applyAlignment="1">
      <alignment horizontal="right" wrapText="1"/>
    </xf>
    <xf numFmtId="165" fontId="44" fillId="19" borderId="0" xfId="1" applyNumberFormat="1" applyFont="1" applyFill="1" applyAlignment="1">
      <alignment horizontal="right" wrapText="1"/>
    </xf>
    <xf numFmtId="165" fontId="56" fillId="19" borderId="0" xfId="1" applyNumberFormat="1" applyFont="1" applyFill="1" applyAlignment="1">
      <alignment horizontal="right" wrapText="1"/>
    </xf>
    <xf numFmtId="165" fontId="6" fillId="19" borderId="0" xfId="1" applyNumberFormat="1" applyFont="1" applyFill="1" applyAlignment="1">
      <alignment horizontal="right" wrapText="1"/>
    </xf>
    <xf numFmtId="165" fontId="53" fillId="19" borderId="0" xfId="1" applyNumberFormat="1" applyFont="1" applyFill="1" applyAlignment="1">
      <alignment horizontal="right" wrapText="1"/>
    </xf>
    <xf numFmtId="165" fontId="55" fillId="19" borderId="0" xfId="1" applyNumberFormat="1" applyFont="1" applyFill="1" applyAlignment="1">
      <alignment horizontal="right" wrapText="1"/>
    </xf>
    <xf numFmtId="165" fontId="61" fillId="20" borderId="0" xfId="1" applyNumberFormat="1" applyFont="1" applyFill="1" applyBorder="1" applyAlignment="1">
      <alignment horizontal="right" wrapText="1"/>
    </xf>
    <xf numFmtId="165" fontId="52" fillId="5" borderId="0" xfId="1" applyNumberFormat="1" applyFont="1" applyFill="1" applyAlignment="1" applyProtection="1">
      <alignment horizontal="right"/>
      <protection hidden="1"/>
    </xf>
    <xf numFmtId="165" fontId="59" fillId="20" borderId="0" xfId="1" applyNumberFormat="1" applyFont="1" applyFill="1" applyBorder="1" applyAlignment="1">
      <alignment horizontal="right" wrapText="1"/>
    </xf>
    <xf numFmtId="165" fontId="0" fillId="22" borderId="0" xfId="1" applyNumberFormat="1" applyFont="1" applyFill="1" applyBorder="1" applyAlignment="1">
      <alignment horizontal="right"/>
    </xf>
    <xf numFmtId="165" fontId="53" fillId="12" borderId="3" xfId="1" applyNumberFormat="1" applyFont="1" applyFill="1" applyBorder="1" applyAlignment="1">
      <alignment horizontal="right"/>
    </xf>
    <xf numFmtId="165" fontId="53" fillId="12" borderId="3" xfId="1" applyNumberFormat="1" applyFont="1" applyFill="1" applyBorder="1" applyAlignment="1">
      <alignment horizontal="right" vertical="center"/>
    </xf>
    <xf numFmtId="165" fontId="60" fillId="21" borderId="3" xfId="1" applyNumberFormat="1" applyFont="1" applyFill="1" applyBorder="1" applyAlignment="1">
      <alignment horizontal="right" wrapText="1"/>
    </xf>
    <xf numFmtId="165" fontId="57" fillId="12" borderId="3" xfId="1" applyNumberFormat="1" applyFont="1" applyFill="1" applyBorder="1" applyAlignment="1">
      <alignment horizontal="right"/>
    </xf>
    <xf numFmtId="165" fontId="0" fillId="0" borderId="0" xfId="1" applyNumberFormat="1" applyFont="1" applyFill="1" applyAlignment="1">
      <alignment horizontal="right"/>
    </xf>
    <xf numFmtId="165" fontId="59" fillId="0" borderId="10" xfId="1" applyNumberFormat="1" applyFont="1" applyFill="1" applyBorder="1" applyAlignment="1">
      <alignment horizontal="right" wrapText="1"/>
    </xf>
    <xf numFmtId="165" fontId="0" fillId="0" borderId="0" xfId="1" applyNumberFormat="1" applyFont="1" applyAlignment="1">
      <alignment horizontal="right"/>
    </xf>
    <xf numFmtId="9" fontId="52" fillId="5" borderId="0" xfId="2" applyFont="1" applyFill="1" applyAlignment="1" applyProtection="1">
      <alignment horizontal="right"/>
      <protection hidden="1"/>
    </xf>
    <xf numFmtId="166" fontId="59" fillId="20" borderId="0" xfId="2" applyNumberFormat="1" applyFont="1" applyFill="1" applyBorder="1" applyAlignment="1">
      <alignment horizontal="right" wrapText="1"/>
    </xf>
    <xf numFmtId="165" fontId="62" fillId="20" borderId="0" xfId="1" applyNumberFormat="1" applyFont="1" applyFill="1" applyBorder="1" applyAlignment="1">
      <alignment horizontal="right" wrapText="1"/>
    </xf>
    <xf numFmtId="166" fontId="62" fillId="20" borderId="0" xfId="2" applyNumberFormat="1" applyFont="1" applyFill="1" applyBorder="1" applyAlignment="1">
      <alignment horizontal="right" wrapText="1"/>
    </xf>
    <xf numFmtId="165" fontId="63" fillId="20" borderId="0" xfId="1" applyNumberFormat="1" applyFont="1" applyFill="1" applyBorder="1" applyAlignment="1">
      <alignment horizontal="right" wrapText="1"/>
    </xf>
    <xf numFmtId="0" fontId="65" fillId="19" borderId="0" xfId="0" applyFont="1" applyFill="1" applyAlignment="1">
      <alignment vertical="center" wrapText="1"/>
    </xf>
    <xf numFmtId="0" fontId="65" fillId="17" borderId="0" xfId="0" applyFont="1" applyFill="1"/>
    <xf numFmtId="165" fontId="65" fillId="12" borderId="3" xfId="1" applyNumberFormat="1" applyFont="1" applyFill="1" applyBorder="1"/>
    <xf numFmtId="165" fontId="67" fillId="19" borderId="0" xfId="1" applyNumberFormat="1" applyFont="1" applyFill="1" applyAlignment="1">
      <alignment horizontal="right" wrapText="1"/>
    </xf>
    <xf numFmtId="165" fontId="66" fillId="19" borderId="0" xfId="1" applyNumberFormat="1" applyFont="1" applyFill="1" applyAlignment="1">
      <alignment horizontal="right" wrapText="1"/>
    </xf>
    <xf numFmtId="165" fontId="68" fillId="19" borderId="0" xfId="1" applyNumberFormat="1" applyFont="1" applyFill="1" applyAlignment="1">
      <alignment horizontal="right" wrapText="1"/>
    </xf>
    <xf numFmtId="165" fontId="66" fillId="12" borderId="3" xfId="1" applyNumberFormat="1" applyFont="1" applyFill="1" applyBorder="1" applyAlignment="1">
      <alignment horizontal="right"/>
    </xf>
    <xf numFmtId="165" fontId="66" fillId="12" borderId="3" xfId="1" applyNumberFormat="1" applyFont="1" applyFill="1" applyBorder="1" applyAlignment="1">
      <alignment horizontal="right" vertical="center"/>
    </xf>
    <xf numFmtId="165" fontId="70" fillId="12" borderId="3" xfId="1" applyNumberFormat="1" applyFont="1" applyFill="1" applyBorder="1" applyAlignment="1">
      <alignment horizontal="right"/>
    </xf>
    <xf numFmtId="0" fontId="71" fillId="18" borderId="0" xfId="0" applyFont="1" applyFill="1"/>
    <xf numFmtId="165" fontId="69" fillId="19" borderId="0" xfId="1" applyNumberFormat="1" applyFont="1" applyFill="1" applyAlignment="1">
      <alignment horizontal="right" wrapText="1"/>
    </xf>
    <xf numFmtId="165" fontId="7" fillId="19" borderId="0" xfId="1" applyNumberFormat="1" applyFont="1" applyFill="1" applyAlignment="1">
      <alignment horizontal="right" wrapText="1"/>
    </xf>
    <xf numFmtId="165" fontId="72" fillId="19" borderId="0" xfId="1" applyNumberFormat="1" applyFont="1" applyFill="1" applyAlignment="1">
      <alignment horizontal="right" wrapText="1"/>
    </xf>
    <xf numFmtId="165" fontId="73" fillId="5" borderId="0" xfId="1" applyNumberFormat="1" applyFont="1" applyFill="1" applyAlignment="1" applyProtection="1">
      <alignment horizontal="right"/>
      <protection hidden="1"/>
    </xf>
    <xf numFmtId="9" fontId="73" fillId="5" borderId="0" xfId="2" applyFont="1" applyFill="1" applyAlignment="1" applyProtection="1">
      <alignment horizontal="right"/>
      <protection hidden="1"/>
    </xf>
    <xf numFmtId="165" fontId="69" fillId="0" borderId="0" xfId="1" applyNumberFormat="1" applyFont="1" applyAlignment="1">
      <alignment horizontal="right"/>
    </xf>
    <xf numFmtId="0" fontId="64" fillId="0" borderId="0" xfId="0" applyFont="1"/>
    <xf numFmtId="0" fontId="64" fillId="19" borderId="0" xfId="0" applyFont="1" applyFill="1"/>
    <xf numFmtId="0" fontId="65" fillId="13" borderId="0" xfId="0" applyFont="1" applyFill="1"/>
    <xf numFmtId="0" fontId="74" fillId="23" borderId="0" xfId="0" applyFont="1" applyFill="1"/>
    <xf numFmtId="0" fontId="75" fillId="23" borderId="0" xfId="0" applyFont="1" applyFill="1"/>
    <xf numFmtId="0" fontId="76" fillId="23" borderId="0" xfId="0" applyFont="1" applyFill="1"/>
    <xf numFmtId="0" fontId="75" fillId="23" borderId="0" xfId="3" applyFont="1" applyFill="1"/>
    <xf numFmtId="0" fontId="75" fillId="23" borderId="0" xfId="3" applyFont="1" applyFill="1" applyAlignment="1">
      <alignment horizontal="left"/>
    </xf>
    <xf numFmtId="49" fontId="75" fillId="23" borderId="0" xfId="0" applyNumberFormat="1" applyFont="1" applyFill="1"/>
    <xf numFmtId="165" fontId="65" fillId="12" borderId="0" xfId="1" applyNumberFormat="1" applyFont="1" applyFill="1" applyBorder="1"/>
    <xf numFmtId="165" fontId="66" fillId="12" borderId="0" xfId="1" applyNumberFormat="1" applyFont="1" applyFill="1" applyBorder="1" applyAlignment="1">
      <alignment horizontal="right"/>
    </xf>
    <xf numFmtId="165" fontId="66" fillId="12" borderId="0" xfId="1" applyNumberFormat="1" applyFont="1" applyFill="1" applyBorder="1" applyAlignment="1">
      <alignment horizontal="right" vertical="center"/>
    </xf>
    <xf numFmtId="165" fontId="60" fillId="21" borderId="0" xfId="1" applyNumberFormat="1" applyFont="1" applyFill="1" applyBorder="1" applyAlignment="1">
      <alignment horizontal="right" wrapText="1"/>
    </xf>
    <xf numFmtId="165" fontId="70" fillId="12" borderId="0" xfId="1" applyNumberFormat="1" applyFont="1" applyFill="1" applyBorder="1" applyAlignment="1">
      <alignment horizontal="right"/>
    </xf>
    <xf numFmtId="3" fontId="63" fillId="20" borderId="0" xfId="1" applyNumberFormat="1" applyFont="1" applyFill="1" applyBorder="1" applyAlignment="1">
      <alignment horizontal="right" wrapText="1"/>
    </xf>
    <xf numFmtId="165" fontId="59" fillId="20" borderId="11" xfId="1" applyNumberFormat="1" applyFont="1" applyFill="1" applyBorder="1" applyAlignment="1">
      <alignment horizontal="right" wrapText="1"/>
    </xf>
    <xf numFmtId="166" fontId="60" fillId="20" borderId="0" xfId="2" applyNumberFormat="1" applyFont="1" applyFill="1" applyBorder="1" applyAlignment="1">
      <alignment horizontal="right" wrapText="1"/>
    </xf>
    <xf numFmtId="43" fontId="59" fillId="20" borderId="0" xfId="1" applyFont="1" applyFill="1" applyBorder="1" applyAlignment="1">
      <alignment horizontal="right" wrapText="1"/>
    </xf>
    <xf numFmtId="10" fontId="60" fillId="20" borderId="0" xfId="2" applyNumberFormat="1" applyFont="1" applyFill="1" applyBorder="1" applyAlignment="1">
      <alignment horizontal="right" wrapText="1"/>
    </xf>
    <xf numFmtId="9" fontId="59" fillId="20" borderId="0" xfId="2" applyFont="1" applyFill="1" applyBorder="1" applyAlignment="1">
      <alignment horizontal="right" wrapText="1"/>
    </xf>
    <xf numFmtId="9" fontId="70" fillId="12" borderId="0" xfId="2" applyFont="1" applyFill="1" applyBorder="1" applyAlignment="1">
      <alignment horizontal="right"/>
    </xf>
    <xf numFmtId="9" fontId="72" fillId="19" borderId="0" xfId="2" applyFont="1" applyFill="1" applyAlignment="1">
      <alignment horizontal="right" wrapText="1"/>
    </xf>
    <xf numFmtId="9" fontId="69" fillId="0" borderId="0" xfId="2" applyFont="1" applyAlignment="1">
      <alignment horizontal="right"/>
    </xf>
    <xf numFmtId="9" fontId="68" fillId="19" borderId="0" xfId="2" applyFont="1" applyFill="1" applyAlignment="1">
      <alignment horizontal="right" wrapText="1"/>
    </xf>
    <xf numFmtId="9" fontId="0" fillId="0" borderId="0" xfId="2" applyFont="1" applyFill="1" applyAlignment="1">
      <alignment horizontal="right"/>
    </xf>
    <xf numFmtId="9" fontId="0" fillId="0" borderId="0" xfId="2" applyFont="1" applyAlignment="1">
      <alignment horizontal="right"/>
    </xf>
    <xf numFmtId="0" fontId="65" fillId="19" borderId="0" xfId="0" applyFont="1" applyFill="1" applyAlignment="1">
      <alignment horizontal="right" vertical="center" wrapText="1"/>
    </xf>
    <xf numFmtId="9" fontId="7" fillId="19" borderId="0" xfId="2" applyFont="1" applyFill="1" applyAlignment="1">
      <alignment horizontal="right" wrapText="1"/>
    </xf>
    <xf numFmtId="9" fontId="66" fillId="19" borderId="0" xfId="2" applyFont="1" applyFill="1" applyAlignment="1">
      <alignment horizontal="right" wrapText="1"/>
    </xf>
    <xf numFmtId="0" fontId="59" fillId="20" borderId="0" xfId="2" applyNumberFormat="1" applyFont="1" applyFill="1" applyBorder="1" applyAlignment="1">
      <alignment horizontal="right" wrapText="1"/>
    </xf>
    <xf numFmtId="2" fontId="59" fillId="20" borderId="0" xfId="2" applyNumberFormat="1" applyFont="1" applyFill="1" applyBorder="1" applyAlignment="1">
      <alignment horizontal="right" wrapText="1"/>
    </xf>
    <xf numFmtId="0" fontId="0" fillId="0" borderId="11" xfId="0" applyBorder="1"/>
    <xf numFmtId="0" fontId="51" fillId="17" borderId="0" xfId="29" applyFont="1" applyFill="1"/>
    <xf numFmtId="43" fontId="77" fillId="20" borderId="11" xfId="1" applyFont="1" applyFill="1" applyBorder="1" applyAlignment="1">
      <alignment horizontal="right" wrapText="1"/>
    </xf>
    <xf numFmtId="10" fontId="77" fillId="20" borderId="11" xfId="2" applyNumberFormat="1" applyFont="1" applyFill="1" applyBorder="1" applyAlignment="1">
      <alignment horizontal="right" wrapText="1"/>
    </xf>
    <xf numFmtId="43" fontId="78" fillId="20" borderId="11" xfId="1" applyFont="1" applyFill="1" applyBorder="1" applyAlignment="1">
      <alignment horizontal="right" wrapText="1"/>
    </xf>
    <xf numFmtId="10" fontId="78" fillId="20" borderId="11" xfId="2" applyNumberFormat="1" applyFont="1" applyFill="1" applyBorder="1" applyAlignment="1">
      <alignment horizontal="right" wrapText="1"/>
    </xf>
    <xf numFmtId="10" fontId="78" fillId="20" borderId="11" xfId="1" applyNumberFormat="1" applyFont="1" applyFill="1" applyBorder="1" applyAlignment="1">
      <alignment horizontal="right" wrapText="1"/>
    </xf>
    <xf numFmtId="9" fontId="78" fillId="20" borderId="11" xfId="2" applyFont="1" applyFill="1" applyBorder="1" applyAlignment="1">
      <alignment horizontal="right" wrapText="1"/>
    </xf>
    <xf numFmtId="0" fontId="51" fillId="13" borderId="0" xfId="29" applyFont="1" applyFill="1"/>
    <xf numFmtId="165" fontId="50" fillId="18" borderId="0" xfId="1" applyNumberFormat="1" applyFont="1" applyFill="1" applyAlignment="1">
      <alignment horizontal="left"/>
    </xf>
    <xf numFmtId="0" fontId="18" fillId="11" borderId="0" xfId="0" applyFont="1" applyFill="1" applyAlignment="1">
      <alignment horizontal="left" vertical="top" wrapText="1"/>
    </xf>
    <xf numFmtId="0" fontId="38" fillId="15" borderId="0" xfId="0" applyFont="1" applyFill="1" applyAlignment="1">
      <alignment horizontal="center"/>
    </xf>
    <xf numFmtId="0" fontId="50" fillId="18" borderId="0" xfId="0" applyFont="1" applyFill="1" applyAlignment="1">
      <alignment horizontal="center"/>
    </xf>
    <xf numFmtId="165" fontId="50" fillId="18" borderId="0" xfId="1" applyNumberFormat="1" applyFont="1" applyFill="1" applyAlignment="1">
      <alignment horizontal="right"/>
    </xf>
  </cellXfs>
  <cellStyles count="80">
    <cellStyle name="Comma" xfId="1" builtinId="3"/>
    <cellStyle name="Comma [0]" xfId="4" builtinId="6"/>
    <cellStyle name="Comma 11" xfId="6" xr:uid="{00000000-0005-0000-0000-000002000000}"/>
    <cellStyle name="Comma 2" xfId="25" xr:uid="{00000000-0005-0000-0000-000003000000}"/>
    <cellStyle name="Comma 2 11 2" xfId="59" xr:uid="{00000000-0005-0000-0000-000004000000}"/>
    <cellStyle name="Comma 2 2" xfId="9" xr:uid="{00000000-0005-0000-0000-000005000000}"/>
    <cellStyle name="Comma 2 2 2" xfId="37" xr:uid="{00000000-0005-0000-0000-000006000000}"/>
    <cellStyle name="Comma 2 3" xfId="21" xr:uid="{00000000-0005-0000-0000-000007000000}"/>
    <cellStyle name="Comma 2 3 2" xfId="38" xr:uid="{00000000-0005-0000-0000-000008000000}"/>
    <cellStyle name="Comma 2 4" xfId="39" xr:uid="{00000000-0005-0000-0000-000009000000}"/>
    <cellStyle name="Comma 2 5" xfId="74" xr:uid="{00000000-0005-0000-0000-00000A000000}"/>
    <cellStyle name="Comma 3" xfId="10" xr:uid="{00000000-0005-0000-0000-00000B000000}"/>
    <cellStyle name="Comma 3 2" xfId="40" xr:uid="{00000000-0005-0000-0000-00000C000000}"/>
    <cellStyle name="Comma 3 2 2" xfId="78" xr:uid="{00000000-0005-0000-0000-00000D000000}"/>
    <cellStyle name="Comma 3 3" xfId="41" xr:uid="{00000000-0005-0000-0000-00000E000000}"/>
    <cellStyle name="Comma 3 4" xfId="42" xr:uid="{00000000-0005-0000-0000-00000F000000}"/>
    <cellStyle name="Comma 3 5" xfId="31" xr:uid="{00000000-0005-0000-0000-000010000000}"/>
    <cellStyle name="Comma 3 6" xfId="76" xr:uid="{00000000-0005-0000-0000-000011000000}"/>
    <cellStyle name="Comma 4" xfId="11" xr:uid="{00000000-0005-0000-0000-000012000000}"/>
    <cellStyle name="Comma 4 2" xfId="43" xr:uid="{00000000-0005-0000-0000-000013000000}"/>
    <cellStyle name="Comma 4 3" xfId="44" xr:uid="{00000000-0005-0000-0000-000014000000}"/>
    <cellStyle name="Comma 4 4" xfId="45" xr:uid="{00000000-0005-0000-0000-000015000000}"/>
    <cellStyle name="Comma 4 5" xfId="32" xr:uid="{00000000-0005-0000-0000-000016000000}"/>
    <cellStyle name="Comma 5" xfId="20" xr:uid="{00000000-0005-0000-0000-000017000000}"/>
    <cellStyle name="Comma 5 2" xfId="30" xr:uid="{00000000-0005-0000-0000-000018000000}"/>
    <cellStyle name="Comma 5 3" xfId="71" xr:uid="{00000000-0005-0000-0000-000019000000}"/>
    <cellStyle name="Comma 6" xfId="46" xr:uid="{00000000-0005-0000-0000-00001A000000}"/>
    <cellStyle name="Comma 7" xfId="47" xr:uid="{00000000-0005-0000-0000-00001B000000}"/>
    <cellStyle name="Comma 8" xfId="48" xr:uid="{00000000-0005-0000-0000-00001C000000}"/>
    <cellStyle name="Comma 9" xfId="35" xr:uid="{00000000-0005-0000-0000-00001D000000}"/>
    <cellStyle name="Currency 2" xfId="26" xr:uid="{00000000-0005-0000-0000-00001E000000}"/>
    <cellStyle name="Currency 2 2" xfId="12" xr:uid="{00000000-0005-0000-0000-00001F000000}"/>
    <cellStyle name="Currency 2 2 2" xfId="61" xr:uid="{00000000-0005-0000-0000-000020000000}"/>
    <cellStyle name="Currency 2 2 3" xfId="69" xr:uid="{00000000-0005-0000-0000-000021000000}"/>
    <cellStyle name="Currency 2 2 4" xfId="67" xr:uid="{00000000-0005-0000-0000-000022000000}"/>
    <cellStyle name="Currency 2 2 5" xfId="65" xr:uid="{00000000-0005-0000-0000-000023000000}"/>
    <cellStyle name="Currency 2 2 6" xfId="63" xr:uid="{00000000-0005-0000-0000-000024000000}"/>
    <cellStyle name="Currency 2 3" xfId="22" xr:uid="{00000000-0005-0000-0000-000025000000}"/>
    <cellStyle name="Currency 2 3 2" xfId="62" xr:uid="{00000000-0005-0000-0000-000026000000}"/>
    <cellStyle name="Currency 2 3 3" xfId="72" xr:uid="{00000000-0005-0000-0000-000027000000}"/>
    <cellStyle name="Currency 2 3 4" xfId="68" xr:uid="{00000000-0005-0000-0000-000028000000}"/>
    <cellStyle name="Currency 2 3 5" xfId="66" xr:uid="{00000000-0005-0000-0000-000029000000}"/>
    <cellStyle name="Currency 2 3 6" xfId="64" xr:uid="{00000000-0005-0000-0000-00002A000000}"/>
    <cellStyle name="Currency 4" xfId="60" xr:uid="{00000000-0005-0000-0000-00002B000000}"/>
    <cellStyle name="Normal" xfId="0" builtinId="0"/>
    <cellStyle name="Normal 10" xfId="36" xr:uid="{00000000-0005-0000-0000-00002D000000}"/>
    <cellStyle name="Normal 12" xfId="5" xr:uid="{00000000-0005-0000-0000-00002E000000}"/>
    <cellStyle name="Normal 12 2" xfId="28" xr:uid="{00000000-0005-0000-0000-00002F000000}"/>
    <cellStyle name="Normal 14" xfId="29" xr:uid="{00000000-0005-0000-0000-000030000000}"/>
    <cellStyle name="Normal 2" xfId="8" xr:uid="{00000000-0005-0000-0000-000031000000}"/>
    <cellStyle name="Normal 2 14" xfId="49" xr:uid="{00000000-0005-0000-0000-000032000000}"/>
    <cellStyle name="Normal 2 2" xfId="13" xr:uid="{00000000-0005-0000-0000-000033000000}"/>
    <cellStyle name="Normal 2 3" xfId="23" xr:uid="{00000000-0005-0000-0000-000034000000}"/>
    <cellStyle name="Normal 2 4" xfId="73" xr:uid="{00000000-0005-0000-0000-000035000000}"/>
    <cellStyle name="Normal 3" xfId="3" xr:uid="{00000000-0005-0000-0000-000036000000}"/>
    <cellStyle name="Normal 3 2" xfId="14" xr:uid="{00000000-0005-0000-0000-000037000000}"/>
    <cellStyle name="Normal 4" xfId="15" xr:uid="{00000000-0005-0000-0000-000038000000}"/>
    <cellStyle name="Normal 4 2" xfId="33" xr:uid="{00000000-0005-0000-0000-000039000000}"/>
    <cellStyle name="Normal 4 2 2" xfId="77" xr:uid="{00000000-0005-0000-0000-00003A000000}"/>
    <cellStyle name="Normal 4 3" xfId="70" xr:uid="{00000000-0005-0000-0000-00003B000000}"/>
    <cellStyle name="Normal 4 3 2" xfId="75" xr:uid="{00000000-0005-0000-0000-00003C000000}"/>
    <cellStyle name="Normal 5" xfId="16" xr:uid="{00000000-0005-0000-0000-00003D000000}"/>
    <cellStyle name="Normal 5 2" xfId="17" xr:uid="{00000000-0005-0000-0000-00003E000000}"/>
    <cellStyle name="Normal 6" xfId="19" xr:uid="{00000000-0005-0000-0000-00003F000000}"/>
    <cellStyle name="Normal 6 2" xfId="50" xr:uid="{00000000-0005-0000-0000-000040000000}"/>
    <cellStyle name="Normal 6 2 2" xfId="51" xr:uid="{00000000-0005-0000-0000-000041000000}"/>
    <cellStyle name="Normal 7" xfId="52" xr:uid="{00000000-0005-0000-0000-000042000000}"/>
    <cellStyle name="Normal 8" xfId="53" xr:uid="{00000000-0005-0000-0000-000043000000}"/>
    <cellStyle name="Normal 9" xfId="54" xr:uid="{00000000-0005-0000-0000-000044000000}"/>
    <cellStyle name="Percent" xfId="2" builtinId="5"/>
    <cellStyle name="Percent 2" xfId="34" xr:uid="{00000000-0005-0000-0000-000046000000}"/>
    <cellStyle name="Percent 2 2" xfId="18" xr:uid="{00000000-0005-0000-0000-000047000000}"/>
    <cellStyle name="Percent 2 3" xfId="24" xr:uid="{00000000-0005-0000-0000-000048000000}"/>
    <cellStyle name="Percent 2 4" xfId="55" xr:uid="{00000000-0005-0000-0000-000049000000}"/>
    <cellStyle name="Percent 2 5" xfId="79" xr:uid="{00000000-0005-0000-0000-00004A000000}"/>
    <cellStyle name="Percent 3" xfId="27" xr:uid="{00000000-0005-0000-0000-00004B000000}"/>
    <cellStyle name="Percent 4" xfId="56" xr:uid="{00000000-0005-0000-0000-00004C000000}"/>
    <cellStyle name="Percent 5" xfId="57" xr:uid="{00000000-0005-0000-0000-00004D000000}"/>
    <cellStyle name="Percent 6" xfId="58" xr:uid="{00000000-0005-0000-0000-00004E000000}"/>
    <cellStyle name="Percent 8" xfId="7" xr:uid="{00000000-0005-0000-0000-00004F000000}"/>
  </cellStyles>
  <dxfs count="0"/>
  <tableStyles count="1" defaultTableStyle="TableStyleMedium2" defaultPivotStyle="PivotStyleMedium9">
    <tableStyle name="Invisible" pivot="0" table="0" count="0" xr9:uid="{00000000-0011-0000-FFFF-FFFF00000000}"/>
  </tableStyles>
  <colors>
    <mruColors>
      <color rgb="FFECF5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3" Type="http://schemas.openxmlformats.org/officeDocument/2006/relationships/hyperlink" Target="#'Q4,2013'!A1"/><Relationship Id="rId18" Type="http://schemas.openxmlformats.org/officeDocument/2006/relationships/hyperlink" Target="#'Q1, 2017'!A1"/><Relationship Id="rId26" Type="http://schemas.openxmlformats.org/officeDocument/2006/relationships/hyperlink" Target="#'Q1, 2019'!A1"/><Relationship Id="rId39" Type="http://schemas.openxmlformats.org/officeDocument/2006/relationships/hyperlink" Target="#'Q1,2023'!A1"/><Relationship Id="rId21" Type="http://schemas.openxmlformats.org/officeDocument/2006/relationships/image" Target="../media/image1.png"/><Relationship Id="rId34" Type="http://schemas.openxmlformats.org/officeDocument/2006/relationships/hyperlink" Target="#'Q4, 2021'!A1"/><Relationship Id="rId42" Type="http://schemas.openxmlformats.org/officeDocument/2006/relationships/hyperlink" Target="#'Q4, 2023'!A1"/><Relationship Id="rId7" Type="http://schemas.openxmlformats.org/officeDocument/2006/relationships/hyperlink" Target="#'Q2,2015'!A1"/><Relationship Id="rId2" Type="http://schemas.openxmlformats.org/officeDocument/2006/relationships/hyperlink" Target="#'Q3, 2017'!A1"/><Relationship Id="rId16" Type="http://schemas.openxmlformats.org/officeDocument/2006/relationships/hyperlink" Target="#'Q1,2013'!A1"/><Relationship Id="rId20" Type="http://schemas.openxmlformats.org/officeDocument/2006/relationships/hyperlink" Target="#'Q1, 2015'!A1"/><Relationship Id="rId29" Type="http://schemas.openxmlformats.org/officeDocument/2006/relationships/hyperlink" Target="#'Q4, 2019'!A1"/><Relationship Id="rId41" Type="http://schemas.openxmlformats.org/officeDocument/2006/relationships/hyperlink" Target="#'Q3, 2023'!A1"/><Relationship Id="rId1" Type="http://schemas.openxmlformats.org/officeDocument/2006/relationships/hyperlink" Target="#'Q2, 2017'!A1"/><Relationship Id="rId6" Type="http://schemas.openxmlformats.org/officeDocument/2006/relationships/hyperlink" Target="#'Q4, 2016'!A1"/><Relationship Id="rId11" Type="http://schemas.openxmlformats.org/officeDocument/2006/relationships/hyperlink" Target="#'Q4,2014'!A1"/><Relationship Id="rId24" Type="http://schemas.openxmlformats.org/officeDocument/2006/relationships/hyperlink" Target="#'Q3, 2018'!A1"/><Relationship Id="rId32" Type="http://schemas.openxmlformats.org/officeDocument/2006/relationships/hyperlink" Target="#'Q2, 2021'!A1"/><Relationship Id="rId37" Type="http://schemas.openxmlformats.org/officeDocument/2006/relationships/hyperlink" Target="#'Q3,2022'!A1"/><Relationship Id="rId40" Type="http://schemas.openxmlformats.org/officeDocument/2006/relationships/hyperlink" Target="#'Q2 2023'!A1"/><Relationship Id="rId5" Type="http://schemas.openxmlformats.org/officeDocument/2006/relationships/hyperlink" Target="#'Q3,2016'!A1"/><Relationship Id="rId15" Type="http://schemas.openxmlformats.org/officeDocument/2006/relationships/hyperlink" Target="#'Q2, 2014'!A1"/><Relationship Id="rId23" Type="http://schemas.openxmlformats.org/officeDocument/2006/relationships/hyperlink" Target="#'Q2, 2018'!A1"/><Relationship Id="rId28" Type="http://schemas.openxmlformats.org/officeDocument/2006/relationships/hyperlink" Target="#'Q3, 2019'!A1"/><Relationship Id="rId36" Type="http://schemas.openxmlformats.org/officeDocument/2006/relationships/hyperlink" Target="#'Q2, 2022'!A1"/><Relationship Id="rId10" Type="http://schemas.openxmlformats.org/officeDocument/2006/relationships/hyperlink" Target="#'Q3, 2014'!A1"/><Relationship Id="rId19" Type="http://schemas.openxmlformats.org/officeDocument/2006/relationships/hyperlink" Target="#'Q1, 2016'!A1"/><Relationship Id="rId31" Type="http://schemas.openxmlformats.org/officeDocument/2006/relationships/hyperlink" Target="#'Q1, 2021'!A1"/><Relationship Id="rId4" Type="http://schemas.openxmlformats.org/officeDocument/2006/relationships/hyperlink" Target="#'Q2, 2016'!A1"/><Relationship Id="rId9" Type="http://schemas.openxmlformats.org/officeDocument/2006/relationships/hyperlink" Target="#'Q4,2015'!A1"/><Relationship Id="rId14" Type="http://schemas.openxmlformats.org/officeDocument/2006/relationships/hyperlink" Target="#'Q1,2014'!A1"/><Relationship Id="rId22" Type="http://schemas.openxmlformats.org/officeDocument/2006/relationships/hyperlink" Target="#'Q1, 2018'!A1"/><Relationship Id="rId27" Type="http://schemas.openxmlformats.org/officeDocument/2006/relationships/hyperlink" Target="#'Q2,2019'!A1"/><Relationship Id="rId30" Type="http://schemas.openxmlformats.org/officeDocument/2006/relationships/hyperlink" Target="#'Q1, 2020'!A1"/><Relationship Id="rId35" Type="http://schemas.openxmlformats.org/officeDocument/2006/relationships/hyperlink" Target="#'Q1, 2022'!A1"/><Relationship Id="rId8" Type="http://schemas.openxmlformats.org/officeDocument/2006/relationships/hyperlink" Target="#'Q3,2015'!A1"/><Relationship Id="rId3" Type="http://schemas.openxmlformats.org/officeDocument/2006/relationships/hyperlink" Target="#'Q4, 2017'!A1"/><Relationship Id="rId12" Type="http://schemas.openxmlformats.org/officeDocument/2006/relationships/hyperlink" Target="#'Q3,2013'!A1"/><Relationship Id="rId17" Type="http://schemas.openxmlformats.org/officeDocument/2006/relationships/hyperlink" Target="#'Q2,2013'!A1"/><Relationship Id="rId25" Type="http://schemas.openxmlformats.org/officeDocument/2006/relationships/hyperlink" Target="#'Q4, 2018'!A1"/><Relationship Id="rId33" Type="http://schemas.openxmlformats.org/officeDocument/2006/relationships/hyperlink" Target="#'Q3, 2021'!A1"/><Relationship Id="rId38" Type="http://schemas.openxmlformats.org/officeDocument/2006/relationships/hyperlink" Target="#'Q4,2022'!A1"/></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xdr:row>
      <xdr:rowOff>19051</xdr:rowOff>
    </xdr:from>
    <xdr:to>
      <xdr:col>2</xdr:col>
      <xdr:colOff>143299</xdr:colOff>
      <xdr:row>3</xdr:row>
      <xdr:rowOff>152400</xdr:rowOff>
    </xdr:to>
    <xdr:pic>
      <xdr:nvPicPr>
        <xdr:cNvPr id="5" name="ctl00_logo_imgImage" descr="National Insurance Commission">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209551"/>
          <a:ext cx="1210099" cy="533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228600</xdr:colOff>
      <xdr:row>4</xdr:row>
      <xdr:rowOff>95250</xdr:rowOff>
    </xdr:from>
    <xdr:to>
      <xdr:col>11</xdr:col>
      <xdr:colOff>381000</xdr:colOff>
      <xdr:row>6</xdr:row>
      <xdr:rowOff>76200</xdr:rowOff>
    </xdr:to>
    <xdr:sp macro="" textlink="">
      <xdr:nvSpPr>
        <xdr:cNvPr id="11" name="Rounded Rectangle 10">
          <a:hlinkClick xmlns:r="http://schemas.openxmlformats.org/officeDocument/2006/relationships" r:id="rId1"/>
          <a:extLst>
            <a:ext uri="{FF2B5EF4-FFF2-40B4-BE49-F238E27FC236}">
              <a16:creationId xmlns:a16="http://schemas.microsoft.com/office/drawing/2014/main" id="{00000000-0008-0000-0100-00000B000000}"/>
            </a:ext>
          </a:extLst>
        </xdr:cNvPr>
        <xdr:cNvSpPr/>
      </xdr:nvSpPr>
      <xdr:spPr>
        <a:xfrm>
          <a:off x="6324600" y="857250"/>
          <a:ext cx="762000" cy="3619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Q2, 2017</a:t>
          </a:r>
        </a:p>
      </xdr:txBody>
    </xdr:sp>
    <xdr:clientData/>
  </xdr:twoCellAnchor>
  <xdr:twoCellAnchor>
    <xdr:from>
      <xdr:col>10</xdr:col>
      <xdr:colOff>219075</xdr:colOff>
      <xdr:row>6</xdr:row>
      <xdr:rowOff>114300</xdr:rowOff>
    </xdr:from>
    <xdr:to>
      <xdr:col>11</xdr:col>
      <xdr:colOff>371475</xdr:colOff>
      <xdr:row>8</xdr:row>
      <xdr:rowOff>95250</xdr:rowOff>
    </xdr:to>
    <xdr:sp macro="" textlink="">
      <xdr:nvSpPr>
        <xdr:cNvPr id="12" name="Rounded Rectangle 11">
          <a:hlinkClick xmlns:r="http://schemas.openxmlformats.org/officeDocument/2006/relationships" r:id="rId2"/>
          <a:extLst>
            <a:ext uri="{FF2B5EF4-FFF2-40B4-BE49-F238E27FC236}">
              <a16:creationId xmlns:a16="http://schemas.microsoft.com/office/drawing/2014/main" id="{00000000-0008-0000-0100-00000C000000}"/>
            </a:ext>
          </a:extLst>
        </xdr:cNvPr>
        <xdr:cNvSpPr/>
      </xdr:nvSpPr>
      <xdr:spPr>
        <a:xfrm>
          <a:off x="6315075" y="1257300"/>
          <a:ext cx="762000" cy="3619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Q3, 2017</a:t>
          </a:r>
        </a:p>
      </xdr:txBody>
    </xdr:sp>
    <xdr:clientData/>
  </xdr:twoCellAnchor>
  <xdr:twoCellAnchor>
    <xdr:from>
      <xdr:col>10</xdr:col>
      <xdr:colOff>219075</xdr:colOff>
      <xdr:row>8</xdr:row>
      <xdr:rowOff>152400</xdr:rowOff>
    </xdr:from>
    <xdr:to>
      <xdr:col>11</xdr:col>
      <xdr:colOff>371475</xdr:colOff>
      <xdr:row>10</xdr:row>
      <xdr:rowOff>133350</xdr:rowOff>
    </xdr:to>
    <xdr:sp macro="" textlink="">
      <xdr:nvSpPr>
        <xdr:cNvPr id="13" name="Rounded Rectangle 12">
          <a:hlinkClick xmlns:r="http://schemas.openxmlformats.org/officeDocument/2006/relationships" r:id="rId3"/>
          <a:extLst>
            <a:ext uri="{FF2B5EF4-FFF2-40B4-BE49-F238E27FC236}">
              <a16:creationId xmlns:a16="http://schemas.microsoft.com/office/drawing/2014/main" id="{00000000-0008-0000-0100-00000D000000}"/>
            </a:ext>
          </a:extLst>
        </xdr:cNvPr>
        <xdr:cNvSpPr/>
      </xdr:nvSpPr>
      <xdr:spPr>
        <a:xfrm>
          <a:off x="6315075" y="1676400"/>
          <a:ext cx="762000" cy="3619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Q4, 2017</a:t>
          </a:r>
        </a:p>
      </xdr:txBody>
    </xdr:sp>
    <xdr:clientData/>
  </xdr:twoCellAnchor>
  <xdr:twoCellAnchor>
    <xdr:from>
      <xdr:col>11</xdr:col>
      <xdr:colOff>390525</xdr:colOff>
      <xdr:row>4</xdr:row>
      <xdr:rowOff>104775</xdr:rowOff>
    </xdr:from>
    <xdr:to>
      <xdr:col>12</xdr:col>
      <xdr:colOff>542925</xdr:colOff>
      <xdr:row>6</xdr:row>
      <xdr:rowOff>85725</xdr:rowOff>
    </xdr:to>
    <xdr:sp macro="" textlink="">
      <xdr:nvSpPr>
        <xdr:cNvPr id="15" name="Rounded Rectangle 14">
          <a:hlinkClick xmlns:r="http://schemas.openxmlformats.org/officeDocument/2006/relationships" r:id="rId4"/>
          <a:extLst>
            <a:ext uri="{FF2B5EF4-FFF2-40B4-BE49-F238E27FC236}">
              <a16:creationId xmlns:a16="http://schemas.microsoft.com/office/drawing/2014/main" id="{00000000-0008-0000-0100-00000F000000}"/>
            </a:ext>
          </a:extLst>
        </xdr:cNvPr>
        <xdr:cNvSpPr/>
      </xdr:nvSpPr>
      <xdr:spPr>
        <a:xfrm>
          <a:off x="7096125" y="866775"/>
          <a:ext cx="762000" cy="3619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Q2, 2016</a:t>
          </a:r>
        </a:p>
      </xdr:txBody>
    </xdr:sp>
    <xdr:clientData/>
  </xdr:twoCellAnchor>
  <xdr:twoCellAnchor>
    <xdr:from>
      <xdr:col>11</xdr:col>
      <xdr:colOff>409575</xdr:colOff>
      <xdr:row>6</xdr:row>
      <xdr:rowOff>142875</xdr:rowOff>
    </xdr:from>
    <xdr:to>
      <xdr:col>12</xdr:col>
      <xdr:colOff>561975</xdr:colOff>
      <xdr:row>8</xdr:row>
      <xdr:rowOff>123825</xdr:rowOff>
    </xdr:to>
    <xdr:sp macro="" textlink="">
      <xdr:nvSpPr>
        <xdr:cNvPr id="16" name="Rounded Rectangle 15">
          <a:hlinkClick xmlns:r="http://schemas.openxmlformats.org/officeDocument/2006/relationships" r:id="rId5"/>
          <a:extLst>
            <a:ext uri="{FF2B5EF4-FFF2-40B4-BE49-F238E27FC236}">
              <a16:creationId xmlns:a16="http://schemas.microsoft.com/office/drawing/2014/main" id="{00000000-0008-0000-0100-000010000000}"/>
            </a:ext>
          </a:extLst>
        </xdr:cNvPr>
        <xdr:cNvSpPr/>
      </xdr:nvSpPr>
      <xdr:spPr>
        <a:xfrm>
          <a:off x="7115175" y="1285875"/>
          <a:ext cx="762000" cy="3619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Q3, 2016</a:t>
          </a:r>
        </a:p>
      </xdr:txBody>
    </xdr:sp>
    <xdr:clientData/>
  </xdr:twoCellAnchor>
  <xdr:twoCellAnchor>
    <xdr:from>
      <xdr:col>11</xdr:col>
      <xdr:colOff>409575</xdr:colOff>
      <xdr:row>8</xdr:row>
      <xdr:rowOff>161925</xdr:rowOff>
    </xdr:from>
    <xdr:to>
      <xdr:col>12</xdr:col>
      <xdr:colOff>561975</xdr:colOff>
      <xdr:row>10</xdr:row>
      <xdr:rowOff>142875</xdr:rowOff>
    </xdr:to>
    <xdr:sp macro="" textlink="">
      <xdr:nvSpPr>
        <xdr:cNvPr id="17" name="Rounded Rectangle 16">
          <a:hlinkClick xmlns:r="http://schemas.openxmlformats.org/officeDocument/2006/relationships" r:id="rId6"/>
          <a:extLst>
            <a:ext uri="{FF2B5EF4-FFF2-40B4-BE49-F238E27FC236}">
              <a16:creationId xmlns:a16="http://schemas.microsoft.com/office/drawing/2014/main" id="{00000000-0008-0000-0100-000011000000}"/>
            </a:ext>
          </a:extLst>
        </xdr:cNvPr>
        <xdr:cNvSpPr/>
      </xdr:nvSpPr>
      <xdr:spPr>
        <a:xfrm>
          <a:off x="7115175" y="1685925"/>
          <a:ext cx="762000" cy="3619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Q4,</a:t>
          </a:r>
          <a:r>
            <a:rPr lang="en-GB" sz="1100" baseline="0"/>
            <a:t> 2016</a:t>
          </a:r>
          <a:endParaRPr lang="en-GB" sz="1100"/>
        </a:p>
      </xdr:txBody>
    </xdr:sp>
    <xdr:clientData/>
  </xdr:twoCellAnchor>
  <xdr:twoCellAnchor>
    <xdr:from>
      <xdr:col>12</xdr:col>
      <xdr:colOff>581025</xdr:colOff>
      <xdr:row>4</xdr:row>
      <xdr:rowOff>95250</xdr:rowOff>
    </xdr:from>
    <xdr:to>
      <xdr:col>14</xdr:col>
      <xdr:colOff>123825</xdr:colOff>
      <xdr:row>6</xdr:row>
      <xdr:rowOff>76200</xdr:rowOff>
    </xdr:to>
    <xdr:sp macro="" textlink="">
      <xdr:nvSpPr>
        <xdr:cNvPr id="19" name="Rounded Rectangle 18">
          <a:hlinkClick xmlns:r="http://schemas.openxmlformats.org/officeDocument/2006/relationships" r:id="rId7"/>
          <a:extLst>
            <a:ext uri="{FF2B5EF4-FFF2-40B4-BE49-F238E27FC236}">
              <a16:creationId xmlns:a16="http://schemas.microsoft.com/office/drawing/2014/main" id="{00000000-0008-0000-0100-000013000000}"/>
            </a:ext>
          </a:extLst>
        </xdr:cNvPr>
        <xdr:cNvSpPr/>
      </xdr:nvSpPr>
      <xdr:spPr>
        <a:xfrm>
          <a:off x="7896225" y="857250"/>
          <a:ext cx="762000" cy="3619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Q2, 2015</a:t>
          </a:r>
        </a:p>
      </xdr:txBody>
    </xdr:sp>
    <xdr:clientData/>
  </xdr:twoCellAnchor>
  <xdr:twoCellAnchor>
    <xdr:from>
      <xdr:col>12</xdr:col>
      <xdr:colOff>600075</xdr:colOff>
      <xdr:row>6</xdr:row>
      <xdr:rowOff>133350</xdr:rowOff>
    </xdr:from>
    <xdr:to>
      <xdr:col>14</xdr:col>
      <xdr:colOff>142875</xdr:colOff>
      <xdr:row>8</xdr:row>
      <xdr:rowOff>114300</xdr:rowOff>
    </xdr:to>
    <xdr:sp macro="" textlink="">
      <xdr:nvSpPr>
        <xdr:cNvPr id="21" name="Rounded Rectangle 20">
          <a:hlinkClick xmlns:r="http://schemas.openxmlformats.org/officeDocument/2006/relationships" r:id="rId8"/>
          <a:extLst>
            <a:ext uri="{FF2B5EF4-FFF2-40B4-BE49-F238E27FC236}">
              <a16:creationId xmlns:a16="http://schemas.microsoft.com/office/drawing/2014/main" id="{00000000-0008-0000-0100-000015000000}"/>
            </a:ext>
          </a:extLst>
        </xdr:cNvPr>
        <xdr:cNvSpPr/>
      </xdr:nvSpPr>
      <xdr:spPr>
        <a:xfrm>
          <a:off x="7915275" y="1276350"/>
          <a:ext cx="762000" cy="3619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Q3, 2015</a:t>
          </a:r>
        </a:p>
      </xdr:txBody>
    </xdr:sp>
    <xdr:clientData/>
  </xdr:twoCellAnchor>
  <xdr:twoCellAnchor>
    <xdr:from>
      <xdr:col>12</xdr:col>
      <xdr:colOff>600075</xdr:colOff>
      <xdr:row>8</xdr:row>
      <xdr:rowOff>171450</xdr:rowOff>
    </xdr:from>
    <xdr:to>
      <xdr:col>14</xdr:col>
      <xdr:colOff>142875</xdr:colOff>
      <xdr:row>10</xdr:row>
      <xdr:rowOff>152400</xdr:rowOff>
    </xdr:to>
    <xdr:sp macro="" textlink="">
      <xdr:nvSpPr>
        <xdr:cNvPr id="22" name="Rounded Rectangle 21">
          <a:hlinkClick xmlns:r="http://schemas.openxmlformats.org/officeDocument/2006/relationships" r:id="rId9"/>
          <a:extLst>
            <a:ext uri="{FF2B5EF4-FFF2-40B4-BE49-F238E27FC236}">
              <a16:creationId xmlns:a16="http://schemas.microsoft.com/office/drawing/2014/main" id="{00000000-0008-0000-0100-000016000000}"/>
            </a:ext>
          </a:extLst>
        </xdr:cNvPr>
        <xdr:cNvSpPr/>
      </xdr:nvSpPr>
      <xdr:spPr>
        <a:xfrm>
          <a:off x="7915275" y="1695450"/>
          <a:ext cx="762000" cy="3619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Q4, 2015</a:t>
          </a:r>
        </a:p>
      </xdr:txBody>
    </xdr:sp>
    <xdr:clientData/>
  </xdr:twoCellAnchor>
  <xdr:twoCellAnchor>
    <xdr:from>
      <xdr:col>14</xdr:col>
      <xdr:colOff>180975</xdr:colOff>
      <xdr:row>6</xdr:row>
      <xdr:rowOff>142875</xdr:rowOff>
    </xdr:from>
    <xdr:to>
      <xdr:col>15</xdr:col>
      <xdr:colOff>333375</xdr:colOff>
      <xdr:row>8</xdr:row>
      <xdr:rowOff>123825</xdr:rowOff>
    </xdr:to>
    <xdr:sp macro="" textlink="">
      <xdr:nvSpPr>
        <xdr:cNvPr id="25" name="Rounded Rectangle 24">
          <a:hlinkClick xmlns:r="http://schemas.openxmlformats.org/officeDocument/2006/relationships" r:id="rId10"/>
          <a:extLst>
            <a:ext uri="{FF2B5EF4-FFF2-40B4-BE49-F238E27FC236}">
              <a16:creationId xmlns:a16="http://schemas.microsoft.com/office/drawing/2014/main" id="{00000000-0008-0000-0100-000019000000}"/>
            </a:ext>
          </a:extLst>
        </xdr:cNvPr>
        <xdr:cNvSpPr/>
      </xdr:nvSpPr>
      <xdr:spPr>
        <a:xfrm>
          <a:off x="8715375" y="1285875"/>
          <a:ext cx="762000" cy="3619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Q3,</a:t>
          </a:r>
          <a:r>
            <a:rPr lang="en-GB" sz="1100" baseline="0"/>
            <a:t> 2014</a:t>
          </a:r>
          <a:endParaRPr lang="en-GB" sz="1100"/>
        </a:p>
      </xdr:txBody>
    </xdr:sp>
    <xdr:clientData/>
  </xdr:twoCellAnchor>
  <xdr:twoCellAnchor>
    <xdr:from>
      <xdr:col>14</xdr:col>
      <xdr:colOff>190500</xdr:colOff>
      <xdr:row>8</xdr:row>
      <xdr:rowOff>171450</xdr:rowOff>
    </xdr:from>
    <xdr:to>
      <xdr:col>15</xdr:col>
      <xdr:colOff>342900</xdr:colOff>
      <xdr:row>10</xdr:row>
      <xdr:rowOff>152400</xdr:rowOff>
    </xdr:to>
    <xdr:sp macro="" textlink="">
      <xdr:nvSpPr>
        <xdr:cNvPr id="26" name="Rounded Rectangle 25">
          <a:hlinkClick xmlns:r="http://schemas.openxmlformats.org/officeDocument/2006/relationships" r:id="rId11"/>
          <a:extLst>
            <a:ext uri="{FF2B5EF4-FFF2-40B4-BE49-F238E27FC236}">
              <a16:creationId xmlns:a16="http://schemas.microsoft.com/office/drawing/2014/main" id="{00000000-0008-0000-0100-00001A000000}"/>
            </a:ext>
          </a:extLst>
        </xdr:cNvPr>
        <xdr:cNvSpPr/>
      </xdr:nvSpPr>
      <xdr:spPr>
        <a:xfrm>
          <a:off x="8724900" y="1695450"/>
          <a:ext cx="762000" cy="3619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Q4,</a:t>
          </a:r>
          <a:r>
            <a:rPr lang="en-GB" sz="1100" baseline="0"/>
            <a:t> 2014</a:t>
          </a:r>
          <a:endParaRPr lang="en-GB" sz="1100"/>
        </a:p>
      </xdr:txBody>
    </xdr:sp>
    <xdr:clientData/>
  </xdr:twoCellAnchor>
  <xdr:twoCellAnchor>
    <xdr:from>
      <xdr:col>15</xdr:col>
      <xdr:colOff>381000</xdr:colOff>
      <xdr:row>6</xdr:row>
      <xdr:rowOff>152400</xdr:rowOff>
    </xdr:from>
    <xdr:to>
      <xdr:col>16</xdr:col>
      <xdr:colOff>533400</xdr:colOff>
      <xdr:row>8</xdr:row>
      <xdr:rowOff>133350</xdr:rowOff>
    </xdr:to>
    <xdr:sp macro="" textlink="">
      <xdr:nvSpPr>
        <xdr:cNvPr id="29" name="Rounded Rectangle 28">
          <a:hlinkClick xmlns:r="http://schemas.openxmlformats.org/officeDocument/2006/relationships" r:id="rId12"/>
          <a:extLst>
            <a:ext uri="{FF2B5EF4-FFF2-40B4-BE49-F238E27FC236}">
              <a16:creationId xmlns:a16="http://schemas.microsoft.com/office/drawing/2014/main" id="{00000000-0008-0000-0100-00001D000000}"/>
            </a:ext>
          </a:extLst>
        </xdr:cNvPr>
        <xdr:cNvSpPr/>
      </xdr:nvSpPr>
      <xdr:spPr>
        <a:xfrm>
          <a:off x="9525000" y="1295400"/>
          <a:ext cx="762000" cy="3619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Q3, 2013</a:t>
          </a:r>
        </a:p>
      </xdr:txBody>
    </xdr:sp>
    <xdr:clientData/>
  </xdr:twoCellAnchor>
  <xdr:twoCellAnchor>
    <xdr:from>
      <xdr:col>15</xdr:col>
      <xdr:colOff>390525</xdr:colOff>
      <xdr:row>8</xdr:row>
      <xdr:rowOff>171450</xdr:rowOff>
    </xdr:from>
    <xdr:to>
      <xdr:col>16</xdr:col>
      <xdr:colOff>542925</xdr:colOff>
      <xdr:row>10</xdr:row>
      <xdr:rowOff>152400</xdr:rowOff>
    </xdr:to>
    <xdr:sp macro="" textlink="">
      <xdr:nvSpPr>
        <xdr:cNvPr id="30" name="Rounded Rectangle 29">
          <a:hlinkClick xmlns:r="http://schemas.openxmlformats.org/officeDocument/2006/relationships" r:id="rId13"/>
          <a:extLst>
            <a:ext uri="{FF2B5EF4-FFF2-40B4-BE49-F238E27FC236}">
              <a16:creationId xmlns:a16="http://schemas.microsoft.com/office/drawing/2014/main" id="{00000000-0008-0000-0100-00001E000000}"/>
            </a:ext>
          </a:extLst>
        </xdr:cNvPr>
        <xdr:cNvSpPr/>
      </xdr:nvSpPr>
      <xdr:spPr>
        <a:xfrm>
          <a:off x="9534525" y="1695450"/>
          <a:ext cx="762000" cy="3619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Q4, 2013</a:t>
          </a:r>
        </a:p>
      </xdr:txBody>
    </xdr:sp>
    <xdr:clientData/>
  </xdr:twoCellAnchor>
  <xdr:twoCellAnchor>
    <xdr:from>
      <xdr:col>14</xdr:col>
      <xdr:colOff>161925</xdr:colOff>
      <xdr:row>2</xdr:row>
      <xdr:rowOff>95250</xdr:rowOff>
    </xdr:from>
    <xdr:to>
      <xdr:col>15</xdr:col>
      <xdr:colOff>314325</xdr:colOff>
      <xdr:row>4</xdr:row>
      <xdr:rowOff>76200</xdr:rowOff>
    </xdr:to>
    <xdr:sp macro="" textlink="">
      <xdr:nvSpPr>
        <xdr:cNvPr id="38" name="Rounded Rectangle 37">
          <a:hlinkClick xmlns:r="http://schemas.openxmlformats.org/officeDocument/2006/relationships" r:id="rId14"/>
          <a:extLst>
            <a:ext uri="{FF2B5EF4-FFF2-40B4-BE49-F238E27FC236}">
              <a16:creationId xmlns:a16="http://schemas.microsoft.com/office/drawing/2014/main" id="{00000000-0008-0000-0100-000026000000}"/>
            </a:ext>
          </a:extLst>
        </xdr:cNvPr>
        <xdr:cNvSpPr/>
      </xdr:nvSpPr>
      <xdr:spPr>
        <a:xfrm>
          <a:off x="8696325" y="476250"/>
          <a:ext cx="762000" cy="3619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Q1,</a:t>
          </a:r>
          <a:r>
            <a:rPr lang="en-GB" sz="1100" baseline="0"/>
            <a:t> 2014</a:t>
          </a:r>
          <a:endParaRPr lang="en-GB" sz="1100"/>
        </a:p>
      </xdr:txBody>
    </xdr:sp>
    <xdr:clientData/>
  </xdr:twoCellAnchor>
  <xdr:twoCellAnchor>
    <xdr:from>
      <xdr:col>14</xdr:col>
      <xdr:colOff>161925</xdr:colOff>
      <xdr:row>4</xdr:row>
      <xdr:rowOff>104775</xdr:rowOff>
    </xdr:from>
    <xdr:to>
      <xdr:col>15</xdr:col>
      <xdr:colOff>314325</xdr:colOff>
      <xdr:row>6</xdr:row>
      <xdr:rowOff>85725</xdr:rowOff>
    </xdr:to>
    <xdr:sp macro="" textlink="">
      <xdr:nvSpPr>
        <xdr:cNvPr id="39" name="Rounded Rectangle 38">
          <a:hlinkClick xmlns:r="http://schemas.openxmlformats.org/officeDocument/2006/relationships" r:id="rId15"/>
          <a:extLst>
            <a:ext uri="{FF2B5EF4-FFF2-40B4-BE49-F238E27FC236}">
              <a16:creationId xmlns:a16="http://schemas.microsoft.com/office/drawing/2014/main" id="{00000000-0008-0000-0100-000027000000}"/>
            </a:ext>
          </a:extLst>
        </xdr:cNvPr>
        <xdr:cNvSpPr/>
      </xdr:nvSpPr>
      <xdr:spPr>
        <a:xfrm>
          <a:off x="8696325" y="866775"/>
          <a:ext cx="762000" cy="3619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Q2, 2014</a:t>
          </a:r>
        </a:p>
      </xdr:txBody>
    </xdr:sp>
    <xdr:clientData/>
  </xdr:twoCellAnchor>
  <xdr:twoCellAnchor>
    <xdr:from>
      <xdr:col>15</xdr:col>
      <xdr:colOff>361950</xdr:colOff>
      <xdr:row>2</xdr:row>
      <xdr:rowOff>104775</xdr:rowOff>
    </xdr:from>
    <xdr:to>
      <xdr:col>16</xdr:col>
      <xdr:colOff>514350</xdr:colOff>
      <xdr:row>4</xdr:row>
      <xdr:rowOff>85725</xdr:rowOff>
    </xdr:to>
    <xdr:sp macro="" textlink="">
      <xdr:nvSpPr>
        <xdr:cNvPr id="40" name="Rounded Rectangle 39">
          <a:hlinkClick xmlns:r="http://schemas.openxmlformats.org/officeDocument/2006/relationships" r:id="rId16"/>
          <a:extLst>
            <a:ext uri="{FF2B5EF4-FFF2-40B4-BE49-F238E27FC236}">
              <a16:creationId xmlns:a16="http://schemas.microsoft.com/office/drawing/2014/main" id="{00000000-0008-0000-0100-000028000000}"/>
            </a:ext>
          </a:extLst>
        </xdr:cNvPr>
        <xdr:cNvSpPr/>
      </xdr:nvSpPr>
      <xdr:spPr>
        <a:xfrm>
          <a:off x="9505950" y="485775"/>
          <a:ext cx="762000" cy="3619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Q1,</a:t>
          </a:r>
          <a:r>
            <a:rPr lang="en-GB" sz="1100" baseline="0"/>
            <a:t> 2013</a:t>
          </a:r>
          <a:endParaRPr lang="en-GB" sz="1100"/>
        </a:p>
      </xdr:txBody>
    </xdr:sp>
    <xdr:clientData/>
  </xdr:twoCellAnchor>
  <xdr:twoCellAnchor>
    <xdr:from>
      <xdr:col>15</xdr:col>
      <xdr:colOff>371475</xdr:colOff>
      <xdr:row>4</xdr:row>
      <xdr:rowOff>123825</xdr:rowOff>
    </xdr:from>
    <xdr:to>
      <xdr:col>16</xdr:col>
      <xdr:colOff>523875</xdr:colOff>
      <xdr:row>6</xdr:row>
      <xdr:rowOff>104775</xdr:rowOff>
    </xdr:to>
    <xdr:sp macro="" textlink="">
      <xdr:nvSpPr>
        <xdr:cNvPr id="41" name="Rounded Rectangle 40">
          <a:hlinkClick xmlns:r="http://schemas.openxmlformats.org/officeDocument/2006/relationships" r:id="rId17"/>
          <a:extLst>
            <a:ext uri="{FF2B5EF4-FFF2-40B4-BE49-F238E27FC236}">
              <a16:creationId xmlns:a16="http://schemas.microsoft.com/office/drawing/2014/main" id="{00000000-0008-0000-0100-000029000000}"/>
            </a:ext>
          </a:extLst>
        </xdr:cNvPr>
        <xdr:cNvSpPr/>
      </xdr:nvSpPr>
      <xdr:spPr>
        <a:xfrm>
          <a:off x="9515475" y="885825"/>
          <a:ext cx="762000" cy="3619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Q2, 2013</a:t>
          </a:r>
        </a:p>
      </xdr:txBody>
    </xdr:sp>
    <xdr:clientData/>
  </xdr:twoCellAnchor>
  <xdr:twoCellAnchor>
    <xdr:from>
      <xdr:col>10</xdr:col>
      <xdr:colOff>219075</xdr:colOff>
      <xdr:row>2</xdr:row>
      <xdr:rowOff>47625</xdr:rowOff>
    </xdr:from>
    <xdr:to>
      <xdr:col>11</xdr:col>
      <xdr:colOff>371475</xdr:colOff>
      <xdr:row>4</xdr:row>
      <xdr:rowOff>28575</xdr:rowOff>
    </xdr:to>
    <xdr:sp macro="" textlink="">
      <xdr:nvSpPr>
        <xdr:cNvPr id="46" name="Rounded Rectangle 45">
          <a:hlinkClick xmlns:r="http://schemas.openxmlformats.org/officeDocument/2006/relationships" r:id="rId18"/>
          <a:extLst>
            <a:ext uri="{FF2B5EF4-FFF2-40B4-BE49-F238E27FC236}">
              <a16:creationId xmlns:a16="http://schemas.microsoft.com/office/drawing/2014/main" id="{00000000-0008-0000-0100-00002E000000}"/>
            </a:ext>
          </a:extLst>
        </xdr:cNvPr>
        <xdr:cNvSpPr/>
      </xdr:nvSpPr>
      <xdr:spPr>
        <a:xfrm>
          <a:off x="6315075" y="428625"/>
          <a:ext cx="762000" cy="3619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Q1, 2017</a:t>
          </a:r>
        </a:p>
      </xdr:txBody>
    </xdr:sp>
    <xdr:clientData/>
  </xdr:twoCellAnchor>
  <xdr:twoCellAnchor>
    <xdr:from>
      <xdr:col>11</xdr:col>
      <xdr:colOff>400050</xdr:colOff>
      <xdr:row>2</xdr:row>
      <xdr:rowOff>57150</xdr:rowOff>
    </xdr:from>
    <xdr:to>
      <xdr:col>12</xdr:col>
      <xdr:colOff>552450</xdr:colOff>
      <xdr:row>4</xdr:row>
      <xdr:rowOff>38100</xdr:rowOff>
    </xdr:to>
    <xdr:sp macro="" textlink="">
      <xdr:nvSpPr>
        <xdr:cNvPr id="47" name="Rounded Rectangle 46">
          <a:hlinkClick xmlns:r="http://schemas.openxmlformats.org/officeDocument/2006/relationships" r:id="rId19"/>
          <a:extLst>
            <a:ext uri="{FF2B5EF4-FFF2-40B4-BE49-F238E27FC236}">
              <a16:creationId xmlns:a16="http://schemas.microsoft.com/office/drawing/2014/main" id="{00000000-0008-0000-0100-00002F000000}"/>
            </a:ext>
          </a:extLst>
        </xdr:cNvPr>
        <xdr:cNvSpPr/>
      </xdr:nvSpPr>
      <xdr:spPr>
        <a:xfrm>
          <a:off x="7105650" y="438150"/>
          <a:ext cx="762000" cy="3619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Q1, 2016</a:t>
          </a:r>
        </a:p>
      </xdr:txBody>
    </xdr:sp>
    <xdr:clientData/>
  </xdr:twoCellAnchor>
  <xdr:twoCellAnchor>
    <xdr:from>
      <xdr:col>12</xdr:col>
      <xdr:colOff>590550</xdr:colOff>
      <xdr:row>2</xdr:row>
      <xdr:rowOff>66675</xdr:rowOff>
    </xdr:from>
    <xdr:to>
      <xdr:col>14</xdr:col>
      <xdr:colOff>133350</xdr:colOff>
      <xdr:row>4</xdr:row>
      <xdr:rowOff>47625</xdr:rowOff>
    </xdr:to>
    <xdr:sp macro="" textlink="">
      <xdr:nvSpPr>
        <xdr:cNvPr id="48" name="Rounded Rectangle 47">
          <a:hlinkClick xmlns:r="http://schemas.openxmlformats.org/officeDocument/2006/relationships" r:id="rId20"/>
          <a:extLst>
            <a:ext uri="{FF2B5EF4-FFF2-40B4-BE49-F238E27FC236}">
              <a16:creationId xmlns:a16="http://schemas.microsoft.com/office/drawing/2014/main" id="{00000000-0008-0000-0100-000030000000}"/>
            </a:ext>
          </a:extLst>
        </xdr:cNvPr>
        <xdr:cNvSpPr/>
      </xdr:nvSpPr>
      <xdr:spPr>
        <a:xfrm>
          <a:off x="7905750" y="447675"/>
          <a:ext cx="762000" cy="3619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Q1,2015</a:t>
          </a:r>
        </a:p>
      </xdr:txBody>
    </xdr:sp>
    <xdr:clientData/>
  </xdr:twoCellAnchor>
  <xdr:twoCellAnchor editAs="oneCell">
    <xdr:from>
      <xdr:col>0</xdr:col>
      <xdr:colOff>28575</xdr:colOff>
      <xdr:row>0</xdr:row>
      <xdr:rowOff>152400</xdr:rowOff>
    </xdr:from>
    <xdr:to>
      <xdr:col>2</xdr:col>
      <xdr:colOff>127521</xdr:colOff>
      <xdr:row>3</xdr:row>
      <xdr:rowOff>161925</xdr:rowOff>
    </xdr:to>
    <xdr:pic>
      <xdr:nvPicPr>
        <xdr:cNvPr id="50" name="ctl00_logo_imgImage" descr="National Insurance Commission">
          <a:extLst>
            <a:ext uri="{FF2B5EF4-FFF2-40B4-BE49-F238E27FC236}">
              <a16:creationId xmlns:a16="http://schemas.microsoft.com/office/drawing/2014/main" id="{00000000-0008-0000-0100-00003200000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28575" y="152400"/>
          <a:ext cx="1318146"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47625</xdr:colOff>
      <xdr:row>2</xdr:row>
      <xdr:rowOff>47625</xdr:rowOff>
    </xdr:from>
    <xdr:to>
      <xdr:col>10</xdr:col>
      <xdr:colOff>180975</xdr:colOff>
      <xdr:row>4</xdr:row>
      <xdr:rowOff>47625</xdr:rowOff>
    </xdr:to>
    <xdr:sp macro="" textlink="">
      <xdr:nvSpPr>
        <xdr:cNvPr id="2" name="Rounded Rectangle 1">
          <a:hlinkClick xmlns:r="http://schemas.openxmlformats.org/officeDocument/2006/relationships" r:id="rId22"/>
          <a:extLst>
            <a:ext uri="{FF2B5EF4-FFF2-40B4-BE49-F238E27FC236}">
              <a16:creationId xmlns:a16="http://schemas.microsoft.com/office/drawing/2014/main" id="{00000000-0008-0000-0100-000002000000}"/>
            </a:ext>
          </a:extLst>
        </xdr:cNvPr>
        <xdr:cNvSpPr/>
      </xdr:nvSpPr>
      <xdr:spPr>
        <a:xfrm>
          <a:off x="5534025" y="428625"/>
          <a:ext cx="742950" cy="38100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Q1, 2018</a:t>
          </a:r>
        </a:p>
      </xdr:txBody>
    </xdr:sp>
    <xdr:clientData/>
  </xdr:twoCellAnchor>
  <xdr:twoCellAnchor>
    <xdr:from>
      <xdr:col>9</xdr:col>
      <xdr:colOff>57150</xdr:colOff>
      <xdr:row>4</xdr:row>
      <xdr:rowOff>95250</xdr:rowOff>
    </xdr:from>
    <xdr:to>
      <xdr:col>10</xdr:col>
      <xdr:colOff>190500</xdr:colOff>
      <xdr:row>6</xdr:row>
      <xdr:rowOff>95250</xdr:rowOff>
    </xdr:to>
    <xdr:sp macro="" textlink="">
      <xdr:nvSpPr>
        <xdr:cNvPr id="24" name="Rounded Rectangle 23">
          <a:hlinkClick xmlns:r="http://schemas.openxmlformats.org/officeDocument/2006/relationships" r:id="rId23"/>
          <a:extLst>
            <a:ext uri="{FF2B5EF4-FFF2-40B4-BE49-F238E27FC236}">
              <a16:creationId xmlns:a16="http://schemas.microsoft.com/office/drawing/2014/main" id="{00000000-0008-0000-0100-000018000000}"/>
            </a:ext>
          </a:extLst>
        </xdr:cNvPr>
        <xdr:cNvSpPr/>
      </xdr:nvSpPr>
      <xdr:spPr>
        <a:xfrm>
          <a:off x="5543550" y="857250"/>
          <a:ext cx="742950" cy="38100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Q2, 2018</a:t>
          </a:r>
        </a:p>
      </xdr:txBody>
    </xdr:sp>
    <xdr:clientData/>
  </xdr:twoCellAnchor>
  <xdr:twoCellAnchor>
    <xdr:from>
      <xdr:col>9</xdr:col>
      <xdr:colOff>38100</xdr:colOff>
      <xdr:row>6</xdr:row>
      <xdr:rowOff>133350</xdr:rowOff>
    </xdr:from>
    <xdr:to>
      <xdr:col>10</xdr:col>
      <xdr:colOff>180975</xdr:colOff>
      <xdr:row>8</xdr:row>
      <xdr:rowOff>85725</xdr:rowOff>
    </xdr:to>
    <xdr:sp macro="" textlink="">
      <xdr:nvSpPr>
        <xdr:cNvPr id="27" name="Rounded Rectangle 26">
          <a:hlinkClick xmlns:r="http://schemas.openxmlformats.org/officeDocument/2006/relationships" r:id="rId24"/>
          <a:extLst>
            <a:ext uri="{FF2B5EF4-FFF2-40B4-BE49-F238E27FC236}">
              <a16:creationId xmlns:a16="http://schemas.microsoft.com/office/drawing/2014/main" id="{00000000-0008-0000-0100-00001B000000}"/>
            </a:ext>
          </a:extLst>
        </xdr:cNvPr>
        <xdr:cNvSpPr/>
      </xdr:nvSpPr>
      <xdr:spPr>
        <a:xfrm>
          <a:off x="5524500" y="1276350"/>
          <a:ext cx="752475" cy="3333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Q3, 2018</a:t>
          </a:r>
        </a:p>
      </xdr:txBody>
    </xdr:sp>
    <xdr:clientData/>
  </xdr:twoCellAnchor>
  <xdr:twoCellAnchor>
    <xdr:from>
      <xdr:col>9</xdr:col>
      <xdr:colOff>28575</xdr:colOff>
      <xdr:row>8</xdr:row>
      <xdr:rowOff>152400</xdr:rowOff>
    </xdr:from>
    <xdr:to>
      <xdr:col>10</xdr:col>
      <xdr:colOff>180975</xdr:colOff>
      <xdr:row>10</xdr:row>
      <xdr:rowOff>133350</xdr:rowOff>
    </xdr:to>
    <xdr:sp macro="" textlink="">
      <xdr:nvSpPr>
        <xdr:cNvPr id="28" name="Rounded Rectangle 27">
          <a:hlinkClick xmlns:r="http://schemas.openxmlformats.org/officeDocument/2006/relationships" r:id="rId25"/>
          <a:extLst>
            <a:ext uri="{FF2B5EF4-FFF2-40B4-BE49-F238E27FC236}">
              <a16:creationId xmlns:a16="http://schemas.microsoft.com/office/drawing/2014/main" id="{00000000-0008-0000-0100-00001C000000}"/>
            </a:ext>
          </a:extLst>
        </xdr:cNvPr>
        <xdr:cNvSpPr/>
      </xdr:nvSpPr>
      <xdr:spPr>
        <a:xfrm>
          <a:off x="5514975" y="1676400"/>
          <a:ext cx="762000" cy="3619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Q4, 2018</a:t>
          </a:r>
        </a:p>
      </xdr:txBody>
    </xdr:sp>
    <xdr:clientData/>
  </xdr:twoCellAnchor>
  <xdr:twoCellAnchor>
    <xdr:from>
      <xdr:col>7</xdr:col>
      <xdr:colOff>476250</xdr:colOff>
      <xdr:row>2</xdr:row>
      <xdr:rowOff>47625</xdr:rowOff>
    </xdr:from>
    <xdr:to>
      <xdr:col>9</xdr:col>
      <xdr:colOff>0</xdr:colOff>
      <xdr:row>4</xdr:row>
      <xdr:rowOff>47625</xdr:rowOff>
    </xdr:to>
    <xdr:sp macro="" textlink="">
      <xdr:nvSpPr>
        <xdr:cNvPr id="33" name="Rounded Rectangle 32">
          <a:hlinkClick xmlns:r="http://schemas.openxmlformats.org/officeDocument/2006/relationships" r:id="rId26"/>
          <a:extLst>
            <a:ext uri="{FF2B5EF4-FFF2-40B4-BE49-F238E27FC236}">
              <a16:creationId xmlns:a16="http://schemas.microsoft.com/office/drawing/2014/main" id="{00000000-0008-0000-0100-000021000000}"/>
            </a:ext>
          </a:extLst>
        </xdr:cNvPr>
        <xdr:cNvSpPr/>
      </xdr:nvSpPr>
      <xdr:spPr>
        <a:xfrm>
          <a:off x="4743450" y="428625"/>
          <a:ext cx="742950" cy="38100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Q1, 2019</a:t>
          </a:r>
        </a:p>
      </xdr:txBody>
    </xdr:sp>
    <xdr:clientData/>
  </xdr:twoCellAnchor>
  <xdr:twoCellAnchor>
    <xdr:from>
      <xdr:col>7</xdr:col>
      <xdr:colOff>485775</xdr:colOff>
      <xdr:row>4</xdr:row>
      <xdr:rowOff>95250</xdr:rowOff>
    </xdr:from>
    <xdr:to>
      <xdr:col>9</xdr:col>
      <xdr:colOff>9525</xdr:colOff>
      <xdr:row>6</xdr:row>
      <xdr:rowOff>95250</xdr:rowOff>
    </xdr:to>
    <xdr:sp macro="" textlink="">
      <xdr:nvSpPr>
        <xdr:cNvPr id="34" name="Rounded Rectangle 33">
          <a:hlinkClick xmlns:r="http://schemas.openxmlformats.org/officeDocument/2006/relationships" r:id="rId27"/>
          <a:extLst>
            <a:ext uri="{FF2B5EF4-FFF2-40B4-BE49-F238E27FC236}">
              <a16:creationId xmlns:a16="http://schemas.microsoft.com/office/drawing/2014/main" id="{00000000-0008-0000-0100-000022000000}"/>
            </a:ext>
          </a:extLst>
        </xdr:cNvPr>
        <xdr:cNvSpPr/>
      </xdr:nvSpPr>
      <xdr:spPr>
        <a:xfrm>
          <a:off x="4752975" y="857250"/>
          <a:ext cx="742950" cy="38100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Q2, 2019</a:t>
          </a:r>
        </a:p>
      </xdr:txBody>
    </xdr:sp>
    <xdr:clientData/>
  </xdr:twoCellAnchor>
  <xdr:twoCellAnchor>
    <xdr:from>
      <xdr:col>7</xdr:col>
      <xdr:colOff>476250</xdr:colOff>
      <xdr:row>6</xdr:row>
      <xdr:rowOff>133350</xdr:rowOff>
    </xdr:from>
    <xdr:to>
      <xdr:col>9</xdr:col>
      <xdr:colOff>0</xdr:colOff>
      <xdr:row>8</xdr:row>
      <xdr:rowOff>133350</xdr:rowOff>
    </xdr:to>
    <xdr:sp macro="" textlink="">
      <xdr:nvSpPr>
        <xdr:cNvPr id="32" name="Rounded Rectangle 31">
          <a:hlinkClick xmlns:r="http://schemas.openxmlformats.org/officeDocument/2006/relationships" r:id="rId28"/>
          <a:extLst>
            <a:ext uri="{FF2B5EF4-FFF2-40B4-BE49-F238E27FC236}">
              <a16:creationId xmlns:a16="http://schemas.microsoft.com/office/drawing/2014/main" id="{00000000-0008-0000-0100-000020000000}"/>
            </a:ext>
          </a:extLst>
        </xdr:cNvPr>
        <xdr:cNvSpPr/>
      </xdr:nvSpPr>
      <xdr:spPr>
        <a:xfrm>
          <a:off x="4743450" y="1276350"/>
          <a:ext cx="742950" cy="38100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Q3, 2019</a:t>
          </a:r>
        </a:p>
      </xdr:txBody>
    </xdr:sp>
    <xdr:clientData/>
  </xdr:twoCellAnchor>
  <xdr:twoCellAnchor>
    <xdr:from>
      <xdr:col>7</xdr:col>
      <xdr:colOff>466725</xdr:colOff>
      <xdr:row>8</xdr:row>
      <xdr:rowOff>142875</xdr:rowOff>
    </xdr:from>
    <xdr:to>
      <xdr:col>8</xdr:col>
      <xdr:colOff>600075</xdr:colOff>
      <xdr:row>10</xdr:row>
      <xdr:rowOff>142875</xdr:rowOff>
    </xdr:to>
    <xdr:sp macro="" textlink="">
      <xdr:nvSpPr>
        <xdr:cNvPr id="35" name="Rounded Rectangle 34">
          <a:hlinkClick xmlns:r="http://schemas.openxmlformats.org/officeDocument/2006/relationships" r:id="rId29"/>
          <a:extLst>
            <a:ext uri="{FF2B5EF4-FFF2-40B4-BE49-F238E27FC236}">
              <a16:creationId xmlns:a16="http://schemas.microsoft.com/office/drawing/2014/main" id="{00000000-0008-0000-0100-000023000000}"/>
            </a:ext>
          </a:extLst>
        </xdr:cNvPr>
        <xdr:cNvSpPr/>
      </xdr:nvSpPr>
      <xdr:spPr>
        <a:xfrm>
          <a:off x="4733925" y="1666875"/>
          <a:ext cx="742950" cy="38100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Q4, 2019</a:t>
          </a:r>
        </a:p>
      </xdr:txBody>
    </xdr:sp>
    <xdr:clientData/>
  </xdr:twoCellAnchor>
  <xdr:twoCellAnchor>
    <xdr:from>
      <xdr:col>6</xdr:col>
      <xdr:colOff>266701</xdr:colOff>
      <xdr:row>2</xdr:row>
      <xdr:rowOff>57150</xdr:rowOff>
    </xdr:from>
    <xdr:to>
      <xdr:col>7</xdr:col>
      <xdr:colOff>438151</xdr:colOff>
      <xdr:row>4</xdr:row>
      <xdr:rowOff>28575</xdr:rowOff>
    </xdr:to>
    <xdr:sp macro="" textlink="">
      <xdr:nvSpPr>
        <xdr:cNvPr id="3" name="Rounded Rectangle 2">
          <a:hlinkClick xmlns:r="http://schemas.openxmlformats.org/officeDocument/2006/relationships" r:id="rId30"/>
          <a:extLst>
            <a:ext uri="{FF2B5EF4-FFF2-40B4-BE49-F238E27FC236}">
              <a16:creationId xmlns:a16="http://schemas.microsoft.com/office/drawing/2014/main" id="{00000000-0008-0000-0100-000003000000}"/>
            </a:ext>
          </a:extLst>
        </xdr:cNvPr>
        <xdr:cNvSpPr/>
      </xdr:nvSpPr>
      <xdr:spPr>
        <a:xfrm>
          <a:off x="3924301" y="438150"/>
          <a:ext cx="781050" cy="35242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Q1,2020</a:t>
          </a:r>
        </a:p>
      </xdr:txBody>
    </xdr:sp>
    <xdr:clientData/>
  </xdr:twoCellAnchor>
  <xdr:twoCellAnchor>
    <xdr:from>
      <xdr:col>6</xdr:col>
      <xdr:colOff>247650</xdr:colOff>
      <xdr:row>4</xdr:row>
      <xdr:rowOff>85725</xdr:rowOff>
    </xdr:from>
    <xdr:to>
      <xdr:col>7</xdr:col>
      <xdr:colOff>447675</xdr:colOff>
      <xdr:row>6</xdr:row>
      <xdr:rowOff>104775</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3905250" y="847725"/>
          <a:ext cx="809625" cy="4000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Q2, 2020</a:t>
          </a:r>
        </a:p>
        <a:p>
          <a:pPr marL="0" indent="0" algn="l"/>
          <a:endParaRPr lang="en-US" sz="1100">
            <a:solidFill>
              <a:schemeClr val="lt1"/>
            </a:solidFill>
            <a:latin typeface="+mn-lt"/>
            <a:ea typeface="+mn-ea"/>
            <a:cs typeface="+mn-cs"/>
          </a:endParaRPr>
        </a:p>
      </xdr:txBody>
    </xdr:sp>
    <xdr:clientData/>
  </xdr:twoCellAnchor>
  <xdr:twoCellAnchor>
    <xdr:from>
      <xdr:col>6</xdr:col>
      <xdr:colOff>266700</xdr:colOff>
      <xdr:row>6</xdr:row>
      <xdr:rowOff>142875</xdr:rowOff>
    </xdr:from>
    <xdr:to>
      <xdr:col>7</xdr:col>
      <xdr:colOff>428625</xdr:colOff>
      <xdr:row>8</xdr:row>
      <xdr:rowOff>133350</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3924300" y="1285875"/>
          <a:ext cx="771525" cy="3714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Q3, 2020</a:t>
          </a:r>
        </a:p>
      </xdr:txBody>
    </xdr:sp>
    <xdr:clientData/>
  </xdr:twoCellAnchor>
  <xdr:twoCellAnchor>
    <xdr:from>
      <xdr:col>6</xdr:col>
      <xdr:colOff>238125</xdr:colOff>
      <xdr:row>8</xdr:row>
      <xdr:rowOff>171451</xdr:rowOff>
    </xdr:from>
    <xdr:to>
      <xdr:col>7</xdr:col>
      <xdr:colOff>438150</xdr:colOff>
      <xdr:row>10</xdr:row>
      <xdr:rowOff>133351</xdr:rowOff>
    </xdr:to>
    <xdr:sp macro="" textlink="">
      <xdr:nvSpPr>
        <xdr:cNvPr id="37" name="Rounded Rectangle 36">
          <a:hlinkClick xmlns:r="http://schemas.openxmlformats.org/officeDocument/2006/relationships" r:id="rId30"/>
          <a:extLst>
            <a:ext uri="{FF2B5EF4-FFF2-40B4-BE49-F238E27FC236}">
              <a16:creationId xmlns:a16="http://schemas.microsoft.com/office/drawing/2014/main" id="{00000000-0008-0000-0100-000025000000}"/>
            </a:ext>
          </a:extLst>
        </xdr:cNvPr>
        <xdr:cNvSpPr/>
      </xdr:nvSpPr>
      <xdr:spPr>
        <a:xfrm>
          <a:off x="3895725" y="1695451"/>
          <a:ext cx="809625" cy="342900"/>
        </a:xfrm>
        <a:prstGeom prst="roundRect">
          <a:avLst>
            <a:gd name="adj" fmla="val 22973"/>
          </a:avLst>
        </a:prstGeom>
        <a:solidFill>
          <a:srgbClr val="7030A0"/>
        </a:solidFill>
        <a:ln w="25400" cap="flat" cmpd="sng" algn="ctr">
          <a:solidFill>
            <a:srgbClr val="4F81BD">
              <a:shade val="50000"/>
            </a:srgb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rPr>
            <a:t>Q1,2020</a:t>
          </a:r>
        </a:p>
      </xdr:txBody>
    </xdr:sp>
    <xdr:clientData/>
  </xdr:twoCellAnchor>
  <xdr:twoCellAnchor>
    <xdr:from>
      <xdr:col>5</xdr:col>
      <xdr:colOff>19050</xdr:colOff>
      <xdr:row>2</xdr:row>
      <xdr:rowOff>57150</xdr:rowOff>
    </xdr:from>
    <xdr:to>
      <xdr:col>6</xdr:col>
      <xdr:colOff>190500</xdr:colOff>
      <xdr:row>4</xdr:row>
      <xdr:rowOff>28575</xdr:rowOff>
    </xdr:to>
    <xdr:sp macro="" textlink="">
      <xdr:nvSpPr>
        <xdr:cNvPr id="43" name="Rounded Rectangle 42">
          <a:hlinkClick xmlns:r="http://schemas.openxmlformats.org/officeDocument/2006/relationships" r:id="rId31"/>
          <a:extLst>
            <a:ext uri="{FF2B5EF4-FFF2-40B4-BE49-F238E27FC236}">
              <a16:creationId xmlns:a16="http://schemas.microsoft.com/office/drawing/2014/main" id="{00000000-0008-0000-0100-00002B000000}"/>
            </a:ext>
          </a:extLst>
        </xdr:cNvPr>
        <xdr:cNvSpPr/>
      </xdr:nvSpPr>
      <xdr:spPr>
        <a:xfrm>
          <a:off x="3067050" y="438150"/>
          <a:ext cx="781050" cy="352425"/>
        </a:xfrm>
        <a:prstGeom prst="roundRect">
          <a:avLst/>
        </a:prstGeom>
        <a:solidFill>
          <a:srgbClr val="7030A0"/>
        </a:solidFill>
        <a:ln w="25400" cap="flat" cmpd="sng" algn="ctr">
          <a:solidFill>
            <a:srgbClr val="4F81BD">
              <a:shade val="50000"/>
            </a:srgb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rPr>
            <a:t>Q1,2021</a:t>
          </a:r>
        </a:p>
      </xdr:txBody>
    </xdr:sp>
    <xdr:clientData/>
  </xdr:twoCellAnchor>
  <xdr:twoCellAnchor>
    <xdr:from>
      <xdr:col>5</xdr:col>
      <xdr:colOff>9525</xdr:colOff>
      <xdr:row>4</xdr:row>
      <xdr:rowOff>104776</xdr:rowOff>
    </xdr:from>
    <xdr:to>
      <xdr:col>6</xdr:col>
      <xdr:colOff>200025</xdr:colOff>
      <xdr:row>6</xdr:row>
      <xdr:rowOff>85726</xdr:rowOff>
    </xdr:to>
    <xdr:sp macro="" textlink="">
      <xdr:nvSpPr>
        <xdr:cNvPr id="45" name="Rounded Rectangle 44">
          <a:hlinkClick xmlns:r="http://schemas.openxmlformats.org/officeDocument/2006/relationships" r:id="rId32"/>
          <a:extLst>
            <a:ext uri="{FF2B5EF4-FFF2-40B4-BE49-F238E27FC236}">
              <a16:creationId xmlns:a16="http://schemas.microsoft.com/office/drawing/2014/main" id="{00000000-0008-0000-0100-00002D000000}"/>
            </a:ext>
          </a:extLst>
        </xdr:cNvPr>
        <xdr:cNvSpPr/>
      </xdr:nvSpPr>
      <xdr:spPr>
        <a:xfrm>
          <a:off x="3057525" y="866776"/>
          <a:ext cx="800100" cy="361950"/>
        </a:xfrm>
        <a:prstGeom prst="roundRect">
          <a:avLst/>
        </a:prstGeom>
        <a:solidFill>
          <a:srgbClr val="7030A0"/>
        </a:solidFill>
        <a:ln w="25400" cap="flat" cmpd="sng" algn="ctr">
          <a:solidFill>
            <a:srgbClr val="4F81BD">
              <a:shade val="50000"/>
            </a:srgb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rPr>
            <a:t>Q2,2021</a:t>
          </a:r>
        </a:p>
      </xdr:txBody>
    </xdr:sp>
    <xdr:clientData/>
  </xdr:twoCellAnchor>
  <xdr:twoCellAnchor>
    <xdr:from>
      <xdr:col>4</xdr:col>
      <xdr:colOff>600075</xdr:colOff>
      <xdr:row>6</xdr:row>
      <xdr:rowOff>152400</xdr:rowOff>
    </xdr:from>
    <xdr:to>
      <xdr:col>6</xdr:col>
      <xdr:colOff>200025</xdr:colOff>
      <xdr:row>8</xdr:row>
      <xdr:rowOff>123826</xdr:rowOff>
    </xdr:to>
    <xdr:sp macro="" textlink="">
      <xdr:nvSpPr>
        <xdr:cNvPr id="49" name="Rounded Rectangle 48">
          <a:hlinkClick xmlns:r="http://schemas.openxmlformats.org/officeDocument/2006/relationships" r:id="rId33"/>
          <a:extLst>
            <a:ext uri="{FF2B5EF4-FFF2-40B4-BE49-F238E27FC236}">
              <a16:creationId xmlns:a16="http://schemas.microsoft.com/office/drawing/2014/main" id="{00000000-0008-0000-0100-000031000000}"/>
            </a:ext>
          </a:extLst>
        </xdr:cNvPr>
        <xdr:cNvSpPr/>
      </xdr:nvSpPr>
      <xdr:spPr>
        <a:xfrm>
          <a:off x="3038475" y="1295400"/>
          <a:ext cx="819150" cy="352426"/>
        </a:xfrm>
        <a:prstGeom prst="roundRect">
          <a:avLst/>
        </a:prstGeom>
        <a:solidFill>
          <a:srgbClr val="7030A0"/>
        </a:solidFill>
        <a:ln w="25400" cap="flat" cmpd="sng" algn="ctr">
          <a:solidFill>
            <a:srgbClr val="4F81BD">
              <a:shade val="50000"/>
            </a:srgb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rPr>
            <a:t>Q3,2021</a:t>
          </a:r>
        </a:p>
      </xdr:txBody>
    </xdr:sp>
    <xdr:clientData/>
  </xdr:twoCellAnchor>
  <xdr:twoCellAnchor>
    <xdr:from>
      <xdr:col>5</xdr:col>
      <xdr:colOff>19050</xdr:colOff>
      <xdr:row>8</xdr:row>
      <xdr:rowOff>171450</xdr:rowOff>
    </xdr:from>
    <xdr:to>
      <xdr:col>6</xdr:col>
      <xdr:colOff>190500</xdr:colOff>
      <xdr:row>10</xdr:row>
      <xdr:rowOff>142875</xdr:rowOff>
    </xdr:to>
    <xdr:sp macro="" textlink="">
      <xdr:nvSpPr>
        <xdr:cNvPr id="51" name="Rounded Rectangle 50">
          <a:hlinkClick xmlns:r="http://schemas.openxmlformats.org/officeDocument/2006/relationships" r:id="rId34"/>
          <a:extLst>
            <a:ext uri="{FF2B5EF4-FFF2-40B4-BE49-F238E27FC236}">
              <a16:creationId xmlns:a16="http://schemas.microsoft.com/office/drawing/2014/main" id="{00000000-0008-0000-0100-000033000000}"/>
            </a:ext>
          </a:extLst>
        </xdr:cNvPr>
        <xdr:cNvSpPr/>
      </xdr:nvSpPr>
      <xdr:spPr>
        <a:xfrm>
          <a:off x="3067050" y="1695450"/>
          <a:ext cx="781050" cy="352425"/>
        </a:xfrm>
        <a:prstGeom prst="roundRect">
          <a:avLst/>
        </a:prstGeom>
        <a:solidFill>
          <a:srgbClr val="7030A0"/>
        </a:solidFill>
        <a:ln w="25400" cap="flat" cmpd="sng" algn="ctr">
          <a:solidFill>
            <a:srgbClr val="4F81BD">
              <a:shade val="50000"/>
            </a:srgb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rPr>
            <a:t>Q4,2021</a:t>
          </a:r>
        </a:p>
      </xdr:txBody>
    </xdr:sp>
    <xdr:clientData/>
  </xdr:twoCellAnchor>
  <xdr:twoCellAnchor>
    <xdr:from>
      <xdr:col>3</xdr:col>
      <xdr:colOff>390525</xdr:colOff>
      <xdr:row>2</xdr:row>
      <xdr:rowOff>66675</xdr:rowOff>
    </xdr:from>
    <xdr:to>
      <xdr:col>4</xdr:col>
      <xdr:colOff>561975</xdr:colOff>
      <xdr:row>4</xdr:row>
      <xdr:rowOff>38100</xdr:rowOff>
    </xdr:to>
    <xdr:sp macro="" textlink="">
      <xdr:nvSpPr>
        <xdr:cNvPr id="52" name="Rounded Rectangle 51">
          <a:hlinkClick xmlns:r="http://schemas.openxmlformats.org/officeDocument/2006/relationships" r:id="rId35"/>
          <a:extLst>
            <a:ext uri="{FF2B5EF4-FFF2-40B4-BE49-F238E27FC236}">
              <a16:creationId xmlns:a16="http://schemas.microsoft.com/office/drawing/2014/main" id="{00000000-0008-0000-0100-000034000000}"/>
            </a:ext>
          </a:extLst>
        </xdr:cNvPr>
        <xdr:cNvSpPr/>
      </xdr:nvSpPr>
      <xdr:spPr>
        <a:xfrm>
          <a:off x="2219325" y="447675"/>
          <a:ext cx="781050" cy="352425"/>
        </a:xfrm>
        <a:prstGeom prst="roundRect">
          <a:avLst/>
        </a:prstGeom>
        <a:solidFill>
          <a:srgbClr val="7030A0"/>
        </a:solidFill>
        <a:ln w="25400" cap="flat" cmpd="sng" algn="ctr">
          <a:solidFill>
            <a:srgbClr val="4F81BD">
              <a:shade val="50000"/>
            </a:srgb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rPr>
            <a:t>Q1,2022</a:t>
          </a:r>
        </a:p>
      </xdr:txBody>
    </xdr:sp>
    <xdr:clientData/>
  </xdr:twoCellAnchor>
  <xdr:twoCellAnchor>
    <xdr:from>
      <xdr:col>3</xdr:col>
      <xdr:colOff>381000</xdr:colOff>
      <xdr:row>4</xdr:row>
      <xdr:rowOff>104775</xdr:rowOff>
    </xdr:from>
    <xdr:to>
      <xdr:col>4</xdr:col>
      <xdr:colOff>571500</xdr:colOff>
      <xdr:row>6</xdr:row>
      <xdr:rowOff>104775</xdr:rowOff>
    </xdr:to>
    <xdr:sp macro="" textlink="">
      <xdr:nvSpPr>
        <xdr:cNvPr id="53" name="Rounded Rectangle 52">
          <a:hlinkClick xmlns:r="http://schemas.openxmlformats.org/officeDocument/2006/relationships" r:id="rId36"/>
          <a:extLst>
            <a:ext uri="{FF2B5EF4-FFF2-40B4-BE49-F238E27FC236}">
              <a16:creationId xmlns:a16="http://schemas.microsoft.com/office/drawing/2014/main" id="{00000000-0008-0000-0100-000035000000}"/>
            </a:ext>
          </a:extLst>
        </xdr:cNvPr>
        <xdr:cNvSpPr/>
      </xdr:nvSpPr>
      <xdr:spPr>
        <a:xfrm>
          <a:off x="2209800" y="866775"/>
          <a:ext cx="800100" cy="381000"/>
        </a:xfrm>
        <a:prstGeom prst="roundRect">
          <a:avLst/>
        </a:prstGeom>
        <a:solidFill>
          <a:srgbClr val="7030A0"/>
        </a:solidFill>
        <a:ln w="25400" cap="flat" cmpd="sng" algn="ctr">
          <a:solidFill>
            <a:srgbClr val="4F81BD">
              <a:shade val="50000"/>
            </a:srgb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rPr>
            <a:t>Q2,2022</a:t>
          </a:r>
        </a:p>
      </xdr:txBody>
    </xdr:sp>
    <xdr:clientData/>
  </xdr:twoCellAnchor>
  <xdr:twoCellAnchor>
    <xdr:from>
      <xdr:col>3</xdr:col>
      <xdr:colOff>352425</xdr:colOff>
      <xdr:row>6</xdr:row>
      <xdr:rowOff>161924</xdr:rowOff>
    </xdr:from>
    <xdr:to>
      <xdr:col>4</xdr:col>
      <xdr:colOff>542925</xdr:colOff>
      <xdr:row>8</xdr:row>
      <xdr:rowOff>152399</xdr:rowOff>
    </xdr:to>
    <xdr:sp macro="" textlink="">
      <xdr:nvSpPr>
        <xdr:cNvPr id="5" name="Rounded Rectangle 4">
          <a:hlinkClick xmlns:r="http://schemas.openxmlformats.org/officeDocument/2006/relationships" r:id="rId37"/>
          <a:extLst>
            <a:ext uri="{FF2B5EF4-FFF2-40B4-BE49-F238E27FC236}">
              <a16:creationId xmlns:a16="http://schemas.microsoft.com/office/drawing/2014/main" id="{00000000-0008-0000-0100-000005000000}"/>
            </a:ext>
          </a:extLst>
        </xdr:cNvPr>
        <xdr:cNvSpPr/>
      </xdr:nvSpPr>
      <xdr:spPr>
        <a:xfrm>
          <a:off x="2181225" y="1304924"/>
          <a:ext cx="800100" cy="371475"/>
        </a:xfrm>
        <a:prstGeom prst="roundRect">
          <a:avLst/>
        </a:prstGeom>
        <a:solidFill>
          <a:srgbClr val="7030A0"/>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Q3,</a:t>
          </a:r>
          <a:r>
            <a:rPr lang="en-US" sz="1100" baseline="0"/>
            <a:t> 2022</a:t>
          </a:r>
          <a:endParaRPr lang="en-US" sz="1100"/>
        </a:p>
      </xdr:txBody>
    </xdr:sp>
    <xdr:clientData/>
  </xdr:twoCellAnchor>
  <xdr:twoCellAnchor>
    <xdr:from>
      <xdr:col>3</xdr:col>
      <xdr:colOff>333375</xdr:colOff>
      <xdr:row>9</xdr:row>
      <xdr:rowOff>9525</xdr:rowOff>
    </xdr:from>
    <xdr:to>
      <xdr:col>4</xdr:col>
      <xdr:colOff>523875</xdr:colOff>
      <xdr:row>11</xdr:row>
      <xdr:rowOff>0</xdr:rowOff>
    </xdr:to>
    <xdr:sp macro="" textlink="">
      <xdr:nvSpPr>
        <xdr:cNvPr id="44" name="Rounded Rectangle 43">
          <a:hlinkClick xmlns:r="http://schemas.openxmlformats.org/officeDocument/2006/relationships" r:id="rId38"/>
          <a:extLst>
            <a:ext uri="{FF2B5EF4-FFF2-40B4-BE49-F238E27FC236}">
              <a16:creationId xmlns:a16="http://schemas.microsoft.com/office/drawing/2014/main" id="{00000000-0008-0000-0100-000005000000}"/>
            </a:ext>
          </a:extLst>
        </xdr:cNvPr>
        <xdr:cNvSpPr/>
      </xdr:nvSpPr>
      <xdr:spPr>
        <a:xfrm>
          <a:off x="2162175" y="1724025"/>
          <a:ext cx="800100" cy="371475"/>
        </a:xfrm>
        <a:prstGeom prst="roundRect">
          <a:avLst/>
        </a:prstGeom>
        <a:solidFill>
          <a:srgbClr val="7030A0"/>
        </a:solidFill>
        <a:ln w="25400" cap="flat" cmpd="sng" algn="ctr">
          <a:solidFill>
            <a:srgbClr val="4BACC6">
              <a:lumMod val="50000"/>
            </a:srgb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Q4, 2022</a:t>
          </a:r>
        </a:p>
      </xdr:txBody>
    </xdr:sp>
    <xdr:clientData/>
  </xdr:twoCellAnchor>
  <xdr:twoCellAnchor>
    <xdr:from>
      <xdr:col>2</xdr:col>
      <xdr:colOff>161925</xdr:colOff>
      <xdr:row>2</xdr:row>
      <xdr:rowOff>76200</xdr:rowOff>
    </xdr:from>
    <xdr:to>
      <xdr:col>3</xdr:col>
      <xdr:colOff>352425</xdr:colOff>
      <xdr:row>4</xdr:row>
      <xdr:rowOff>66675</xdr:rowOff>
    </xdr:to>
    <xdr:sp macro="" textlink="">
      <xdr:nvSpPr>
        <xdr:cNvPr id="57" name="Rounded Rectangle 56">
          <a:hlinkClick xmlns:r="http://schemas.openxmlformats.org/officeDocument/2006/relationships" r:id="rId39"/>
          <a:extLst>
            <a:ext uri="{FF2B5EF4-FFF2-40B4-BE49-F238E27FC236}">
              <a16:creationId xmlns:a16="http://schemas.microsoft.com/office/drawing/2014/main" id="{00000000-0008-0000-0100-000005000000}"/>
            </a:ext>
          </a:extLst>
        </xdr:cNvPr>
        <xdr:cNvSpPr/>
      </xdr:nvSpPr>
      <xdr:spPr>
        <a:xfrm>
          <a:off x="1381125" y="457200"/>
          <a:ext cx="800100" cy="371475"/>
        </a:xfrm>
        <a:prstGeom prst="roundRect">
          <a:avLst/>
        </a:prstGeom>
        <a:solidFill>
          <a:srgbClr val="7030A0"/>
        </a:solidFill>
        <a:ln w="25400" cap="flat" cmpd="sng" algn="ctr">
          <a:solidFill>
            <a:srgbClr val="4BACC6">
              <a:lumMod val="50000"/>
            </a:srgb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Q1, 2023</a:t>
          </a:r>
        </a:p>
      </xdr:txBody>
    </xdr:sp>
    <xdr:clientData/>
  </xdr:twoCellAnchor>
  <xdr:twoCellAnchor>
    <xdr:from>
      <xdr:col>2</xdr:col>
      <xdr:colOff>133350</xdr:colOff>
      <xdr:row>4</xdr:row>
      <xdr:rowOff>123825</xdr:rowOff>
    </xdr:from>
    <xdr:to>
      <xdr:col>3</xdr:col>
      <xdr:colOff>323850</xdr:colOff>
      <xdr:row>6</xdr:row>
      <xdr:rowOff>114300</xdr:rowOff>
    </xdr:to>
    <xdr:sp macro="" textlink="">
      <xdr:nvSpPr>
        <xdr:cNvPr id="58" name="Rounded Rectangle 57">
          <a:hlinkClick xmlns:r="http://schemas.openxmlformats.org/officeDocument/2006/relationships" r:id="rId40"/>
          <a:extLst>
            <a:ext uri="{FF2B5EF4-FFF2-40B4-BE49-F238E27FC236}">
              <a16:creationId xmlns:a16="http://schemas.microsoft.com/office/drawing/2014/main" id="{00000000-0008-0000-0100-000005000000}"/>
            </a:ext>
          </a:extLst>
        </xdr:cNvPr>
        <xdr:cNvSpPr/>
      </xdr:nvSpPr>
      <xdr:spPr>
        <a:xfrm>
          <a:off x="1352550" y="885825"/>
          <a:ext cx="800100" cy="371475"/>
        </a:xfrm>
        <a:prstGeom prst="roundRect">
          <a:avLst/>
        </a:prstGeom>
        <a:solidFill>
          <a:srgbClr val="7030A0"/>
        </a:solidFill>
        <a:ln w="25400" cap="flat" cmpd="sng" algn="ctr">
          <a:solidFill>
            <a:srgbClr val="4BACC6">
              <a:lumMod val="50000"/>
            </a:srgb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Q2, 2023</a:t>
          </a:r>
        </a:p>
      </xdr:txBody>
    </xdr:sp>
    <xdr:clientData/>
  </xdr:twoCellAnchor>
  <xdr:twoCellAnchor>
    <xdr:from>
      <xdr:col>2</xdr:col>
      <xdr:colOff>104775</xdr:colOff>
      <xdr:row>7</xdr:row>
      <xdr:rowOff>9525</xdr:rowOff>
    </xdr:from>
    <xdr:to>
      <xdr:col>3</xdr:col>
      <xdr:colOff>295275</xdr:colOff>
      <xdr:row>9</xdr:row>
      <xdr:rowOff>0</xdr:rowOff>
    </xdr:to>
    <xdr:sp macro="" textlink="">
      <xdr:nvSpPr>
        <xdr:cNvPr id="60" name="Rounded Rectangle 59">
          <a:hlinkClick xmlns:r="http://schemas.openxmlformats.org/officeDocument/2006/relationships" r:id="rId41"/>
          <a:extLst>
            <a:ext uri="{FF2B5EF4-FFF2-40B4-BE49-F238E27FC236}">
              <a16:creationId xmlns:a16="http://schemas.microsoft.com/office/drawing/2014/main" id="{00000000-0008-0000-0100-000005000000}"/>
            </a:ext>
          </a:extLst>
        </xdr:cNvPr>
        <xdr:cNvSpPr/>
      </xdr:nvSpPr>
      <xdr:spPr>
        <a:xfrm>
          <a:off x="1323975" y="1343025"/>
          <a:ext cx="800100" cy="371475"/>
        </a:xfrm>
        <a:prstGeom prst="roundRect">
          <a:avLst>
            <a:gd name="adj" fmla="val 19231"/>
          </a:avLst>
        </a:prstGeom>
        <a:solidFill>
          <a:srgbClr val="7030A0"/>
        </a:solidFill>
        <a:ln w="25400" cap="flat" cmpd="sng" algn="ctr">
          <a:solidFill>
            <a:srgbClr val="4BACC6">
              <a:lumMod val="50000"/>
            </a:srgb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Q3, 2023</a:t>
          </a:r>
        </a:p>
      </xdr:txBody>
    </xdr:sp>
    <xdr:clientData/>
  </xdr:twoCellAnchor>
  <xdr:twoCellAnchor>
    <xdr:from>
      <xdr:col>2</xdr:col>
      <xdr:colOff>95250</xdr:colOff>
      <xdr:row>9</xdr:row>
      <xdr:rowOff>66675</xdr:rowOff>
    </xdr:from>
    <xdr:to>
      <xdr:col>3</xdr:col>
      <xdr:colOff>285750</xdr:colOff>
      <xdr:row>11</xdr:row>
      <xdr:rowOff>57150</xdr:rowOff>
    </xdr:to>
    <xdr:sp macro="" textlink="">
      <xdr:nvSpPr>
        <xdr:cNvPr id="55" name="Rounded Rectangle 54">
          <a:hlinkClick xmlns:r="http://schemas.openxmlformats.org/officeDocument/2006/relationships" r:id="rId42"/>
          <a:extLst>
            <a:ext uri="{FF2B5EF4-FFF2-40B4-BE49-F238E27FC236}">
              <a16:creationId xmlns:a16="http://schemas.microsoft.com/office/drawing/2014/main" id="{00000000-0008-0000-0100-000005000000}"/>
            </a:ext>
          </a:extLst>
        </xdr:cNvPr>
        <xdr:cNvSpPr/>
      </xdr:nvSpPr>
      <xdr:spPr>
        <a:xfrm>
          <a:off x="1314450" y="1781175"/>
          <a:ext cx="800100" cy="371475"/>
        </a:xfrm>
        <a:prstGeom prst="roundRect">
          <a:avLst>
            <a:gd name="adj" fmla="val 19231"/>
          </a:avLst>
        </a:prstGeom>
        <a:solidFill>
          <a:srgbClr val="7030A0"/>
        </a:solidFill>
        <a:ln w="25400" cap="flat" cmpd="sng" algn="ctr">
          <a:solidFill>
            <a:srgbClr val="4BACC6">
              <a:lumMod val="50000"/>
            </a:srgb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Q4, 2023</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0</xdr:row>
      <xdr:rowOff>47625</xdr:rowOff>
    </xdr:from>
    <xdr:to>
      <xdr:col>2</xdr:col>
      <xdr:colOff>230448</xdr:colOff>
      <xdr:row>3</xdr:row>
      <xdr:rowOff>85725</xdr:rowOff>
    </xdr:to>
    <xdr:pic>
      <xdr:nvPicPr>
        <xdr:cNvPr id="3" name="ctl00_logo_imgImage" descr="National Insurance Commission">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47625"/>
          <a:ext cx="1382973"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92</xdr:row>
      <xdr:rowOff>0</xdr:rowOff>
    </xdr:from>
    <xdr:to>
      <xdr:col>4</xdr:col>
      <xdr:colOff>266700</xdr:colOff>
      <xdr:row>118</xdr:row>
      <xdr:rowOff>104775</xdr:rowOff>
    </xdr:to>
    <xdr:pic>
      <xdr:nvPicPr>
        <xdr:cNvPr id="3" name="Picture1" descr="Picture1">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258675"/>
          <a:ext cx="3810000" cy="2381250"/>
        </a:xfrm>
        <a:prstGeom prst="rect">
          <a:avLst/>
        </a:prstGeom>
        <a:noFill/>
        <a:ln>
          <a:noFill/>
        </a:ln>
        <a:extLst>
          <a:ext uri="{909E8E84-426E-40DD-AFC4-6F175D3DCCD1}">
            <a14:hiddenFill xmlns:a14="http://schemas.microsoft.com/office/drawing/2010/main">
              <a:solidFill>
                <a:srgbClr val="000000">
                  <a:alpha val="99945"/>
                </a:srgbClr>
              </a:solidFill>
            </a14:hiddenFill>
          </a:ext>
          <a:ext uri="{91240B29-F687-4F45-9708-019B960494DF}">
            <a14:hiddenLine xmlns:a14="http://schemas.microsoft.com/office/drawing/2010/main" w="9525" cmpd="sng">
              <a:solidFill>
                <a:srgbClr val="000000">
                  <a:alpha val="99945"/>
                </a:srgbClr>
              </a:solidFill>
              <a:prstDash val="solid"/>
              <a:miter lim="800000"/>
              <a:headEnd type="none" w="med" len="med"/>
              <a:tailEnd type="none" w="med" len="med"/>
            </a14:hiddenLine>
          </a:ext>
        </a:extLst>
      </xdr:spPr>
    </xdr:pic>
    <xdr:clientData/>
  </xdr:twoCellAnchor>
  <xdr:twoCellAnchor editAs="oneCell">
    <xdr:from>
      <xdr:col>0</xdr:col>
      <xdr:colOff>0</xdr:colOff>
      <xdr:row>94</xdr:row>
      <xdr:rowOff>0</xdr:rowOff>
    </xdr:from>
    <xdr:to>
      <xdr:col>4</xdr:col>
      <xdr:colOff>266700</xdr:colOff>
      <xdr:row>108</xdr:row>
      <xdr:rowOff>38100</xdr:rowOff>
    </xdr:to>
    <xdr:pic>
      <xdr:nvPicPr>
        <xdr:cNvPr id="4" name="Picture2" descr="Picture2">
          <a:extLst>
            <a:ext uri="{FF2B5EF4-FFF2-40B4-BE49-F238E27FC236}">
              <a16:creationId xmlns:a16="http://schemas.microsoft.com/office/drawing/2014/main" id="{00000000-0008-0000-13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287625"/>
          <a:ext cx="3810000" cy="2381250"/>
        </a:xfrm>
        <a:prstGeom prst="rect">
          <a:avLst/>
        </a:prstGeom>
        <a:noFill/>
        <a:ln>
          <a:noFill/>
        </a:ln>
        <a:extLst>
          <a:ext uri="{909E8E84-426E-40DD-AFC4-6F175D3DCCD1}">
            <a14:hiddenFill xmlns:a14="http://schemas.microsoft.com/office/drawing/2010/main">
              <a:solidFill>
                <a:srgbClr val="000000">
                  <a:alpha val="99945"/>
                </a:srgbClr>
              </a:solidFill>
            </a14:hiddenFill>
          </a:ext>
          <a:ext uri="{91240B29-F687-4F45-9708-019B960494DF}">
            <a14:hiddenLine xmlns:a14="http://schemas.microsoft.com/office/drawing/2010/main" w="9525" cmpd="sng">
              <a:solidFill>
                <a:srgbClr val="000000">
                  <a:alpha val="99945"/>
                </a:srgbClr>
              </a:solidFill>
              <a:prstDash val="solid"/>
              <a:miter lim="800000"/>
              <a:headEnd type="none" w="med" len="med"/>
              <a:tailEnd type="none" w="med" len="med"/>
            </a14:hiddenLine>
          </a:ext>
        </a:extLst>
      </xdr:spPr>
    </xdr:pic>
    <xdr:clientData/>
  </xdr:twoCellAnchor>
  <xdr:twoCellAnchor editAs="oneCell">
    <xdr:from>
      <xdr:col>0</xdr:col>
      <xdr:colOff>0</xdr:colOff>
      <xdr:row>97</xdr:row>
      <xdr:rowOff>0</xdr:rowOff>
    </xdr:from>
    <xdr:to>
      <xdr:col>4</xdr:col>
      <xdr:colOff>266700</xdr:colOff>
      <xdr:row>110</xdr:row>
      <xdr:rowOff>66675</xdr:rowOff>
    </xdr:to>
    <xdr:pic>
      <xdr:nvPicPr>
        <xdr:cNvPr id="5" name="Picture3" descr="Picture3">
          <a:extLst>
            <a:ext uri="{FF2B5EF4-FFF2-40B4-BE49-F238E27FC236}">
              <a16:creationId xmlns:a16="http://schemas.microsoft.com/office/drawing/2014/main" id="{00000000-0008-0000-13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8316575"/>
          <a:ext cx="3810000" cy="2381250"/>
        </a:xfrm>
        <a:prstGeom prst="rect">
          <a:avLst/>
        </a:prstGeom>
        <a:noFill/>
        <a:ln>
          <a:noFill/>
        </a:ln>
        <a:extLst>
          <a:ext uri="{909E8E84-426E-40DD-AFC4-6F175D3DCCD1}">
            <a14:hiddenFill xmlns:a14="http://schemas.microsoft.com/office/drawing/2010/main">
              <a:solidFill>
                <a:srgbClr val="000000">
                  <a:alpha val="99945"/>
                </a:srgbClr>
              </a:solidFill>
            </a14:hiddenFill>
          </a:ext>
          <a:ext uri="{91240B29-F687-4F45-9708-019B960494DF}">
            <a14:hiddenLine xmlns:a14="http://schemas.microsoft.com/office/drawing/2010/main" w="9525" cmpd="sng">
              <a:solidFill>
                <a:srgbClr val="000000">
                  <a:alpha val="99945"/>
                </a:srgbClr>
              </a:solidFill>
              <a:prstDash val="solid"/>
              <a:miter lim="800000"/>
              <a:headEnd type="none" w="med" len="med"/>
              <a:tailEnd type="none" w="med" len="med"/>
            </a14:hiddenLine>
          </a:ext>
        </a:extLst>
      </xdr:spPr>
    </xdr:pic>
    <xdr:clientData/>
  </xdr:twoCellAnchor>
  <xdr:twoCellAnchor editAs="oneCell">
    <xdr:from>
      <xdr:col>0</xdr:col>
      <xdr:colOff>0</xdr:colOff>
      <xdr:row>99</xdr:row>
      <xdr:rowOff>0</xdr:rowOff>
    </xdr:from>
    <xdr:to>
      <xdr:col>4</xdr:col>
      <xdr:colOff>266700</xdr:colOff>
      <xdr:row>111</xdr:row>
      <xdr:rowOff>95250</xdr:rowOff>
    </xdr:to>
    <xdr:pic>
      <xdr:nvPicPr>
        <xdr:cNvPr id="6" name="Picture4" descr="Picture4">
          <a:extLst>
            <a:ext uri="{FF2B5EF4-FFF2-40B4-BE49-F238E27FC236}">
              <a16:creationId xmlns:a16="http://schemas.microsoft.com/office/drawing/2014/main" id="{00000000-0008-0000-13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21183600"/>
          <a:ext cx="3810000" cy="2381250"/>
        </a:xfrm>
        <a:prstGeom prst="rect">
          <a:avLst/>
        </a:prstGeom>
        <a:noFill/>
        <a:ln>
          <a:noFill/>
        </a:ln>
        <a:extLst>
          <a:ext uri="{909E8E84-426E-40DD-AFC4-6F175D3DCCD1}">
            <a14:hiddenFill xmlns:a14="http://schemas.microsoft.com/office/drawing/2010/main">
              <a:solidFill>
                <a:srgbClr val="000000">
                  <a:alpha val="99945"/>
                </a:srgbClr>
              </a:solidFill>
            </a14:hiddenFill>
          </a:ext>
          <a:ext uri="{91240B29-F687-4F45-9708-019B960494DF}">
            <a14:hiddenLine xmlns:a14="http://schemas.microsoft.com/office/drawing/2010/main" w="9525" cmpd="sng">
              <a:solidFill>
                <a:srgbClr val="000000">
                  <a:alpha val="99945"/>
                </a:srgbClr>
              </a:solidFill>
              <a:prstDash val="solid"/>
              <a:miter lim="800000"/>
              <a:headEnd type="none" w="med" len="med"/>
              <a:tailEnd type="none" w="med" len="me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28</xdr:row>
      <xdr:rowOff>0</xdr:rowOff>
    </xdr:from>
    <xdr:to>
      <xdr:col>4</xdr:col>
      <xdr:colOff>133350</xdr:colOff>
      <xdr:row>91</xdr:row>
      <xdr:rowOff>57150</xdr:rowOff>
    </xdr:to>
    <xdr:pic>
      <xdr:nvPicPr>
        <xdr:cNvPr id="3" name="Picture1" descr="Picture1">
          <a:extLst>
            <a:ext uri="{FF2B5EF4-FFF2-40B4-BE49-F238E27FC236}">
              <a16:creationId xmlns:a16="http://schemas.microsoft.com/office/drawing/2014/main" id="{00000000-0008-0000-15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258675"/>
          <a:ext cx="3810000" cy="2381250"/>
        </a:xfrm>
        <a:prstGeom prst="rect">
          <a:avLst/>
        </a:prstGeom>
        <a:noFill/>
        <a:ln>
          <a:noFill/>
        </a:ln>
        <a:extLst>
          <a:ext uri="{909E8E84-426E-40DD-AFC4-6F175D3DCCD1}">
            <a14:hiddenFill xmlns:a14="http://schemas.microsoft.com/office/drawing/2010/main">
              <a:solidFill>
                <a:srgbClr val="000000">
                  <a:alpha val="99945"/>
                </a:srgbClr>
              </a:solidFill>
            </a14:hiddenFill>
          </a:ext>
          <a:ext uri="{91240B29-F687-4F45-9708-019B960494DF}">
            <a14:hiddenLine xmlns:a14="http://schemas.microsoft.com/office/drawing/2010/main" w="9525" cmpd="sng">
              <a:solidFill>
                <a:srgbClr val="000000">
                  <a:alpha val="99945"/>
                </a:srgbClr>
              </a:solidFill>
              <a:prstDash val="solid"/>
              <a:miter lim="800000"/>
              <a:headEnd type="none" w="med" len="med"/>
              <a:tailEnd type="none" w="med" len="med"/>
            </a14:hiddenLine>
          </a:ext>
        </a:extLst>
      </xdr:spPr>
    </xdr:pic>
    <xdr:clientData/>
  </xdr:twoCellAnchor>
  <xdr:twoCellAnchor editAs="oneCell">
    <xdr:from>
      <xdr:col>0</xdr:col>
      <xdr:colOff>0</xdr:colOff>
      <xdr:row>31</xdr:row>
      <xdr:rowOff>0</xdr:rowOff>
    </xdr:from>
    <xdr:to>
      <xdr:col>4</xdr:col>
      <xdr:colOff>133350</xdr:colOff>
      <xdr:row>81</xdr:row>
      <xdr:rowOff>38100</xdr:rowOff>
    </xdr:to>
    <xdr:pic>
      <xdr:nvPicPr>
        <xdr:cNvPr id="4" name="Picture2" descr="Picture2">
          <a:extLst>
            <a:ext uri="{FF2B5EF4-FFF2-40B4-BE49-F238E27FC236}">
              <a16:creationId xmlns:a16="http://schemas.microsoft.com/office/drawing/2014/main" id="{00000000-0008-0000-15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287625"/>
          <a:ext cx="3810000" cy="2381250"/>
        </a:xfrm>
        <a:prstGeom prst="rect">
          <a:avLst/>
        </a:prstGeom>
        <a:noFill/>
        <a:ln>
          <a:noFill/>
        </a:ln>
        <a:extLst>
          <a:ext uri="{909E8E84-426E-40DD-AFC4-6F175D3DCCD1}">
            <a14:hiddenFill xmlns:a14="http://schemas.microsoft.com/office/drawing/2010/main">
              <a:solidFill>
                <a:srgbClr val="000000">
                  <a:alpha val="99945"/>
                </a:srgbClr>
              </a:solidFill>
            </a14:hiddenFill>
          </a:ext>
          <a:ext uri="{91240B29-F687-4F45-9708-019B960494DF}">
            <a14:hiddenLine xmlns:a14="http://schemas.microsoft.com/office/drawing/2010/main" w="9525" cmpd="sng">
              <a:solidFill>
                <a:srgbClr val="000000">
                  <a:alpha val="99945"/>
                </a:srgbClr>
              </a:solidFill>
              <a:prstDash val="solid"/>
              <a:miter lim="800000"/>
              <a:headEnd type="none" w="med" len="med"/>
              <a:tailEnd type="none" w="med" len="med"/>
            </a14:hiddenLine>
          </a:ext>
        </a:extLst>
      </xdr:spPr>
    </xdr:pic>
    <xdr:clientData/>
  </xdr:twoCellAnchor>
  <xdr:twoCellAnchor editAs="oneCell">
    <xdr:from>
      <xdr:col>0</xdr:col>
      <xdr:colOff>0</xdr:colOff>
      <xdr:row>34</xdr:row>
      <xdr:rowOff>0</xdr:rowOff>
    </xdr:from>
    <xdr:to>
      <xdr:col>4</xdr:col>
      <xdr:colOff>133350</xdr:colOff>
      <xdr:row>71</xdr:row>
      <xdr:rowOff>19050</xdr:rowOff>
    </xdr:to>
    <xdr:pic>
      <xdr:nvPicPr>
        <xdr:cNvPr id="5" name="Picture3" descr="Picture3">
          <a:extLst>
            <a:ext uri="{FF2B5EF4-FFF2-40B4-BE49-F238E27FC236}">
              <a16:creationId xmlns:a16="http://schemas.microsoft.com/office/drawing/2014/main" id="{00000000-0008-0000-15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8316575"/>
          <a:ext cx="3810000" cy="2381250"/>
        </a:xfrm>
        <a:prstGeom prst="rect">
          <a:avLst/>
        </a:prstGeom>
        <a:noFill/>
        <a:ln>
          <a:noFill/>
        </a:ln>
        <a:extLst>
          <a:ext uri="{909E8E84-426E-40DD-AFC4-6F175D3DCCD1}">
            <a14:hiddenFill xmlns:a14="http://schemas.microsoft.com/office/drawing/2010/main">
              <a:solidFill>
                <a:srgbClr val="000000">
                  <a:alpha val="99945"/>
                </a:srgbClr>
              </a:solidFill>
            </a14:hiddenFill>
          </a:ext>
          <a:ext uri="{91240B29-F687-4F45-9708-019B960494DF}">
            <a14:hiddenLine xmlns:a14="http://schemas.microsoft.com/office/drawing/2010/main" w="9525" cmpd="sng">
              <a:solidFill>
                <a:srgbClr val="000000">
                  <a:alpha val="99945"/>
                </a:srgbClr>
              </a:solidFill>
              <a:prstDash val="solid"/>
              <a:miter lim="800000"/>
              <a:headEnd type="none" w="med" len="med"/>
              <a:tailEnd type="none" w="med" len="med"/>
            </a14:hiddenLine>
          </a:ext>
        </a:extLst>
      </xdr:spPr>
    </xdr:pic>
    <xdr:clientData/>
  </xdr:twoCellAnchor>
  <xdr:twoCellAnchor editAs="oneCell">
    <xdr:from>
      <xdr:col>0</xdr:col>
      <xdr:colOff>0</xdr:colOff>
      <xdr:row>36</xdr:row>
      <xdr:rowOff>0</xdr:rowOff>
    </xdr:from>
    <xdr:to>
      <xdr:col>4</xdr:col>
      <xdr:colOff>133350</xdr:colOff>
      <xdr:row>60</xdr:row>
      <xdr:rowOff>0</xdr:rowOff>
    </xdr:to>
    <xdr:pic>
      <xdr:nvPicPr>
        <xdr:cNvPr id="6" name="Picture4" descr="Picture4">
          <a:extLst>
            <a:ext uri="{FF2B5EF4-FFF2-40B4-BE49-F238E27FC236}">
              <a16:creationId xmlns:a16="http://schemas.microsoft.com/office/drawing/2014/main" id="{00000000-0008-0000-15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21183600"/>
          <a:ext cx="3810000" cy="2381250"/>
        </a:xfrm>
        <a:prstGeom prst="rect">
          <a:avLst/>
        </a:prstGeom>
        <a:noFill/>
        <a:ln>
          <a:noFill/>
        </a:ln>
        <a:extLst>
          <a:ext uri="{909E8E84-426E-40DD-AFC4-6F175D3DCCD1}">
            <a14:hiddenFill xmlns:a14="http://schemas.microsoft.com/office/drawing/2010/main">
              <a:solidFill>
                <a:srgbClr val="000000">
                  <a:alpha val="99945"/>
                </a:srgbClr>
              </a:solidFill>
            </a14:hiddenFill>
          </a:ext>
          <a:ext uri="{91240B29-F687-4F45-9708-019B960494DF}">
            <a14:hiddenLine xmlns:a14="http://schemas.microsoft.com/office/drawing/2010/main" w="9525" cmpd="sng">
              <a:solidFill>
                <a:srgbClr val="000000">
                  <a:alpha val="99945"/>
                </a:srgbClr>
              </a:solidFill>
              <a:prstDash val="solid"/>
              <a:miter lim="800000"/>
              <a:headEnd type="none" w="med" len="med"/>
              <a:tailEnd type="none" w="med" len="me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customProperty" Target="../customProperty3.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0.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6.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6.bin"/><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3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customProperty" Target="../customProperty7.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8.bin"/><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3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customProperty" Target="../customProperty9.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customProperty" Target="../customProperty10.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customProperty" Target="../customProperty11.bin"/><Relationship Id="rId1" Type="http://schemas.openxmlformats.org/officeDocument/2006/relationships/printerSettings" Target="../printerSettings/printerSettings9.bin"/><Relationship Id="rId4" Type="http://schemas.openxmlformats.org/officeDocument/2006/relationships/comments" Target="../comments6.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customProperty" Target="../customProperty12.bin"/><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customProperty" Target="../customProperty13.bin"/><Relationship Id="rId1" Type="http://schemas.openxmlformats.org/officeDocument/2006/relationships/printerSettings" Target="../printerSettings/printerSettings11.bin"/><Relationship Id="rId4" Type="http://schemas.openxmlformats.org/officeDocument/2006/relationships/comments" Target="../comments8.xml"/></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customProperty" Target="../customProperty14.bin"/><Relationship Id="rId1" Type="http://schemas.openxmlformats.org/officeDocument/2006/relationships/printerSettings" Target="../printerSettings/printerSettings12.bin"/><Relationship Id="rId4" Type="http://schemas.openxmlformats.org/officeDocument/2006/relationships/comments" Target="../comments9.xml"/></Relationships>
</file>

<file path=xl/worksheets/_rels/sheet4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customProperty" Target="../customProperty15.bin"/></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customProperty" Target="../customProperty16.bin"/><Relationship Id="rId1" Type="http://schemas.openxmlformats.org/officeDocument/2006/relationships/printerSettings" Target="../printerSettings/printerSettings13.bin"/><Relationship Id="rId4" Type="http://schemas.openxmlformats.org/officeDocument/2006/relationships/comments" Target="../comments11.xml"/></Relationships>
</file>

<file path=xl/worksheets/_rels/sheet4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customProperty" Target="../customProperty17.bin"/></Relationships>
</file>

<file path=xl/worksheets/_rels/sheet4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customProperty" Target="../customProperty18.bin"/><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customProperty" Target="../customProperty19.bin"/><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4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customProperty" Target="../customProperty20.bin"/></Relationships>
</file>

<file path=xl/worksheets/_rels/sheet4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customProperty" Target="../customProperty21.bin"/><Relationship Id="rId1" Type="http://schemas.openxmlformats.org/officeDocument/2006/relationships/printerSettings" Target="../printerSettings/printerSettings16.bin"/><Relationship Id="rId4" Type="http://schemas.openxmlformats.org/officeDocument/2006/relationships/comments" Target="../comments16.xml"/></Relationships>
</file>

<file path=xl/worksheets/_rels/sheet4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customProperty" Target="../customProperty22.bin"/></Relationships>
</file>

<file path=xl/worksheets/_rels/sheet4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customProperty" Target="../customProperty23.bin"/></Relationships>
</file>

<file path=xl/worksheets/_rels/sheet4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customProperty" Target="../customProperty24.bin"/></Relationships>
</file>

<file path=xl/worksheets/_rels/sheet5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customProperty" Target="../customProperty25.bin"/><Relationship Id="rId1" Type="http://schemas.openxmlformats.org/officeDocument/2006/relationships/printerSettings" Target="../printerSettings/printerSettings17.bin"/><Relationship Id="rId4" Type="http://schemas.openxmlformats.org/officeDocument/2006/relationships/comments" Target="../comments20.xml"/></Relationships>
</file>

<file path=xl/worksheets/_rels/sheet51.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G14:K21"/>
  <sheetViews>
    <sheetView topLeftCell="A10" workbookViewId="0">
      <selection activeCell="G27" sqref="G27"/>
    </sheetView>
  </sheetViews>
  <sheetFormatPr defaultColWidth="9.265625" defaultRowHeight="15.4" x14ac:dyDescent="0.45"/>
  <cols>
    <col min="1" max="6" width="9.265625" style="351"/>
    <col min="7" max="7" width="33.3984375" style="351" bestFit="1" customWidth="1"/>
    <col min="8" max="16384" width="9.265625" style="351"/>
  </cols>
  <sheetData>
    <row r="14" spans="7:11" x14ac:dyDescent="0.45">
      <c r="G14" s="352" t="s">
        <v>0</v>
      </c>
      <c r="H14" s="352" t="s">
        <v>1</v>
      </c>
      <c r="I14" s="352"/>
      <c r="J14" s="353"/>
      <c r="K14" s="353"/>
    </row>
    <row r="15" spans="7:11" x14ac:dyDescent="0.45">
      <c r="G15" s="352"/>
      <c r="H15" s="352"/>
      <c r="I15" s="352"/>
      <c r="J15" s="353"/>
      <c r="K15" s="353"/>
    </row>
    <row r="16" spans="7:11" x14ac:dyDescent="0.45">
      <c r="G16" s="354"/>
      <c r="H16" s="352"/>
      <c r="I16" s="352"/>
      <c r="J16" s="353"/>
      <c r="K16" s="353"/>
    </row>
    <row r="17" spans="7:11" x14ac:dyDescent="0.45">
      <c r="G17" s="355" t="s">
        <v>2</v>
      </c>
      <c r="H17" s="356" t="s">
        <v>3</v>
      </c>
      <c r="I17" s="352"/>
      <c r="J17" s="353"/>
      <c r="K17" s="353"/>
    </row>
    <row r="18" spans="7:11" x14ac:dyDescent="0.45">
      <c r="G18" s="352"/>
      <c r="H18" s="352"/>
      <c r="I18" s="352"/>
      <c r="J18" s="353"/>
      <c r="K18" s="353"/>
    </row>
    <row r="19" spans="7:11" x14ac:dyDescent="0.45">
      <c r="G19" s="354"/>
      <c r="H19" s="354"/>
      <c r="I19" s="352"/>
      <c r="J19" s="353"/>
      <c r="K19" s="353"/>
    </row>
    <row r="20" spans="7:11" x14ac:dyDescent="0.45">
      <c r="G20" s="354" t="s">
        <v>4</v>
      </c>
      <c r="H20" s="352" t="s">
        <v>5</v>
      </c>
      <c r="I20" s="352"/>
      <c r="J20" s="353"/>
      <c r="K20" s="353"/>
    </row>
    <row r="21" spans="7:11" x14ac:dyDescent="0.45">
      <c r="G21" s="353"/>
      <c r="H21" s="353"/>
      <c r="I21" s="353"/>
      <c r="J21" s="353"/>
      <c r="K21" s="353"/>
    </row>
  </sheetData>
  <pageMargins left="0.7" right="0.7" top="0.75" bottom="0.75" header="0.3" footer="0.3"/>
  <pageSetup orientation="portrait" r:id="rId1"/>
  <customProperties>
    <customPr name="LastActive" r:id="rId2"/>
  </customPropertie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7030A0"/>
  </sheetPr>
  <dimension ref="A1:Z61"/>
  <sheetViews>
    <sheetView showGridLines="0" workbookViewId="0">
      <selection activeCell="C15" sqref="C14:C15"/>
    </sheetView>
  </sheetViews>
  <sheetFormatPr defaultRowHeight="14.25" x14ac:dyDescent="0.45"/>
  <sheetData>
    <row r="1" spans="1:26" x14ac:dyDescent="0.45">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row>
    <row r="2" spans="1:26" x14ac:dyDescent="0.45">
      <c r="A2" s="123"/>
      <c r="B2" s="123"/>
      <c r="C2" s="123"/>
      <c r="D2" s="123"/>
      <c r="E2" s="123"/>
      <c r="F2" s="123"/>
      <c r="G2" s="123"/>
      <c r="H2" s="123"/>
      <c r="I2" s="123"/>
      <c r="J2" s="123"/>
      <c r="K2" s="123"/>
      <c r="L2" s="123"/>
      <c r="M2" s="123"/>
      <c r="N2" s="123"/>
      <c r="O2" s="123"/>
      <c r="P2" s="123"/>
      <c r="Q2" s="123"/>
      <c r="R2" s="123"/>
      <c r="S2" s="123"/>
      <c r="T2" s="123"/>
      <c r="U2" s="123"/>
      <c r="V2" s="123"/>
      <c r="W2" s="123"/>
      <c r="X2" s="123"/>
      <c r="Y2" s="123"/>
      <c r="Z2" s="123"/>
    </row>
    <row r="3" spans="1:26" x14ac:dyDescent="0.45">
      <c r="A3" s="123"/>
      <c r="B3" s="123"/>
      <c r="C3" s="123"/>
      <c r="D3" s="123"/>
      <c r="E3" s="123"/>
      <c r="F3" s="123"/>
      <c r="G3" s="123"/>
      <c r="H3" s="123"/>
      <c r="I3" s="123"/>
      <c r="J3" s="123"/>
      <c r="K3" s="123"/>
      <c r="L3" s="123"/>
      <c r="M3" s="123"/>
      <c r="N3" s="123"/>
      <c r="O3" s="123"/>
      <c r="P3" s="123"/>
      <c r="Q3" s="123"/>
      <c r="R3" s="123"/>
      <c r="S3" s="123"/>
      <c r="T3" s="123"/>
      <c r="U3" s="123"/>
      <c r="V3" s="123"/>
      <c r="W3" s="123"/>
      <c r="X3" s="123"/>
      <c r="Y3" s="123"/>
      <c r="Z3" s="123"/>
    </row>
    <row r="4" spans="1:26" x14ac:dyDescent="0.45">
      <c r="A4" s="123"/>
      <c r="B4" s="123"/>
      <c r="C4" s="123"/>
      <c r="D4" s="123"/>
      <c r="E4" s="123"/>
      <c r="F4" s="123"/>
      <c r="G4" s="123"/>
      <c r="H4" s="123"/>
      <c r="I4" s="123"/>
      <c r="J4" s="123"/>
      <c r="K4" s="123"/>
      <c r="L4" s="123"/>
      <c r="M4" s="123"/>
      <c r="N4" s="123"/>
      <c r="O4" s="123"/>
      <c r="P4" s="123"/>
      <c r="Q4" s="123"/>
      <c r="R4" s="123"/>
      <c r="S4" s="123"/>
      <c r="T4" s="123"/>
      <c r="U4" s="123"/>
      <c r="V4" s="123"/>
      <c r="W4" s="123"/>
      <c r="X4" s="123"/>
      <c r="Y4" s="123"/>
      <c r="Z4" s="123"/>
    </row>
    <row r="5" spans="1:26" x14ac:dyDescent="0.45">
      <c r="A5" s="123"/>
      <c r="B5" s="123"/>
      <c r="C5" s="123"/>
      <c r="D5" s="123"/>
      <c r="E5" s="123"/>
      <c r="F5" s="123"/>
      <c r="G5" s="123"/>
      <c r="H5" s="123"/>
      <c r="I5" s="123"/>
      <c r="J5" s="123"/>
      <c r="K5" s="123"/>
      <c r="L5" s="123"/>
      <c r="M5" s="123"/>
      <c r="N5" s="123"/>
      <c r="O5" s="123"/>
      <c r="P5" s="123"/>
      <c r="Q5" s="123"/>
      <c r="R5" s="123"/>
      <c r="S5" s="123"/>
      <c r="T5" s="123"/>
      <c r="U5" s="123"/>
      <c r="V5" s="123"/>
      <c r="W5" s="123"/>
      <c r="X5" s="123"/>
      <c r="Y5" s="123"/>
      <c r="Z5" s="123"/>
    </row>
    <row r="6" spans="1:26" x14ac:dyDescent="0.45">
      <c r="A6" s="123"/>
      <c r="B6" s="123"/>
      <c r="C6" s="123"/>
      <c r="D6" s="123"/>
      <c r="E6" s="123"/>
      <c r="F6" s="123"/>
      <c r="G6" s="123"/>
      <c r="H6" s="123"/>
      <c r="I6" s="123"/>
      <c r="J6" s="123"/>
      <c r="K6" s="123"/>
      <c r="L6" s="123"/>
      <c r="M6" s="123"/>
      <c r="N6" s="123"/>
      <c r="O6" s="123"/>
      <c r="P6" s="123"/>
      <c r="Q6" s="123"/>
      <c r="R6" s="123"/>
      <c r="S6" s="123"/>
      <c r="T6" s="123"/>
      <c r="U6" s="123"/>
      <c r="V6" s="123"/>
      <c r="W6" s="123"/>
      <c r="X6" s="123"/>
      <c r="Y6" s="123"/>
      <c r="Z6" s="123"/>
    </row>
    <row r="7" spans="1:26" x14ac:dyDescent="0.45">
      <c r="A7" s="123"/>
      <c r="B7" s="123"/>
      <c r="C7" s="123"/>
      <c r="D7" s="123"/>
      <c r="E7" s="123"/>
      <c r="F7" s="123"/>
      <c r="G7" s="123"/>
      <c r="H7" s="123"/>
      <c r="I7" s="123"/>
      <c r="J7" s="123"/>
      <c r="K7" s="123"/>
      <c r="L7" s="123"/>
      <c r="M7" s="123"/>
      <c r="N7" s="123"/>
      <c r="O7" s="123"/>
      <c r="P7" s="123"/>
      <c r="Q7" s="123"/>
      <c r="R7" s="123"/>
      <c r="S7" s="123"/>
      <c r="T7" s="123"/>
      <c r="U7" s="123"/>
      <c r="V7" s="123"/>
      <c r="W7" s="123"/>
      <c r="X7" s="123"/>
      <c r="Y7" s="123"/>
      <c r="Z7" s="123"/>
    </row>
    <row r="8" spans="1:26" x14ac:dyDescent="0.45">
      <c r="A8" s="123"/>
      <c r="B8" s="123"/>
      <c r="C8" s="123"/>
      <c r="D8" s="123"/>
      <c r="E8" s="123"/>
      <c r="F8" s="123"/>
      <c r="G8" s="123"/>
      <c r="H8" s="123"/>
      <c r="I8" s="123"/>
      <c r="J8" s="123"/>
      <c r="K8" s="123"/>
      <c r="L8" s="123"/>
      <c r="M8" s="123"/>
      <c r="N8" s="123"/>
      <c r="O8" s="123"/>
      <c r="P8" s="123"/>
      <c r="Q8" s="123"/>
      <c r="R8" s="123"/>
      <c r="S8" s="123"/>
      <c r="T8" s="123"/>
      <c r="U8" s="123"/>
      <c r="V8" s="123"/>
      <c r="W8" s="123"/>
      <c r="X8" s="123"/>
      <c r="Y8" s="123"/>
      <c r="Z8" s="123"/>
    </row>
    <row r="9" spans="1:26" x14ac:dyDescent="0.45">
      <c r="A9" s="123"/>
      <c r="B9" s="123"/>
      <c r="C9" s="123"/>
      <c r="D9" s="123"/>
      <c r="E9" s="123"/>
      <c r="F9" s="123"/>
      <c r="G9" s="123"/>
      <c r="H9" s="123"/>
      <c r="I9" s="123"/>
      <c r="J9" s="123"/>
      <c r="K9" s="123"/>
      <c r="L9" s="123"/>
      <c r="M9" s="123"/>
      <c r="N9" s="123"/>
      <c r="O9" s="123"/>
      <c r="P9" s="123"/>
      <c r="Q9" s="123"/>
      <c r="R9" s="123"/>
      <c r="S9" s="123"/>
      <c r="T9" s="123"/>
      <c r="U9" s="123"/>
      <c r="V9" s="123"/>
      <c r="W9" s="123"/>
      <c r="X9" s="123"/>
      <c r="Y9" s="123"/>
      <c r="Z9" s="123"/>
    </row>
    <row r="10" spans="1:26" x14ac:dyDescent="0.45">
      <c r="A10" s="123"/>
      <c r="B10" s="123"/>
      <c r="C10" s="123"/>
      <c r="D10" s="123"/>
      <c r="E10" s="123"/>
      <c r="F10" s="123"/>
      <c r="G10" s="123"/>
      <c r="H10" s="123"/>
      <c r="I10" s="123"/>
      <c r="J10" s="123"/>
      <c r="K10" s="123"/>
      <c r="L10" s="123"/>
      <c r="M10" s="123"/>
      <c r="N10" s="123"/>
      <c r="O10" s="123"/>
      <c r="P10" s="123"/>
      <c r="Q10" s="123"/>
      <c r="R10" s="123"/>
      <c r="S10" s="123"/>
      <c r="T10" s="123"/>
      <c r="U10" s="123"/>
      <c r="V10" s="123"/>
      <c r="W10" s="123"/>
      <c r="X10" s="123"/>
      <c r="Y10" s="123"/>
      <c r="Z10" s="123"/>
    </row>
    <row r="11" spans="1:26" x14ac:dyDescent="0.45">
      <c r="A11" s="123"/>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row>
    <row r="12" spans="1:26" x14ac:dyDescent="0.45">
      <c r="A12" s="123"/>
      <c r="B12" s="123"/>
      <c r="C12" s="123"/>
      <c r="D12" s="123"/>
      <c r="E12" s="123"/>
      <c r="F12" s="123"/>
      <c r="G12" s="123"/>
      <c r="H12" s="123"/>
      <c r="I12" s="123"/>
      <c r="J12" s="123"/>
      <c r="K12" s="123"/>
      <c r="L12" s="123"/>
      <c r="M12" s="123"/>
      <c r="N12" s="123"/>
      <c r="O12" s="123"/>
      <c r="P12" s="123"/>
      <c r="Q12" s="123"/>
      <c r="R12" s="123"/>
      <c r="S12" s="123"/>
      <c r="T12" s="123"/>
      <c r="U12" s="123"/>
      <c r="V12" s="123"/>
      <c r="W12" s="123"/>
      <c r="X12" s="123"/>
      <c r="Y12" s="123"/>
      <c r="Z12" s="123"/>
    </row>
    <row r="13" spans="1:26" x14ac:dyDescent="0.45">
      <c r="A13" s="123"/>
      <c r="B13" s="123"/>
      <c r="C13" s="123"/>
      <c r="D13" s="123"/>
      <c r="E13" s="123"/>
      <c r="F13" s="123"/>
      <c r="G13" s="123"/>
      <c r="H13" s="123"/>
      <c r="I13" s="123"/>
      <c r="J13" s="123"/>
      <c r="K13" s="123"/>
      <c r="L13" s="123"/>
      <c r="M13" s="123"/>
      <c r="N13" s="123"/>
      <c r="O13" s="123"/>
      <c r="P13" s="123"/>
      <c r="Q13" s="123"/>
      <c r="R13" s="123"/>
      <c r="S13" s="123"/>
      <c r="T13" s="123"/>
      <c r="U13" s="123"/>
      <c r="V13" s="123"/>
      <c r="W13" s="123"/>
      <c r="X13" s="123"/>
      <c r="Y13" s="123"/>
      <c r="Z13" s="123"/>
    </row>
    <row r="14" spans="1:26" x14ac:dyDescent="0.45">
      <c r="A14" s="123"/>
      <c r="B14" s="123"/>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row>
    <row r="15" spans="1:26" x14ac:dyDescent="0.45">
      <c r="A15" s="123"/>
      <c r="B15" s="123"/>
      <c r="C15" s="123"/>
      <c r="D15" s="123"/>
      <c r="E15" s="123"/>
      <c r="F15" s="123"/>
      <c r="G15" s="123"/>
      <c r="H15" s="123"/>
      <c r="I15" s="123"/>
      <c r="J15" s="123"/>
      <c r="K15" s="123"/>
      <c r="L15" s="123"/>
      <c r="M15" s="123"/>
      <c r="N15" s="123"/>
      <c r="O15" s="123"/>
      <c r="P15" s="123"/>
      <c r="Q15" s="123"/>
      <c r="R15" s="123"/>
      <c r="S15" s="123"/>
      <c r="T15" s="123"/>
      <c r="U15" s="123"/>
      <c r="V15" s="123"/>
      <c r="W15" s="123"/>
      <c r="X15" s="123"/>
      <c r="Y15" s="123"/>
      <c r="Z15" s="123"/>
    </row>
    <row r="16" spans="1:26" x14ac:dyDescent="0.45">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row>
    <row r="17" spans="1:26" x14ac:dyDescent="0.45">
      <c r="A17" s="123"/>
      <c r="B17" s="123"/>
      <c r="C17" s="123"/>
      <c r="D17" s="123"/>
      <c r="E17" s="123"/>
      <c r="F17" s="123"/>
      <c r="G17" s="123"/>
      <c r="H17" s="123"/>
      <c r="I17" s="123"/>
      <c r="J17" s="123"/>
      <c r="K17" s="123"/>
      <c r="L17" s="123"/>
      <c r="M17" s="123"/>
      <c r="N17" s="123"/>
      <c r="O17" s="123"/>
      <c r="P17" s="123"/>
      <c r="Q17" s="123"/>
      <c r="R17" s="123"/>
      <c r="S17" s="123"/>
      <c r="T17" s="123"/>
      <c r="U17" s="123"/>
      <c r="V17" s="123"/>
      <c r="W17" s="123"/>
      <c r="X17" s="123"/>
      <c r="Y17" s="123"/>
      <c r="Z17" s="123"/>
    </row>
    <row r="18" spans="1:26" x14ac:dyDescent="0.45">
      <c r="A18" s="123"/>
      <c r="B18" s="123"/>
      <c r="C18" s="123"/>
      <c r="D18" s="123"/>
      <c r="E18" s="123"/>
      <c r="F18" s="123"/>
      <c r="G18" s="123"/>
      <c r="H18" s="123"/>
      <c r="I18" s="123"/>
      <c r="J18" s="123"/>
      <c r="K18" s="123"/>
      <c r="L18" s="123"/>
      <c r="M18" s="123"/>
      <c r="N18" s="123"/>
      <c r="O18" s="123"/>
      <c r="P18" s="123"/>
      <c r="Q18" s="123"/>
      <c r="R18" s="123"/>
      <c r="S18" s="123"/>
      <c r="T18" s="123"/>
      <c r="U18" s="123"/>
      <c r="V18" s="123"/>
      <c r="W18" s="123"/>
      <c r="X18" s="123"/>
      <c r="Y18" s="123"/>
      <c r="Z18" s="123"/>
    </row>
    <row r="19" spans="1:26" x14ac:dyDescent="0.45">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row>
    <row r="20" spans="1:26" x14ac:dyDescent="0.45">
      <c r="A20" s="123"/>
      <c r="B20" s="123"/>
      <c r="C20" s="123"/>
      <c r="D20" s="123"/>
      <c r="E20" s="123"/>
      <c r="F20" s="123"/>
      <c r="G20" s="123"/>
      <c r="H20" s="123"/>
      <c r="I20" s="123"/>
      <c r="J20" s="123"/>
      <c r="K20" s="123"/>
      <c r="L20" s="123"/>
      <c r="M20" s="123"/>
      <c r="N20" s="123"/>
      <c r="O20" s="123"/>
      <c r="P20" s="123"/>
      <c r="Q20" s="123"/>
      <c r="R20" s="123"/>
      <c r="S20" s="123"/>
      <c r="T20" s="123"/>
      <c r="U20" s="123"/>
      <c r="V20" s="123"/>
      <c r="W20" s="123"/>
      <c r="X20" s="123"/>
      <c r="Y20" s="123"/>
      <c r="Z20" s="123"/>
    </row>
    <row r="21" spans="1:26" x14ac:dyDescent="0.45">
      <c r="A21" s="123"/>
      <c r="B21" s="123"/>
      <c r="C21" s="123"/>
      <c r="D21" s="123"/>
      <c r="E21" s="123"/>
      <c r="F21" s="123"/>
      <c r="G21" s="123"/>
      <c r="H21" s="123"/>
      <c r="I21" s="123"/>
      <c r="J21" s="123"/>
      <c r="K21" s="123"/>
      <c r="L21" s="123"/>
      <c r="M21" s="123"/>
      <c r="N21" s="123"/>
      <c r="O21" s="123"/>
      <c r="P21" s="123"/>
      <c r="Q21" s="123"/>
      <c r="R21" s="123"/>
      <c r="S21" s="123"/>
      <c r="T21" s="123"/>
      <c r="U21" s="123"/>
      <c r="V21" s="123"/>
      <c r="W21" s="123"/>
      <c r="X21" s="123"/>
      <c r="Y21" s="123"/>
      <c r="Z21" s="123"/>
    </row>
    <row r="22" spans="1:26" x14ac:dyDescent="0.45">
      <c r="A22" s="123"/>
      <c r="B22" s="123"/>
      <c r="C22" s="123"/>
      <c r="D22" s="123"/>
      <c r="E22" s="123"/>
      <c r="F22" s="123"/>
      <c r="G22" s="123"/>
      <c r="H22" s="123"/>
      <c r="I22" s="123"/>
      <c r="J22" s="123"/>
      <c r="K22" s="123"/>
      <c r="L22" s="123"/>
      <c r="M22" s="123"/>
      <c r="N22" s="123"/>
      <c r="O22" s="123"/>
      <c r="P22" s="123"/>
      <c r="Q22" s="123"/>
      <c r="R22" s="123"/>
      <c r="S22" s="123"/>
      <c r="T22" s="123"/>
      <c r="U22" s="123"/>
      <c r="V22" s="123"/>
      <c r="W22" s="123"/>
      <c r="X22" s="123"/>
      <c r="Y22" s="123"/>
      <c r="Z22" s="123"/>
    </row>
    <row r="23" spans="1:26" x14ac:dyDescent="0.45">
      <c r="A23" s="123"/>
      <c r="B23" s="123"/>
      <c r="C23" s="123"/>
      <c r="D23" s="123"/>
      <c r="E23" s="123"/>
      <c r="F23" s="123"/>
      <c r="G23" s="123"/>
      <c r="H23" s="123"/>
      <c r="I23" s="123"/>
      <c r="J23" s="123"/>
      <c r="K23" s="123"/>
      <c r="L23" s="123"/>
      <c r="M23" s="123"/>
      <c r="N23" s="123"/>
      <c r="O23" s="123"/>
      <c r="P23" s="123"/>
      <c r="Q23" s="123"/>
      <c r="R23" s="123"/>
      <c r="S23" s="123"/>
      <c r="T23" s="123"/>
      <c r="U23" s="123"/>
      <c r="V23" s="123"/>
      <c r="W23" s="123"/>
      <c r="X23" s="123"/>
      <c r="Y23" s="123"/>
      <c r="Z23" s="123"/>
    </row>
    <row r="24" spans="1:26" x14ac:dyDescent="0.45">
      <c r="A24" s="123"/>
      <c r="B24" s="123"/>
      <c r="C24" s="123"/>
      <c r="D24" s="123"/>
      <c r="E24" s="123"/>
      <c r="F24" s="123"/>
      <c r="G24" s="123"/>
      <c r="H24" s="123"/>
      <c r="I24" s="123"/>
      <c r="J24" s="123"/>
      <c r="K24" s="123"/>
      <c r="L24" s="123"/>
      <c r="M24" s="123"/>
      <c r="N24" s="123"/>
      <c r="O24" s="123"/>
      <c r="P24" s="123"/>
      <c r="Q24" s="123"/>
      <c r="R24" s="123"/>
      <c r="S24" s="123"/>
      <c r="T24" s="123"/>
      <c r="U24" s="123"/>
      <c r="V24" s="123"/>
      <c r="W24" s="123"/>
      <c r="X24" s="123"/>
      <c r="Y24" s="123"/>
      <c r="Z24" s="123"/>
    </row>
    <row r="25" spans="1:26" x14ac:dyDescent="0.45">
      <c r="A25" s="123"/>
      <c r="B25" s="123"/>
      <c r="C25" s="123"/>
      <c r="D25" s="123"/>
      <c r="E25" s="123"/>
      <c r="F25" s="123"/>
      <c r="G25" s="123"/>
      <c r="H25" s="123"/>
      <c r="I25" s="123"/>
      <c r="J25" s="123"/>
      <c r="K25" s="123"/>
      <c r="L25" s="123"/>
      <c r="M25" s="123"/>
      <c r="N25" s="123"/>
      <c r="O25" s="123"/>
      <c r="P25" s="123"/>
      <c r="Q25" s="123"/>
      <c r="R25" s="123"/>
      <c r="S25" s="123"/>
      <c r="T25" s="123"/>
      <c r="U25" s="123"/>
      <c r="V25" s="123"/>
      <c r="W25" s="123"/>
      <c r="X25" s="123"/>
      <c r="Y25" s="123"/>
      <c r="Z25" s="123"/>
    </row>
    <row r="26" spans="1:26" x14ac:dyDescent="0.45">
      <c r="A26" s="123"/>
      <c r="B26" s="123"/>
      <c r="C26" s="123"/>
      <c r="D26" s="123"/>
      <c r="E26" s="123"/>
      <c r="F26" s="123"/>
      <c r="G26" s="123"/>
      <c r="H26" s="123"/>
      <c r="I26" s="123"/>
      <c r="J26" s="123"/>
      <c r="K26" s="123"/>
      <c r="L26" s="123"/>
      <c r="M26" s="123"/>
      <c r="N26" s="123"/>
      <c r="O26" s="123"/>
      <c r="P26" s="123"/>
      <c r="Q26" s="123"/>
      <c r="R26" s="123"/>
      <c r="S26" s="123"/>
      <c r="T26" s="123"/>
      <c r="U26" s="123"/>
      <c r="V26" s="123"/>
      <c r="W26" s="123"/>
      <c r="X26" s="123"/>
      <c r="Y26" s="123"/>
      <c r="Z26" s="123"/>
    </row>
    <row r="27" spans="1:26" x14ac:dyDescent="0.45">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row>
    <row r="28" spans="1:26" x14ac:dyDescent="0.45">
      <c r="A28" s="123"/>
      <c r="B28" s="123"/>
      <c r="C28" s="123"/>
      <c r="D28" s="123"/>
      <c r="E28" s="123"/>
      <c r="F28" s="123"/>
      <c r="G28" s="123"/>
      <c r="H28" s="123"/>
      <c r="I28" s="123"/>
      <c r="J28" s="123"/>
      <c r="K28" s="123"/>
      <c r="L28" s="123"/>
      <c r="M28" s="123"/>
      <c r="N28" s="123"/>
      <c r="O28" s="123"/>
      <c r="P28" s="123"/>
      <c r="Q28" s="123"/>
      <c r="R28" s="123"/>
      <c r="S28" s="123"/>
      <c r="T28" s="123"/>
      <c r="U28" s="123"/>
      <c r="V28" s="123"/>
      <c r="W28" s="123"/>
      <c r="X28" s="123"/>
      <c r="Y28" s="123"/>
      <c r="Z28" s="123"/>
    </row>
    <row r="29" spans="1:26" x14ac:dyDescent="0.45">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row>
    <row r="30" spans="1:26" x14ac:dyDescent="0.45">
      <c r="A30" s="123"/>
      <c r="B30" s="123"/>
      <c r="C30" s="123"/>
      <c r="D30" s="123"/>
      <c r="E30" s="123"/>
      <c r="F30" s="123"/>
      <c r="G30" s="123"/>
      <c r="H30" s="123"/>
      <c r="I30" s="123"/>
      <c r="J30" s="123"/>
      <c r="K30" s="123"/>
      <c r="L30" s="123"/>
      <c r="M30" s="123"/>
      <c r="N30" s="123"/>
      <c r="O30" s="123"/>
      <c r="P30" s="123"/>
      <c r="Q30" s="123"/>
      <c r="R30" s="123"/>
      <c r="S30" s="123"/>
      <c r="T30" s="123"/>
      <c r="U30" s="123"/>
      <c r="V30" s="123"/>
      <c r="W30" s="123"/>
      <c r="X30" s="123"/>
      <c r="Y30" s="123"/>
      <c r="Z30" s="123"/>
    </row>
    <row r="31" spans="1:26" x14ac:dyDescent="0.45">
      <c r="A31" s="123"/>
      <c r="B31" s="123"/>
      <c r="C31" s="123"/>
      <c r="D31" s="123"/>
      <c r="E31" s="123"/>
      <c r="F31" s="123"/>
      <c r="G31" s="123"/>
      <c r="H31" s="123"/>
      <c r="I31" s="123"/>
      <c r="J31" s="123"/>
      <c r="K31" s="123"/>
      <c r="L31" s="123"/>
      <c r="M31" s="123"/>
      <c r="N31" s="123"/>
      <c r="O31" s="123"/>
      <c r="P31" s="123"/>
      <c r="Q31" s="123"/>
      <c r="R31" s="123"/>
      <c r="S31" s="123"/>
      <c r="T31" s="123"/>
      <c r="U31" s="123"/>
      <c r="V31" s="123"/>
      <c r="W31" s="123"/>
      <c r="X31" s="123"/>
      <c r="Y31" s="123"/>
      <c r="Z31" s="123"/>
    </row>
    <row r="32" spans="1:26" x14ac:dyDescent="0.45">
      <c r="A32" s="123"/>
      <c r="B32" s="123"/>
      <c r="C32" s="123"/>
      <c r="D32" s="123"/>
      <c r="E32" s="123"/>
      <c r="F32" s="123"/>
      <c r="G32" s="123"/>
      <c r="H32" s="123"/>
      <c r="I32" s="123"/>
      <c r="J32" s="123"/>
      <c r="K32" s="123"/>
      <c r="L32" s="123"/>
      <c r="M32" s="123"/>
      <c r="N32" s="123"/>
      <c r="O32" s="123"/>
      <c r="P32" s="123"/>
      <c r="Q32" s="123"/>
      <c r="R32" s="123"/>
      <c r="S32" s="123"/>
      <c r="T32" s="123"/>
      <c r="U32" s="123"/>
      <c r="V32" s="123"/>
      <c r="W32" s="123"/>
      <c r="X32" s="123"/>
      <c r="Y32" s="123"/>
      <c r="Z32" s="123"/>
    </row>
    <row r="33" spans="1:26" x14ac:dyDescent="0.45">
      <c r="A33" s="123"/>
      <c r="B33" s="123"/>
      <c r="C33" s="123"/>
      <c r="D33" s="123"/>
      <c r="E33" s="123"/>
      <c r="F33" s="123"/>
      <c r="G33" s="123"/>
      <c r="H33" s="123"/>
      <c r="I33" s="123"/>
      <c r="J33" s="123"/>
      <c r="K33" s="123"/>
      <c r="L33" s="123"/>
      <c r="M33" s="123"/>
      <c r="N33" s="123"/>
      <c r="O33" s="123"/>
      <c r="P33" s="123"/>
      <c r="Q33" s="123"/>
      <c r="R33" s="123"/>
      <c r="S33" s="123"/>
      <c r="T33" s="123"/>
      <c r="U33" s="123"/>
      <c r="V33" s="123"/>
      <c r="W33" s="123"/>
      <c r="X33" s="123"/>
      <c r="Y33" s="123"/>
      <c r="Z33" s="123"/>
    </row>
    <row r="34" spans="1:26" x14ac:dyDescent="0.45">
      <c r="A34" s="123"/>
      <c r="B34" s="123"/>
      <c r="C34" s="123"/>
      <c r="D34" s="123"/>
      <c r="E34" s="123"/>
      <c r="F34" s="123"/>
      <c r="G34" s="123"/>
      <c r="H34" s="123"/>
      <c r="I34" s="123"/>
      <c r="J34" s="123"/>
      <c r="K34" s="123"/>
      <c r="L34" s="123"/>
      <c r="M34" s="123"/>
      <c r="N34" s="123"/>
      <c r="O34" s="123"/>
      <c r="P34" s="123"/>
      <c r="Q34" s="123"/>
      <c r="R34" s="123"/>
      <c r="S34" s="123"/>
      <c r="T34" s="123"/>
      <c r="U34" s="123"/>
      <c r="V34" s="123"/>
      <c r="W34" s="123"/>
      <c r="X34" s="123"/>
      <c r="Y34" s="123"/>
      <c r="Z34" s="123"/>
    </row>
    <row r="35" spans="1:26" x14ac:dyDescent="0.45">
      <c r="A35" s="123"/>
      <c r="B35" s="123"/>
      <c r="C35" s="123"/>
      <c r="D35" s="123"/>
      <c r="E35" s="123"/>
      <c r="F35" s="123"/>
      <c r="G35" s="123"/>
      <c r="H35" s="123"/>
      <c r="I35" s="123"/>
      <c r="J35" s="123"/>
      <c r="K35" s="123"/>
      <c r="L35" s="123"/>
      <c r="M35" s="123"/>
      <c r="N35" s="123"/>
      <c r="O35" s="123"/>
      <c r="P35" s="123"/>
      <c r="Q35" s="123"/>
      <c r="R35" s="123"/>
      <c r="S35" s="123"/>
      <c r="T35" s="123"/>
      <c r="U35" s="123"/>
      <c r="V35" s="123"/>
      <c r="W35" s="123"/>
      <c r="X35" s="123"/>
      <c r="Y35" s="123"/>
      <c r="Z35" s="123"/>
    </row>
    <row r="36" spans="1:26" x14ac:dyDescent="0.45">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row>
    <row r="37" spans="1:26" x14ac:dyDescent="0.45">
      <c r="A37" s="123"/>
      <c r="B37" s="123"/>
      <c r="C37" s="123"/>
      <c r="D37" s="123"/>
      <c r="E37" s="123"/>
      <c r="F37" s="123"/>
      <c r="G37" s="123"/>
      <c r="H37" s="123"/>
      <c r="I37" s="123"/>
      <c r="J37" s="123"/>
      <c r="K37" s="123"/>
      <c r="L37" s="123"/>
      <c r="M37" s="123"/>
      <c r="N37" s="123"/>
      <c r="O37" s="123"/>
      <c r="P37" s="123"/>
      <c r="Q37" s="123"/>
      <c r="R37" s="123"/>
      <c r="S37" s="123"/>
      <c r="T37" s="123"/>
      <c r="U37" s="123"/>
      <c r="V37" s="123"/>
      <c r="W37" s="123"/>
      <c r="X37" s="123"/>
      <c r="Y37" s="123"/>
      <c r="Z37" s="123"/>
    </row>
    <row r="38" spans="1:26" x14ac:dyDescent="0.45">
      <c r="A38" s="123"/>
      <c r="B38" s="123"/>
      <c r="C38" s="123"/>
      <c r="D38" s="123"/>
      <c r="E38" s="123"/>
      <c r="F38" s="123"/>
      <c r="G38" s="123"/>
      <c r="H38" s="123"/>
      <c r="I38" s="123"/>
      <c r="J38" s="123"/>
      <c r="K38" s="123"/>
      <c r="L38" s="123"/>
      <c r="M38" s="123"/>
      <c r="N38" s="123"/>
      <c r="O38" s="123"/>
      <c r="P38" s="123"/>
      <c r="Q38" s="123"/>
      <c r="R38" s="123"/>
      <c r="S38" s="123"/>
      <c r="T38" s="123"/>
      <c r="U38" s="123"/>
      <c r="V38" s="123"/>
      <c r="W38" s="123"/>
      <c r="X38" s="123"/>
      <c r="Y38" s="123"/>
      <c r="Z38" s="123"/>
    </row>
    <row r="39" spans="1:26" x14ac:dyDescent="0.45">
      <c r="A39" s="123"/>
      <c r="B39" s="123"/>
      <c r="C39" s="123"/>
      <c r="D39" s="123"/>
      <c r="E39" s="123"/>
      <c r="F39" s="123"/>
      <c r="G39" s="123"/>
      <c r="H39" s="123"/>
      <c r="I39" s="123"/>
      <c r="J39" s="123"/>
      <c r="K39" s="123"/>
      <c r="L39" s="123"/>
      <c r="M39" s="123"/>
      <c r="N39" s="123"/>
      <c r="O39" s="123"/>
      <c r="P39" s="123"/>
      <c r="Q39" s="123"/>
      <c r="R39" s="123"/>
      <c r="S39" s="123"/>
      <c r="T39" s="123"/>
      <c r="U39" s="123"/>
      <c r="V39" s="123"/>
      <c r="W39" s="123"/>
      <c r="X39" s="123"/>
      <c r="Y39" s="123"/>
      <c r="Z39" s="123"/>
    </row>
    <row r="40" spans="1:26" x14ac:dyDescent="0.45">
      <c r="A40" s="123"/>
      <c r="B40" s="123"/>
      <c r="C40" s="123"/>
      <c r="D40" s="123"/>
      <c r="E40" s="123"/>
      <c r="F40" s="123"/>
      <c r="G40" s="123"/>
      <c r="H40" s="123"/>
      <c r="I40" s="123"/>
      <c r="J40" s="123"/>
      <c r="K40" s="123"/>
      <c r="L40" s="123"/>
      <c r="M40" s="123"/>
      <c r="N40" s="123"/>
      <c r="O40" s="123"/>
      <c r="P40" s="123"/>
      <c r="Q40" s="123"/>
      <c r="R40" s="123"/>
      <c r="S40" s="123"/>
      <c r="T40" s="123"/>
      <c r="U40" s="123"/>
      <c r="V40" s="123"/>
      <c r="W40" s="123"/>
      <c r="X40" s="123"/>
      <c r="Y40" s="123"/>
      <c r="Z40" s="123"/>
    </row>
    <row r="41" spans="1:26" x14ac:dyDescent="0.45">
      <c r="A41" s="123"/>
      <c r="B41" s="123"/>
      <c r="C41" s="123"/>
      <c r="D41" s="123"/>
      <c r="E41" s="123"/>
      <c r="F41" s="123"/>
      <c r="G41" s="123"/>
      <c r="H41" s="123"/>
      <c r="I41" s="123"/>
      <c r="J41" s="123"/>
      <c r="K41" s="123"/>
      <c r="L41" s="123"/>
      <c r="M41" s="123"/>
      <c r="N41" s="123"/>
      <c r="O41" s="123"/>
      <c r="P41" s="123"/>
      <c r="Q41" s="123"/>
      <c r="R41" s="123"/>
      <c r="S41" s="123"/>
      <c r="T41" s="123"/>
      <c r="U41" s="123"/>
      <c r="V41" s="123"/>
      <c r="W41" s="123"/>
      <c r="X41" s="123"/>
      <c r="Y41" s="123"/>
      <c r="Z41" s="123"/>
    </row>
    <row r="42" spans="1:26" x14ac:dyDescent="0.45">
      <c r="A42" s="123"/>
      <c r="B42" s="123"/>
      <c r="C42" s="123"/>
      <c r="D42" s="123"/>
      <c r="E42" s="123"/>
      <c r="F42" s="123"/>
      <c r="G42" s="123"/>
      <c r="H42" s="123"/>
      <c r="I42" s="123"/>
      <c r="J42" s="123"/>
      <c r="K42" s="123"/>
      <c r="L42" s="123"/>
      <c r="M42" s="123"/>
      <c r="N42" s="123"/>
      <c r="O42" s="123"/>
      <c r="P42" s="123"/>
      <c r="Q42" s="123"/>
      <c r="R42" s="123"/>
      <c r="S42" s="123"/>
      <c r="T42" s="123"/>
      <c r="U42" s="123"/>
      <c r="V42" s="123"/>
      <c r="W42" s="123"/>
      <c r="X42" s="123"/>
      <c r="Y42" s="123"/>
      <c r="Z42" s="123"/>
    </row>
    <row r="43" spans="1:26" x14ac:dyDescent="0.45">
      <c r="A43" s="123"/>
      <c r="B43" s="123"/>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3"/>
    </row>
    <row r="44" spans="1:26" x14ac:dyDescent="0.45">
      <c r="A44" s="123"/>
      <c r="B44" s="123"/>
      <c r="C44" s="123"/>
      <c r="D44" s="123"/>
      <c r="E44" s="123"/>
      <c r="F44" s="123"/>
      <c r="G44" s="123"/>
      <c r="H44" s="123"/>
      <c r="I44" s="123"/>
      <c r="J44" s="123"/>
      <c r="K44" s="123"/>
      <c r="L44" s="123"/>
      <c r="M44" s="123"/>
      <c r="N44" s="123"/>
      <c r="O44" s="123"/>
      <c r="P44" s="123"/>
      <c r="Q44" s="123"/>
      <c r="R44" s="123"/>
      <c r="S44" s="123"/>
      <c r="T44" s="123"/>
      <c r="U44" s="123"/>
      <c r="V44" s="123"/>
      <c r="W44" s="123"/>
      <c r="X44" s="123"/>
      <c r="Y44" s="123"/>
      <c r="Z44" s="123"/>
    </row>
    <row r="45" spans="1:26" x14ac:dyDescent="0.45">
      <c r="A45" s="123"/>
      <c r="B45" s="123"/>
      <c r="C45" s="123"/>
      <c r="D45" s="123"/>
      <c r="E45" s="123"/>
      <c r="F45" s="123"/>
      <c r="G45" s="123"/>
      <c r="H45" s="123"/>
      <c r="I45" s="123"/>
      <c r="J45" s="123"/>
      <c r="K45" s="123"/>
      <c r="L45" s="123"/>
      <c r="M45" s="123"/>
      <c r="N45" s="123"/>
      <c r="O45" s="123"/>
      <c r="P45" s="123"/>
      <c r="Q45" s="123"/>
      <c r="R45" s="123"/>
      <c r="S45" s="123"/>
      <c r="T45" s="123"/>
      <c r="U45" s="123"/>
      <c r="V45" s="123"/>
      <c r="W45" s="123"/>
      <c r="X45" s="123"/>
      <c r="Y45" s="123"/>
      <c r="Z45" s="123"/>
    </row>
    <row r="46" spans="1:26" x14ac:dyDescent="0.45">
      <c r="A46" s="123"/>
      <c r="B46" s="123"/>
      <c r="C46" s="123"/>
      <c r="D46" s="123"/>
      <c r="E46" s="123"/>
      <c r="F46" s="123"/>
      <c r="G46" s="123"/>
      <c r="H46" s="123"/>
      <c r="I46" s="123"/>
      <c r="J46" s="123"/>
      <c r="K46" s="123"/>
      <c r="L46" s="123"/>
      <c r="M46" s="123"/>
      <c r="N46" s="123"/>
      <c r="O46" s="123"/>
      <c r="P46" s="123"/>
      <c r="Q46" s="123"/>
      <c r="R46" s="123"/>
      <c r="S46" s="123"/>
      <c r="T46" s="123"/>
      <c r="U46" s="123"/>
      <c r="V46" s="123"/>
      <c r="W46" s="123"/>
      <c r="X46" s="123"/>
      <c r="Y46" s="123"/>
      <c r="Z46" s="123"/>
    </row>
    <row r="47" spans="1:26" x14ac:dyDescent="0.45">
      <c r="A47" s="123"/>
      <c r="B47" s="123"/>
      <c r="C47" s="123"/>
      <c r="D47" s="123"/>
      <c r="E47" s="123"/>
      <c r="F47" s="123"/>
      <c r="G47" s="123"/>
      <c r="H47" s="123"/>
      <c r="I47" s="123"/>
      <c r="J47" s="123"/>
      <c r="K47" s="123"/>
      <c r="L47" s="123"/>
      <c r="M47" s="123"/>
      <c r="N47" s="123"/>
      <c r="O47" s="123"/>
      <c r="P47" s="123"/>
      <c r="Q47" s="123"/>
      <c r="R47" s="123"/>
      <c r="S47" s="123"/>
      <c r="T47" s="123"/>
      <c r="U47" s="123"/>
      <c r="V47" s="123"/>
      <c r="W47" s="123"/>
      <c r="X47" s="123"/>
      <c r="Y47" s="123"/>
      <c r="Z47" s="123"/>
    </row>
    <row r="48" spans="1:26" x14ac:dyDescent="0.45">
      <c r="A48" s="123"/>
      <c r="B48" s="123"/>
      <c r="C48" s="123"/>
      <c r="D48" s="123"/>
      <c r="E48" s="123"/>
      <c r="F48" s="123"/>
      <c r="G48" s="123"/>
      <c r="H48" s="123"/>
      <c r="I48" s="123"/>
      <c r="J48" s="123"/>
      <c r="K48" s="123"/>
      <c r="L48" s="123"/>
      <c r="M48" s="123"/>
      <c r="N48" s="123"/>
      <c r="O48" s="123"/>
      <c r="P48" s="123"/>
      <c r="Q48" s="123"/>
      <c r="R48" s="123"/>
      <c r="S48" s="123"/>
      <c r="T48" s="123"/>
      <c r="U48" s="123"/>
      <c r="V48" s="123"/>
      <c r="W48" s="123"/>
      <c r="X48" s="123"/>
      <c r="Y48" s="123"/>
      <c r="Z48" s="123"/>
    </row>
    <row r="49" spans="1:26" x14ac:dyDescent="0.45">
      <c r="A49" s="123"/>
      <c r="B49" s="123"/>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Z49" s="123"/>
    </row>
    <row r="50" spans="1:26" x14ac:dyDescent="0.45">
      <c r="A50" s="123"/>
      <c r="B50" s="123"/>
      <c r="C50" s="123"/>
      <c r="D50" s="123"/>
      <c r="E50" s="123"/>
      <c r="F50" s="123"/>
      <c r="G50" s="123"/>
      <c r="H50" s="123"/>
      <c r="I50" s="123"/>
      <c r="J50" s="123"/>
      <c r="K50" s="123"/>
      <c r="L50" s="123"/>
      <c r="M50" s="123"/>
      <c r="N50" s="123"/>
      <c r="O50" s="123"/>
      <c r="P50" s="123"/>
      <c r="Q50" s="123"/>
      <c r="R50" s="123"/>
      <c r="S50" s="123"/>
      <c r="T50" s="123"/>
      <c r="U50" s="123"/>
      <c r="V50" s="123"/>
      <c r="W50" s="123"/>
      <c r="X50" s="123"/>
      <c r="Y50" s="123"/>
      <c r="Z50" s="123"/>
    </row>
    <row r="51" spans="1:26" x14ac:dyDescent="0.45">
      <c r="A51" s="123"/>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row>
    <row r="52" spans="1:26" x14ac:dyDescent="0.45">
      <c r="A52" s="123"/>
      <c r="B52" s="123"/>
      <c r="C52" s="123"/>
      <c r="D52" s="123"/>
      <c r="E52" s="123"/>
      <c r="F52" s="123"/>
      <c r="G52" s="123"/>
      <c r="H52" s="123"/>
      <c r="I52" s="123"/>
      <c r="J52" s="123"/>
      <c r="K52" s="123"/>
      <c r="L52" s="123"/>
      <c r="M52" s="123"/>
      <c r="N52" s="123"/>
      <c r="O52" s="123"/>
      <c r="P52" s="123"/>
      <c r="Q52" s="123"/>
      <c r="R52" s="123"/>
      <c r="S52" s="123"/>
      <c r="T52" s="123"/>
      <c r="U52" s="123"/>
      <c r="V52" s="123"/>
      <c r="W52" s="123"/>
      <c r="X52" s="123"/>
      <c r="Y52" s="123"/>
      <c r="Z52" s="123"/>
    </row>
    <row r="53" spans="1:26" x14ac:dyDescent="0.45">
      <c r="A53" s="123"/>
      <c r="B53" s="123"/>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3"/>
    </row>
    <row r="54" spans="1:26" x14ac:dyDescent="0.45">
      <c r="A54" s="123"/>
      <c r="B54" s="123"/>
      <c r="C54" s="123"/>
      <c r="D54" s="123"/>
      <c r="E54" s="123"/>
      <c r="F54" s="123"/>
      <c r="G54" s="123"/>
      <c r="H54" s="123"/>
      <c r="I54" s="123"/>
      <c r="J54" s="123"/>
      <c r="K54" s="123"/>
      <c r="L54" s="123"/>
      <c r="M54" s="123"/>
      <c r="N54" s="123"/>
      <c r="O54" s="123"/>
      <c r="P54" s="123"/>
      <c r="Q54" s="123"/>
      <c r="R54" s="123"/>
      <c r="S54" s="123"/>
      <c r="T54" s="123"/>
      <c r="U54" s="123"/>
      <c r="V54" s="123"/>
      <c r="W54" s="123"/>
      <c r="X54" s="123"/>
      <c r="Y54" s="123"/>
      <c r="Z54" s="123"/>
    </row>
    <row r="55" spans="1:26" x14ac:dyDescent="0.45">
      <c r="A55" s="123"/>
      <c r="B55" s="123"/>
      <c r="C55" s="123"/>
      <c r="D55" s="123"/>
      <c r="E55" s="123"/>
      <c r="F55" s="123"/>
      <c r="G55" s="123"/>
      <c r="H55" s="123"/>
      <c r="I55" s="123"/>
      <c r="J55" s="123"/>
      <c r="K55" s="123"/>
      <c r="L55" s="123"/>
      <c r="M55" s="123"/>
      <c r="N55" s="123"/>
      <c r="O55" s="123"/>
      <c r="P55" s="123"/>
      <c r="Q55" s="123"/>
      <c r="R55" s="123"/>
      <c r="S55" s="123"/>
      <c r="T55" s="123"/>
      <c r="U55" s="123"/>
      <c r="V55" s="123"/>
      <c r="W55" s="123"/>
      <c r="X55" s="123"/>
      <c r="Y55" s="123"/>
      <c r="Z55" s="123"/>
    </row>
    <row r="56" spans="1:26" x14ac:dyDescent="0.45">
      <c r="A56" s="123"/>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3"/>
    </row>
    <row r="57" spans="1:26" x14ac:dyDescent="0.45">
      <c r="A57" s="123"/>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3"/>
    </row>
    <row r="58" spans="1:26" x14ac:dyDescent="0.45">
      <c r="A58" s="123"/>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3"/>
    </row>
    <row r="59" spans="1:26" x14ac:dyDescent="0.45">
      <c r="A59" s="123"/>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3"/>
    </row>
    <row r="60" spans="1:26" x14ac:dyDescent="0.45">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row>
    <row r="61" spans="1:26" x14ac:dyDescent="0.45">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row>
  </sheetData>
  <pageMargins left="0.7" right="0.7" top="0.75" bottom="0.75" header="0.3" footer="0.3"/>
  <customProperties>
    <customPr name="LastActive" r:id="rId1"/>
  </customPropertie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7030A0"/>
  </sheetPr>
  <dimension ref="A1:W26"/>
  <sheetViews>
    <sheetView workbookViewId="0">
      <selection activeCell="I17" sqref="I17"/>
    </sheetView>
  </sheetViews>
  <sheetFormatPr defaultRowHeight="14.25" x14ac:dyDescent="0.45"/>
  <cols>
    <col min="5" max="5" width="1.265625" customWidth="1"/>
    <col min="14" max="14" width="48.3984375" customWidth="1"/>
  </cols>
  <sheetData>
    <row r="1" spans="1:23" x14ac:dyDescent="0.45">
      <c r="A1" s="123"/>
      <c r="B1" s="123"/>
      <c r="C1" s="123"/>
      <c r="D1" s="123"/>
      <c r="E1" s="123"/>
      <c r="F1" s="124"/>
      <c r="G1" s="124"/>
      <c r="H1" s="124"/>
      <c r="I1" s="124"/>
      <c r="J1" s="124"/>
      <c r="K1" s="124"/>
      <c r="L1" s="124"/>
      <c r="M1" s="124"/>
      <c r="N1" s="123"/>
      <c r="O1" s="123"/>
      <c r="P1" s="123"/>
      <c r="Q1" s="123"/>
      <c r="R1" s="123"/>
      <c r="S1" s="123"/>
      <c r="T1" s="123"/>
      <c r="U1" s="123"/>
      <c r="V1" s="123"/>
      <c r="W1" s="123"/>
    </row>
    <row r="2" spans="1:23" x14ac:dyDescent="0.45">
      <c r="A2" s="123"/>
      <c r="B2" s="123"/>
      <c r="C2" s="123"/>
      <c r="D2" s="123"/>
      <c r="E2" s="123"/>
      <c r="F2" s="124"/>
      <c r="G2" s="124"/>
      <c r="H2" s="124"/>
      <c r="I2" s="124"/>
      <c r="J2" s="124"/>
      <c r="K2" s="124"/>
      <c r="L2" s="124"/>
      <c r="M2" s="124"/>
      <c r="N2" s="123"/>
      <c r="O2" s="123"/>
      <c r="P2" s="123"/>
      <c r="Q2" s="123"/>
      <c r="R2" s="123"/>
      <c r="S2" s="123"/>
      <c r="T2" s="123"/>
      <c r="U2" s="123"/>
      <c r="V2" s="123"/>
      <c r="W2" s="123"/>
    </row>
    <row r="3" spans="1:23" x14ac:dyDescent="0.45">
      <c r="A3" s="123"/>
      <c r="B3" s="123"/>
      <c r="C3" s="123"/>
      <c r="D3" s="123"/>
      <c r="E3" s="123"/>
      <c r="F3" s="124"/>
      <c r="G3" s="124"/>
      <c r="H3" s="124"/>
      <c r="I3" s="124"/>
      <c r="J3" s="124"/>
      <c r="K3" s="124"/>
      <c r="L3" s="124"/>
      <c r="M3" s="124"/>
      <c r="N3" s="123"/>
      <c r="O3" s="123"/>
      <c r="P3" s="123"/>
      <c r="Q3" s="123"/>
      <c r="R3" s="123"/>
      <c r="S3" s="123"/>
      <c r="T3" s="123"/>
      <c r="U3" s="123"/>
      <c r="V3" s="123"/>
      <c r="W3" s="123"/>
    </row>
    <row r="4" spans="1:23" x14ac:dyDescent="0.45">
      <c r="A4" s="123"/>
      <c r="B4" s="123"/>
      <c r="C4" s="123"/>
      <c r="D4" s="123"/>
      <c r="E4" s="123"/>
      <c r="F4" s="124"/>
      <c r="G4" s="124"/>
      <c r="H4" s="124"/>
      <c r="I4" s="124"/>
      <c r="J4" s="124"/>
      <c r="K4" s="124"/>
      <c r="L4" s="124"/>
      <c r="M4" s="124"/>
      <c r="N4" s="123"/>
      <c r="O4" s="123"/>
      <c r="P4" s="123"/>
      <c r="Q4" s="123"/>
      <c r="R4" s="123"/>
      <c r="S4" s="123"/>
      <c r="T4" s="123"/>
      <c r="U4" s="123"/>
      <c r="V4" s="123"/>
      <c r="W4" s="123"/>
    </row>
    <row r="5" spans="1:23" x14ac:dyDescent="0.45">
      <c r="A5" s="123"/>
      <c r="B5" s="123"/>
      <c r="C5" s="123"/>
      <c r="D5" s="123"/>
      <c r="E5" s="123"/>
      <c r="F5" s="124"/>
      <c r="G5" s="124"/>
      <c r="H5" s="124"/>
      <c r="I5" s="124"/>
      <c r="J5" s="124"/>
      <c r="K5" s="124"/>
      <c r="L5" s="124"/>
      <c r="M5" s="124"/>
      <c r="N5" s="123"/>
      <c r="O5" s="123"/>
      <c r="P5" s="123"/>
      <c r="Q5" s="123"/>
      <c r="R5" s="123"/>
      <c r="S5" s="123"/>
      <c r="T5" s="123"/>
      <c r="U5" s="123"/>
      <c r="V5" s="123"/>
      <c r="W5" s="123"/>
    </row>
    <row r="6" spans="1:23" x14ac:dyDescent="0.45">
      <c r="A6" s="123"/>
      <c r="B6" s="123"/>
      <c r="C6" s="123"/>
      <c r="D6" s="123"/>
      <c r="E6" s="123"/>
      <c r="F6" s="124"/>
      <c r="G6" s="124"/>
      <c r="H6" s="124"/>
      <c r="I6" s="124"/>
      <c r="J6" s="124"/>
      <c r="K6" s="124"/>
      <c r="L6" s="124"/>
      <c r="M6" s="124"/>
      <c r="N6" s="123"/>
      <c r="O6" s="123"/>
      <c r="P6" s="123"/>
      <c r="Q6" s="123"/>
      <c r="R6" s="123"/>
      <c r="S6" s="123"/>
      <c r="T6" s="123"/>
      <c r="U6" s="123"/>
      <c r="V6" s="123"/>
      <c r="W6" s="123"/>
    </row>
    <row r="7" spans="1:23" x14ac:dyDescent="0.45">
      <c r="A7" s="123"/>
      <c r="B7" s="123"/>
      <c r="C7" s="123"/>
      <c r="D7" s="123"/>
      <c r="E7" s="123"/>
      <c r="F7" s="124"/>
      <c r="G7" s="124"/>
      <c r="H7" s="124"/>
      <c r="I7" s="124"/>
      <c r="J7" s="124"/>
      <c r="K7" s="124"/>
      <c r="L7" s="124"/>
      <c r="M7" s="124"/>
      <c r="N7" s="123"/>
      <c r="O7" s="123"/>
      <c r="P7" s="123"/>
      <c r="Q7" s="123"/>
      <c r="R7" s="123"/>
      <c r="S7" s="123"/>
      <c r="T7" s="123"/>
      <c r="U7" s="123"/>
      <c r="V7" s="123"/>
      <c r="W7" s="123"/>
    </row>
    <row r="8" spans="1:23" x14ac:dyDescent="0.45">
      <c r="A8" s="123"/>
      <c r="B8" s="123"/>
      <c r="C8" s="123"/>
      <c r="D8" s="123"/>
      <c r="E8" s="123"/>
      <c r="F8" s="124"/>
      <c r="G8" s="124"/>
      <c r="H8" s="124"/>
      <c r="I8" s="124"/>
      <c r="J8" s="124"/>
      <c r="K8" s="124"/>
      <c r="L8" s="124"/>
      <c r="M8" s="124"/>
      <c r="N8" s="123"/>
      <c r="O8" s="123"/>
      <c r="P8" s="123"/>
      <c r="Q8" s="123"/>
      <c r="R8" s="123"/>
      <c r="S8" s="123"/>
      <c r="T8" s="123"/>
      <c r="U8" s="123"/>
      <c r="V8" s="123"/>
      <c r="W8" s="123"/>
    </row>
    <row r="9" spans="1:23" x14ac:dyDescent="0.45">
      <c r="A9" s="123"/>
      <c r="B9" s="123"/>
      <c r="C9" s="123"/>
      <c r="D9" s="123"/>
      <c r="E9" s="123"/>
      <c r="F9" s="124"/>
      <c r="G9" s="124"/>
      <c r="H9" s="124"/>
      <c r="I9" s="124"/>
      <c r="J9" s="124"/>
      <c r="K9" s="124"/>
      <c r="L9" s="124"/>
      <c r="M9" s="124"/>
      <c r="N9" s="123"/>
      <c r="O9" s="123"/>
      <c r="P9" s="123"/>
      <c r="Q9" s="123"/>
      <c r="R9" s="123"/>
      <c r="S9" s="123"/>
      <c r="T9" s="123"/>
      <c r="U9" s="123"/>
      <c r="V9" s="123"/>
      <c r="W9" s="123"/>
    </row>
    <row r="10" spans="1:23" ht="15" customHeight="1" x14ac:dyDescent="0.45">
      <c r="A10" s="123"/>
      <c r="B10" s="123"/>
      <c r="C10" s="123"/>
      <c r="D10" s="123"/>
      <c r="E10" s="123"/>
      <c r="F10" s="389" t="s">
        <v>6</v>
      </c>
      <c r="G10" s="389"/>
      <c r="H10" s="389"/>
      <c r="I10" s="389"/>
      <c r="J10" s="389"/>
      <c r="K10" s="389"/>
      <c r="L10" s="389"/>
      <c r="M10" s="389"/>
      <c r="N10" s="389"/>
      <c r="O10" s="123"/>
      <c r="P10" s="123"/>
      <c r="Q10" s="123"/>
      <c r="R10" s="123"/>
      <c r="S10" s="123"/>
      <c r="T10" s="123"/>
      <c r="U10" s="123"/>
      <c r="V10" s="123"/>
      <c r="W10" s="123"/>
    </row>
    <row r="11" spans="1:23" x14ac:dyDescent="0.45">
      <c r="A11" s="123"/>
      <c r="B11" s="123"/>
      <c r="C11" s="123"/>
      <c r="D11" s="123"/>
      <c r="E11" s="123"/>
      <c r="F11" s="389"/>
      <c r="G11" s="389"/>
      <c r="H11" s="389"/>
      <c r="I11" s="389"/>
      <c r="J11" s="389"/>
      <c r="K11" s="389"/>
      <c r="L11" s="389"/>
      <c r="M11" s="389"/>
      <c r="N11" s="389"/>
      <c r="O11" s="123"/>
      <c r="P11" s="123"/>
      <c r="Q11" s="123"/>
      <c r="R11" s="123"/>
      <c r="S11" s="123"/>
      <c r="T11" s="123"/>
      <c r="U11" s="123"/>
      <c r="V11" s="123"/>
      <c r="W11" s="123"/>
    </row>
    <row r="12" spans="1:23" x14ac:dyDescent="0.45">
      <c r="A12" s="123"/>
      <c r="B12" s="123"/>
      <c r="C12" s="123"/>
      <c r="D12" s="123"/>
      <c r="E12" s="123"/>
      <c r="F12" s="389"/>
      <c r="G12" s="389"/>
      <c r="H12" s="389"/>
      <c r="I12" s="389"/>
      <c r="J12" s="389"/>
      <c r="K12" s="389"/>
      <c r="L12" s="389"/>
      <c r="M12" s="389"/>
      <c r="N12" s="389"/>
      <c r="O12" s="123"/>
      <c r="P12" s="123"/>
      <c r="Q12" s="123"/>
      <c r="R12" s="123"/>
      <c r="S12" s="123"/>
      <c r="T12" s="123"/>
      <c r="U12" s="123"/>
      <c r="V12" s="123"/>
      <c r="W12" s="123"/>
    </row>
    <row r="13" spans="1:23" x14ac:dyDescent="0.45">
      <c r="A13" s="123"/>
      <c r="B13" s="123"/>
      <c r="C13" s="123"/>
      <c r="D13" s="123"/>
      <c r="E13" s="123"/>
      <c r="F13" s="389"/>
      <c r="G13" s="389"/>
      <c r="H13" s="389"/>
      <c r="I13" s="389"/>
      <c r="J13" s="389"/>
      <c r="K13" s="389"/>
      <c r="L13" s="389"/>
      <c r="M13" s="389"/>
      <c r="N13" s="389"/>
      <c r="O13" s="123"/>
      <c r="P13" s="123"/>
      <c r="Q13" s="123"/>
      <c r="R13" s="123"/>
      <c r="S13" s="123"/>
      <c r="T13" s="123"/>
      <c r="U13" s="123"/>
      <c r="V13" s="123"/>
      <c r="W13" s="123"/>
    </row>
    <row r="14" spans="1:23" x14ac:dyDescent="0.45">
      <c r="A14" s="123"/>
      <c r="B14" s="123"/>
      <c r="C14" s="123"/>
      <c r="D14" s="123"/>
      <c r="E14" s="123"/>
      <c r="F14" s="389"/>
      <c r="G14" s="389"/>
      <c r="H14" s="389"/>
      <c r="I14" s="389"/>
      <c r="J14" s="389"/>
      <c r="K14" s="389"/>
      <c r="L14" s="389"/>
      <c r="M14" s="389"/>
      <c r="N14" s="389"/>
      <c r="O14" s="123"/>
      <c r="P14" s="123"/>
      <c r="Q14" s="123"/>
      <c r="R14" s="123"/>
      <c r="S14" s="123"/>
      <c r="T14" s="123"/>
      <c r="U14" s="123"/>
      <c r="V14" s="123"/>
      <c r="W14" s="123"/>
    </row>
    <row r="15" spans="1:23" x14ac:dyDescent="0.45">
      <c r="A15" s="123"/>
      <c r="B15" s="123"/>
      <c r="C15" s="123"/>
      <c r="D15" s="123"/>
      <c r="E15" s="123"/>
      <c r="F15" s="389"/>
      <c r="G15" s="389"/>
      <c r="H15" s="389"/>
      <c r="I15" s="389"/>
      <c r="J15" s="389"/>
      <c r="K15" s="389"/>
      <c r="L15" s="389"/>
      <c r="M15" s="389"/>
      <c r="N15" s="389"/>
      <c r="O15" s="123"/>
      <c r="P15" s="123"/>
      <c r="Q15" s="123"/>
      <c r="R15" s="123"/>
      <c r="S15" s="123"/>
      <c r="T15" s="123"/>
      <c r="U15" s="123"/>
      <c r="V15" s="123"/>
      <c r="W15" s="123"/>
    </row>
    <row r="16" spans="1:23" x14ac:dyDescent="0.45">
      <c r="A16" s="123"/>
      <c r="B16" s="123"/>
      <c r="C16" s="123"/>
      <c r="D16" s="123"/>
      <c r="E16" s="123"/>
      <c r="F16" s="124"/>
      <c r="G16" s="124"/>
      <c r="H16" s="124"/>
      <c r="I16" s="124"/>
      <c r="J16" s="124"/>
      <c r="K16" s="124"/>
      <c r="L16" s="124"/>
      <c r="M16" s="124"/>
      <c r="N16" s="123"/>
      <c r="O16" s="123"/>
      <c r="P16" s="123"/>
      <c r="Q16" s="123"/>
      <c r="R16" s="123"/>
      <c r="S16" s="123"/>
      <c r="T16" s="123"/>
      <c r="U16" s="123"/>
      <c r="V16" s="123"/>
      <c r="W16" s="123"/>
    </row>
    <row r="17" spans="1:23" x14ac:dyDescent="0.45">
      <c r="A17" s="123"/>
      <c r="B17" s="123"/>
      <c r="C17" s="123"/>
      <c r="D17" s="123"/>
      <c r="E17" s="123"/>
      <c r="F17" s="124"/>
      <c r="G17" s="124"/>
      <c r="H17" s="124"/>
      <c r="I17" s="124"/>
      <c r="J17" s="124"/>
      <c r="K17" s="124"/>
      <c r="L17" s="124"/>
      <c r="M17" s="124"/>
      <c r="N17" s="123"/>
      <c r="O17" s="123"/>
      <c r="P17" s="123"/>
      <c r="Q17" s="123"/>
      <c r="R17" s="123"/>
      <c r="S17" s="123"/>
      <c r="T17" s="123"/>
      <c r="U17" s="123"/>
      <c r="V17" s="123"/>
      <c r="W17" s="123"/>
    </row>
    <row r="18" spans="1:23" x14ac:dyDescent="0.45">
      <c r="A18" s="123"/>
      <c r="B18" s="123"/>
      <c r="C18" s="123"/>
      <c r="D18" s="123"/>
      <c r="E18" s="123"/>
      <c r="F18" s="124"/>
      <c r="G18" s="124"/>
      <c r="H18" s="124"/>
      <c r="I18" s="124"/>
      <c r="J18" s="124"/>
      <c r="K18" s="124"/>
      <c r="L18" s="124"/>
      <c r="M18" s="124"/>
      <c r="N18" s="123"/>
      <c r="O18" s="123"/>
      <c r="P18" s="123"/>
      <c r="Q18" s="123"/>
      <c r="R18" s="123"/>
      <c r="S18" s="123"/>
      <c r="T18" s="123"/>
      <c r="U18" s="123"/>
      <c r="V18" s="123"/>
      <c r="W18" s="123"/>
    </row>
    <row r="19" spans="1:23" x14ac:dyDescent="0.45">
      <c r="A19" s="123"/>
      <c r="B19" s="123"/>
      <c r="C19" s="123"/>
      <c r="D19" s="123"/>
      <c r="E19" s="123"/>
      <c r="F19" s="124"/>
      <c r="G19" s="124"/>
      <c r="H19" s="124"/>
      <c r="I19" s="124"/>
      <c r="J19" s="124"/>
      <c r="K19" s="124"/>
      <c r="L19" s="124"/>
      <c r="M19" s="124"/>
      <c r="N19" s="123"/>
      <c r="O19" s="123"/>
      <c r="P19" s="123"/>
      <c r="Q19" s="123"/>
      <c r="R19" s="123"/>
      <c r="S19" s="123"/>
      <c r="T19" s="123"/>
      <c r="U19" s="123"/>
      <c r="V19" s="123"/>
      <c r="W19" s="123"/>
    </row>
    <row r="20" spans="1:23" x14ac:dyDescent="0.45">
      <c r="A20" s="123"/>
      <c r="B20" s="123"/>
      <c r="C20" s="123"/>
      <c r="D20" s="123"/>
      <c r="E20" s="123"/>
      <c r="F20" s="124"/>
      <c r="G20" s="124"/>
      <c r="H20" s="124"/>
      <c r="I20" s="124"/>
      <c r="J20" s="124"/>
      <c r="K20" s="124"/>
      <c r="L20" s="124"/>
      <c r="M20" s="124"/>
      <c r="N20" s="123"/>
      <c r="O20" s="123"/>
      <c r="P20" s="123"/>
      <c r="Q20" s="123"/>
      <c r="R20" s="123"/>
      <c r="S20" s="123"/>
      <c r="T20" s="123"/>
      <c r="U20" s="123"/>
      <c r="V20" s="123"/>
      <c r="W20" s="123"/>
    </row>
    <row r="21" spans="1:23" x14ac:dyDescent="0.45">
      <c r="A21" s="123"/>
      <c r="B21" s="123"/>
      <c r="C21" s="123"/>
      <c r="D21" s="123"/>
      <c r="E21" s="123"/>
      <c r="F21" s="124"/>
      <c r="G21" s="124"/>
      <c r="H21" s="124"/>
      <c r="I21" s="124"/>
      <c r="J21" s="124"/>
      <c r="K21" s="124"/>
      <c r="L21" s="124"/>
      <c r="M21" s="124"/>
      <c r="N21" s="123"/>
      <c r="O21" s="123"/>
      <c r="P21" s="123"/>
      <c r="Q21" s="123"/>
      <c r="R21" s="123"/>
      <c r="S21" s="123"/>
      <c r="T21" s="123"/>
      <c r="U21" s="123"/>
      <c r="V21" s="123"/>
      <c r="W21" s="123"/>
    </row>
    <row r="22" spans="1:23" x14ac:dyDescent="0.45">
      <c r="A22" s="123"/>
      <c r="B22" s="123"/>
      <c r="C22" s="123"/>
      <c r="D22" s="123"/>
      <c r="E22" s="123"/>
      <c r="F22" s="124"/>
      <c r="G22" s="124"/>
      <c r="H22" s="124"/>
      <c r="I22" s="124"/>
      <c r="J22" s="124"/>
      <c r="K22" s="124"/>
      <c r="L22" s="124"/>
      <c r="M22" s="124"/>
      <c r="N22" s="123"/>
      <c r="O22" s="123"/>
      <c r="P22" s="123"/>
      <c r="Q22" s="123"/>
      <c r="R22" s="123"/>
      <c r="S22" s="123"/>
      <c r="T22" s="123"/>
      <c r="U22" s="123"/>
      <c r="V22" s="123"/>
      <c r="W22" s="123"/>
    </row>
    <row r="23" spans="1:23" x14ac:dyDescent="0.45">
      <c r="A23" s="123"/>
      <c r="B23" s="123"/>
      <c r="C23" s="123"/>
      <c r="D23" s="123"/>
      <c r="E23" s="123"/>
      <c r="F23" s="124"/>
      <c r="G23" s="124"/>
      <c r="H23" s="124"/>
      <c r="I23" s="124"/>
      <c r="J23" s="124"/>
      <c r="K23" s="124"/>
      <c r="L23" s="124"/>
      <c r="M23" s="124"/>
      <c r="N23" s="123"/>
      <c r="O23" s="123"/>
      <c r="P23" s="123"/>
      <c r="Q23" s="123"/>
      <c r="R23" s="123"/>
      <c r="S23" s="123"/>
      <c r="T23" s="123"/>
      <c r="U23" s="123"/>
      <c r="V23" s="123"/>
      <c r="W23" s="123"/>
    </row>
    <row r="24" spans="1:23" x14ac:dyDescent="0.45">
      <c r="A24" s="123"/>
      <c r="B24" s="123"/>
      <c r="C24" s="123"/>
      <c r="D24" s="123"/>
      <c r="E24" s="123"/>
      <c r="F24" s="124"/>
      <c r="G24" s="124"/>
      <c r="H24" s="124"/>
      <c r="I24" s="124"/>
      <c r="J24" s="124"/>
      <c r="K24" s="124"/>
      <c r="L24" s="124"/>
      <c r="M24" s="124"/>
      <c r="N24" s="123"/>
      <c r="O24" s="123"/>
      <c r="P24" s="123"/>
      <c r="Q24" s="123"/>
      <c r="R24" s="123"/>
      <c r="S24" s="123"/>
      <c r="T24" s="123"/>
      <c r="U24" s="123"/>
      <c r="V24" s="123"/>
      <c r="W24" s="123"/>
    </row>
    <row r="25" spans="1:23" x14ac:dyDescent="0.45">
      <c r="A25" s="123"/>
      <c r="B25" s="123"/>
      <c r="C25" s="123"/>
      <c r="D25" s="123"/>
      <c r="E25" s="123"/>
      <c r="F25" s="124"/>
      <c r="G25" s="124"/>
      <c r="H25" s="124"/>
      <c r="I25" s="124"/>
      <c r="J25" s="124"/>
      <c r="K25" s="124"/>
      <c r="L25" s="124"/>
      <c r="M25" s="124"/>
      <c r="N25" s="123"/>
      <c r="O25" s="123"/>
      <c r="P25" s="123"/>
      <c r="Q25" s="123"/>
      <c r="R25" s="123"/>
      <c r="S25" s="123"/>
      <c r="T25" s="123"/>
      <c r="U25" s="123"/>
      <c r="V25" s="123"/>
      <c r="W25" s="123"/>
    </row>
    <row r="26" spans="1:23" x14ac:dyDescent="0.45">
      <c r="A26" s="123"/>
      <c r="B26" s="123"/>
      <c r="C26" s="123"/>
      <c r="D26" s="123"/>
      <c r="E26" s="123"/>
      <c r="F26" s="124"/>
      <c r="G26" s="124"/>
      <c r="H26" s="124"/>
      <c r="I26" s="124"/>
      <c r="J26" s="124"/>
      <c r="K26" s="124"/>
      <c r="L26" s="124"/>
      <c r="M26" s="124"/>
      <c r="N26" s="123"/>
      <c r="O26" s="123"/>
      <c r="P26" s="123"/>
      <c r="Q26" s="123"/>
      <c r="R26" s="123"/>
      <c r="S26" s="123"/>
      <c r="T26" s="123"/>
      <c r="U26" s="123"/>
      <c r="V26" s="123"/>
      <c r="W26" s="123"/>
    </row>
  </sheetData>
  <mergeCells count="1">
    <mergeCell ref="F10:N15"/>
  </mergeCells>
  <pageMargins left="0.7" right="0.7" top="0.75" bottom="0.75" header="0.3" footer="0.3"/>
  <customProperties>
    <customPr name="LastActive" r:id="rId1"/>
  </customPropertie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7030A0"/>
  </sheetPr>
  <dimension ref="A1:H20"/>
  <sheetViews>
    <sheetView zoomScale="80" zoomScaleNormal="80" workbookViewId="0">
      <selection activeCell="C2" sqref="C2:D18"/>
    </sheetView>
  </sheetViews>
  <sheetFormatPr defaultColWidth="9.265625" defaultRowHeight="15.4" x14ac:dyDescent="0.45"/>
  <cols>
    <col min="1" max="1" width="47.265625" style="1" bestFit="1" customWidth="1"/>
    <col min="2" max="2" width="17.3984375" style="1" customWidth="1"/>
    <col min="3" max="3" width="29.3984375" style="1" bestFit="1" customWidth="1"/>
    <col min="4" max="4" width="23.73046875" style="2" bestFit="1" customWidth="1"/>
    <col min="5" max="5" width="14.73046875" style="1" bestFit="1" customWidth="1"/>
    <col min="6" max="6" width="14.265625" style="1" customWidth="1"/>
    <col min="7" max="7" width="13.3984375" style="1" bestFit="1" customWidth="1"/>
    <col min="8" max="8" width="17.3984375" style="1" bestFit="1" customWidth="1"/>
    <col min="9" max="16384" width="9.265625" style="1"/>
  </cols>
  <sheetData>
    <row r="1" spans="1:8" s="45" customFormat="1" ht="15" x14ac:dyDescent="0.4">
      <c r="A1" s="46" t="s">
        <v>7</v>
      </c>
      <c r="B1" s="47" t="s">
        <v>8</v>
      </c>
      <c r="C1" s="47" t="s">
        <v>9</v>
      </c>
      <c r="D1" s="46" t="s">
        <v>10</v>
      </c>
      <c r="E1" s="47" t="s">
        <v>11</v>
      </c>
      <c r="F1" s="47" t="s">
        <v>12</v>
      </c>
      <c r="G1" s="48" t="s">
        <v>13</v>
      </c>
      <c r="H1" s="48" t="s">
        <v>14</v>
      </c>
    </row>
    <row r="2" spans="1:8" x14ac:dyDescent="0.45">
      <c r="A2" s="51" t="s">
        <v>15</v>
      </c>
      <c r="B2" s="53">
        <v>134787</v>
      </c>
      <c r="C2" s="54">
        <v>34112</v>
      </c>
      <c r="D2" s="53">
        <v>190907</v>
      </c>
      <c r="E2" s="54">
        <v>149.78</v>
      </c>
      <c r="F2" s="55">
        <f>B2/$B$19</f>
        <v>1.3013415354335555E-3</v>
      </c>
      <c r="G2" s="105">
        <v>3111524</v>
      </c>
      <c r="H2" s="105">
        <v>2121483</v>
      </c>
    </row>
    <row r="3" spans="1:8" x14ac:dyDescent="0.45">
      <c r="A3" s="51" t="s">
        <v>16</v>
      </c>
      <c r="B3" s="53">
        <v>1895029</v>
      </c>
      <c r="C3" s="54">
        <v>1207211</v>
      </c>
      <c r="D3" s="53">
        <v>511693</v>
      </c>
      <c r="E3" s="54">
        <v>30.78</v>
      </c>
      <c r="F3" s="55">
        <f t="shared" ref="F3:F18" si="0">B3/$B$19</f>
        <v>1.8296126099335362E-2</v>
      </c>
      <c r="G3" s="105">
        <v>18183633</v>
      </c>
      <c r="H3" s="105">
        <v>13545881</v>
      </c>
    </row>
    <row r="4" spans="1:8" x14ac:dyDescent="0.45">
      <c r="A4" s="51" t="s">
        <v>17</v>
      </c>
      <c r="B4" s="53">
        <v>25251073</v>
      </c>
      <c r="C4" s="54">
        <v>5608575</v>
      </c>
      <c r="D4" s="53">
        <v>4244891</v>
      </c>
      <c r="E4" s="54">
        <v>37.07</v>
      </c>
      <c r="F4" s="55">
        <f t="shared" si="0"/>
        <v>0.24379406106794274</v>
      </c>
      <c r="G4" s="105">
        <v>152297455</v>
      </c>
      <c r="H4" s="105">
        <v>133247451</v>
      </c>
    </row>
    <row r="5" spans="1:8" x14ac:dyDescent="0.45">
      <c r="A5" s="51" t="s">
        <v>18</v>
      </c>
      <c r="B5" s="53">
        <v>2639698</v>
      </c>
      <c r="C5" s="54">
        <v>819806</v>
      </c>
      <c r="D5" s="53">
        <v>941994</v>
      </c>
      <c r="E5" s="54">
        <v>60.01</v>
      </c>
      <c r="F5" s="55">
        <f t="shared" si="0"/>
        <v>2.548575640381406E-2</v>
      </c>
      <c r="G5" s="105">
        <v>14245271</v>
      </c>
      <c r="H5" s="105">
        <v>7030443</v>
      </c>
    </row>
    <row r="6" spans="1:8" x14ac:dyDescent="0.45">
      <c r="A6" s="51" t="s">
        <v>19</v>
      </c>
      <c r="B6" s="53">
        <v>1376102</v>
      </c>
      <c r="C6" s="54">
        <v>167276</v>
      </c>
      <c r="D6" s="53">
        <v>198496</v>
      </c>
      <c r="E6" s="54">
        <v>43.77</v>
      </c>
      <c r="F6" s="55">
        <f t="shared" si="0"/>
        <v>1.3285989669576344E-2</v>
      </c>
      <c r="G6" s="105">
        <v>3832070</v>
      </c>
      <c r="H6" s="105">
        <v>3432847</v>
      </c>
    </row>
    <row r="7" spans="1:8" x14ac:dyDescent="0.45">
      <c r="A7" s="51" t="s">
        <v>20</v>
      </c>
      <c r="B7" s="53">
        <v>10163938</v>
      </c>
      <c r="C7" s="54">
        <v>5280753</v>
      </c>
      <c r="D7" s="53">
        <v>1886450</v>
      </c>
      <c r="E7" s="54">
        <v>21.01</v>
      </c>
      <c r="F7" s="55">
        <f t="shared" si="0"/>
        <v>9.8130789193108095E-2</v>
      </c>
      <c r="G7" s="105">
        <v>106022318</v>
      </c>
      <c r="H7" s="105">
        <v>92273643</v>
      </c>
    </row>
    <row r="8" spans="1:8" x14ac:dyDescent="0.45">
      <c r="A8" s="51" t="s">
        <v>21</v>
      </c>
      <c r="B8" s="53">
        <v>5186826</v>
      </c>
      <c r="C8" s="54">
        <v>1999151</v>
      </c>
      <c r="D8" s="53">
        <v>1568114</v>
      </c>
      <c r="E8" s="54">
        <v>47.26</v>
      </c>
      <c r="F8" s="55">
        <f t="shared" si="0"/>
        <v>5.0077767966248132E-2</v>
      </c>
      <c r="G8" s="105">
        <v>60112582</v>
      </c>
      <c r="H8" s="105">
        <v>57016027</v>
      </c>
    </row>
    <row r="9" spans="1:8" x14ac:dyDescent="0.45">
      <c r="A9" s="51" t="s">
        <v>22</v>
      </c>
      <c r="B9" s="53">
        <v>3419044</v>
      </c>
      <c r="C9" s="54">
        <v>932034</v>
      </c>
      <c r="D9" s="53">
        <v>709925</v>
      </c>
      <c r="E9" s="54">
        <v>26.08</v>
      </c>
      <c r="F9" s="55">
        <f t="shared" si="0"/>
        <v>3.3010186209908116E-2</v>
      </c>
      <c r="G9" s="105">
        <v>28638825</v>
      </c>
      <c r="H9" s="105">
        <v>24665148</v>
      </c>
    </row>
    <row r="10" spans="1:8" x14ac:dyDescent="0.45">
      <c r="A10" s="51" t="s">
        <v>23</v>
      </c>
      <c r="B10" s="53">
        <v>1325856</v>
      </c>
      <c r="C10" s="54">
        <v>795802</v>
      </c>
      <c r="D10" s="53">
        <v>655519</v>
      </c>
      <c r="E10" s="54">
        <v>66.569999999999993</v>
      </c>
      <c r="F10" s="55">
        <f t="shared" si="0"/>
        <v>1.2800874585856145E-2</v>
      </c>
      <c r="G10" s="105">
        <v>9041122</v>
      </c>
      <c r="H10" s="105">
        <v>6624631</v>
      </c>
    </row>
    <row r="11" spans="1:8" x14ac:dyDescent="0.45">
      <c r="A11" s="51" t="s">
        <v>24</v>
      </c>
      <c r="B11" s="53">
        <v>530488</v>
      </c>
      <c r="C11" s="54">
        <v>53574</v>
      </c>
      <c r="D11" s="53">
        <v>1077155</v>
      </c>
      <c r="E11" s="54">
        <v>226.38</v>
      </c>
      <c r="F11" s="55">
        <f t="shared" si="0"/>
        <v>5.1217555732309197E-3</v>
      </c>
      <c r="G11" s="105">
        <v>11193019</v>
      </c>
      <c r="H11" s="105">
        <v>1293011</v>
      </c>
    </row>
    <row r="12" spans="1:8" x14ac:dyDescent="0.45">
      <c r="A12" s="51" t="s">
        <v>25</v>
      </c>
      <c r="B12" s="53">
        <v>1596876</v>
      </c>
      <c r="C12" s="54">
        <v>584633</v>
      </c>
      <c r="D12" s="53">
        <v>476221</v>
      </c>
      <c r="E12" s="54">
        <v>36.67</v>
      </c>
      <c r="F12" s="55">
        <f t="shared" si="0"/>
        <v>1.5417518497607294E-2</v>
      </c>
      <c r="G12" s="105">
        <v>16979990</v>
      </c>
      <c r="H12" s="105">
        <v>14319836</v>
      </c>
    </row>
    <row r="13" spans="1:8" x14ac:dyDescent="0.45">
      <c r="A13" s="51" t="s">
        <v>26</v>
      </c>
      <c r="B13" s="53">
        <v>47994</v>
      </c>
      <c r="C13" s="54">
        <v>11037</v>
      </c>
      <c r="D13" s="53">
        <v>156716</v>
      </c>
      <c r="E13" s="54">
        <v>343.71</v>
      </c>
      <c r="F13" s="55">
        <f t="shared" si="0"/>
        <v>4.6337247398931696E-4</v>
      </c>
      <c r="G13" s="105">
        <v>2864185</v>
      </c>
      <c r="H13" s="105">
        <v>1902238</v>
      </c>
    </row>
    <row r="14" spans="1:8" x14ac:dyDescent="0.45">
      <c r="A14" s="51" t="s">
        <v>27</v>
      </c>
      <c r="B14" s="53">
        <v>31218625</v>
      </c>
      <c r="C14" s="54">
        <v>15098871</v>
      </c>
      <c r="D14" s="53">
        <v>4224847</v>
      </c>
      <c r="E14" s="54">
        <v>18.329999999999998</v>
      </c>
      <c r="F14" s="55">
        <f t="shared" si="0"/>
        <v>0.30140958246436511</v>
      </c>
      <c r="G14" s="105">
        <v>204260603</v>
      </c>
      <c r="H14" s="105">
        <v>160664392</v>
      </c>
    </row>
    <row r="15" spans="1:8" x14ac:dyDescent="0.45">
      <c r="A15" s="51" t="s">
        <v>28</v>
      </c>
      <c r="B15" s="53">
        <v>11994303</v>
      </c>
      <c r="C15" s="54">
        <v>4618918</v>
      </c>
      <c r="D15" s="53">
        <v>2930219</v>
      </c>
      <c r="E15" s="54">
        <v>30.45</v>
      </c>
      <c r="F15" s="55">
        <f t="shared" si="0"/>
        <v>0.11580259730148532</v>
      </c>
      <c r="G15" s="105">
        <v>80181877</v>
      </c>
      <c r="H15" s="105">
        <v>65392835</v>
      </c>
    </row>
    <row r="16" spans="1:8" x14ac:dyDescent="0.45">
      <c r="A16" s="51" t="s">
        <v>29</v>
      </c>
      <c r="B16" s="53">
        <v>819806</v>
      </c>
      <c r="C16" s="54">
        <v>314161</v>
      </c>
      <c r="D16" s="53">
        <v>587650</v>
      </c>
      <c r="E16" s="54">
        <v>79.31</v>
      </c>
      <c r="F16" s="55">
        <f t="shared" si="0"/>
        <v>7.9150630164455133E-3</v>
      </c>
      <c r="G16" s="105">
        <v>6516699</v>
      </c>
      <c r="H16" s="105">
        <v>4317666</v>
      </c>
    </row>
    <row r="17" spans="1:8" x14ac:dyDescent="0.45">
      <c r="A17" s="51" t="s">
        <v>30</v>
      </c>
      <c r="B17" s="53">
        <v>2623392</v>
      </c>
      <c r="C17" s="54">
        <v>456846</v>
      </c>
      <c r="D17" s="53">
        <v>1403897</v>
      </c>
      <c r="E17" s="54">
        <v>65.31</v>
      </c>
      <c r="F17" s="55">
        <f t="shared" si="0"/>
        <v>2.5328325234066387E-2</v>
      </c>
      <c r="G17" s="105">
        <v>14053353</v>
      </c>
      <c r="H17" s="105">
        <v>9317211</v>
      </c>
    </row>
    <row r="18" spans="1:8" x14ac:dyDescent="0.45">
      <c r="A18" s="51" t="s">
        <v>31</v>
      </c>
      <c r="B18" s="53">
        <v>3351587</v>
      </c>
      <c r="C18" s="54">
        <v>4333772</v>
      </c>
      <c r="D18" s="53">
        <v>1029012</v>
      </c>
      <c r="E18" s="54">
        <v>40.130000000000003</v>
      </c>
      <c r="F18" s="55">
        <f t="shared" si="0"/>
        <v>3.235890236238765E-2</v>
      </c>
      <c r="G18" s="105">
        <v>22837251</v>
      </c>
      <c r="H18" s="105">
        <v>15418572</v>
      </c>
    </row>
    <row r="19" spans="1:8" s="5" customFormat="1" ht="18.399999999999999" x14ac:dyDescent="0.85">
      <c r="A19" s="52" t="s">
        <v>32</v>
      </c>
      <c r="B19" s="62">
        <v>103575423</v>
      </c>
      <c r="C19" s="63">
        <v>42316532</v>
      </c>
      <c r="D19" s="63">
        <v>22793706</v>
      </c>
      <c r="E19" s="56"/>
      <c r="F19" s="55"/>
      <c r="G19" s="142">
        <v>754371778</v>
      </c>
      <c r="H19" s="142">
        <v>612583316</v>
      </c>
    </row>
    <row r="20" spans="1:8" x14ac:dyDescent="0.45">
      <c r="C20"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7030A0"/>
  </sheetPr>
  <dimension ref="A1:H20"/>
  <sheetViews>
    <sheetView zoomScale="80" zoomScaleNormal="80" workbookViewId="0">
      <selection activeCell="C2" sqref="C2:D18"/>
    </sheetView>
  </sheetViews>
  <sheetFormatPr defaultColWidth="9.265625" defaultRowHeight="15.4" x14ac:dyDescent="0.45"/>
  <cols>
    <col min="1" max="1" width="47.265625" style="1" bestFit="1" customWidth="1"/>
    <col min="2" max="2" width="17.3984375" style="1" customWidth="1"/>
    <col min="3" max="3" width="29.3984375" style="1" bestFit="1" customWidth="1"/>
    <col min="4" max="4" width="23.73046875" style="1" bestFit="1" customWidth="1"/>
    <col min="5" max="5" width="14.73046875" style="1" bestFit="1" customWidth="1"/>
    <col min="6" max="6" width="15.3984375" style="1" bestFit="1" customWidth="1"/>
    <col min="7" max="7" width="13.3984375" style="1" bestFit="1" customWidth="1"/>
    <col min="8" max="8" width="17.3984375" style="1" bestFit="1" customWidth="1"/>
    <col min="9" max="16384" width="9.265625" style="1"/>
  </cols>
  <sheetData>
    <row r="1" spans="1:8" s="61" customFormat="1" ht="15" x14ac:dyDescent="0.4">
      <c r="A1" s="60" t="s">
        <v>33</v>
      </c>
      <c r="B1" s="60" t="s">
        <v>34</v>
      </c>
      <c r="C1" s="60" t="s">
        <v>9</v>
      </c>
      <c r="D1" s="60" t="s">
        <v>10</v>
      </c>
      <c r="E1" s="60" t="s">
        <v>11</v>
      </c>
      <c r="F1" s="60" t="s">
        <v>12</v>
      </c>
      <c r="G1" s="61" t="s">
        <v>13</v>
      </c>
      <c r="H1" s="61" t="s">
        <v>14</v>
      </c>
    </row>
    <row r="2" spans="1:8" x14ac:dyDescent="0.45">
      <c r="A2" s="57" t="s">
        <v>15</v>
      </c>
      <c r="B2" s="53">
        <v>267468</v>
      </c>
      <c r="C2" s="54">
        <v>118120</v>
      </c>
      <c r="D2" s="54">
        <v>315904</v>
      </c>
      <c r="E2" s="54">
        <v>126.28</v>
      </c>
      <c r="F2" s="55">
        <f>B2/$B$19</f>
        <v>1.2432666037481457E-3</v>
      </c>
      <c r="G2" s="105">
        <v>2981159</v>
      </c>
      <c r="H2" s="105">
        <v>263804</v>
      </c>
    </row>
    <row r="3" spans="1:8" x14ac:dyDescent="0.45">
      <c r="A3" s="57" t="s">
        <v>16</v>
      </c>
      <c r="B3" s="53">
        <v>3867795</v>
      </c>
      <c r="C3" s="54">
        <v>2394793</v>
      </c>
      <c r="D3" s="54">
        <v>1017776</v>
      </c>
      <c r="E3" s="54">
        <v>30.23</v>
      </c>
      <c r="F3" s="55">
        <f t="shared" ref="F3:F18" si="0">B3/$B$19</f>
        <v>1.7978600631268261E-2</v>
      </c>
      <c r="G3" s="105">
        <v>20125247</v>
      </c>
      <c r="H3" s="105">
        <v>15506250</v>
      </c>
    </row>
    <row r="4" spans="1:8" x14ac:dyDescent="0.45">
      <c r="A4" s="57" t="s">
        <v>17</v>
      </c>
      <c r="B4" s="53">
        <v>54774493</v>
      </c>
      <c r="C4" s="54">
        <v>13234757</v>
      </c>
      <c r="D4" s="54">
        <v>9542948</v>
      </c>
      <c r="E4" s="54">
        <v>38.979999999999997</v>
      </c>
      <c r="F4" s="55">
        <f t="shared" si="0"/>
        <v>0.25460727221251356</v>
      </c>
      <c r="G4" s="105">
        <v>173111980</v>
      </c>
      <c r="H4" s="105">
        <v>154451376</v>
      </c>
    </row>
    <row r="5" spans="1:8" x14ac:dyDescent="0.45">
      <c r="A5" s="57" t="s">
        <v>18</v>
      </c>
      <c r="B5" s="53">
        <v>5213829</v>
      </c>
      <c r="C5" s="54">
        <v>1773134</v>
      </c>
      <c r="D5" s="54">
        <v>2061500</v>
      </c>
      <c r="E5" s="54">
        <v>51.74</v>
      </c>
      <c r="F5" s="55">
        <f t="shared" si="0"/>
        <v>2.4235345810914168E-2</v>
      </c>
      <c r="G5" s="105">
        <v>14776077</v>
      </c>
      <c r="H5" s="105">
        <v>7359854</v>
      </c>
    </row>
    <row r="6" spans="1:8" x14ac:dyDescent="0.45">
      <c r="A6" s="57" t="s">
        <v>19</v>
      </c>
      <c r="B6" s="53">
        <v>1782284</v>
      </c>
      <c r="C6" s="54">
        <v>380374</v>
      </c>
      <c r="D6" s="54">
        <v>473943</v>
      </c>
      <c r="E6" s="54">
        <v>66.45</v>
      </c>
      <c r="F6" s="55">
        <f t="shared" si="0"/>
        <v>8.2845580615051526E-3</v>
      </c>
      <c r="G6" s="105">
        <v>3673343</v>
      </c>
      <c r="H6" s="105">
        <v>3043919</v>
      </c>
    </row>
    <row r="7" spans="1:8" x14ac:dyDescent="0.45">
      <c r="A7" s="57" t="s">
        <v>20</v>
      </c>
      <c r="B7" s="53">
        <v>23491345</v>
      </c>
      <c r="C7" s="54">
        <v>11926104</v>
      </c>
      <c r="D7" s="54">
        <v>3813173</v>
      </c>
      <c r="E7" s="54">
        <v>19.850000000000001</v>
      </c>
      <c r="F7" s="55">
        <f t="shared" si="0"/>
        <v>0.10919438854601665</v>
      </c>
      <c r="G7" s="105">
        <v>110070857</v>
      </c>
      <c r="H7" s="105">
        <v>92930556</v>
      </c>
    </row>
    <row r="8" spans="1:8" x14ac:dyDescent="0.45">
      <c r="A8" s="57" t="s">
        <v>21</v>
      </c>
      <c r="B8" s="53">
        <v>10673148</v>
      </c>
      <c r="C8" s="54">
        <v>4368555</v>
      </c>
      <c r="D8" s="54">
        <v>3242170</v>
      </c>
      <c r="E8" s="54">
        <v>46.3</v>
      </c>
      <c r="F8" s="55">
        <f t="shared" si="0"/>
        <v>4.9611798290865872E-2</v>
      </c>
      <c r="G8" s="105">
        <v>65662131</v>
      </c>
      <c r="H8" s="105">
        <v>61946330</v>
      </c>
    </row>
    <row r="9" spans="1:8" x14ac:dyDescent="0.45">
      <c r="A9" s="57" t="s">
        <v>22</v>
      </c>
      <c r="B9" s="53">
        <v>8699762</v>
      </c>
      <c r="C9" s="54">
        <v>1790127</v>
      </c>
      <c r="D9" s="54">
        <v>1606563</v>
      </c>
      <c r="E9" s="54">
        <v>23.1</v>
      </c>
      <c r="F9" s="55">
        <f t="shared" si="0"/>
        <v>4.043894430420527E-2</v>
      </c>
      <c r="G9" s="105">
        <v>32910104</v>
      </c>
      <c r="H9" s="105">
        <v>25771729</v>
      </c>
    </row>
    <row r="10" spans="1:8" x14ac:dyDescent="0.45">
      <c r="A10" s="57" t="s">
        <v>23</v>
      </c>
      <c r="B10" s="53">
        <v>3728499</v>
      </c>
      <c r="C10" s="54">
        <v>1532349</v>
      </c>
      <c r="D10" s="54">
        <v>1395949</v>
      </c>
      <c r="E10" s="54">
        <v>47.94</v>
      </c>
      <c r="F10" s="55">
        <f t="shared" si="0"/>
        <v>1.7331113586703296E-2</v>
      </c>
      <c r="G10" s="105">
        <v>10315075</v>
      </c>
      <c r="H10" s="105">
        <v>7562530</v>
      </c>
    </row>
    <row r="11" spans="1:8" x14ac:dyDescent="0.45">
      <c r="A11" s="57" t="s">
        <v>24</v>
      </c>
      <c r="B11" s="53">
        <v>1313238</v>
      </c>
      <c r="C11" s="54">
        <v>122957</v>
      </c>
      <c r="D11" s="54">
        <v>3011628</v>
      </c>
      <c r="E11" s="54">
        <v>254.28</v>
      </c>
      <c r="F11" s="55">
        <f t="shared" si="0"/>
        <v>6.1043001337468678E-3</v>
      </c>
      <c r="G11" s="105">
        <v>10478888</v>
      </c>
      <c r="H11" s="105">
        <v>7084614</v>
      </c>
    </row>
    <row r="12" spans="1:8" x14ac:dyDescent="0.45">
      <c r="A12" s="57" t="s">
        <v>25</v>
      </c>
      <c r="B12" s="53">
        <v>3345883</v>
      </c>
      <c r="C12" s="54">
        <v>1420286</v>
      </c>
      <c r="D12" s="54">
        <v>1032775</v>
      </c>
      <c r="E12" s="54">
        <v>37.43</v>
      </c>
      <c r="F12" s="55">
        <f t="shared" si="0"/>
        <v>1.5552606644341218E-2</v>
      </c>
      <c r="G12" s="105">
        <v>18342847</v>
      </c>
      <c r="H12" s="105">
        <v>15525300</v>
      </c>
    </row>
    <row r="13" spans="1:8" x14ac:dyDescent="0.45">
      <c r="A13" s="57" t="s">
        <v>26</v>
      </c>
      <c r="B13" s="53">
        <v>200023</v>
      </c>
      <c r="C13" s="54">
        <v>40758</v>
      </c>
      <c r="D13" s="54">
        <v>382012</v>
      </c>
      <c r="E13" s="54">
        <v>217.86</v>
      </c>
      <c r="F13" s="55">
        <f t="shared" si="0"/>
        <v>9.2976324600144817E-4</v>
      </c>
      <c r="G13" s="105">
        <v>2951427</v>
      </c>
      <c r="H13" s="105">
        <v>2400001</v>
      </c>
    </row>
    <row r="14" spans="1:8" x14ac:dyDescent="0.45">
      <c r="A14" s="57" t="s">
        <v>27</v>
      </c>
      <c r="B14" s="53">
        <v>60662950</v>
      </c>
      <c r="C14" s="54">
        <v>32829102</v>
      </c>
      <c r="D14" s="54">
        <v>10766957</v>
      </c>
      <c r="E14" s="54">
        <v>22.57</v>
      </c>
      <c r="F14" s="55">
        <f t="shared" si="0"/>
        <v>0.28197847899503331</v>
      </c>
      <c r="G14" s="105">
        <v>216483337</v>
      </c>
      <c r="H14" s="105">
        <v>175422267</v>
      </c>
    </row>
    <row r="15" spans="1:8" x14ac:dyDescent="0.45">
      <c r="A15" s="57" t="s">
        <v>28</v>
      </c>
      <c r="B15" s="53">
        <v>24818794</v>
      </c>
      <c r="C15" s="54">
        <v>9680000</v>
      </c>
      <c r="D15" s="54">
        <v>6417640</v>
      </c>
      <c r="E15" s="54">
        <v>32.31</v>
      </c>
      <c r="F15" s="55">
        <f t="shared" si="0"/>
        <v>0.1153647454106841</v>
      </c>
      <c r="G15" s="105">
        <v>85974105</v>
      </c>
      <c r="H15" s="105">
        <v>68228291</v>
      </c>
    </row>
    <row r="16" spans="1:8" x14ac:dyDescent="0.45">
      <c r="A16" s="57" t="s">
        <v>29</v>
      </c>
      <c r="B16" s="53">
        <v>875084</v>
      </c>
      <c r="C16" s="54">
        <v>397076</v>
      </c>
      <c r="D16" s="54">
        <v>604460</v>
      </c>
      <c r="E16" s="54">
        <v>73.709999999999994</v>
      </c>
      <c r="F16" s="55">
        <f t="shared" si="0"/>
        <v>4.0676369235734455E-3</v>
      </c>
      <c r="G16" s="105">
        <v>6412810</v>
      </c>
      <c r="H16" s="105">
        <v>4329360</v>
      </c>
    </row>
    <row r="17" spans="1:8" x14ac:dyDescent="0.45">
      <c r="A17" s="57" t="s">
        <v>30</v>
      </c>
      <c r="B17" s="53">
        <v>5310772</v>
      </c>
      <c r="C17" s="54">
        <v>882224</v>
      </c>
      <c r="D17" s="54">
        <v>2719860</v>
      </c>
      <c r="E17" s="54">
        <v>63.75</v>
      </c>
      <c r="F17" s="55">
        <f t="shared" si="0"/>
        <v>2.4685964181587132E-2</v>
      </c>
      <c r="G17" s="105">
        <v>18232635</v>
      </c>
      <c r="H17" s="105">
        <v>12270596</v>
      </c>
    </row>
    <row r="18" spans="1:8" x14ac:dyDescent="0.45">
      <c r="A18" s="57" t="s">
        <v>31</v>
      </c>
      <c r="B18" s="53">
        <v>6107896</v>
      </c>
      <c r="C18" s="54">
        <v>6844091</v>
      </c>
      <c r="D18" s="54">
        <v>2406886</v>
      </c>
      <c r="E18" s="54">
        <v>57.1</v>
      </c>
      <c r="F18" s="55">
        <f t="shared" si="0"/>
        <v>2.8391221065573766E-2</v>
      </c>
      <c r="G18" s="105">
        <v>22236432</v>
      </c>
      <c r="H18" s="105">
        <v>14913793</v>
      </c>
    </row>
    <row r="19" spans="1:8" s="69" customFormat="1" ht="18.399999999999999" x14ac:dyDescent="0.4">
      <c r="A19" s="64" t="s">
        <v>32</v>
      </c>
      <c r="B19" s="65">
        <v>215133262</v>
      </c>
      <c r="C19" s="66">
        <v>89734807</v>
      </c>
      <c r="D19" s="66">
        <v>50812144</v>
      </c>
      <c r="E19" s="67"/>
      <c r="F19" s="68"/>
      <c r="G19" s="142">
        <v>814738453</v>
      </c>
      <c r="H19" s="145">
        <v>669010570</v>
      </c>
    </row>
    <row r="20" spans="1:8" x14ac:dyDescent="0.45">
      <c r="C20"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7030A0"/>
  </sheetPr>
  <dimension ref="A1:H19"/>
  <sheetViews>
    <sheetView zoomScale="80" zoomScaleNormal="80" workbookViewId="0">
      <selection activeCell="C2" sqref="C2:D18"/>
    </sheetView>
  </sheetViews>
  <sheetFormatPr defaultColWidth="9.265625" defaultRowHeight="15.4" x14ac:dyDescent="0.45"/>
  <cols>
    <col min="1" max="1" width="47.265625" style="1" bestFit="1" customWidth="1"/>
    <col min="2" max="2" width="17.3984375" style="1" customWidth="1"/>
    <col min="3" max="3" width="29.3984375" style="1" bestFit="1" customWidth="1"/>
    <col min="4" max="4" width="23.73046875" style="1" bestFit="1" customWidth="1"/>
    <col min="5" max="5" width="14.73046875" style="1" bestFit="1" customWidth="1"/>
    <col min="6" max="6" width="13.73046875" style="1" bestFit="1" customWidth="1"/>
    <col min="7" max="7" width="13.3984375" style="1" bestFit="1" customWidth="1"/>
    <col min="8" max="8" width="12" style="1" bestFit="1" customWidth="1"/>
    <col min="9" max="16384" width="9.265625" style="1"/>
  </cols>
  <sheetData>
    <row r="1" spans="1:8" x14ac:dyDescent="0.45">
      <c r="A1" s="47" t="s">
        <v>35</v>
      </c>
      <c r="B1" s="47" t="s">
        <v>34</v>
      </c>
      <c r="C1" s="47" t="s">
        <v>9</v>
      </c>
      <c r="D1" s="47" t="s">
        <v>10</v>
      </c>
      <c r="E1" s="47" t="s">
        <v>11</v>
      </c>
      <c r="F1" s="47" t="s">
        <v>12</v>
      </c>
      <c r="G1" s="61" t="s">
        <v>13</v>
      </c>
      <c r="H1" s="61" t="s">
        <v>14</v>
      </c>
    </row>
    <row r="2" spans="1:8" x14ac:dyDescent="0.45">
      <c r="A2" s="49" t="s">
        <v>15</v>
      </c>
      <c r="B2" s="53">
        <v>412561</v>
      </c>
      <c r="C2" s="54">
        <v>151683</v>
      </c>
      <c r="D2" s="54">
        <v>507486</v>
      </c>
      <c r="E2" s="71">
        <v>133.91999999999999</v>
      </c>
      <c r="F2" s="55">
        <f>B2/$B$19</f>
        <v>1.2263522386732975E-3</v>
      </c>
      <c r="G2" s="155">
        <v>2971783</v>
      </c>
      <c r="H2" s="155">
        <v>1937692</v>
      </c>
    </row>
    <row r="3" spans="1:8" x14ac:dyDescent="0.45">
      <c r="A3" s="49" t="s">
        <v>16</v>
      </c>
      <c r="B3" s="53">
        <v>5860106</v>
      </c>
      <c r="C3" s="54">
        <v>3467461</v>
      </c>
      <c r="D3" s="54">
        <v>1601872</v>
      </c>
      <c r="E3" s="71">
        <v>31.32</v>
      </c>
      <c r="F3" s="55">
        <f t="shared" ref="F3:F18" si="0">B3/$B$19</f>
        <v>1.7419373406509151E-2</v>
      </c>
      <c r="G3" s="155">
        <v>21022890</v>
      </c>
      <c r="H3" s="155">
        <v>16557898</v>
      </c>
    </row>
    <row r="4" spans="1:8" x14ac:dyDescent="0.45">
      <c r="A4" s="49" t="s">
        <v>17</v>
      </c>
      <c r="B4" s="53">
        <v>86714138</v>
      </c>
      <c r="C4" s="54">
        <v>22842886</v>
      </c>
      <c r="D4" s="54">
        <v>14400131</v>
      </c>
      <c r="E4" s="71">
        <v>37.340000000000003</v>
      </c>
      <c r="F4" s="55">
        <f t="shared" si="0"/>
        <v>0.25776085781478436</v>
      </c>
      <c r="G4" s="155">
        <v>202275132</v>
      </c>
      <c r="H4" s="155">
        <v>176611899</v>
      </c>
    </row>
    <row r="5" spans="1:8" x14ac:dyDescent="0.45">
      <c r="A5" s="49" t="s">
        <v>18</v>
      </c>
      <c r="B5" s="53">
        <v>7620743</v>
      </c>
      <c r="C5" s="54">
        <v>2980051</v>
      </c>
      <c r="D5" s="54">
        <v>4704343</v>
      </c>
      <c r="E5" s="71">
        <v>75.099999999999994</v>
      </c>
      <c r="F5" s="55">
        <f t="shared" si="0"/>
        <v>2.2652929478074419E-2</v>
      </c>
      <c r="G5" s="155">
        <v>17025846</v>
      </c>
      <c r="H5" s="155">
        <v>8179091</v>
      </c>
    </row>
    <row r="6" spans="1:8" x14ac:dyDescent="0.45">
      <c r="A6" s="49" t="s">
        <v>19</v>
      </c>
      <c r="B6" s="53">
        <v>3559265</v>
      </c>
      <c r="C6" s="54">
        <v>866751</v>
      </c>
      <c r="D6" s="54">
        <v>763060</v>
      </c>
      <c r="E6" s="71">
        <v>51.58</v>
      </c>
      <c r="F6" s="55">
        <f t="shared" si="0"/>
        <v>1.058004174117649E-2</v>
      </c>
      <c r="G6" s="155">
        <v>4607904</v>
      </c>
      <c r="H6" s="155">
        <v>3754871</v>
      </c>
    </row>
    <row r="7" spans="1:8" x14ac:dyDescent="0.45">
      <c r="A7" s="49" t="s">
        <v>20</v>
      </c>
      <c r="B7" s="53">
        <v>39693935</v>
      </c>
      <c r="C7" s="54">
        <v>19232735</v>
      </c>
      <c r="D7" s="54">
        <v>6347645</v>
      </c>
      <c r="E7" s="71">
        <v>19.03</v>
      </c>
      <c r="F7" s="55">
        <f t="shared" si="0"/>
        <v>0.11799163287126596</v>
      </c>
      <c r="G7" s="155">
        <v>122989166</v>
      </c>
      <c r="H7" s="155">
        <v>97515555</v>
      </c>
    </row>
    <row r="8" spans="1:8" x14ac:dyDescent="0.45">
      <c r="A8" s="49" t="s">
        <v>21</v>
      </c>
      <c r="B8" s="53">
        <v>16062324</v>
      </c>
      <c r="C8" s="54">
        <v>7336090</v>
      </c>
      <c r="D8" s="54">
        <v>4250509</v>
      </c>
      <c r="E8" s="71">
        <v>42.09</v>
      </c>
      <c r="F8" s="55">
        <f t="shared" si="0"/>
        <v>4.7745829091203083E-2</v>
      </c>
      <c r="G8" s="155">
        <v>69178762</v>
      </c>
      <c r="H8" s="155">
        <v>66717978</v>
      </c>
    </row>
    <row r="9" spans="1:8" x14ac:dyDescent="0.45">
      <c r="A9" s="49" t="s">
        <v>22</v>
      </c>
      <c r="B9" s="53">
        <v>11818902</v>
      </c>
      <c r="C9" s="54">
        <v>10694385</v>
      </c>
      <c r="D9" s="54">
        <v>2807330</v>
      </c>
      <c r="E9" s="71">
        <v>29.12</v>
      </c>
      <c r="F9" s="55">
        <f t="shared" si="0"/>
        <v>3.5132106346359236E-2</v>
      </c>
      <c r="G9" s="155">
        <v>38364144</v>
      </c>
      <c r="H9" s="155">
        <v>29781287</v>
      </c>
    </row>
    <row r="10" spans="1:8" x14ac:dyDescent="0.45">
      <c r="A10" s="49" t="s">
        <v>23</v>
      </c>
      <c r="B10" s="53">
        <v>5403328</v>
      </c>
      <c r="C10" s="54">
        <v>2500539</v>
      </c>
      <c r="D10" s="54">
        <v>2108497</v>
      </c>
      <c r="E10" s="71">
        <v>49.62</v>
      </c>
      <c r="F10" s="55">
        <f t="shared" si="0"/>
        <v>1.6061584563461188E-2</v>
      </c>
      <c r="G10" s="155">
        <v>11404611</v>
      </c>
      <c r="H10" s="155">
        <v>7632530</v>
      </c>
    </row>
    <row r="11" spans="1:8" x14ac:dyDescent="0.45">
      <c r="A11" s="49" t="s">
        <v>24</v>
      </c>
      <c r="B11" s="53">
        <v>3156424</v>
      </c>
      <c r="C11" s="54">
        <v>678406</v>
      </c>
      <c r="D11" s="54">
        <v>4674834</v>
      </c>
      <c r="E11" s="71">
        <v>176.14</v>
      </c>
      <c r="F11" s="55">
        <f t="shared" si="0"/>
        <v>9.3825825480404693E-3</v>
      </c>
      <c r="G11" s="155">
        <v>10513770</v>
      </c>
      <c r="H11" s="155">
        <v>5973568</v>
      </c>
    </row>
    <row r="12" spans="1:8" x14ac:dyDescent="0.45">
      <c r="A12" s="49" t="s">
        <v>25</v>
      </c>
      <c r="B12" s="53">
        <v>5095454</v>
      </c>
      <c r="C12" s="54">
        <v>2460986</v>
      </c>
      <c r="D12" s="54">
        <v>1555362</v>
      </c>
      <c r="E12" s="71">
        <v>36.83</v>
      </c>
      <c r="F12" s="55">
        <f t="shared" si="0"/>
        <v>1.5146418153816789E-2</v>
      </c>
      <c r="G12" s="155">
        <v>19516602</v>
      </c>
      <c r="H12" s="155">
        <v>16666900</v>
      </c>
    </row>
    <row r="13" spans="1:8" x14ac:dyDescent="0.45">
      <c r="A13" s="49" t="s">
        <v>26</v>
      </c>
      <c r="B13" s="53">
        <v>448285</v>
      </c>
      <c r="C13" s="54">
        <v>64015</v>
      </c>
      <c r="D13" s="54">
        <v>601926</v>
      </c>
      <c r="E13" s="71">
        <v>163.86</v>
      </c>
      <c r="F13" s="55">
        <f t="shared" si="0"/>
        <v>1.3325430986294369E-3</v>
      </c>
      <c r="G13" s="155">
        <v>3057400</v>
      </c>
      <c r="H13" s="155">
        <v>2400001</v>
      </c>
    </row>
    <row r="14" spans="1:8" x14ac:dyDescent="0.45">
      <c r="A14" s="49" t="s">
        <v>27</v>
      </c>
      <c r="B14" s="53">
        <v>92648394</v>
      </c>
      <c r="C14" s="54">
        <v>51104097</v>
      </c>
      <c r="D14" s="54">
        <v>16899859</v>
      </c>
      <c r="E14" s="71">
        <v>22.95</v>
      </c>
      <c r="F14" s="55">
        <f t="shared" si="0"/>
        <v>0.27540064473225945</v>
      </c>
      <c r="G14" s="155">
        <v>232052581</v>
      </c>
      <c r="H14" s="155">
        <v>181081393</v>
      </c>
    </row>
    <row r="15" spans="1:8" x14ac:dyDescent="0.45">
      <c r="A15" s="49" t="s">
        <v>28</v>
      </c>
      <c r="B15" s="53">
        <v>37882513</v>
      </c>
      <c r="C15" s="54">
        <v>16478369</v>
      </c>
      <c r="D15" s="54">
        <v>8763387</v>
      </c>
      <c r="E15" s="71">
        <v>30.88</v>
      </c>
      <c r="F15" s="55">
        <f t="shared" si="0"/>
        <v>0.11260711658183951</v>
      </c>
      <c r="G15" s="155">
        <v>94198848</v>
      </c>
      <c r="H15" s="155">
        <v>73728430</v>
      </c>
    </row>
    <row r="16" spans="1:8" x14ac:dyDescent="0.45">
      <c r="A16" s="49" t="s">
        <v>29</v>
      </c>
      <c r="B16" s="53">
        <v>2822778</v>
      </c>
      <c r="C16" s="54">
        <v>1168870</v>
      </c>
      <c r="D16" s="54">
        <v>1858357</v>
      </c>
      <c r="E16" s="71">
        <v>70.819999999999993</v>
      </c>
      <c r="F16" s="55">
        <f t="shared" si="0"/>
        <v>8.3908079522245996E-3</v>
      </c>
      <c r="G16" s="155">
        <v>6678851</v>
      </c>
      <c r="H16" s="155">
        <v>4492149</v>
      </c>
    </row>
    <row r="17" spans="1:8" x14ac:dyDescent="0.45">
      <c r="A17" s="49" t="s">
        <v>30</v>
      </c>
      <c r="B17" s="53">
        <v>8398444</v>
      </c>
      <c r="C17" s="54">
        <v>1279911</v>
      </c>
      <c r="D17" s="54">
        <v>4307436</v>
      </c>
      <c r="E17" s="71">
        <v>64.53</v>
      </c>
      <c r="F17" s="55">
        <f t="shared" si="0"/>
        <v>2.4964673347147023E-2</v>
      </c>
      <c r="G17" s="155">
        <v>19284886</v>
      </c>
      <c r="H17" s="155">
        <v>13795746</v>
      </c>
    </row>
    <row r="18" spans="1:8" x14ac:dyDescent="0.45">
      <c r="A18" s="49" t="s">
        <v>31</v>
      </c>
      <c r="B18" s="53">
        <v>8815540</v>
      </c>
      <c r="C18" s="54">
        <v>9670521</v>
      </c>
      <c r="D18" s="54">
        <v>3901693</v>
      </c>
      <c r="E18" s="71">
        <v>58.64</v>
      </c>
      <c r="F18" s="55">
        <f t="shared" si="0"/>
        <v>2.6204506034535502E-2</v>
      </c>
      <c r="G18" s="155">
        <v>21572503</v>
      </c>
      <c r="H18" s="155">
        <v>14416540</v>
      </c>
    </row>
    <row r="19" spans="1:8" s="5" customFormat="1" ht="18.399999999999999" x14ac:dyDescent="0.85">
      <c r="A19" s="73" t="s">
        <v>32</v>
      </c>
      <c r="B19" s="62">
        <v>336413134</v>
      </c>
      <c r="C19" s="63">
        <v>152977757</v>
      </c>
      <c r="D19" s="63">
        <v>80053727</v>
      </c>
      <c r="E19" s="72"/>
      <c r="F19" s="55"/>
      <c r="G19" s="142">
        <v>896715678</v>
      </c>
      <c r="H19" s="142">
        <v>721243528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7030A0"/>
  </sheetPr>
  <dimension ref="A1:H19"/>
  <sheetViews>
    <sheetView zoomScale="80" zoomScaleNormal="80" workbookViewId="0">
      <selection activeCell="H8" sqref="H8"/>
    </sheetView>
  </sheetViews>
  <sheetFormatPr defaultColWidth="9.265625" defaultRowHeight="15.4" x14ac:dyDescent="0.45"/>
  <cols>
    <col min="1" max="1" width="47.265625" style="1" bestFit="1" customWidth="1"/>
    <col min="2" max="2" width="17.73046875" style="1" bestFit="1" customWidth="1"/>
    <col min="3" max="3" width="29.3984375" style="1" bestFit="1" customWidth="1"/>
    <col min="4" max="4" width="23.73046875" style="1" bestFit="1" customWidth="1"/>
    <col min="5" max="5" width="14.73046875" style="1" bestFit="1" customWidth="1"/>
    <col min="6" max="6" width="13.73046875" style="1" customWidth="1"/>
    <col min="7" max="7" width="13.3984375" style="1" bestFit="1" customWidth="1"/>
    <col min="8" max="8" width="12" style="1" bestFit="1" customWidth="1"/>
    <col min="9" max="16384" width="9.265625" style="1"/>
  </cols>
  <sheetData>
    <row r="1" spans="1:8" s="61" customFormat="1" ht="15" x14ac:dyDescent="0.4">
      <c r="A1" s="47" t="s">
        <v>36</v>
      </c>
      <c r="B1" s="47" t="s">
        <v>34</v>
      </c>
      <c r="C1" s="47" t="s">
        <v>9</v>
      </c>
      <c r="D1" s="47" t="s">
        <v>10</v>
      </c>
      <c r="E1" s="47" t="s">
        <v>11</v>
      </c>
      <c r="F1" s="47" t="s">
        <v>12</v>
      </c>
      <c r="G1" s="61" t="s">
        <v>13</v>
      </c>
      <c r="H1" s="61" t="s">
        <v>14</v>
      </c>
    </row>
    <row r="2" spans="1:8" x14ac:dyDescent="0.45">
      <c r="A2" s="49" t="s">
        <v>15</v>
      </c>
      <c r="B2" s="53">
        <v>809346</v>
      </c>
      <c r="C2" s="74">
        <v>214635</v>
      </c>
      <c r="D2" s="74">
        <v>672681</v>
      </c>
      <c r="E2" s="75">
        <v>93.81</v>
      </c>
      <c r="F2" s="55">
        <f>B2/$B$19</f>
        <v>1.7247448241432771E-3</v>
      </c>
      <c r="G2" s="105">
        <v>3266756</v>
      </c>
      <c r="H2" s="153">
        <v>1888787</v>
      </c>
    </row>
    <row r="3" spans="1:8" x14ac:dyDescent="0.45">
      <c r="A3" s="49" t="s">
        <v>16</v>
      </c>
      <c r="B3" s="53">
        <v>8118905</v>
      </c>
      <c r="C3" s="74">
        <v>4849477</v>
      </c>
      <c r="D3" s="74">
        <v>2646032</v>
      </c>
      <c r="E3" s="75">
        <v>36.520000000000003</v>
      </c>
      <c r="F3" s="55">
        <f t="shared" ref="F3:F18" si="0">B3/$B$19</f>
        <v>1.7301672432384878E-2</v>
      </c>
      <c r="G3" s="105">
        <v>22450949</v>
      </c>
      <c r="H3" s="153">
        <v>17630809</v>
      </c>
    </row>
    <row r="4" spans="1:8" x14ac:dyDescent="0.45">
      <c r="A4" s="49" t="s">
        <v>17</v>
      </c>
      <c r="B4" s="53">
        <v>123846285</v>
      </c>
      <c r="C4" s="74">
        <v>32217309</v>
      </c>
      <c r="D4" s="74">
        <v>20048637</v>
      </c>
      <c r="E4" s="75">
        <v>35.950000000000003</v>
      </c>
      <c r="F4" s="55">
        <f t="shared" si="0"/>
        <v>0.26392079412652086</v>
      </c>
      <c r="G4" s="105">
        <v>222729366</v>
      </c>
      <c r="H4" s="153">
        <v>194026506</v>
      </c>
    </row>
    <row r="5" spans="1:8" x14ac:dyDescent="0.45">
      <c r="A5" s="49" t="s">
        <v>18</v>
      </c>
      <c r="B5" s="53">
        <v>10333661</v>
      </c>
      <c r="C5" s="74">
        <v>4216558</v>
      </c>
      <c r="D5" s="74">
        <v>4583539</v>
      </c>
      <c r="E5" s="75">
        <v>58.6</v>
      </c>
      <c r="F5" s="55">
        <f t="shared" si="0"/>
        <v>2.2021395452873356E-2</v>
      </c>
      <c r="G5" s="105">
        <v>17042792</v>
      </c>
      <c r="H5" s="153">
        <v>8556339</v>
      </c>
    </row>
    <row r="6" spans="1:8" x14ac:dyDescent="0.45">
      <c r="A6" s="49" t="s">
        <v>19</v>
      </c>
      <c r="B6" s="53">
        <v>4724564</v>
      </c>
      <c r="C6" s="74">
        <v>833844</v>
      </c>
      <c r="D6" s="74">
        <v>1123552</v>
      </c>
      <c r="E6" s="75">
        <v>68.95</v>
      </c>
      <c r="F6" s="55">
        <f t="shared" si="0"/>
        <v>1.0068212242148177E-2</v>
      </c>
      <c r="G6" s="105">
        <v>4043996</v>
      </c>
      <c r="H6" s="153">
        <v>2730086</v>
      </c>
    </row>
    <row r="7" spans="1:8" x14ac:dyDescent="0.45">
      <c r="A7" s="49" t="s">
        <v>20</v>
      </c>
      <c r="B7" s="53">
        <v>56052624</v>
      </c>
      <c r="C7" s="74">
        <v>26687223</v>
      </c>
      <c r="D7" s="74">
        <v>9780593</v>
      </c>
      <c r="E7" s="75">
        <v>21.04</v>
      </c>
      <c r="F7" s="55">
        <f t="shared" si="0"/>
        <v>0.11945011543103842</v>
      </c>
      <c r="G7" s="105">
        <v>134083832</v>
      </c>
      <c r="H7" s="153">
        <v>109316080</v>
      </c>
    </row>
    <row r="8" spans="1:8" x14ac:dyDescent="0.45">
      <c r="A8" s="49" t="s">
        <v>21</v>
      </c>
      <c r="B8" s="53">
        <v>21574030</v>
      </c>
      <c r="C8" s="74">
        <v>10285767</v>
      </c>
      <c r="D8" s="74">
        <v>7334942</v>
      </c>
      <c r="E8" s="75">
        <v>50.32</v>
      </c>
      <c r="F8" s="55">
        <f t="shared" si="0"/>
        <v>4.5975017580134801E-2</v>
      </c>
      <c r="G8" s="105">
        <v>73255556</v>
      </c>
      <c r="H8" s="153">
        <v>70447546</v>
      </c>
    </row>
    <row r="9" spans="1:8" x14ac:dyDescent="0.45">
      <c r="A9" s="49" t="s">
        <v>22</v>
      </c>
      <c r="B9" s="53">
        <v>15458280</v>
      </c>
      <c r="C9" s="74">
        <v>15395554</v>
      </c>
      <c r="D9" s="74">
        <v>4071882</v>
      </c>
      <c r="E9" s="75">
        <v>32.15</v>
      </c>
      <c r="F9" s="55">
        <f t="shared" si="0"/>
        <v>3.2942138986487284E-2</v>
      </c>
      <c r="G9" s="105">
        <v>45156391</v>
      </c>
      <c r="H9" s="153">
        <v>27579031</v>
      </c>
    </row>
    <row r="10" spans="1:8" x14ac:dyDescent="0.45">
      <c r="A10" s="49" t="s">
        <v>23</v>
      </c>
      <c r="B10" s="53">
        <v>7040619</v>
      </c>
      <c r="C10" s="74">
        <v>3336822</v>
      </c>
      <c r="D10" s="74">
        <v>3118446</v>
      </c>
      <c r="E10" s="75">
        <v>57.18</v>
      </c>
      <c r="F10" s="55">
        <f t="shared" si="0"/>
        <v>1.5003806998508444E-2</v>
      </c>
      <c r="G10" s="105">
        <v>11751762</v>
      </c>
      <c r="H10" s="153">
        <v>7646921</v>
      </c>
    </row>
    <row r="11" spans="1:8" x14ac:dyDescent="0.45">
      <c r="A11" s="49" t="s">
        <v>24</v>
      </c>
      <c r="B11" s="53">
        <v>5378355</v>
      </c>
      <c r="C11" s="74">
        <v>986454</v>
      </c>
      <c r="D11" s="74">
        <v>5943854</v>
      </c>
      <c r="E11" s="75">
        <v>135.93</v>
      </c>
      <c r="F11" s="55">
        <f t="shared" si="0"/>
        <v>1.1461463883994131E-2</v>
      </c>
      <c r="G11" s="105">
        <v>10843464</v>
      </c>
      <c r="H11" s="153">
        <v>5405839</v>
      </c>
    </row>
    <row r="12" spans="1:8" x14ac:dyDescent="0.45">
      <c r="A12" s="49" t="s">
        <v>25</v>
      </c>
      <c r="B12" s="53">
        <v>7021931</v>
      </c>
      <c r="C12" s="74">
        <v>3345142</v>
      </c>
      <c r="D12" s="74">
        <v>2181900</v>
      </c>
      <c r="E12" s="75">
        <v>37.43</v>
      </c>
      <c r="F12" s="55">
        <f t="shared" si="0"/>
        <v>1.4963982212479243E-2</v>
      </c>
      <c r="G12" s="105">
        <v>21025579</v>
      </c>
      <c r="H12" s="153">
        <v>18413964</v>
      </c>
    </row>
    <row r="13" spans="1:8" x14ac:dyDescent="0.45">
      <c r="A13" s="49" t="s">
        <v>26</v>
      </c>
      <c r="B13" s="53">
        <v>914636</v>
      </c>
      <c r="C13" s="74">
        <v>81510</v>
      </c>
      <c r="D13" s="74">
        <v>1152289</v>
      </c>
      <c r="E13" s="75">
        <v>157.9</v>
      </c>
      <c r="F13" s="55">
        <f t="shared" si="0"/>
        <v>1.9491215215434565E-3</v>
      </c>
      <c r="G13" s="105">
        <v>3086632</v>
      </c>
      <c r="H13" s="153">
        <v>2300000</v>
      </c>
    </row>
    <row r="14" spans="1:8" x14ac:dyDescent="0.45">
      <c r="A14" s="49" t="s">
        <v>27</v>
      </c>
      <c r="B14" s="53">
        <v>127244626</v>
      </c>
      <c r="C14" s="74">
        <v>68869582</v>
      </c>
      <c r="D14" s="74">
        <v>21992747</v>
      </c>
      <c r="E14" s="75">
        <v>22.39</v>
      </c>
      <c r="F14" s="55">
        <f t="shared" si="0"/>
        <v>0.27116277845760289</v>
      </c>
      <c r="G14" s="105">
        <v>248732037</v>
      </c>
      <c r="H14" s="153">
        <v>194941247</v>
      </c>
    </row>
    <row r="15" spans="1:8" x14ac:dyDescent="0.45">
      <c r="A15" s="49" t="s">
        <v>28</v>
      </c>
      <c r="B15" s="53">
        <v>53428257</v>
      </c>
      <c r="C15" s="74">
        <v>24508013</v>
      </c>
      <c r="D15" s="74">
        <v>12703125</v>
      </c>
      <c r="E15" s="75">
        <v>31.36</v>
      </c>
      <c r="F15" s="55">
        <f t="shared" si="0"/>
        <v>0.1138574969466048</v>
      </c>
      <c r="G15" s="105">
        <v>113380743</v>
      </c>
      <c r="H15" s="153">
        <v>93078995</v>
      </c>
    </row>
    <row r="16" spans="1:8" x14ac:dyDescent="0.45">
      <c r="A16" s="49" t="s">
        <v>29</v>
      </c>
      <c r="B16" s="53">
        <v>3798298</v>
      </c>
      <c r="C16" s="74">
        <v>1689678</v>
      </c>
      <c r="D16" s="74">
        <v>2798418</v>
      </c>
      <c r="E16" s="75">
        <v>78.89</v>
      </c>
      <c r="F16" s="55">
        <f t="shared" si="0"/>
        <v>8.094306781097035E-3</v>
      </c>
      <c r="G16" s="105">
        <v>7606866</v>
      </c>
      <c r="H16" s="153">
        <v>5420111</v>
      </c>
    </row>
    <row r="17" spans="1:8" x14ac:dyDescent="0.45">
      <c r="A17" s="49" t="s">
        <v>30</v>
      </c>
      <c r="B17" s="53">
        <v>11437710</v>
      </c>
      <c r="C17" s="74">
        <v>1896926</v>
      </c>
      <c r="D17" s="74">
        <v>6368821</v>
      </c>
      <c r="E17" s="75">
        <v>69.77</v>
      </c>
      <c r="F17" s="55">
        <f t="shared" si="0"/>
        <v>2.4374162746899103E-2</v>
      </c>
      <c r="G17" s="105">
        <v>23242045</v>
      </c>
      <c r="H17" s="153">
        <v>16454197</v>
      </c>
    </row>
    <row r="18" spans="1:8" x14ac:dyDescent="0.45">
      <c r="A18" s="49" t="s">
        <v>31</v>
      </c>
      <c r="B18" s="53">
        <v>12073376</v>
      </c>
      <c r="C18" s="74">
        <v>13760387</v>
      </c>
      <c r="D18" s="74">
        <v>4981622</v>
      </c>
      <c r="E18" s="75">
        <v>54.03</v>
      </c>
      <c r="F18" s="55">
        <f t="shared" si="0"/>
        <v>2.5728789375539834E-2</v>
      </c>
      <c r="G18" s="105">
        <v>20719481</v>
      </c>
      <c r="H18" s="153">
        <v>13052734</v>
      </c>
    </row>
    <row r="19" spans="1:8" s="5" customFormat="1" ht="18.399999999999999" x14ac:dyDescent="0.85">
      <c r="A19" s="50" t="s">
        <v>32</v>
      </c>
      <c r="B19" s="62">
        <v>469255503</v>
      </c>
      <c r="C19" s="125">
        <v>213174881</v>
      </c>
      <c r="D19" s="125">
        <v>111503081</v>
      </c>
      <c r="E19" s="76"/>
      <c r="F19" s="55"/>
      <c r="G19" s="142">
        <v>982418247</v>
      </c>
      <c r="H19" s="154">
        <v>788889192</v>
      </c>
    </row>
  </sheetData>
  <pageMargins left="0.7" right="0.7" top="0.75" bottom="0.75" header="0.3" footer="0.3"/>
  <customProperties>
    <customPr name="LastActive" r:id="rId1"/>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030A0"/>
  </sheetPr>
  <dimension ref="A1:H21"/>
  <sheetViews>
    <sheetView zoomScale="80" zoomScaleNormal="80" workbookViewId="0">
      <selection activeCell="C2" sqref="C2:D19"/>
    </sheetView>
  </sheetViews>
  <sheetFormatPr defaultColWidth="9.265625" defaultRowHeight="15.4" x14ac:dyDescent="0.45"/>
  <cols>
    <col min="1" max="1" width="42.3984375" style="1" customWidth="1"/>
    <col min="2" max="2" width="20.73046875" style="1" bestFit="1" customWidth="1"/>
    <col min="3" max="3" width="28.73046875" style="1" bestFit="1" customWidth="1"/>
    <col min="4" max="4" width="24" style="1" bestFit="1" customWidth="1"/>
    <col min="5" max="5" width="15.265625" style="1" bestFit="1" customWidth="1"/>
    <col min="6" max="6" width="13.73046875" style="1" bestFit="1" customWidth="1"/>
    <col min="7" max="7" width="14.73046875" style="1" bestFit="1" customWidth="1"/>
    <col min="8" max="8" width="18.265625" style="1" bestFit="1" customWidth="1"/>
    <col min="9" max="16384" width="9.265625" style="1"/>
  </cols>
  <sheetData>
    <row r="1" spans="1:8" x14ac:dyDescent="0.45">
      <c r="A1" s="47" t="s">
        <v>37</v>
      </c>
      <c r="B1" s="47" t="s">
        <v>34</v>
      </c>
      <c r="C1" s="47" t="s">
        <v>38</v>
      </c>
      <c r="D1" s="47" t="s">
        <v>10</v>
      </c>
      <c r="E1" s="47" t="s">
        <v>11</v>
      </c>
      <c r="F1" s="47" t="s">
        <v>12</v>
      </c>
      <c r="G1" s="61" t="s">
        <v>39</v>
      </c>
      <c r="H1" s="61" t="s">
        <v>14</v>
      </c>
    </row>
    <row r="2" spans="1:8" x14ac:dyDescent="0.45">
      <c r="A2" s="49" t="s">
        <v>15</v>
      </c>
      <c r="B2" s="77">
        <v>0</v>
      </c>
      <c r="C2" s="54"/>
      <c r="D2" s="54"/>
      <c r="E2" s="54"/>
      <c r="F2" s="55">
        <f>B2/$B$20</f>
        <v>0</v>
      </c>
      <c r="G2" s="103"/>
      <c r="H2" s="77"/>
    </row>
    <row r="3" spans="1:8" x14ac:dyDescent="0.45">
      <c r="A3" s="49" t="s">
        <v>16</v>
      </c>
      <c r="B3" s="77">
        <v>1961713</v>
      </c>
      <c r="C3" s="54">
        <v>1111071</v>
      </c>
      <c r="D3" s="54">
        <v>793511</v>
      </c>
      <c r="E3" s="54">
        <v>44.33</v>
      </c>
      <c r="F3" s="55">
        <f t="shared" ref="F3:F19" si="0">B3/$B$20</f>
        <v>1.5318692840402612E-2</v>
      </c>
      <c r="G3" s="105">
        <v>24127356</v>
      </c>
      <c r="H3" s="77">
        <v>19509403</v>
      </c>
    </row>
    <row r="4" spans="1:8" x14ac:dyDescent="0.45">
      <c r="A4" s="49" t="s">
        <v>17</v>
      </c>
      <c r="B4" s="77">
        <v>29257000</v>
      </c>
      <c r="C4" s="54">
        <v>10126000</v>
      </c>
      <c r="D4" s="54">
        <v>6296000</v>
      </c>
      <c r="E4" s="54">
        <v>41.56</v>
      </c>
      <c r="F4" s="55">
        <f t="shared" si="0"/>
        <v>0.22846308121099224</v>
      </c>
      <c r="G4" s="105">
        <v>240817027</v>
      </c>
      <c r="H4" s="77">
        <v>211614409</v>
      </c>
    </row>
    <row r="5" spans="1:8" x14ac:dyDescent="0.45">
      <c r="A5" s="49" t="s">
        <v>40</v>
      </c>
      <c r="B5" s="77">
        <v>144632</v>
      </c>
      <c r="C5" s="54">
        <v>0</v>
      </c>
      <c r="D5" s="54">
        <v>1590135</v>
      </c>
      <c r="E5" s="54">
        <v>1099.44</v>
      </c>
      <c r="F5" s="55">
        <f t="shared" si="0"/>
        <v>1.1294074020476545E-3</v>
      </c>
      <c r="G5" s="105">
        <v>12237940</v>
      </c>
      <c r="H5" s="77">
        <v>10530506</v>
      </c>
    </row>
    <row r="6" spans="1:8" x14ac:dyDescent="0.45">
      <c r="A6" s="49" t="s">
        <v>18</v>
      </c>
      <c r="B6" s="77">
        <v>3439868</v>
      </c>
      <c r="C6" s="54">
        <v>1469639</v>
      </c>
      <c r="D6" s="54">
        <v>1088605</v>
      </c>
      <c r="E6" s="54">
        <v>42.91</v>
      </c>
      <c r="F6" s="55">
        <f t="shared" si="0"/>
        <v>2.686136111833385E-2</v>
      </c>
      <c r="G6" s="105">
        <v>18376895</v>
      </c>
      <c r="H6" s="77">
        <v>10487538</v>
      </c>
    </row>
    <row r="7" spans="1:8" x14ac:dyDescent="0.45">
      <c r="A7" s="49" t="s">
        <v>19</v>
      </c>
      <c r="B7" s="77">
        <v>743038</v>
      </c>
      <c r="C7" s="54">
        <v>203104</v>
      </c>
      <c r="D7" s="54">
        <v>298935</v>
      </c>
      <c r="E7" s="54">
        <v>63.43</v>
      </c>
      <c r="F7" s="55">
        <f t="shared" si="0"/>
        <v>5.8022610293896586E-3</v>
      </c>
      <c r="G7" s="105">
        <v>3972230</v>
      </c>
      <c r="H7" s="77">
        <v>3194059</v>
      </c>
    </row>
    <row r="8" spans="1:8" x14ac:dyDescent="0.45">
      <c r="A8" s="49" t="s">
        <v>20</v>
      </c>
      <c r="B8" s="77">
        <v>12145381</v>
      </c>
      <c r="C8" s="54">
        <v>7211565</v>
      </c>
      <c r="D8" s="54">
        <v>3078052</v>
      </c>
      <c r="E8" s="54">
        <v>29.64</v>
      </c>
      <c r="F8" s="55">
        <f t="shared" si="0"/>
        <v>9.4841274421213456E-2</v>
      </c>
      <c r="G8" s="105">
        <v>134741903</v>
      </c>
      <c r="H8" s="77">
        <v>119169296</v>
      </c>
    </row>
    <row r="9" spans="1:8" x14ac:dyDescent="0.45">
      <c r="A9" s="49" t="s">
        <v>21</v>
      </c>
      <c r="B9" s="77">
        <v>5877583</v>
      </c>
      <c r="C9" s="54">
        <v>2528626</v>
      </c>
      <c r="D9" s="54">
        <v>1511591</v>
      </c>
      <c r="E9" s="54">
        <v>42.42</v>
      </c>
      <c r="F9" s="55">
        <f t="shared" si="0"/>
        <v>4.5897074965080061E-2</v>
      </c>
      <c r="G9" s="105">
        <v>77031420</v>
      </c>
      <c r="H9" s="77">
        <v>70518914</v>
      </c>
    </row>
    <row r="10" spans="1:8" x14ac:dyDescent="0.45">
      <c r="A10" s="49" t="s">
        <v>22</v>
      </c>
      <c r="B10" s="77">
        <v>4095292</v>
      </c>
      <c r="C10" s="54">
        <v>2312729</v>
      </c>
      <c r="D10" s="54">
        <v>1559404</v>
      </c>
      <c r="E10" s="54">
        <v>46.15</v>
      </c>
      <c r="F10" s="55">
        <f t="shared" si="0"/>
        <v>3.1979458891162008E-2</v>
      </c>
      <c r="G10" s="105">
        <v>47101184</v>
      </c>
      <c r="H10" s="77">
        <v>37915971</v>
      </c>
    </row>
    <row r="11" spans="1:8" x14ac:dyDescent="0.45">
      <c r="A11" s="49" t="s">
        <v>23</v>
      </c>
      <c r="B11" s="77">
        <v>2037163</v>
      </c>
      <c r="C11" s="54">
        <v>1490102</v>
      </c>
      <c r="D11" s="54">
        <v>837251</v>
      </c>
      <c r="E11" s="54">
        <v>58.48</v>
      </c>
      <c r="F11" s="55">
        <f t="shared" si="0"/>
        <v>1.5907869429846826E-2</v>
      </c>
      <c r="G11" s="105">
        <v>12617424</v>
      </c>
      <c r="H11" s="77">
        <v>7979785</v>
      </c>
    </row>
    <row r="12" spans="1:8" x14ac:dyDescent="0.45">
      <c r="A12" s="49" t="s">
        <v>24</v>
      </c>
      <c r="B12" s="77">
        <v>2177077</v>
      </c>
      <c r="C12" s="54">
        <v>155352</v>
      </c>
      <c r="D12" s="54">
        <v>1585781</v>
      </c>
      <c r="E12" s="54">
        <v>125.84</v>
      </c>
      <c r="F12" s="55">
        <f t="shared" si="0"/>
        <v>1.7000434749071449E-2</v>
      </c>
      <c r="G12" s="105">
        <v>11490777</v>
      </c>
      <c r="H12" s="77">
        <v>4671184</v>
      </c>
    </row>
    <row r="13" spans="1:8" x14ac:dyDescent="0.45">
      <c r="A13" s="49" t="s">
        <v>25</v>
      </c>
      <c r="B13" s="77">
        <v>2076144</v>
      </c>
      <c r="C13" s="54">
        <v>1035281</v>
      </c>
      <c r="D13" s="54">
        <v>575772</v>
      </c>
      <c r="E13" s="54">
        <v>31.94</v>
      </c>
      <c r="F13" s="55">
        <f t="shared" si="0"/>
        <v>1.6212265621140726E-2</v>
      </c>
      <c r="G13" s="105">
        <v>22616260</v>
      </c>
      <c r="H13" s="77">
        <v>19878601</v>
      </c>
    </row>
    <row r="14" spans="1:8" x14ac:dyDescent="0.45">
      <c r="A14" s="49" t="s">
        <v>26</v>
      </c>
      <c r="B14" s="77">
        <v>463683</v>
      </c>
      <c r="C14" s="54">
        <v>20467</v>
      </c>
      <c r="D14" s="54">
        <v>302650</v>
      </c>
      <c r="E14" s="54">
        <v>89.12</v>
      </c>
      <c r="F14" s="55">
        <f t="shared" si="0"/>
        <v>3.620823969824538E-3</v>
      </c>
      <c r="G14" s="105">
        <v>3166569</v>
      </c>
      <c r="H14" s="77">
        <v>2468227</v>
      </c>
    </row>
    <row r="15" spans="1:8" x14ac:dyDescent="0.45">
      <c r="A15" s="49" t="s">
        <v>27</v>
      </c>
      <c r="B15" s="77">
        <v>39733110</v>
      </c>
      <c r="C15" s="54">
        <v>21110384</v>
      </c>
      <c r="D15" s="54">
        <v>6156793</v>
      </c>
      <c r="E15" s="54">
        <v>20.13</v>
      </c>
      <c r="F15" s="55">
        <f t="shared" si="0"/>
        <v>0.3102692940730522</v>
      </c>
      <c r="G15" s="105">
        <v>268776219</v>
      </c>
      <c r="H15" s="77">
        <v>215439208</v>
      </c>
    </row>
    <row r="16" spans="1:8" x14ac:dyDescent="0.45">
      <c r="A16" s="49" t="s">
        <v>28</v>
      </c>
      <c r="B16" s="77">
        <v>15548004</v>
      </c>
      <c r="C16" s="54">
        <v>7805040</v>
      </c>
      <c r="D16" s="54">
        <v>4209164</v>
      </c>
      <c r="E16" s="54">
        <v>35.19</v>
      </c>
      <c r="F16" s="55">
        <f t="shared" si="0"/>
        <v>0.12141179548555327</v>
      </c>
      <c r="G16" s="105">
        <v>131807033</v>
      </c>
      <c r="H16" s="77">
        <v>109658563</v>
      </c>
    </row>
    <row r="17" spans="1:8" x14ac:dyDescent="0.45">
      <c r="A17" s="49" t="s">
        <v>29</v>
      </c>
      <c r="B17" s="77">
        <v>1041382</v>
      </c>
      <c r="C17" s="54">
        <v>286870</v>
      </c>
      <c r="D17" s="54">
        <v>735128</v>
      </c>
      <c r="E17" s="54">
        <v>77.239999999999995</v>
      </c>
      <c r="F17" s="55">
        <f t="shared" si="0"/>
        <v>8.1319800539243776E-3</v>
      </c>
      <c r="G17" s="105">
        <v>8495418</v>
      </c>
      <c r="H17" s="77">
        <v>5551788</v>
      </c>
    </row>
    <row r="18" spans="1:8" x14ac:dyDescent="0.45">
      <c r="A18" s="49" t="s">
        <v>30</v>
      </c>
      <c r="B18" s="77">
        <v>3792707</v>
      </c>
      <c r="C18" s="54">
        <v>714009</v>
      </c>
      <c r="D18" s="54">
        <v>1789778</v>
      </c>
      <c r="E18" s="54">
        <v>55.87</v>
      </c>
      <c r="F18" s="55">
        <f t="shared" si="0"/>
        <v>2.9616622598027779E-2</v>
      </c>
      <c r="G18" s="105">
        <v>23475675</v>
      </c>
      <c r="H18" s="77">
        <v>13802459</v>
      </c>
    </row>
    <row r="19" spans="1:8" x14ac:dyDescent="0.45">
      <c r="A19" s="49" t="s">
        <v>31</v>
      </c>
      <c r="B19" s="77">
        <v>3526300</v>
      </c>
      <c r="C19" s="54">
        <v>13950869</v>
      </c>
      <c r="D19" s="54">
        <v>1330868</v>
      </c>
      <c r="E19" s="54">
        <v>51.31</v>
      </c>
      <c r="F19" s="55">
        <f t="shared" si="0"/>
        <v>2.753629433210247E-2</v>
      </c>
      <c r="G19" s="105">
        <v>9243697</v>
      </c>
      <c r="H19" s="77">
        <v>6576273</v>
      </c>
    </row>
    <row r="20" spans="1:8" s="83" customFormat="1" ht="15" x14ac:dyDescent="0.4">
      <c r="A20" s="79" t="s">
        <v>32</v>
      </c>
      <c r="B20" s="80">
        <v>128060078</v>
      </c>
      <c r="C20" s="81">
        <v>71531108</v>
      </c>
      <c r="D20" s="81">
        <v>33739419</v>
      </c>
      <c r="E20" s="80"/>
      <c r="F20" s="82"/>
      <c r="G20" s="145">
        <v>1050095029</v>
      </c>
      <c r="H20" s="80">
        <v>868966184</v>
      </c>
    </row>
    <row r="21" spans="1:8" x14ac:dyDescent="0.45">
      <c r="B21" s="9"/>
      <c r="C21" s="9"/>
      <c r="D21" s="9"/>
      <c r="E21"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030A0"/>
  </sheetPr>
  <dimension ref="A1:H20"/>
  <sheetViews>
    <sheetView zoomScale="70" zoomScaleNormal="70" workbookViewId="0">
      <selection activeCell="C2" sqref="C2:D19"/>
    </sheetView>
  </sheetViews>
  <sheetFormatPr defaultColWidth="9.265625" defaultRowHeight="15.4" x14ac:dyDescent="0.45"/>
  <cols>
    <col min="1" max="1" width="42.3984375" style="1" customWidth="1"/>
    <col min="2" max="2" width="18.265625" style="1" bestFit="1" customWidth="1"/>
    <col min="3" max="3" width="28.3984375" style="1" bestFit="1" customWidth="1"/>
    <col min="4" max="4" width="23.73046875" style="1" bestFit="1" customWidth="1"/>
    <col min="5" max="5" width="15" style="1" bestFit="1" customWidth="1"/>
    <col min="6" max="6" width="15.3984375" style="1" bestFit="1" customWidth="1"/>
    <col min="7" max="7" width="17.3984375" style="1" customWidth="1"/>
    <col min="8" max="8" width="18.3984375" style="1" bestFit="1" customWidth="1"/>
    <col min="9" max="16384" width="9.265625" style="1"/>
  </cols>
  <sheetData>
    <row r="1" spans="1:8" s="61" customFormat="1" ht="15" x14ac:dyDescent="0.4">
      <c r="A1" s="60" t="s">
        <v>41</v>
      </c>
      <c r="B1" s="60" t="s">
        <v>34</v>
      </c>
      <c r="C1" s="60" t="s">
        <v>38</v>
      </c>
      <c r="D1" s="60" t="s">
        <v>10</v>
      </c>
      <c r="E1" s="60" t="s">
        <v>11</v>
      </c>
      <c r="F1" s="60" t="s">
        <v>12</v>
      </c>
      <c r="G1" s="61" t="s">
        <v>13</v>
      </c>
      <c r="H1" s="61" t="s">
        <v>14</v>
      </c>
    </row>
    <row r="2" spans="1:8" x14ac:dyDescent="0.45">
      <c r="A2" s="57" t="s">
        <v>15</v>
      </c>
      <c r="B2" s="77">
        <v>294493</v>
      </c>
      <c r="C2" s="54">
        <v>110121</v>
      </c>
      <c r="D2" s="54">
        <v>542163</v>
      </c>
      <c r="E2" s="54">
        <v>191.94</v>
      </c>
      <c r="F2" s="55">
        <f>B2/$B$20</f>
        <v>1.0937895219782525E-3</v>
      </c>
      <c r="G2" s="105">
        <v>2800980</v>
      </c>
      <c r="H2" s="77">
        <v>1658788</v>
      </c>
    </row>
    <row r="3" spans="1:8" x14ac:dyDescent="0.45">
      <c r="A3" s="57" t="s">
        <v>16</v>
      </c>
      <c r="B3" s="77">
        <v>3991911</v>
      </c>
      <c r="C3" s="54">
        <v>2477274</v>
      </c>
      <c r="D3" s="54">
        <v>1713555</v>
      </c>
      <c r="E3" s="54">
        <v>46.82</v>
      </c>
      <c r="F3" s="55">
        <f t="shared" ref="F3:F19" si="0">B3/$B$20</f>
        <v>1.4826533820735054E-2</v>
      </c>
      <c r="G3" s="105">
        <v>28220225</v>
      </c>
      <c r="H3" s="77">
        <v>25050297</v>
      </c>
    </row>
    <row r="4" spans="1:8" x14ac:dyDescent="0.45">
      <c r="A4" s="57" t="s">
        <v>17</v>
      </c>
      <c r="B4" s="77">
        <v>65885799</v>
      </c>
      <c r="C4" s="54">
        <v>23734191</v>
      </c>
      <c r="D4" s="54">
        <v>12187337</v>
      </c>
      <c r="E4" s="54">
        <v>38.950000000000003</v>
      </c>
      <c r="F4" s="55">
        <f t="shared" si="0"/>
        <v>0.24470937031904061</v>
      </c>
      <c r="G4" s="105">
        <v>247372319</v>
      </c>
      <c r="H4" s="77">
        <v>211507815</v>
      </c>
    </row>
    <row r="5" spans="1:8" x14ac:dyDescent="0.45">
      <c r="A5" s="57" t="s">
        <v>40</v>
      </c>
      <c r="B5" s="77">
        <v>207592</v>
      </c>
      <c r="C5" s="54">
        <v>780</v>
      </c>
      <c r="D5" s="54">
        <v>2862711</v>
      </c>
      <c r="E5" s="54">
        <v>1433.5</v>
      </c>
      <c r="F5" s="55">
        <f t="shared" si="0"/>
        <v>7.7102666089349972E-4</v>
      </c>
      <c r="G5" s="105">
        <v>12745272</v>
      </c>
      <c r="H5" s="77">
        <v>9522714</v>
      </c>
    </row>
    <row r="6" spans="1:8" x14ac:dyDescent="0.45">
      <c r="A6" s="57" t="s">
        <v>18</v>
      </c>
      <c r="B6" s="77">
        <v>6309797</v>
      </c>
      <c r="C6" s="54">
        <v>2669996</v>
      </c>
      <c r="D6" s="54">
        <v>2663876</v>
      </c>
      <c r="E6" s="54">
        <v>55.77</v>
      </c>
      <c r="F6" s="55">
        <f t="shared" si="0"/>
        <v>2.3435497089607602E-2</v>
      </c>
      <c r="G6" s="105">
        <v>21211252</v>
      </c>
      <c r="H6" s="77">
        <v>13662538</v>
      </c>
    </row>
    <row r="7" spans="1:8" x14ac:dyDescent="0.45">
      <c r="A7" s="57" t="s">
        <v>19</v>
      </c>
      <c r="B7" s="77">
        <v>3679925</v>
      </c>
      <c r="C7" s="54">
        <v>593648</v>
      </c>
      <c r="D7" s="54">
        <v>575361</v>
      </c>
      <c r="E7" s="54">
        <v>55.25</v>
      </c>
      <c r="F7" s="55">
        <f t="shared" si="0"/>
        <v>1.3667772771053374E-2</v>
      </c>
      <c r="G7" s="105">
        <v>5870419</v>
      </c>
      <c r="H7" s="77">
        <v>4413897</v>
      </c>
    </row>
    <row r="8" spans="1:8" x14ac:dyDescent="0.45">
      <c r="A8" s="57" t="s">
        <v>20</v>
      </c>
      <c r="B8" s="77">
        <v>27372374</v>
      </c>
      <c r="C8" s="54">
        <v>15353106</v>
      </c>
      <c r="D8" s="54">
        <v>6235376</v>
      </c>
      <c r="E8" s="54">
        <v>28.16</v>
      </c>
      <c r="F8" s="55">
        <f t="shared" si="0"/>
        <v>0.10166494915964029</v>
      </c>
      <c r="G8" s="105">
        <v>135977450</v>
      </c>
      <c r="H8" s="77">
        <v>113390890</v>
      </c>
    </row>
    <row r="9" spans="1:8" x14ac:dyDescent="0.45">
      <c r="A9" s="57" t="s">
        <v>21</v>
      </c>
      <c r="B9" s="77">
        <v>12263264</v>
      </c>
      <c r="C9" s="54">
        <v>5255318</v>
      </c>
      <c r="D9" s="54">
        <v>3321157</v>
      </c>
      <c r="E9" s="54">
        <v>41.52</v>
      </c>
      <c r="F9" s="55">
        <f t="shared" si="0"/>
        <v>4.5547533110984348E-2</v>
      </c>
      <c r="G9" s="105">
        <v>83186940</v>
      </c>
      <c r="H9" s="77">
        <v>78572257</v>
      </c>
    </row>
    <row r="10" spans="1:8" x14ac:dyDescent="0.45">
      <c r="A10" s="57" t="s">
        <v>22</v>
      </c>
      <c r="B10" s="77">
        <v>8093777</v>
      </c>
      <c r="C10" s="54">
        <v>5320614</v>
      </c>
      <c r="D10" s="54">
        <v>4666425</v>
      </c>
      <c r="E10" s="54">
        <v>64.88</v>
      </c>
      <c r="F10" s="55">
        <f t="shared" si="0"/>
        <v>3.006145638717584E-2</v>
      </c>
      <c r="G10" s="105">
        <v>63732341</v>
      </c>
      <c r="H10" s="77">
        <v>38669854</v>
      </c>
    </row>
    <row r="11" spans="1:8" x14ac:dyDescent="0.45">
      <c r="A11" s="57" t="s">
        <v>23</v>
      </c>
      <c r="B11" s="77">
        <v>4601915</v>
      </c>
      <c r="C11" s="54">
        <v>2848311</v>
      </c>
      <c r="D11" s="54">
        <v>1674956</v>
      </c>
      <c r="E11" s="54">
        <v>48.12</v>
      </c>
      <c r="F11" s="55">
        <f t="shared" si="0"/>
        <v>1.7092176751347402E-2</v>
      </c>
      <c r="G11" s="105">
        <v>20946762</v>
      </c>
      <c r="H11" s="77">
        <v>15315392</v>
      </c>
    </row>
    <row r="12" spans="1:8" x14ac:dyDescent="0.45">
      <c r="A12" s="57" t="s">
        <v>24</v>
      </c>
      <c r="B12" s="77">
        <v>4946109</v>
      </c>
      <c r="C12" s="54">
        <v>1038431</v>
      </c>
      <c r="D12" s="54">
        <v>4297474</v>
      </c>
      <c r="E12" s="54">
        <v>124.06</v>
      </c>
      <c r="F12" s="55">
        <f t="shared" si="0"/>
        <v>1.8370562963338118E-2</v>
      </c>
      <c r="G12" s="105">
        <v>24485014</v>
      </c>
      <c r="H12" s="77">
        <v>17977188</v>
      </c>
    </row>
    <row r="13" spans="1:8" x14ac:dyDescent="0.45">
      <c r="A13" s="57" t="s">
        <v>25</v>
      </c>
      <c r="B13" s="77">
        <v>4332035</v>
      </c>
      <c r="C13" s="54">
        <v>2341538</v>
      </c>
      <c r="D13" s="54">
        <v>1491797</v>
      </c>
      <c r="E13" s="54">
        <v>39.659999999999997</v>
      </c>
      <c r="F13" s="55">
        <f t="shared" si="0"/>
        <v>1.6089803465084263E-2</v>
      </c>
      <c r="G13" s="105">
        <v>24175362</v>
      </c>
      <c r="H13" s="77">
        <v>20948066</v>
      </c>
    </row>
    <row r="14" spans="1:8" x14ac:dyDescent="0.45">
      <c r="A14" s="57" t="s">
        <v>26</v>
      </c>
      <c r="B14" s="77">
        <v>968432</v>
      </c>
      <c r="C14" s="54">
        <v>60834</v>
      </c>
      <c r="D14" s="54">
        <v>607312</v>
      </c>
      <c r="E14" s="54">
        <v>81.569999999999993</v>
      </c>
      <c r="F14" s="55">
        <f t="shared" si="0"/>
        <v>3.5968962737601335E-3</v>
      </c>
      <c r="G14" s="105">
        <v>3524377</v>
      </c>
      <c r="H14" s="77">
        <v>2431306</v>
      </c>
    </row>
    <row r="15" spans="1:8" x14ac:dyDescent="0.45">
      <c r="A15" s="57" t="s">
        <v>27</v>
      </c>
      <c r="B15" s="77">
        <v>78375663</v>
      </c>
      <c r="C15" s="54">
        <v>44025979</v>
      </c>
      <c r="D15" s="54">
        <v>12489931</v>
      </c>
      <c r="E15" s="54">
        <v>19.97</v>
      </c>
      <c r="F15" s="55">
        <f t="shared" si="0"/>
        <v>0.29109852854736312</v>
      </c>
      <c r="G15" s="105">
        <v>285630518</v>
      </c>
      <c r="H15" s="77">
        <v>229726589</v>
      </c>
    </row>
    <row r="16" spans="1:8" x14ac:dyDescent="0.45">
      <c r="A16" s="57" t="s">
        <v>28</v>
      </c>
      <c r="B16" s="77">
        <v>31847261</v>
      </c>
      <c r="C16" s="54">
        <v>16116422</v>
      </c>
      <c r="D16" s="54">
        <v>8503045</v>
      </c>
      <c r="E16" s="54">
        <v>36.380000000000003</v>
      </c>
      <c r="F16" s="55">
        <f t="shared" si="0"/>
        <v>0.11828532557821966</v>
      </c>
      <c r="G16" s="105">
        <v>138723668</v>
      </c>
      <c r="H16" s="77">
        <v>108101567</v>
      </c>
    </row>
    <row r="17" spans="1:8" x14ac:dyDescent="0.45">
      <c r="A17" s="57" t="s">
        <v>29</v>
      </c>
      <c r="B17" s="77">
        <v>2168019</v>
      </c>
      <c r="C17" s="54">
        <v>737039</v>
      </c>
      <c r="D17" s="54">
        <v>1563582</v>
      </c>
      <c r="E17" s="54">
        <v>78.319999999999993</v>
      </c>
      <c r="F17" s="55">
        <f t="shared" si="0"/>
        <v>8.0523355925260325E-3</v>
      </c>
      <c r="G17" s="105">
        <v>10007373</v>
      </c>
      <c r="H17" s="77">
        <v>7742000</v>
      </c>
    </row>
    <row r="18" spans="1:8" x14ac:dyDescent="0.45">
      <c r="A18" s="57" t="s">
        <v>30</v>
      </c>
      <c r="B18" s="77">
        <v>7655521</v>
      </c>
      <c r="C18" s="54">
        <v>1397911</v>
      </c>
      <c r="D18" s="54">
        <v>3748312</v>
      </c>
      <c r="E18" s="54">
        <v>58.76</v>
      </c>
      <c r="F18" s="55">
        <f t="shared" si="0"/>
        <v>2.8433710326168954E-2</v>
      </c>
      <c r="G18" s="105">
        <v>25421108</v>
      </c>
      <c r="H18" s="77">
        <v>16776549</v>
      </c>
    </row>
    <row r="19" spans="1:8" x14ac:dyDescent="0.45">
      <c r="A19" s="57" t="s">
        <v>31</v>
      </c>
      <c r="B19" s="77">
        <v>6247128</v>
      </c>
      <c r="C19" s="54">
        <v>15706097</v>
      </c>
      <c r="D19" s="54">
        <v>3107763</v>
      </c>
      <c r="E19" s="54">
        <v>67.010000000000005</v>
      </c>
      <c r="F19" s="55">
        <f t="shared" si="0"/>
        <v>2.3202735375227788E-2</v>
      </c>
      <c r="G19" s="105">
        <v>10799168</v>
      </c>
      <c r="H19" s="77">
        <v>6204028</v>
      </c>
    </row>
    <row r="20" spans="1:8" s="5" customFormat="1" ht="18.399999999999999" x14ac:dyDescent="0.85">
      <c r="A20" s="64" t="s">
        <v>32</v>
      </c>
      <c r="B20" s="84">
        <v>269241014</v>
      </c>
      <c r="C20" s="63">
        <v>139787610</v>
      </c>
      <c r="D20" s="63">
        <v>72252133</v>
      </c>
      <c r="E20" s="84"/>
      <c r="F20" s="85"/>
      <c r="G20" s="156">
        <v>1144830548</v>
      </c>
      <c r="H20" s="84">
        <v>921671736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030A0"/>
  </sheetPr>
  <dimension ref="A1:H20"/>
  <sheetViews>
    <sheetView zoomScale="80" zoomScaleNormal="80" workbookViewId="0">
      <selection activeCell="C2" sqref="C2:D19"/>
    </sheetView>
  </sheetViews>
  <sheetFormatPr defaultColWidth="9.265625" defaultRowHeight="15.4" x14ac:dyDescent="0.45"/>
  <cols>
    <col min="1" max="1" width="49.265625" style="2" customWidth="1"/>
    <col min="2" max="2" width="18.265625" style="1" bestFit="1" customWidth="1"/>
    <col min="3" max="3" width="28.3984375" style="1" bestFit="1" customWidth="1"/>
    <col min="4" max="4" width="23.73046875" style="1" bestFit="1" customWidth="1"/>
    <col min="5" max="5" width="15" style="1" bestFit="1" customWidth="1"/>
    <col min="6" max="6" width="14" style="1" bestFit="1" customWidth="1"/>
    <col min="7" max="7" width="13.3984375" style="1" bestFit="1" customWidth="1"/>
    <col min="8" max="8" width="18.265625" style="1" bestFit="1" customWidth="1"/>
    <col min="9" max="16384" width="9.265625" style="1"/>
  </cols>
  <sheetData>
    <row r="1" spans="1:8" s="61" customFormat="1" ht="15" x14ac:dyDescent="0.4">
      <c r="A1" s="46" t="s">
        <v>42</v>
      </c>
      <c r="B1" s="47" t="s">
        <v>34</v>
      </c>
      <c r="C1" s="47" t="s">
        <v>38</v>
      </c>
      <c r="D1" s="47" t="s">
        <v>10</v>
      </c>
      <c r="E1" s="47" t="s">
        <v>11</v>
      </c>
      <c r="F1" s="47" t="s">
        <v>12</v>
      </c>
      <c r="G1" s="61" t="s">
        <v>13</v>
      </c>
      <c r="H1" s="61" t="s">
        <v>14</v>
      </c>
    </row>
    <row r="2" spans="1:8" x14ac:dyDescent="0.45">
      <c r="A2" s="49" t="s">
        <v>15</v>
      </c>
      <c r="B2" s="77">
        <v>446065</v>
      </c>
      <c r="C2" s="54">
        <v>175190</v>
      </c>
      <c r="D2" s="54">
        <v>734040</v>
      </c>
      <c r="E2" s="54">
        <v>171.33</v>
      </c>
      <c r="F2" s="55">
        <f>B2/$B$20</f>
        <v>1.0652295353111346E-3</v>
      </c>
      <c r="G2" s="105">
        <v>2763178</v>
      </c>
      <c r="H2" s="77">
        <v>1658788</v>
      </c>
    </row>
    <row r="3" spans="1:8" x14ac:dyDescent="0.45">
      <c r="A3" s="49" t="s">
        <v>16</v>
      </c>
      <c r="B3" s="77">
        <v>6027688</v>
      </c>
      <c r="C3" s="54">
        <v>3807810</v>
      </c>
      <c r="D3" s="54">
        <v>2709140</v>
      </c>
      <c r="E3" s="54">
        <v>48.93</v>
      </c>
      <c r="F3" s="55">
        <f t="shared" ref="F3:F20" si="0">B3/$B$20</f>
        <v>1.439447454348694E-2</v>
      </c>
      <c r="G3" s="105">
        <v>30025184</v>
      </c>
      <c r="H3" s="77">
        <v>26690687</v>
      </c>
    </row>
    <row r="4" spans="1:8" x14ac:dyDescent="0.45">
      <c r="A4" s="49" t="s">
        <v>17</v>
      </c>
      <c r="B4" s="77">
        <v>109568173</v>
      </c>
      <c r="C4" s="54">
        <v>38957511</v>
      </c>
      <c r="D4" s="54">
        <v>18483749</v>
      </c>
      <c r="E4" s="54">
        <v>36.369999999999997</v>
      </c>
      <c r="F4" s="55">
        <f t="shared" si="0"/>
        <v>0.26165526102626302</v>
      </c>
      <c r="G4" s="105">
        <v>266566394</v>
      </c>
      <c r="H4" s="77">
        <v>215602779</v>
      </c>
    </row>
    <row r="5" spans="1:8" x14ac:dyDescent="0.45">
      <c r="A5" s="49" t="s">
        <v>40</v>
      </c>
      <c r="B5" s="77">
        <v>805991</v>
      </c>
      <c r="C5" s="54">
        <v>12435</v>
      </c>
      <c r="D5" s="54">
        <v>4036573</v>
      </c>
      <c r="E5" s="54">
        <v>549.89</v>
      </c>
      <c r="F5" s="55">
        <f t="shared" si="0"/>
        <v>1.9247540569086493E-3</v>
      </c>
      <c r="G5" s="105">
        <v>12389181</v>
      </c>
      <c r="H5" s="77">
        <v>9522714</v>
      </c>
    </row>
    <row r="6" spans="1:8" x14ac:dyDescent="0.45">
      <c r="A6" s="49" t="s">
        <v>18</v>
      </c>
      <c r="B6" s="77">
        <v>10128017</v>
      </c>
      <c r="C6" s="54">
        <v>4943730</v>
      </c>
      <c r="D6" s="54">
        <v>3902143</v>
      </c>
      <c r="E6" s="54">
        <v>49.6</v>
      </c>
      <c r="F6" s="55">
        <f t="shared" si="0"/>
        <v>2.4186302091698007E-2</v>
      </c>
      <c r="G6" s="105">
        <v>22087521</v>
      </c>
      <c r="H6" s="77">
        <v>13474536</v>
      </c>
    </row>
    <row r="7" spans="1:8" x14ac:dyDescent="0.45">
      <c r="A7" s="49" t="s">
        <v>19</v>
      </c>
      <c r="B7" s="77">
        <v>4199425</v>
      </c>
      <c r="C7" s="54">
        <v>845130</v>
      </c>
      <c r="D7" s="54">
        <v>1021249</v>
      </c>
      <c r="E7" s="54">
        <v>60.95</v>
      </c>
      <c r="F7" s="55">
        <f t="shared" si="0"/>
        <v>1.0028474642314374E-2</v>
      </c>
      <c r="G7" s="105">
        <v>4898973</v>
      </c>
      <c r="H7" s="77">
        <v>3738324</v>
      </c>
    </row>
    <row r="8" spans="1:8" x14ac:dyDescent="0.45">
      <c r="A8" s="49" t="s">
        <v>20</v>
      </c>
      <c r="B8" s="77">
        <v>43298823</v>
      </c>
      <c r="C8" s="54">
        <v>23794233</v>
      </c>
      <c r="D8" s="54">
        <v>8992163</v>
      </c>
      <c r="E8" s="54">
        <v>27.83</v>
      </c>
      <c r="F8" s="55">
        <f t="shared" si="0"/>
        <v>0.10340014370956939</v>
      </c>
      <c r="G8" s="105">
        <v>141981342</v>
      </c>
      <c r="H8" s="77">
        <v>116379044</v>
      </c>
    </row>
    <row r="9" spans="1:8" x14ac:dyDescent="0.45">
      <c r="A9" s="49" t="s">
        <v>21</v>
      </c>
      <c r="B9" s="77">
        <v>19525105</v>
      </c>
      <c r="C9" s="54">
        <v>9302122</v>
      </c>
      <c r="D9" s="54">
        <v>5216231</v>
      </c>
      <c r="E9" s="54">
        <v>41.82</v>
      </c>
      <c r="F9" s="55">
        <f t="shared" si="0"/>
        <v>4.6627102610720658E-2</v>
      </c>
      <c r="G9" s="105">
        <v>87392065</v>
      </c>
      <c r="H9" s="77">
        <v>79392671</v>
      </c>
    </row>
    <row r="10" spans="1:8" x14ac:dyDescent="0.45">
      <c r="A10" s="49" t="s">
        <v>22</v>
      </c>
      <c r="B10" s="77">
        <v>10023430</v>
      </c>
      <c r="C10" s="54">
        <v>8949169</v>
      </c>
      <c r="D10" s="54">
        <v>8285942</v>
      </c>
      <c r="E10" s="54">
        <v>92.18</v>
      </c>
      <c r="F10" s="55">
        <f t="shared" si="0"/>
        <v>2.3936542165656768E-2</v>
      </c>
      <c r="G10" s="105">
        <v>86173218</v>
      </c>
      <c r="H10" s="77">
        <v>61530203</v>
      </c>
    </row>
    <row r="11" spans="1:8" x14ac:dyDescent="0.45">
      <c r="A11" s="49" t="s">
        <v>23</v>
      </c>
      <c r="B11" s="77">
        <v>5802846</v>
      </c>
      <c r="C11" s="54">
        <v>4952592</v>
      </c>
      <c r="D11" s="54">
        <v>2620888</v>
      </c>
      <c r="E11" s="54">
        <v>60.36</v>
      </c>
      <c r="F11" s="55">
        <f t="shared" si="0"/>
        <v>1.3857538583081112E-2</v>
      </c>
      <c r="G11" s="105">
        <v>19779240</v>
      </c>
      <c r="H11" s="77">
        <v>15165798</v>
      </c>
    </row>
    <row r="12" spans="1:8" x14ac:dyDescent="0.45">
      <c r="A12" s="49" t="s">
        <v>24</v>
      </c>
      <c r="B12" s="77">
        <v>8056434</v>
      </c>
      <c r="C12" s="54">
        <v>1711460</v>
      </c>
      <c r="D12" s="54">
        <v>7307846</v>
      </c>
      <c r="E12" s="54">
        <v>124.36</v>
      </c>
      <c r="F12" s="55">
        <f t="shared" si="0"/>
        <v>1.923923967602216E-2</v>
      </c>
      <c r="G12" s="105">
        <v>26807112</v>
      </c>
      <c r="H12" s="77">
        <v>20083944</v>
      </c>
    </row>
    <row r="13" spans="1:8" x14ac:dyDescent="0.45">
      <c r="A13" s="49" t="s">
        <v>25</v>
      </c>
      <c r="B13" s="77">
        <v>6367870</v>
      </c>
      <c r="C13" s="54">
        <v>3715019</v>
      </c>
      <c r="D13" s="54">
        <v>2230277</v>
      </c>
      <c r="E13" s="54">
        <v>40.51</v>
      </c>
      <c r="F13" s="55">
        <f t="shared" si="0"/>
        <v>1.5206849228300168E-2</v>
      </c>
      <c r="G13" s="105">
        <v>25177720</v>
      </c>
      <c r="H13" s="77">
        <v>21640238</v>
      </c>
    </row>
    <row r="14" spans="1:8" x14ac:dyDescent="0.45">
      <c r="A14" s="49" t="s">
        <v>26</v>
      </c>
      <c r="B14" s="77">
        <v>1714043</v>
      </c>
      <c r="C14" s="54">
        <v>116220</v>
      </c>
      <c r="D14" s="54">
        <v>1164529</v>
      </c>
      <c r="E14" s="54">
        <v>93.33</v>
      </c>
      <c r="F14" s="55">
        <f t="shared" si="0"/>
        <v>4.0932358028388308E-3</v>
      </c>
      <c r="G14" s="105">
        <v>3500492</v>
      </c>
      <c r="H14" s="77">
        <v>2300001</v>
      </c>
    </row>
    <row r="15" spans="1:8" x14ac:dyDescent="0.45">
      <c r="A15" s="49" t="s">
        <v>27</v>
      </c>
      <c r="B15" s="77">
        <v>118609267</v>
      </c>
      <c r="C15" s="54">
        <v>68094501</v>
      </c>
      <c r="D15" s="54">
        <v>20518474</v>
      </c>
      <c r="E15" s="54">
        <v>21.63</v>
      </c>
      <c r="F15" s="55">
        <f t="shared" si="0"/>
        <v>0.2832459268716539</v>
      </c>
      <c r="G15" s="105">
        <v>305691121</v>
      </c>
      <c r="H15" s="77">
        <v>249080992</v>
      </c>
    </row>
    <row r="16" spans="1:8" x14ac:dyDescent="0.45">
      <c r="A16" s="49" t="s">
        <v>28</v>
      </c>
      <c r="B16" s="77">
        <v>49456946</v>
      </c>
      <c r="C16" s="54">
        <v>26036472</v>
      </c>
      <c r="D16" s="54">
        <v>13912450</v>
      </c>
      <c r="E16" s="54">
        <v>36.29</v>
      </c>
      <c r="F16" s="55">
        <f t="shared" si="0"/>
        <v>0.11810610472798332</v>
      </c>
      <c r="G16" s="105">
        <v>155906566</v>
      </c>
      <c r="H16" s="77">
        <v>129849735</v>
      </c>
    </row>
    <row r="17" spans="1:8" x14ac:dyDescent="0.45">
      <c r="A17" s="49" t="s">
        <v>29</v>
      </c>
      <c r="B17" s="77">
        <v>3465866</v>
      </c>
      <c r="C17" s="54">
        <v>1748314</v>
      </c>
      <c r="D17" s="54">
        <v>2356460</v>
      </c>
      <c r="E17" s="54">
        <v>73.900000000000006</v>
      </c>
      <c r="F17" s="55">
        <f t="shared" si="0"/>
        <v>8.2766924744839005E-3</v>
      </c>
      <c r="G17" s="105">
        <v>9921398</v>
      </c>
      <c r="H17" s="77">
        <v>7226868</v>
      </c>
    </row>
    <row r="18" spans="1:8" x14ac:dyDescent="0.45">
      <c r="A18" s="49" t="s">
        <v>30</v>
      </c>
      <c r="B18" s="77">
        <v>11929100</v>
      </c>
      <c r="C18" s="54">
        <v>2484400</v>
      </c>
      <c r="D18" s="54">
        <v>5984875</v>
      </c>
      <c r="E18" s="54">
        <v>63.81</v>
      </c>
      <c r="F18" s="55">
        <f t="shared" si="0"/>
        <v>2.8487394549404361E-2</v>
      </c>
      <c r="G18" s="105">
        <v>26592355</v>
      </c>
      <c r="H18" s="77">
        <v>17826539</v>
      </c>
    </row>
    <row r="19" spans="1:8" x14ac:dyDescent="0.45">
      <c r="A19" s="49" t="s">
        <v>31</v>
      </c>
      <c r="B19" s="77">
        <v>9325034</v>
      </c>
      <c r="C19" s="54">
        <v>17464839</v>
      </c>
      <c r="D19" s="54">
        <v>4479559</v>
      </c>
      <c r="E19" s="54">
        <v>62.8</v>
      </c>
      <c r="F19" s="55">
        <f t="shared" si="0"/>
        <v>2.226873131624434E-2</v>
      </c>
      <c r="G19" s="105">
        <v>10032861</v>
      </c>
      <c r="H19" s="77">
        <v>4437551</v>
      </c>
    </row>
    <row r="20" spans="1:8" s="5" customFormat="1" ht="18.399999999999999" x14ac:dyDescent="0.85">
      <c r="A20" s="50" t="s">
        <v>32</v>
      </c>
      <c r="B20" s="84">
        <v>418750124</v>
      </c>
      <c r="C20" s="63">
        <v>217111147</v>
      </c>
      <c r="D20" s="63">
        <v>113956589</v>
      </c>
      <c r="E20" s="56"/>
      <c r="F20" s="55">
        <f t="shared" si="0"/>
        <v>1</v>
      </c>
      <c r="G20" s="142">
        <v>1237685920</v>
      </c>
      <c r="H20" s="84">
        <v>995601412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030A0"/>
  </sheetPr>
  <dimension ref="A1:H20"/>
  <sheetViews>
    <sheetView zoomScale="80" zoomScaleNormal="80" workbookViewId="0">
      <selection activeCell="C2" sqref="C2:D19"/>
    </sheetView>
  </sheetViews>
  <sheetFormatPr defaultColWidth="9.265625" defaultRowHeight="15.4" x14ac:dyDescent="0.45"/>
  <cols>
    <col min="1" max="1" width="42.3984375" style="1" customWidth="1"/>
    <col min="2" max="2" width="18.265625" style="1" bestFit="1" customWidth="1"/>
    <col min="3" max="3" width="28.3984375" style="1" bestFit="1" customWidth="1"/>
    <col min="4" max="4" width="23.73046875" style="1" bestFit="1" customWidth="1"/>
    <col min="5" max="5" width="14.73046875" style="1" bestFit="1" customWidth="1"/>
    <col min="6" max="6" width="13.73046875" style="1" bestFit="1" customWidth="1"/>
    <col min="7" max="7" width="13.3984375" style="1" bestFit="1" customWidth="1"/>
    <col min="8" max="8" width="20.265625" style="1" bestFit="1" customWidth="1"/>
    <col min="9" max="16384" width="9.265625" style="1"/>
  </cols>
  <sheetData>
    <row r="1" spans="1:8" s="59" customFormat="1" x14ac:dyDescent="0.45">
      <c r="A1" s="70" t="s">
        <v>43</v>
      </c>
      <c r="B1" s="70" t="s">
        <v>8</v>
      </c>
      <c r="C1" s="70" t="s">
        <v>38</v>
      </c>
      <c r="D1" s="70" t="s">
        <v>10</v>
      </c>
      <c r="E1" s="70" t="s">
        <v>11</v>
      </c>
      <c r="F1" s="70" t="s">
        <v>12</v>
      </c>
      <c r="G1" s="59" t="s">
        <v>13</v>
      </c>
      <c r="H1" s="59" t="s">
        <v>14</v>
      </c>
    </row>
    <row r="2" spans="1:8" x14ac:dyDescent="0.45">
      <c r="A2" s="49" t="s">
        <v>15</v>
      </c>
      <c r="B2" s="77"/>
      <c r="C2" s="54"/>
      <c r="D2" s="54"/>
      <c r="E2" s="75"/>
      <c r="F2" s="86">
        <f>B2/B20</f>
        <v>0</v>
      </c>
      <c r="G2" s="103"/>
      <c r="H2" s="77"/>
    </row>
    <row r="3" spans="1:8" x14ac:dyDescent="0.45">
      <c r="A3" s="49" t="s">
        <v>16</v>
      </c>
      <c r="B3" s="77">
        <v>8240109</v>
      </c>
      <c r="C3" s="54">
        <v>5237956</v>
      </c>
      <c r="D3" s="54">
        <v>3800165</v>
      </c>
      <c r="E3" s="75">
        <v>50.19</v>
      </c>
      <c r="F3" s="55">
        <f>B3/$B$20</f>
        <v>1.4408096582922223E-2</v>
      </c>
      <c r="G3" s="105">
        <v>32760221</v>
      </c>
      <c r="H3" s="77">
        <v>29526363</v>
      </c>
    </row>
    <row r="4" spans="1:8" x14ac:dyDescent="0.45">
      <c r="A4" s="49" t="s">
        <v>17</v>
      </c>
      <c r="B4" s="77">
        <v>156123231</v>
      </c>
      <c r="C4" s="54">
        <v>53776408</v>
      </c>
      <c r="D4" s="54">
        <v>25333042</v>
      </c>
      <c r="E4" s="75">
        <v>36.18</v>
      </c>
      <c r="F4" s="55">
        <f t="shared" ref="F4:F19" si="0">B4/$B$20</f>
        <v>0.27298650916946327</v>
      </c>
      <c r="G4" s="105">
        <v>293348125</v>
      </c>
      <c r="H4" s="77">
        <v>257942244</v>
      </c>
    </row>
    <row r="5" spans="1:8" x14ac:dyDescent="0.45">
      <c r="A5" s="49" t="s">
        <v>40</v>
      </c>
      <c r="B5" s="77">
        <v>1663326</v>
      </c>
      <c r="C5" s="54">
        <v>114344</v>
      </c>
      <c r="D5" s="54">
        <v>5125649</v>
      </c>
      <c r="E5" s="75">
        <v>333.71</v>
      </c>
      <c r="F5" s="55">
        <f t="shared" si="0"/>
        <v>2.9083792043146138E-3</v>
      </c>
      <c r="G5" s="105">
        <v>11993777</v>
      </c>
      <c r="H5" s="77">
        <v>9237530</v>
      </c>
    </row>
    <row r="6" spans="1:8" x14ac:dyDescent="0.45">
      <c r="A6" s="49" t="s">
        <v>18</v>
      </c>
      <c r="B6" s="77">
        <v>12720325</v>
      </c>
      <c r="C6" s="54">
        <v>6332502</v>
      </c>
      <c r="D6" s="54">
        <v>6009269</v>
      </c>
      <c r="E6" s="75">
        <v>61.31</v>
      </c>
      <c r="F6" s="55">
        <f t="shared" si="0"/>
        <v>2.2241898883395853E-2</v>
      </c>
      <c r="G6" s="105">
        <v>20947937</v>
      </c>
      <c r="H6" s="77">
        <v>13540734</v>
      </c>
    </row>
    <row r="7" spans="1:8" x14ac:dyDescent="0.45">
      <c r="A7" s="49" t="s">
        <v>19</v>
      </c>
      <c r="B7" s="77">
        <v>5014211</v>
      </c>
      <c r="C7" s="54">
        <v>1080714</v>
      </c>
      <c r="D7" s="54">
        <v>1438052</v>
      </c>
      <c r="E7" s="75">
        <v>83.94</v>
      </c>
      <c r="F7" s="55">
        <f t="shared" si="0"/>
        <v>8.7675097957018548E-3</v>
      </c>
      <c r="G7" s="105">
        <v>4234272</v>
      </c>
      <c r="H7" s="77">
        <v>3186313</v>
      </c>
    </row>
    <row r="8" spans="1:8" x14ac:dyDescent="0.45">
      <c r="A8" s="49" t="s">
        <v>20</v>
      </c>
      <c r="B8" s="77">
        <v>59077294</v>
      </c>
      <c r="C8" s="54">
        <v>38674312</v>
      </c>
      <c r="D8" s="54">
        <v>12734382</v>
      </c>
      <c r="E8" s="75">
        <v>28.48</v>
      </c>
      <c r="F8" s="55">
        <f t="shared" si="0"/>
        <v>0.1032985556149429</v>
      </c>
      <c r="G8" s="105">
        <v>137714571</v>
      </c>
      <c r="H8" s="77">
        <v>102110080</v>
      </c>
    </row>
    <row r="9" spans="1:8" x14ac:dyDescent="0.45">
      <c r="A9" s="49" t="s">
        <v>21</v>
      </c>
      <c r="B9" s="77">
        <v>26344298</v>
      </c>
      <c r="C9" s="54">
        <v>13148318</v>
      </c>
      <c r="D9" s="54">
        <v>7175000</v>
      </c>
      <c r="E9" s="75">
        <v>41.35</v>
      </c>
      <c r="F9" s="55">
        <f t="shared" si="0"/>
        <v>4.6063855465174643E-2</v>
      </c>
      <c r="G9" s="105">
        <v>89483328</v>
      </c>
      <c r="H9" s="77">
        <v>82998593</v>
      </c>
    </row>
    <row r="10" spans="1:8" x14ac:dyDescent="0.45">
      <c r="A10" s="49" t="s">
        <v>22</v>
      </c>
      <c r="B10" s="77">
        <v>16418152</v>
      </c>
      <c r="C10" s="54">
        <v>11651369</v>
      </c>
      <c r="D10" s="54">
        <v>14352260</v>
      </c>
      <c r="E10" s="75">
        <v>94.97</v>
      </c>
      <c r="F10" s="55">
        <f t="shared" si="0"/>
        <v>2.8707668761311003E-2</v>
      </c>
      <c r="G10" s="105">
        <v>93251479</v>
      </c>
      <c r="H10" s="77">
        <v>74009974</v>
      </c>
    </row>
    <row r="11" spans="1:8" x14ac:dyDescent="0.45">
      <c r="A11" s="49" t="s">
        <v>23</v>
      </c>
      <c r="B11" s="77">
        <v>0</v>
      </c>
      <c r="C11" s="54"/>
      <c r="D11" s="54"/>
      <c r="E11" s="75"/>
      <c r="F11" s="55">
        <f t="shared" si="0"/>
        <v>0</v>
      </c>
      <c r="G11" s="103"/>
      <c r="H11" s="77"/>
    </row>
    <row r="12" spans="1:8" x14ac:dyDescent="0.45">
      <c r="A12" s="49" t="s">
        <v>24</v>
      </c>
      <c r="B12" s="77">
        <v>11722469</v>
      </c>
      <c r="C12" s="54">
        <v>2405682</v>
      </c>
      <c r="D12" s="54">
        <v>11225006</v>
      </c>
      <c r="E12" s="75">
        <v>128.31</v>
      </c>
      <c r="F12" s="55">
        <f t="shared" si="0"/>
        <v>2.049711545591347E-2</v>
      </c>
      <c r="G12" s="105">
        <v>50645553</v>
      </c>
      <c r="H12" s="77">
        <v>43013571</v>
      </c>
    </row>
    <row r="13" spans="1:8" x14ac:dyDescent="0.45">
      <c r="A13" s="49" t="s">
        <v>25</v>
      </c>
      <c r="B13" s="77">
        <v>8464194</v>
      </c>
      <c r="C13" s="54">
        <v>5164914</v>
      </c>
      <c r="D13" s="54">
        <v>2983279</v>
      </c>
      <c r="E13" s="75">
        <v>41</v>
      </c>
      <c r="F13" s="55">
        <f t="shared" si="0"/>
        <v>1.4799916439041131E-2</v>
      </c>
      <c r="G13" s="105">
        <v>26549484</v>
      </c>
      <c r="H13" s="77">
        <v>22477934</v>
      </c>
    </row>
    <row r="14" spans="1:8" x14ac:dyDescent="0.45">
      <c r="A14" s="49" t="s">
        <v>26</v>
      </c>
      <c r="B14" s="77">
        <v>2548640</v>
      </c>
      <c r="C14" s="54">
        <v>233099</v>
      </c>
      <c r="D14" s="54">
        <v>1939539</v>
      </c>
      <c r="E14" s="75">
        <v>102.65</v>
      </c>
      <c r="F14" s="55">
        <f t="shared" si="0"/>
        <v>4.4563793118633371E-3</v>
      </c>
      <c r="G14" s="105">
        <v>3283098</v>
      </c>
      <c r="H14" s="77">
        <v>2024138</v>
      </c>
    </row>
    <row r="15" spans="1:8" x14ac:dyDescent="0.45">
      <c r="A15" s="49" t="s">
        <v>27</v>
      </c>
      <c r="B15" s="77">
        <v>158323730</v>
      </c>
      <c r="C15" s="54">
        <v>93770949</v>
      </c>
      <c r="D15" s="54">
        <v>28610937</v>
      </c>
      <c r="E15" s="75">
        <v>23.04</v>
      </c>
      <c r="F15" s="55">
        <f t="shared" si="0"/>
        <v>0.27683415270459416</v>
      </c>
      <c r="G15" s="105">
        <v>325341194</v>
      </c>
      <c r="H15" s="77">
        <v>261762388</v>
      </c>
    </row>
    <row r="16" spans="1:8" x14ac:dyDescent="0.45">
      <c r="A16" s="49" t="s">
        <v>28</v>
      </c>
      <c r="B16" s="77">
        <v>68076056</v>
      </c>
      <c r="C16" s="54">
        <v>37444774</v>
      </c>
      <c r="D16" s="54">
        <v>20003771</v>
      </c>
      <c r="E16" s="75">
        <v>37.47</v>
      </c>
      <c r="F16" s="55">
        <f t="shared" si="0"/>
        <v>0.1190331814582091</v>
      </c>
      <c r="G16" s="105">
        <v>177218160</v>
      </c>
      <c r="H16" s="77">
        <v>149565534</v>
      </c>
    </row>
    <row r="17" spans="1:8" x14ac:dyDescent="0.45">
      <c r="A17" s="49" t="s">
        <v>29</v>
      </c>
      <c r="B17" s="77">
        <v>4835671</v>
      </c>
      <c r="C17" s="54">
        <v>2759342</v>
      </c>
      <c r="D17" s="54">
        <v>3461759</v>
      </c>
      <c r="E17" s="75">
        <v>77.38</v>
      </c>
      <c r="F17" s="55">
        <f t="shared" si="0"/>
        <v>8.4553268423070722E-3</v>
      </c>
      <c r="G17" s="105">
        <v>9569344</v>
      </c>
      <c r="H17" s="77">
        <v>6447060</v>
      </c>
    </row>
    <row r="18" spans="1:8" x14ac:dyDescent="0.45">
      <c r="A18" s="49" t="s">
        <v>30</v>
      </c>
      <c r="B18" s="77">
        <v>16140640</v>
      </c>
      <c r="C18" s="54">
        <v>4125652</v>
      </c>
      <c r="D18" s="54">
        <v>8353006</v>
      </c>
      <c r="E18" s="75">
        <v>65.25</v>
      </c>
      <c r="F18" s="55">
        <f t="shared" si="0"/>
        <v>2.8222430071031552E-2</v>
      </c>
      <c r="G18" s="105">
        <v>34564337</v>
      </c>
      <c r="H18" s="77">
        <v>22079320</v>
      </c>
    </row>
    <row r="19" spans="1:8" x14ac:dyDescent="0.45">
      <c r="A19" s="49" t="s">
        <v>31</v>
      </c>
      <c r="B19" s="77">
        <v>16195883</v>
      </c>
      <c r="C19" s="54">
        <v>20075484</v>
      </c>
      <c r="D19" s="54">
        <v>6489694</v>
      </c>
      <c r="E19" s="75">
        <v>50.74</v>
      </c>
      <c r="F19" s="55">
        <f t="shared" si="0"/>
        <v>2.8319024239813834E-2</v>
      </c>
      <c r="G19" s="105">
        <v>11960135</v>
      </c>
      <c r="H19" s="77">
        <v>5597782</v>
      </c>
    </row>
    <row r="20" spans="1:8" s="5" customFormat="1" ht="18.399999999999999" x14ac:dyDescent="0.85">
      <c r="A20" s="50" t="s">
        <v>32</v>
      </c>
      <c r="B20" s="84">
        <v>571908229</v>
      </c>
      <c r="C20" s="63">
        <v>295995817</v>
      </c>
      <c r="D20" s="63">
        <v>159034811</v>
      </c>
      <c r="E20" s="76"/>
      <c r="F20" s="55"/>
      <c r="G20" s="142">
        <v>1322865014</v>
      </c>
      <c r="H20" s="84">
        <v>1085519558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7030A0"/>
  </sheetPr>
  <dimension ref="A1:H21"/>
  <sheetViews>
    <sheetView zoomScale="70" zoomScaleNormal="70" workbookViewId="0">
      <selection activeCell="C2" sqref="C2:D19"/>
    </sheetView>
  </sheetViews>
  <sheetFormatPr defaultColWidth="9.265625" defaultRowHeight="15.4" x14ac:dyDescent="0.45"/>
  <cols>
    <col min="1" max="1" width="52.73046875" style="1" customWidth="1"/>
    <col min="2" max="2" width="22.3984375" style="1" customWidth="1"/>
    <col min="3" max="3" width="29.73046875" style="1" bestFit="1" customWidth="1"/>
    <col min="4" max="4" width="23.3984375" style="1" bestFit="1" customWidth="1"/>
    <col min="5" max="5" width="15" style="1" bestFit="1" customWidth="1"/>
    <col min="6" max="6" width="14.73046875" style="1" bestFit="1" customWidth="1"/>
    <col min="7" max="7" width="16" style="1" bestFit="1" customWidth="1"/>
    <col min="8" max="8" width="20.265625" style="1" bestFit="1" customWidth="1"/>
    <col min="9" max="16384" width="9.265625" style="1"/>
  </cols>
  <sheetData>
    <row r="1" spans="1:8" s="61" customFormat="1" ht="26.45" customHeight="1" x14ac:dyDescent="0.4">
      <c r="A1" s="47" t="s">
        <v>44</v>
      </c>
      <c r="B1" s="47" t="s">
        <v>34</v>
      </c>
      <c r="C1" s="47" t="s">
        <v>45</v>
      </c>
      <c r="D1" s="47" t="s">
        <v>10</v>
      </c>
      <c r="E1" s="47" t="s">
        <v>11</v>
      </c>
      <c r="F1" s="47" t="s">
        <v>46</v>
      </c>
      <c r="G1" s="61" t="s">
        <v>13</v>
      </c>
      <c r="H1" s="61" t="s">
        <v>14</v>
      </c>
    </row>
    <row r="2" spans="1:8" x14ac:dyDescent="0.45">
      <c r="A2" s="49" t="s">
        <v>15</v>
      </c>
      <c r="B2" s="54">
        <v>0</v>
      </c>
      <c r="C2" s="54"/>
      <c r="D2" s="54"/>
      <c r="E2" s="54"/>
      <c r="F2" s="77"/>
      <c r="G2" s="157"/>
      <c r="H2" s="86"/>
    </row>
    <row r="3" spans="1:8" x14ac:dyDescent="0.45">
      <c r="A3" s="49" t="s">
        <v>16</v>
      </c>
      <c r="B3" s="54">
        <v>2016340</v>
      </c>
      <c r="C3" s="54">
        <v>1435339</v>
      </c>
      <c r="D3" s="54">
        <v>1116399</v>
      </c>
      <c r="E3" s="54">
        <v>61.41</v>
      </c>
      <c r="F3" s="55">
        <f>B3/$B$20</f>
        <v>1.2510266258886694E-2</v>
      </c>
      <c r="G3" s="158">
        <v>33514470</v>
      </c>
      <c r="H3" s="77">
        <v>29836198</v>
      </c>
    </row>
    <row r="4" spans="1:8" x14ac:dyDescent="0.45">
      <c r="A4" s="49" t="s">
        <v>17</v>
      </c>
      <c r="B4" s="54">
        <v>42580603</v>
      </c>
      <c r="C4" s="54">
        <v>15686752</v>
      </c>
      <c r="D4" s="54">
        <v>7900077</v>
      </c>
      <c r="E4" s="54">
        <v>39.14</v>
      </c>
      <c r="F4" s="55">
        <f t="shared" ref="F4:F20" si="0">B4/$B$20</f>
        <v>0.26418891704471942</v>
      </c>
      <c r="G4" s="158">
        <v>309336242</v>
      </c>
      <c r="H4" s="77">
        <v>273075029</v>
      </c>
    </row>
    <row r="5" spans="1:8" x14ac:dyDescent="0.45">
      <c r="A5" s="49" t="s">
        <v>40</v>
      </c>
      <c r="B5" s="54">
        <v>1751099</v>
      </c>
      <c r="C5" s="54">
        <v>37806</v>
      </c>
      <c r="D5" s="54">
        <v>1194978</v>
      </c>
      <c r="E5" s="54">
        <v>76.36</v>
      </c>
      <c r="F5" s="55">
        <f t="shared" si="0"/>
        <v>1.0864593637814174E-2</v>
      </c>
      <c r="G5" s="158">
        <v>18261274</v>
      </c>
      <c r="H5" s="77">
        <v>14067720</v>
      </c>
    </row>
    <row r="6" spans="1:8" x14ac:dyDescent="0.45">
      <c r="A6" s="49" t="s">
        <v>18</v>
      </c>
      <c r="B6" s="54">
        <v>3285390</v>
      </c>
      <c r="C6" s="54">
        <v>1022489</v>
      </c>
      <c r="D6" s="54">
        <v>1763215</v>
      </c>
      <c r="E6" s="54">
        <v>69.75</v>
      </c>
      <c r="F6" s="55">
        <f t="shared" si="0"/>
        <v>2.0384014434214344E-2</v>
      </c>
      <c r="G6" s="158">
        <v>31575358</v>
      </c>
      <c r="H6" s="77">
        <v>19517542</v>
      </c>
    </row>
    <row r="7" spans="1:8" x14ac:dyDescent="0.45">
      <c r="A7" s="49" t="s">
        <v>19</v>
      </c>
      <c r="B7" s="54">
        <v>941355</v>
      </c>
      <c r="C7" s="54">
        <v>259126</v>
      </c>
      <c r="D7" s="54">
        <v>397380</v>
      </c>
      <c r="E7" s="54">
        <v>78.92</v>
      </c>
      <c r="F7" s="55">
        <f t="shared" si="0"/>
        <v>5.8405832816560118E-3</v>
      </c>
      <c r="G7" s="158">
        <v>4478305</v>
      </c>
      <c r="H7" s="77">
        <v>3530643</v>
      </c>
    </row>
    <row r="8" spans="1:8" x14ac:dyDescent="0.45">
      <c r="A8" s="49" t="s">
        <v>20</v>
      </c>
      <c r="B8" s="54">
        <v>15096390</v>
      </c>
      <c r="C8" s="54">
        <v>9145293</v>
      </c>
      <c r="D8" s="54">
        <v>3734446</v>
      </c>
      <c r="E8" s="54">
        <v>30.41</v>
      </c>
      <c r="F8" s="55">
        <f t="shared" si="0"/>
        <v>9.3664688717177896E-2</v>
      </c>
      <c r="G8" s="158">
        <v>145011877</v>
      </c>
      <c r="H8" s="77">
        <v>111834094</v>
      </c>
    </row>
    <row r="9" spans="1:8" x14ac:dyDescent="0.45">
      <c r="A9" s="49" t="s">
        <v>47</v>
      </c>
      <c r="B9" s="54">
        <v>0</v>
      </c>
      <c r="C9" s="54"/>
      <c r="D9" s="54"/>
      <c r="E9" s="54"/>
      <c r="F9" s="55">
        <f t="shared" si="0"/>
        <v>0</v>
      </c>
      <c r="G9" s="157"/>
      <c r="H9" s="77"/>
    </row>
    <row r="10" spans="1:8" x14ac:dyDescent="0.45">
      <c r="A10" s="49" t="s">
        <v>22</v>
      </c>
      <c r="B10" s="54">
        <v>5113637</v>
      </c>
      <c r="C10" s="54">
        <v>3338919</v>
      </c>
      <c r="D10" s="54">
        <v>4257479</v>
      </c>
      <c r="E10" s="54">
        <v>94.46</v>
      </c>
      <c r="F10" s="55">
        <f t="shared" si="0"/>
        <v>3.1727268427593845E-2</v>
      </c>
      <c r="G10" s="158">
        <v>96508429</v>
      </c>
      <c r="H10" s="77">
        <v>66365558</v>
      </c>
    </row>
    <row r="11" spans="1:8" x14ac:dyDescent="0.45">
      <c r="A11" s="49" t="s">
        <v>23</v>
      </c>
      <c r="B11" s="54">
        <v>1941511</v>
      </c>
      <c r="C11" s="54">
        <v>1498789</v>
      </c>
      <c r="D11" s="54">
        <v>830653</v>
      </c>
      <c r="E11" s="54">
        <v>59.4</v>
      </c>
      <c r="F11" s="55">
        <f t="shared" si="0"/>
        <v>1.2045994006247639E-2</v>
      </c>
      <c r="G11" s="158">
        <v>17980403</v>
      </c>
      <c r="H11" s="77">
        <v>14740024</v>
      </c>
    </row>
    <row r="12" spans="1:8" x14ac:dyDescent="0.45">
      <c r="A12" s="49" t="s">
        <v>24</v>
      </c>
      <c r="B12" s="54">
        <v>3573386</v>
      </c>
      <c r="C12" s="54">
        <v>869496</v>
      </c>
      <c r="D12" s="54">
        <v>3836943</v>
      </c>
      <c r="E12" s="54">
        <v>141.35</v>
      </c>
      <c r="F12" s="55">
        <f t="shared" si="0"/>
        <v>2.2170869151917873E-2</v>
      </c>
      <c r="G12" s="158">
        <v>53514809</v>
      </c>
      <c r="H12" s="77">
        <v>45382616</v>
      </c>
    </row>
    <row r="13" spans="1:8" x14ac:dyDescent="0.45">
      <c r="A13" s="49" t="s">
        <v>25</v>
      </c>
      <c r="B13" s="54">
        <v>2186453</v>
      </c>
      <c r="C13" s="54">
        <v>1664949</v>
      </c>
      <c r="D13" s="54">
        <v>705327</v>
      </c>
      <c r="E13" s="54">
        <v>37.51</v>
      </c>
      <c r="F13" s="55">
        <f t="shared" si="0"/>
        <v>1.3565722642283338E-2</v>
      </c>
      <c r="G13" s="158">
        <v>27764759</v>
      </c>
      <c r="H13" s="77">
        <v>24084227</v>
      </c>
    </row>
    <row r="14" spans="1:8" x14ac:dyDescent="0.45">
      <c r="A14" s="49" t="s">
        <v>26</v>
      </c>
      <c r="B14" s="54">
        <v>873637</v>
      </c>
      <c r="C14" s="54">
        <v>86337</v>
      </c>
      <c r="D14" s="54">
        <v>501016</v>
      </c>
      <c r="E14" s="54">
        <v>86.69</v>
      </c>
      <c r="F14" s="55">
        <f t="shared" si="0"/>
        <v>5.420430821991824E-3</v>
      </c>
      <c r="G14" s="158">
        <v>3283280</v>
      </c>
      <c r="H14" s="77">
        <v>2024138</v>
      </c>
    </row>
    <row r="15" spans="1:8" x14ac:dyDescent="0.45">
      <c r="A15" s="49" t="s">
        <v>27</v>
      </c>
      <c r="B15" s="54">
        <v>44520264</v>
      </c>
      <c r="C15" s="54">
        <v>25232049</v>
      </c>
      <c r="D15" s="54">
        <v>8467353</v>
      </c>
      <c r="E15" s="54">
        <v>24.22</v>
      </c>
      <c r="F15" s="55">
        <f t="shared" si="0"/>
        <v>0.27622343283172873</v>
      </c>
      <c r="G15" s="158">
        <v>346792368</v>
      </c>
      <c r="H15" s="77">
        <v>281771399</v>
      </c>
    </row>
    <row r="16" spans="1:8" x14ac:dyDescent="0.45">
      <c r="A16" s="49" t="s">
        <v>28</v>
      </c>
      <c r="B16" s="54">
        <v>18829416</v>
      </c>
      <c r="C16" s="54">
        <v>14881379</v>
      </c>
      <c r="D16" s="54">
        <v>6297518</v>
      </c>
      <c r="E16" s="54">
        <v>42.39</v>
      </c>
      <c r="F16" s="55">
        <f t="shared" si="0"/>
        <v>0.11682603512271801</v>
      </c>
      <c r="G16" s="158">
        <v>182463601</v>
      </c>
      <c r="H16" s="77">
        <v>156565858</v>
      </c>
    </row>
    <row r="17" spans="1:8" x14ac:dyDescent="0.45">
      <c r="A17" s="49" t="s">
        <v>29</v>
      </c>
      <c r="B17" s="54">
        <v>1479637</v>
      </c>
      <c r="C17" s="54">
        <v>1118005</v>
      </c>
      <c r="D17" s="54">
        <v>782565</v>
      </c>
      <c r="E17" s="54">
        <v>56.58</v>
      </c>
      <c r="F17" s="55">
        <f t="shared" si="0"/>
        <v>9.1803231778868292E-3</v>
      </c>
      <c r="G17" s="158">
        <v>9472373</v>
      </c>
      <c r="H17" s="77">
        <v>6076493</v>
      </c>
    </row>
    <row r="18" spans="1:8" x14ac:dyDescent="0.45">
      <c r="A18" s="49" t="s">
        <v>30</v>
      </c>
      <c r="B18" s="54">
        <v>4699066</v>
      </c>
      <c r="C18" s="54">
        <v>1272021</v>
      </c>
      <c r="D18" s="54">
        <v>2424119</v>
      </c>
      <c r="E18" s="54">
        <v>65.739999999999995</v>
      </c>
      <c r="F18" s="55">
        <f t="shared" si="0"/>
        <v>2.9155086358491948E-2</v>
      </c>
      <c r="G18" s="158">
        <v>36002268</v>
      </c>
      <c r="H18" s="77">
        <v>23392792</v>
      </c>
    </row>
    <row r="19" spans="1:8" x14ac:dyDescent="0.45">
      <c r="A19" s="49" t="s">
        <v>31</v>
      </c>
      <c r="B19" s="54">
        <v>5234290</v>
      </c>
      <c r="C19" s="54">
        <v>1669810</v>
      </c>
      <c r="D19" s="54">
        <v>1864687</v>
      </c>
      <c r="E19" s="54">
        <v>51.67</v>
      </c>
      <c r="F19" s="55">
        <f t="shared" si="0"/>
        <v>3.247585306854401E-2</v>
      </c>
      <c r="G19" s="158">
        <v>27343243</v>
      </c>
      <c r="H19" s="77">
        <v>22185444</v>
      </c>
    </row>
    <row r="20" spans="1:8" ht="18.399999999999999" x14ac:dyDescent="0.85">
      <c r="A20" s="50" t="s">
        <v>32</v>
      </c>
      <c r="B20" s="126">
        <v>161174827</v>
      </c>
      <c r="C20" s="127">
        <v>82747356</v>
      </c>
      <c r="D20" s="127">
        <v>48010559</v>
      </c>
      <c r="E20" s="87"/>
      <c r="F20" s="55">
        <f t="shared" si="0"/>
        <v>1</v>
      </c>
      <c r="G20" s="159">
        <v>1437549455</v>
      </c>
      <c r="H20" s="84">
        <v>1184646293</v>
      </c>
    </row>
    <row r="21" spans="1:8" x14ac:dyDescent="0.45">
      <c r="B21"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7030A0"/>
  </sheetPr>
  <dimension ref="A1:H21"/>
  <sheetViews>
    <sheetView zoomScale="70" zoomScaleNormal="70" workbookViewId="0">
      <selection activeCell="C2" sqref="C2:D19"/>
    </sheetView>
  </sheetViews>
  <sheetFormatPr defaultColWidth="9.265625" defaultRowHeight="15.4" x14ac:dyDescent="0.45"/>
  <cols>
    <col min="1" max="1" width="52.73046875" style="1" customWidth="1"/>
    <col min="2" max="2" width="22.3984375" style="1" customWidth="1"/>
    <col min="3" max="3" width="30" style="1" bestFit="1" customWidth="1"/>
    <col min="4" max="4" width="23.73046875" style="1" bestFit="1" customWidth="1"/>
    <col min="5" max="6" width="15.265625" style="1" bestFit="1" customWidth="1"/>
    <col min="7" max="7" width="19.265625" style="1" customWidth="1"/>
    <col min="8" max="8" width="20.265625" style="1" bestFit="1" customWidth="1"/>
    <col min="9" max="16384" width="9.265625" style="1"/>
  </cols>
  <sheetData>
    <row r="1" spans="1:8" s="61" customFormat="1" ht="26.45" customHeight="1" x14ac:dyDescent="0.4">
      <c r="A1" s="60" t="s">
        <v>48</v>
      </c>
      <c r="B1" s="60" t="s">
        <v>34</v>
      </c>
      <c r="C1" s="60" t="s">
        <v>9</v>
      </c>
      <c r="D1" s="60" t="s">
        <v>10</v>
      </c>
      <c r="E1" s="60" t="s">
        <v>11</v>
      </c>
      <c r="F1" s="60" t="s">
        <v>46</v>
      </c>
      <c r="G1" s="61" t="s">
        <v>13</v>
      </c>
      <c r="H1" s="61" t="s">
        <v>14</v>
      </c>
    </row>
    <row r="2" spans="1:8" x14ac:dyDescent="0.45">
      <c r="A2" s="57" t="s">
        <v>15</v>
      </c>
      <c r="B2" s="54">
        <v>245539</v>
      </c>
      <c r="C2" s="54">
        <v>387680</v>
      </c>
      <c r="D2" s="54">
        <v>495702</v>
      </c>
      <c r="E2" s="54">
        <v>215.46</v>
      </c>
      <c r="F2" s="55">
        <f>B2/$B$20</f>
        <v>7.2502593925656328E-4</v>
      </c>
      <c r="G2" s="105">
        <v>4090987</v>
      </c>
      <c r="H2" s="77">
        <v>2575616</v>
      </c>
    </row>
    <row r="3" spans="1:8" x14ac:dyDescent="0.45">
      <c r="A3" s="57" t="s">
        <v>16</v>
      </c>
      <c r="B3" s="54">
        <v>4099816</v>
      </c>
      <c r="C3" s="54">
        <v>3281920</v>
      </c>
      <c r="D3" s="54">
        <v>2209994</v>
      </c>
      <c r="E3" s="54">
        <v>59.35</v>
      </c>
      <c r="F3" s="55">
        <f t="shared" ref="F3:F19" si="0">B3/$B$20</f>
        <v>1.2105909636265873E-2</v>
      </c>
      <c r="G3" s="105">
        <v>34224611</v>
      </c>
      <c r="H3" s="77">
        <v>31747689</v>
      </c>
    </row>
    <row r="4" spans="1:8" x14ac:dyDescent="0.45">
      <c r="A4" s="57" t="s">
        <v>17</v>
      </c>
      <c r="B4" s="54">
        <v>94330957</v>
      </c>
      <c r="C4" s="54">
        <v>32810356</v>
      </c>
      <c r="D4" s="54">
        <v>16358973</v>
      </c>
      <c r="E4" s="54">
        <v>36.630000000000003</v>
      </c>
      <c r="F4" s="55">
        <f t="shared" si="0"/>
        <v>0.27853982748115569</v>
      </c>
      <c r="G4" s="105">
        <v>334089887</v>
      </c>
      <c r="H4" s="77">
        <v>289873881</v>
      </c>
    </row>
    <row r="5" spans="1:8" x14ac:dyDescent="0.45">
      <c r="A5" s="57" t="s">
        <v>40</v>
      </c>
      <c r="B5" s="54">
        <v>3755203</v>
      </c>
      <c r="C5" s="54">
        <v>82203</v>
      </c>
      <c r="D5" s="54">
        <v>2306679</v>
      </c>
      <c r="E5" s="54">
        <v>70.180000000000007</v>
      </c>
      <c r="F5" s="55">
        <f t="shared" si="0"/>
        <v>1.1088338643449979E-2</v>
      </c>
      <c r="G5" s="105">
        <v>18164915</v>
      </c>
      <c r="H5" s="77">
        <v>14338884</v>
      </c>
    </row>
    <row r="6" spans="1:8" x14ac:dyDescent="0.45">
      <c r="A6" s="57" t="s">
        <v>18</v>
      </c>
      <c r="B6" s="54">
        <v>6314527</v>
      </c>
      <c r="C6" s="54">
        <v>2531605</v>
      </c>
      <c r="D6" s="54">
        <v>3543376</v>
      </c>
      <c r="E6" s="54">
        <v>72.02</v>
      </c>
      <c r="F6" s="55">
        <f t="shared" si="0"/>
        <v>1.8645493665511093E-2</v>
      </c>
      <c r="G6" s="105">
        <v>32382542</v>
      </c>
      <c r="H6" s="77">
        <v>19842542</v>
      </c>
    </row>
    <row r="7" spans="1:8" x14ac:dyDescent="0.45">
      <c r="A7" s="57" t="s">
        <v>19</v>
      </c>
      <c r="B7" s="54">
        <v>6001610</v>
      </c>
      <c r="C7" s="54">
        <v>431630</v>
      </c>
      <c r="D7" s="54">
        <v>784982</v>
      </c>
      <c r="E7" s="54">
        <v>40.44</v>
      </c>
      <c r="F7" s="55">
        <f t="shared" si="0"/>
        <v>1.7721514412380856E-2</v>
      </c>
      <c r="G7" s="105">
        <v>8576606</v>
      </c>
      <c r="H7" s="77">
        <v>408189</v>
      </c>
    </row>
    <row r="8" spans="1:8" x14ac:dyDescent="0.45">
      <c r="A8" s="57" t="s">
        <v>20</v>
      </c>
      <c r="B8" s="54">
        <v>31217570</v>
      </c>
      <c r="C8" s="54">
        <v>20901698</v>
      </c>
      <c r="D8" s="54">
        <v>7086664</v>
      </c>
      <c r="E8" s="54">
        <v>29.96</v>
      </c>
      <c r="F8" s="55">
        <f t="shared" si="0"/>
        <v>9.2179034738096646E-2</v>
      </c>
      <c r="G8" s="105">
        <v>145027490</v>
      </c>
      <c r="H8" s="77">
        <v>115654121</v>
      </c>
    </row>
    <row r="9" spans="1:8" x14ac:dyDescent="0.45">
      <c r="A9" s="57" t="s">
        <v>47</v>
      </c>
      <c r="B9" s="54">
        <v>380594</v>
      </c>
      <c r="C9" s="54">
        <v>1000</v>
      </c>
      <c r="D9" s="54">
        <v>1055115</v>
      </c>
      <c r="E9" s="54">
        <v>391.08</v>
      </c>
      <c r="F9" s="55">
        <f t="shared" si="0"/>
        <v>1.1238154522312644E-3</v>
      </c>
      <c r="G9" s="105">
        <v>21138127</v>
      </c>
      <c r="H9" s="77">
        <v>20231338</v>
      </c>
    </row>
    <row r="10" spans="1:8" x14ac:dyDescent="0.45">
      <c r="A10" s="57" t="s">
        <v>22</v>
      </c>
      <c r="B10" s="54">
        <v>10571789</v>
      </c>
      <c r="C10" s="54">
        <v>13463603</v>
      </c>
      <c r="D10" s="54">
        <v>10805531</v>
      </c>
      <c r="E10" s="54">
        <v>111.54</v>
      </c>
      <c r="F10" s="55">
        <f t="shared" si="0"/>
        <v>3.1216308811827059E-2</v>
      </c>
      <c r="G10" s="105">
        <v>133007787</v>
      </c>
      <c r="H10" s="77">
        <v>67800358</v>
      </c>
    </row>
    <row r="11" spans="1:8" x14ac:dyDescent="0.45">
      <c r="A11" s="57" t="s">
        <v>23</v>
      </c>
      <c r="B11" s="54">
        <v>3864653</v>
      </c>
      <c r="C11" s="54">
        <v>2869159</v>
      </c>
      <c r="D11" s="54">
        <v>1666745</v>
      </c>
      <c r="E11" s="54">
        <v>56.59</v>
      </c>
      <c r="F11" s="55">
        <f t="shared" si="0"/>
        <v>1.1411521881353654E-2</v>
      </c>
      <c r="G11" s="105">
        <v>17578544</v>
      </c>
      <c r="H11" s="77">
        <v>14282062</v>
      </c>
    </row>
    <row r="12" spans="1:8" x14ac:dyDescent="0.45">
      <c r="A12" s="57" t="s">
        <v>24</v>
      </c>
      <c r="B12" s="54">
        <v>8422124</v>
      </c>
      <c r="C12" s="54">
        <v>2091396</v>
      </c>
      <c r="D12" s="54">
        <v>8080587</v>
      </c>
      <c r="E12" s="54">
        <v>129.53</v>
      </c>
      <c r="F12" s="55">
        <f t="shared" si="0"/>
        <v>2.4868792182240883E-2</v>
      </c>
      <c r="G12" s="105">
        <v>56121041</v>
      </c>
      <c r="H12" s="77">
        <v>45078959</v>
      </c>
    </row>
    <row r="13" spans="1:8" x14ac:dyDescent="0.45">
      <c r="A13" s="57" t="s">
        <v>25</v>
      </c>
      <c r="B13" s="54">
        <v>4606856</v>
      </c>
      <c r="C13" s="54">
        <v>3223297</v>
      </c>
      <c r="D13" s="54">
        <v>1519032</v>
      </c>
      <c r="E13" s="54">
        <v>38.28</v>
      </c>
      <c r="F13" s="55">
        <f t="shared" si="0"/>
        <v>1.3603094003069712E-2</v>
      </c>
      <c r="G13" s="105">
        <v>28981863</v>
      </c>
      <c r="H13" s="77">
        <v>24914513</v>
      </c>
    </row>
    <row r="14" spans="1:8" x14ac:dyDescent="0.45">
      <c r="A14" s="57" t="s">
        <v>26</v>
      </c>
      <c r="B14" s="54">
        <v>1962092</v>
      </c>
      <c r="C14" s="54">
        <v>197996</v>
      </c>
      <c r="D14" s="54">
        <v>1088044</v>
      </c>
      <c r="E14" s="54">
        <v>78.47</v>
      </c>
      <c r="F14" s="55">
        <f t="shared" si="0"/>
        <v>5.7936523126989551E-3</v>
      </c>
      <c r="G14" s="105">
        <v>3315535</v>
      </c>
      <c r="H14" s="77">
        <v>1824138</v>
      </c>
    </row>
    <row r="15" spans="1:8" x14ac:dyDescent="0.45">
      <c r="A15" s="57" t="s">
        <v>27</v>
      </c>
      <c r="B15" s="54">
        <v>88976256</v>
      </c>
      <c r="C15" s="54">
        <v>52149930</v>
      </c>
      <c r="D15" s="54">
        <v>18652504</v>
      </c>
      <c r="E15" s="54">
        <v>24.99</v>
      </c>
      <c r="F15" s="55">
        <f t="shared" si="0"/>
        <v>0.26272850169599299</v>
      </c>
      <c r="G15" s="105">
        <v>371867783</v>
      </c>
      <c r="H15" s="77">
        <v>305258265</v>
      </c>
    </row>
    <row r="16" spans="1:8" x14ac:dyDescent="0.45">
      <c r="A16" s="57" t="s">
        <v>28</v>
      </c>
      <c r="B16" s="54">
        <v>38984234</v>
      </c>
      <c r="C16" s="54">
        <v>26794574</v>
      </c>
      <c r="D16" s="54">
        <v>12631806</v>
      </c>
      <c r="E16" s="54">
        <v>43.22</v>
      </c>
      <c r="F16" s="55">
        <f t="shared" si="0"/>
        <v>0.11511238895673456</v>
      </c>
      <c r="G16" s="105">
        <v>203798256</v>
      </c>
      <c r="H16" s="77">
        <v>187735646</v>
      </c>
    </row>
    <row r="17" spans="1:8" x14ac:dyDescent="0.45">
      <c r="A17" s="57" t="s">
        <v>29</v>
      </c>
      <c r="B17" s="54">
        <v>2609880</v>
      </c>
      <c r="C17" s="54">
        <v>2010801</v>
      </c>
      <c r="D17" s="54">
        <v>1538340</v>
      </c>
      <c r="E17" s="54">
        <v>63.82</v>
      </c>
      <c r="F17" s="55">
        <f t="shared" si="0"/>
        <v>7.7064364453179306E-3</v>
      </c>
      <c r="G17" s="105">
        <v>9134830</v>
      </c>
      <c r="H17" s="77">
        <v>5774420</v>
      </c>
    </row>
    <row r="18" spans="1:8" x14ac:dyDescent="0.45">
      <c r="A18" s="57" t="s">
        <v>30</v>
      </c>
      <c r="B18" s="54">
        <v>9348043</v>
      </c>
      <c r="C18" s="54">
        <v>3330650</v>
      </c>
      <c r="D18" s="54">
        <v>5102053</v>
      </c>
      <c r="E18" s="54">
        <v>69.03</v>
      </c>
      <c r="F18" s="55">
        <f t="shared" si="0"/>
        <v>2.7602839696690716E-2</v>
      </c>
      <c r="G18" s="105">
        <v>36880632</v>
      </c>
      <c r="H18" s="77">
        <v>24813353</v>
      </c>
    </row>
    <row r="19" spans="1:8" x14ac:dyDescent="0.45">
      <c r="A19" s="57" t="s">
        <v>31</v>
      </c>
      <c r="B19" s="54">
        <v>8495275</v>
      </c>
      <c r="C19" s="54">
        <v>5555922</v>
      </c>
      <c r="D19" s="54">
        <v>3758929</v>
      </c>
      <c r="E19" s="54">
        <v>60.12</v>
      </c>
      <c r="F19" s="55">
        <f t="shared" si="0"/>
        <v>2.5084791972427193E-2</v>
      </c>
      <c r="G19" s="105">
        <v>25871196</v>
      </c>
      <c r="H19" s="77">
        <v>20465861</v>
      </c>
    </row>
    <row r="20" spans="1:8" ht="18.399999999999999" x14ac:dyDescent="0.85">
      <c r="A20" s="58" t="s">
        <v>32</v>
      </c>
      <c r="B20" s="128">
        <v>338662366</v>
      </c>
      <c r="C20" s="63">
        <v>179306880</v>
      </c>
      <c r="D20" s="63">
        <v>102906029</v>
      </c>
      <c r="E20" s="77"/>
      <c r="F20" s="55"/>
      <c r="G20" s="142">
        <v>1582152373</v>
      </c>
      <c r="H20" s="84">
        <v>1287129383</v>
      </c>
    </row>
    <row r="21" spans="1:8" x14ac:dyDescent="0.45">
      <c r="B21" s="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7030A0"/>
  </sheetPr>
  <dimension ref="A1:H20"/>
  <sheetViews>
    <sheetView zoomScale="70" zoomScaleNormal="70" workbookViewId="0">
      <selection activeCell="B2" sqref="B2:B19"/>
    </sheetView>
  </sheetViews>
  <sheetFormatPr defaultColWidth="9.265625" defaultRowHeight="15.4" x14ac:dyDescent="0.45"/>
  <cols>
    <col min="1" max="1" width="52.73046875" style="1" customWidth="1"/>
    <col min="2" max="2" width="22.3984375" style="1" customWidth="1"/>
    <col min="3" max="3" width="29.73046875" style="1" bestFit="1" customWidth="1"/>
    <col min="4" max="4" width="23.3984375" style="1" bestFit="1" customWidth="1"/>
    <col min="5" max="5" width="15" style="1" bestFit="1" customWidth="1"/>
    <col min="6" max="6" width="14.73046875" style="1" bestFit="1" customWidth="1"/>
    <col min="7" max="7" width="14.3984375" style="1" bestFit="1" customWidth="1"/>
    <col min="8" max="8" width="20.265625" style="1" bestFit="1" customWidth="1"/>
    <col min="9" max="16384" width="9.265625" style="1"/>
  </cols>
  <sheetData>
    <row r="1" spans="1:8" s="61" customFormat="1" ht="26.45" customHeight="1" x14ac:dyDescent="0.4">
      <c r="A1" s="47" t="s">
        <v>49</v>
      </c>
      <c r="B1" s="47" t="s">
        <v>34</v>
      </c>
      <c r="C1" s="47" t="s">
        <v>9</v>
      </c>
      <c r="D1" s="47" t="s">
        <v>10</v>
      </c>
      <c r="E1" s="47" t="s">
        <v>11</v>
      </c>
      <c r="F1" s="47" t="s">
        <v>46</v>
      </c>
      <c r="G1" s="61" t="s">
        <v>13</v>
      </c>
      <c r="H1" s="61" t="s">
        <v>14</v>
      </c>
    </row>
    <row r="2" spans="1:8" x14ac:dyDescent="0.45">
      <c r="A2" s="49" t="s">
        <v>15</v>
      </c>
      <c r="B2" s="54">
        <v>357088</v>
      </c>
      <c r="C2" s="54">
        <v>619438</v>
      </c>
      <c r="D2" s="54">
        <v>540875</v>
      </c>
      <c r="E2" s="75">
        <v>168.84</v>
      </c>
      <c r="F2" s="55">
        <f>B2/$B$20</f>
        <v>6.870619692057482E-4</v>
      </c>
      <c r="G2" s="105">
        <v>3979381</v>
      </c>
      <c r="H2" s="77">
        <v>2619352</v>
      </c>
    </row>
    <row r="3" spans="1:8" x14ac:dyDescent="0.45">
      <c r="A3" s="49" t="s">
        <v>16</v>
      </c>
      <c r="B3" s="54">
        <v>5855485</v>
      </c>
      <c r="C3" s="54">
        <v>5015574</v>
      </c>
      <c r="D3" s="54">
        <v>3157017</v>
      </c>
      <c r="E3" s="75">
        <v>58.39</v>
      </c>
      <c r="F3" s="55">
        <f t="shared" ref="F3:F19" si="0">B3/$B$20</f>
        <v>1.1266357465819967E-2</v>
      </c>
      <c r="G3" s="105">
        <v>33640889</v>
      </c>
      <c r="H3" s="77">
        <v>31293217</v>
      </c>
    </row>
    <row r="4" spans="1:8" x14ac:dyDescent="0.45">
      <c r="A4" s="49" t="s">
        <v>17</v>
      </c>
      <c r="B4" s="54">
        <v>144601361</v>
      </c>
      <c r="C4" s="54">
        <v>52778521</v>
      </c>
      <c r="D4" s="54">
        <v>24866557</v>
      </c>
      <c r="E4" s="75">
        <v>36.92</v>
      </c>
      <c r="F4" s="55">
        <f t="shared" si="0"/>
        <v>0.27822300340109796</v>
      </c>
      <c r="G4" s="105">
        <v>348981056</v>
      </c>
      <c r="H4" s="77">
        <v>307077113</v>
      </c>
    </row>
    <row r="5" spans="1:8" x14ac:dyDescent="0.45">
      <c r="A5" s="49" t="s">
        <v>40</v>
      </c>
      <c r="B5" s="54">
        <v>5772269</v>
      </c>
      <c r="C5" s="54">
        <v>158593</v>
      </c>
      <c r="D5" s="54">
        <v>3558986</v>
      </c>
      <c r="E5" s="75">
        <v>70.34</v>
      </c>
      <c r="F5" s="55">
        <f t="shared" si="0"/>
        <v>1.1106244135690068E-2</v>
      </c>
      <c r="G5" s="105">
        <v>18852280</v>
      </c>
      <c r="H5" s="77">
        <v>14677778</v>
      </c>
    </row>
    <row r="6" spans="1:8" x14ac:dyDescent="0.45">
      <c r="A6" s="49" t="s">
        <v>18</v>
      </c>
      <c r="B6" s="54">
        <v>10588248</v>
      </c>
      <c r="C6" s="54">
        <v>4273972</v>
      </c>
      <c r="D6" s="54">
        <v>4953139</v>
      </c>
      <c r="E6" s="75">
        <v>68.62</v>
      </c>
      <c r="F6" s="55">
        <f t="shared" si="0"/>
        <v>2.0372520278807534E-2</v>
      </c>
      <c r="G6" s="105">
        <v>31961414</v>
      </c>
      <c r="H6" s="77">
        <v>19913773</v>
      </c>
    </row>
    <row r="7" spans="1:8" x14ac:dyDescent="0.45">
      <c r="A7" s="49" t="s">
        <v>19</v>
      </c>
      <c r="B7" s="54">
        <v>6651769</v>
      </c>
      <c r="C7" s="54">
        <v>652172</v>
      </c>
      <c r="D7" s="54">
        <v>1328710</v>
      </c>
      <c r="E7" s="75">
        <v>52.35</v>
      </c>
      <c r="F7" s="55">
        <f t="shared" si="0"/>
        <v>1.2798462865853096E-2</v>
      </c>
      <c r="G7" s="105">
        <v>6487400</v>
      </c>
      <c r="H7" s="77">
        <v>5508178</v>
      </c>
    </row>
    <row r="8" spans="1:8" x14ac:dyDescent="0.45">
      <c r="A8" s="49" t="s">
        <v>20</v>
      </c>
      <c r="B8" s="54">
        <v>50915200</v>
      </c>
      <c r="C8" s="54">
        <v>35371243</v>
      </c>
      <c r="D8" s="54">
        <v>9117982</v>
      </c>
      <c r="E8" s="75">
        <v>25.31</v>
      </c>
      <c r="F8" s="55">
        <f t="shared" si="0"/>
        <v>9.7964360534390713E-2</v>
      </c>
      <c r="G8" s="105">
        <v>146906932</v>
      </c>
      <c r="H8" s="77">
        <v>120862958</v>
      </c>
    </row>
    <row r="9" spans="1:8" x14ac:dyDescent="0.45">
      <c r="A9" s="49" t="s">
        <v>47</v>
      </c>
      <c r="B9" s="54">
        <v>713200</v>
      </c>
      <c r="C9" s="54">
        <v>4000</v>
      </c>
      <c r="D9" s="54">
        <v>1868936</v>
      </c>
      <c r="E9" s="75">
        <v>354.21</v>
      </c>
      <c r="F9" s="55">
        <f t="shared" si="0"/>
        <v>1.3722460470179329E-3</v>
      </c>
      <c r="G9" s="105">
        <v>22386644</v>
      </c>
      <c r="H9" s="77">
        <v>19256302</v>
      </c>
    </row>
    <row r="10" spans="1:8" x14ac:dyDescent="0.45">
      <c r="A10" s="49" t="s">
        <v>22</v>
      </c>
      <c r="B10" s="54">
        <v>15940187</v>
      </c>
      <c r="C10" s="54">
        <v>17503703</v>
      </c>
      <c r="D10" s="54">
        <v>17573919</v>
      </c>
      <c r="E10" s="75">
        <v>119.95</v>
      </c>
      <c r="F10" s="55">
        <f t="shared" si="0"/>
        <v>3.0670020470382277E-2</v>
      </c>
      <c r="G10" s="105">
        <v>131422849</v>
      </c>
      <c r="H10" s="77">
        <v>105418765</v>
      </c>
    </row>
    <row r="11" spans="1:8" x14ac:dyDescent="0.45">
      <c r="A11" s="49" t="s">
        <v>23</v>
      </c>
      <c r="B11" s="54">
        <v>6205890</v>
      </c>
      <c r="C11" s="54">
        <v>4479527</v>
      </c>
      <c r="D11" s="54">
        <v>2373390</v>
      </c>
      <c r="E11" s="75">
        <v>49.16</v>
      </c>
      <c r="F11" s="55">
        <f t="shared" si="0"/>
        <v>1.1940560881559337E-2</v>
      </c>
      <c r="G11" s="105">
        <v>17592782</v>
      </c>
      <c r="H11" s="77">
        <v>13868244</v>
      </c>
    </row>
    <row r="12" spans="1:8" x14ac:dyDescent="0.45">
      <c r="A12" s="49" t="s">
        <v>24</v>
      </c>
      <c r="B12" s="54">
        <v>14204295</v>
      </c>
      <c r="C12" s="54">
        <v>3482082</v>
      </c>
      <c r="D12" s="54">
        <v>12414747</v>
      </c>
      <c r="E12" s="75">
        <v>124.64</v>
      </c>
      <c r="F12" s="55">
        <f t="shared" si="0"/>
        <v>2.7330044397681698E-2</v>
      </c>
      <c r="G12" s="105">
        <v>51541751</v>
      </c>
      <c r="H12" s="77">
        <v>39630955</v>
      </c>
    </row>
    <row r="13" spans="1:8" x14ac:dyDescent="0.45">
      <c r="A13" s="49" t="s">
        <v>25</v>
      </c>
      <c r="B13" s="54">
        <v>6604130</v>
      </c>
      <c r="C13" s="54">
        <v>5133982</v>
      </c>
      <c r="D13" s="54">
        <v>2376444</v>
      </c>
      <c r="E13" s="75">
        <v>41.24</v>
      </c>
      <c r="F13" s="55">
        <f t="shared" si="0"/>
        <v>1.2706802140342878E-2</v>
      </c>
      <c r="G13" s="105">
        <v>29461948</v>
      </c>
      <c r="H13" s="77">
        <v>25785709</v>
      </c>
    </row>
    <row r="14" spans="1:8" x14ac:dyDescent="0.45">
      <c r="A14" s="49" t="s">
        <v>26</v>
      </c>
      <c r="B14" s="54">
        <v>3004834</v>
      </c>
      <c r="C14" s="54">
        <v>346868</v>
      </c>
      <c r="D14" s="54">
        <v>1648052</v>
      </c>
      <c r="E14" s="75">
        <v>82.71</v>
      </c>
      <c r="F14" s="55">
        <f t="shared" si="0"/>
        <v>5.7815081021383666E-3</v>
      </c>
      <c r="G14" s="105">
        <v>3269254</v>
      </c>
      <c r="H14" s="77">
        <v>1874138</v>
      </c>
    </row>
    <row r="15" spans="1:8" x14ac:dyDescent="0.45">
      <c r="A15" s="49" t="s">
        <v>27</v>
      </c>
      <c r="B15" s="54">
        <v>134396993</v>
      </c>
      <c r="C15" s="54">
        <v>84821391</v>
      </c>
      <c r="D15" s="54">
        <v>29281503</v>
      </c>
      <c r="E15" s="75">
        <v>26.04</v>
      </c>
      <c r="F15" s="55">
        <f t="shared" si="0"/>
        <v>0.25858909474950476</v>
      </c>
      <c r="G15" s="105">
        <v>386481730</v>
      </c>
      <c r="H15" s="77">
        <v>314555852</v>
      </c>
    </row>
    <row r="16" spans="1:8" x14ac:dyDescent="0.45">
      <c r="A16" s="49" t="s">
        <v>28</v>
      </c>
      <c r="B16" s="54">
        <v>60466802</v>
      </c>
      <c r="C16" s="54">
        <v>38272527</v>
      </c>
      <c r="D16" s="54">
        <v>19293274</v>
      </c>
      <c r="E16" s="75">
        <v>41.84</v>
      </c>
      <c r="F16" s="55">
        <f t="shared" si="0"/>
        <v>0.11634230232798098</v>
      </c>
      <c r="G16" s="105">
        <v>214322403</v>
      </c>
      <c r="H16" s="77">
        <v>189844331</v>
      </c>
    </row>
    <row r="17" spans="1:8" x14ac:dyDescent="0.45">
      <c r="A17" s="49" t="s">
        <v>29</v>
      </c>
      <c r="B17" s="54">
        <v>3968588</v>
      </c>
      <c r="C17" s="54">
        <v>2989907</v>
      </c>
      <c r="D17" s="54">
        <v>2481763</v>
      </c>
      <c r="E17" s="75">
        <v>71.33</v>
      </c>
      <c r="F17" s="55">
        <f t="shared" si="0"/>
        <v>7.6358373461060062E-3</v>
      </c>
      <c r="G17" s="105">
        <v>9125420</v>
      </c>
      <c r="H17" s="77">
        <v>5395658</v>
      </c>
    </row>
    <row r="18" spans="1:8" x14ac:dyDescent="0.45">
      <c r="A18" s="49" t="s">
        <v>30</v>
      </c>
      <c r="B18" s="54">
        <v>14128385</v>
      </c>
      <c r="C18" s="54">
        <v>5080467</v>
      </c>
      <c r="D18" s="54">
        <v>7699332</v>
      </c>
      <c r="E18" s="75">
        <v>71.650000000000006</v>
      </c>
      <c r="F18" s="55">
        <f t="shared" si="0"/>
        <v>2.7183988316036814E-2</v>
      </c>
      <c r="G18" s="105">
        <v>37330050</v>
      </c>
      <c r="H18" s="77">
        <v>25773028</v>
      </c>
    </row>
    <row r="19" spans="1:8" x14ac:dyDescent="0.45">
      <c r="A19" s="49" t="s">
        <v>31</v>
      </c>
      <c r="B19" s="54">
        <v>13291126</v>
      </c>
      <c r="C19" s="54">
        <v>8627471</v>
      </c>
      <c r="D19" s="54">
        <v>5076659</v>
      </c>
      <c r="E19" s="75">
        <v>48.8</v>
      </c>
      <c r="F19" s="55">
        <f t="shared" si="0"/>
        <v>2.5573044186647881E-2</v>
      </c>
      <c r="G19" s="105">
        <v>10196097</v>
      </c>
      <c r="H19" s="77">
        <v>3580220</v>
      </c>
    </row>
    <row r="20" spans="1:8" s="5" customFormat="1" ht="18.399999999999999" x14ac:dyDescent="0.85">
      <c r="A20" s="50" t="s">
        <v>32</v>
      </c>
      <c r="B20" s="130">
        <v>519731867</v>
      </c>
      <c r="C20" s="129">
        <v>281453673</v>
      </c>
      <c r="D20" s="129">
        <v>156986594</v>
      </c>
      <c r="E20" s="76"/>
      <c r="F20" s="88"/>
      <c r="G20" s="142">
        <v>1627351178</v>
      </c>
      <c r="H20" s="84">
        <v>1362324309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7030A0"/>
  </sheetPr>
  <dimension ref="A1:H23"/>
  <sheetViews>
    <sheetView zoomScale="70" zoomScaleNormal="70" workbookViewId="0">
      <selection activeCell="B2" sqref="B2:B19"/>
    </sheetView>
  </sheetViews>
  <sheetFormatPr defaultColWidth="9.265625" defaultRowHeight="15.4" x14ac:dyDescent="0.45"/>
  <cols>
    <col min="1" max="1" width="52.73046875" style="1" customWidth="1"/>
    <col min="2" max="2" width="16.73046875" style="1" bestFit="1" customWidth="1"/>
    <col min="3" max="3" width="29.73046875" style="1" bestFit="1" customWidth="1"/>
    <col min="4" max="4" width="23.3984375" style="1" bestFit="1" customWidth="1"/>
    <col min="5" max="5" width="15" style="1" bestFit="1" customWidth="1"/>
    <col min="6" max="6" width="14.73046875" style="1" bestFit="1" customWidth="1"/>
    <col min="7" max="7" width="14.3984375" style="1" bestFit="1" customWidth="1"/>
    <col min="8" max="8" width="20.265625" style="1" bestFit="1" customWidth="1"/>
    <col min="9" max="16384" width="9.265625" style="1"/>
  </cols>
  <sheetData>
    <row r="1" spans="1:8" s="61" customFormat="1" ht="26.45" customHeight="1" x14ac:dyDescent="0.4">
      <c r="A1" s="47" t="s">
        <v>50</v>
      </c>
      <c r="B1" s="47" t="s">
        <v>8</v>
      </c>
      <c r="C1" s="47" t="s">
        <v>9</v>
      </c>
      <c r="D1" s="47" t="s">
        <v>10</v>
      </c>
      <c r="E1" s="47" t="s">
        <v>11</v>
      </c>
      <c r="F1" s="47" t="s">
        <v>46</v>
      </c>
      <c r="G1" s="61" t="s">
        <v>13</v>
      </c>
      <c r="H1" s="61" t="s">
        <v>14</v>
      </c>
    </row>
    <row r="2" spans="1:8" x14ac:dyDescent="0.45">
      <c r="A2" s="49" t="s">
        <v>15</v>
      </c>
      <c r="B2" s="54">
        <v>477366</v>
      </c>
      <c r="C2" s="54">
        <v>796070</v>
      </c>
      <c r="D2" s="54">
        <v>1417036</v>
      </c>
      <c r="E2" s="71">
        <v>309.27</v>
      </c>
      <c r="F2" s="55">
        <f>B2/$B$20</f>
        <v>6.7378048873437265E-4</v>
      </c>
      <c r="G2" s="105">
        <v>1358750</v>
      </c>
      <c r="H2" s="77">
        <v>1002499</v>
      </c>
    </row>
    <row r="3" spans="1:8" x14ac:dyDescent="0.45">
      <c r="A3" s="49" t="s">
        <v>16</v>
      </c>
      <c r="B3" s="54">
        <v>7705748</v>
      </c>
      <c r="C3" s="54">
        <v>6585589</v>
      </c>
      <c r="D3" s="54">
        <v>4275832</v>
      </c>
      <c r="E3" s="71">
        <v>59.41</v>
      </c>
      <c r="F3" s="55">
        <f t="shared" ref="F3:F19" si="0">B3/$B$20</f>
        <v>1.0876314302870154E-2</v>
      </c>
      <c r="G3" s="105">
        <v>35518448</v>
      </c>
      <c r="H3" s="77">
        <v>33176562</v>
      </c>
    </row>
    <row r="4" spans="1:8" x14ac:dyDescent="0.45">
      <c r="A4" s="49" t="s">
        <v>17</v>
      </c>
      <c r="B4" s="54">
        <v>200604700</v>
      </c>
      <c r="C4" s="54">
        <v>71560423</v>
      </c>
      <c r="D4" s="54">
        <v>33878265</v>
      </c>
      <c r="E4" s="71">
        <v>36.51</v>
      </c>
      <c r="F4" s="55">
        <f t="shared" si="0"/>
        <v>0.28314444851206871</v>
      </c>
      <c r="G4" s="105">
        <v>382630318</v>
      </c>
      <c r="H4" s="77">
        <v>336623220</v>
      </c>
    </row>
    <row r="5" spans="1:8" x14ac:dyDescent="0.45">
      <c r="A5" s="49" t="s">
        <v>40</v>
      </c>
      <c r="B5" s="54">
        <v>8017453</v>
      </c>
      <c r="C5" s="54">
        <v>252533</v>
      </c>
      <c r="D5" s="54">
        <v>4373269</v>
      </c>
      <c r="E5" s="71">
        <v>62.43</v>
      </c>
      <c r="F5" s="55">
        <f t="shared" si="0"/>
        <v>1.1316271793015972E-2</v>
      </c>
      <c r="G5" s="105">
        <v>20331980</v>
      </c>
      <c r="H5" s="77">
        <v>15541486</v>
      </c>
    </row>
    <row r="6" spans="1:8" x14ac:dyDescent="0.45">
      <c r="A6" s="49" t="s">
        <v>18</v>
      </c>
      <c r="B6" s="54">
        <v>14740234</v>
      </c>
      <c r="C6" s="54">
        <v>6123086</v>
      </c>
      <c r="D6" s="54">
        <v>8207538</v>
      </c>
      <c r="E6" s="71">
        <v>67.05</v>
      </c>
      <c r="F6" s="55">
        <f t="shared" si="0"/>
        <v>2.0805172694701793E-2</v>
      </c>
      <c r="G6" s="105">
        <v>31682990</v>
      </c>
      <c r="H6" s="77">
        <v>19705574</v>
      </c>
    </row>
    <row r="7" spans="1:8" x14ac:dyDescent="0.45">
      <c r="A7" s="49" t="s">
        <v>19</v>
      </c>
      <c r="B7" s="54">
        <v>7395373</v>
      </c>
      <c r="C7" s="54">
        <v>802127</v>
      </c>
      <c r="D7" s="54">
        <v>1808333</v>
      </c>
      <c r="E7" s="71">
        <v>60.45</v>
      </c>
      <c r="F7" s="55">
        <f t="shared" si="0"/>
        <v>1.0438234047487636E-2</v>
      </c>
      <c r="G7" s="105">
        <v>6569873</v>
      </c>
      <c r="H7" s="77">
        <v>5483606</v>
      </c>
    </row>
    <row r="8" spans="1:8" x14ac:dyDescent="0.45">
      <c r="A8" s="49" t="s">
        <v>20</v>
      </c>
      <c r="B8" s="54">
        <v>67701922</v>
      </c>
      <c r="C8" s="54">
        <v>47370651</v>
      </c>
      <c r="D8" s="54">
        <v>14957284</v>
      </c>
      <c r="E8" s="71">
        <v>28.9</v>
      </c>
      <c r="F8" s="55">
        <f t="shared" si="0"/>
        <v>9.5558196631968711E-2</v>
      </c>
      <c r="G8" s="105">
        <v>152002185</v>
      </c>
      <c r="H8" s="77">
        <v>122311511</v>
      </c>
    </row>
    <row r="9" spans="1:8" x14ac:dyDescent="0.45">
      <c r="A9" s="49" t="s">
        <v>47</v>
      </c>
      <c r="B9" s="54">
        <v>1167272</v>
      </c>
      <c r="C9" s="54">
        <v>92150</v>
      </c>
      <c r="D9" s="54">
        <v>2590149</v>
      </c>
      <c r="E9" s="71">
        <v>257.93</v>
      </c>
      <c r="F9" s="55">
        <f t="shared" si="0"/>
        <v>1.6475515613720889E-3</v>
      </c>
      <c r="G9" s="105">
        <v>23520127</v>
      </c>
      <c r="H9" s="77">
        <v>20169147</v>
      </c>
    </row>
    <row r="10" spans="1:8" x14ac:dyDescent="0.45">
      <c r="A10" s="49" t="s">
        <v>22</v>
      </c>
      <c r="B10" s="54">
        <v>22765849</v>
      </c>
      <c r="C10" s="54">
        <v>30676258</v>
      </c>
      <c r="D10" s="54">
        <v>23976302</v>
      </c>
      <c r="E10" s="71">
        <v>112.97</v>
      </c>
      <c r="F10" s="55">
        <f t="shared" si="0"/>
        <v>3.2132964781054638E-2</v>
      </c>
      <c r="G10" s="105">
        <v>138522746</v>
      </c>
      <c r="H10" s="77">
        <v>103280200</v>
      </c>
    </row>
    <row r="11" spans="1:8" x14ac:dyDescent="0.45">
      <c r="A11" s="49" t="s">
        <v>23</v>
      </c>
      <c r="B11" s="54">
        <v>8030372</v>
      </c>
      <c r="C11" s="54">
        <v>6249209</v>
      </c>
      <c r="D11" s="54">
        <v>3407194</v>
      </c>
      <c r="E11" s="71">
        <v>55.52</v>
      </c>
      <c r="F11" s="55">
        <f t="shared" si="0"/>
        <v>1.1334506376404731E-2</v>
      </c>
      <c r="G11" s="105">
        <v>25942431</v>
      </c>
      <c r="H11" s="77">
        <v>13787138</v>
      </c>
    </row>
    <row r="12" spans="1:8" x14ac:dyDescent="0.45">
      <c r="A12" s="49" t="s">
        <v>24</v>
      </c>
      <c r="B12" s="54">
        <v>20811882</v>
      </c>
      <c r="C12" s="54">
        <v>5093969</v>
      </c>
      <c r="D12" s="54">
        <v>19274254</v>
      </c>
      <c r="E12" s="71">
        <v>129.56</v>
      </c>
      <c r="F12" s="55">
        <f t="shared" si="0"/>
        <v>2.9375028857191531E-2</v>
      </c>
      <c r="G12" s="105">
        <v>51363475</v>
      </c>
      <c r="H12" s="77">
        <v>38818058</v>
      </c>
    </row>
    <row r="13" spans="1:8" x14ac:dyDescent="0.45">
      <c r="A13" s="49" t="s">
        <v>25</v>
      </c>
      <c r="B13" s="54">
        <v>8979604</v>
      </c>
      <c r="C13" s="54">
        <v>7311312</v>
      </c>
      <c r="D13" s="54">
        <v>3297402</v>
      </c>
      <c r="E13" s="71">
        <v>41.86</v>
      </c>
      <c r="F13" s="55">
        <f t="shared" si="0"/>
        <v>1.2674304352972619E-2</v>
      </c>
      <c r="G13" s="105">
        <v>30350458</v>
      </c>
      <c r="H13" s="77">
        <v>26165419</v>
      </c>
    </row>
    <row r="14" spans="1:8" x14ac:dyDescent="0.45">
      <c r="A14" s="49" t="s">
        <v>26</v>
      </c>
      <c r="B14" s="54">
        <v>4563663</v>
      </c>
      <c r="C14" s="54">
        <v>616472</v>
      </c>
      <c r="D14" s="54">
        <v>2690268</v>
      </c>
      <c r="E14" s="71">
        <v>88.09</v>
      </c>
      <c r="F14" s="55">
        <f t="shared" si="0"/>
        <v>6.4414036327659976E-3</v>
      </c>
      <c r="G14" s="105">
        <v>16807507</v>
      </c>
      <c r="H14" s="77">
        <v>9604036</v>
      </c>
    </row>
    <row r="15" spans="1:8" x14ac:dyDescent="0.45">
      <c r="A15" s="49" t="s">
        <v>27</v>
      </c>
      <c r="B15" s="54">
        <v>181272376</v>
      </c>
      <c r="C15" s="54">
        <v>117568557</v>
      </c>
      <c r="D15" s="54">
        <v>39978921</v>
      </c>
      <c r="E15" s="71">
        <v>26.89</v>
      </c>
      <c r="F15" s="55">
        <f t="shared" si="0"/>
        <v>0.25585774876158118</v>
      </c>
      <c r="G15" s="105">
        <v>406194086</v>
      </c>
      <c r="H15" s="77">
        <v>335642318</v>
      </c>
    </row>
    <row r="16" spans="1:8" x14ac:dyDescent="0.45">
      <c r="A16" s="49" t="s">
        <v>28</v>
      </c>
      <c r="B16" s="54">
        <v>82508556</v>
      </c>
      <c r="C16" s="54">
        <v>54723092</v>
      </c>
      <c r="D16" s="54">
        <v>26856611</v>
      </c>
      <c r="E16" s="71">
        <v>44.84</v>
      </c>
      <c r="F16" s="55">
        <f t="shared" si="0"/>
        <v>0.1164570899193645</v>
      </c>
      <c r="G16" s="105">
        <v>229449172</v>
      </c>
      <c r="H16" s="77">
        <v>216754257</v>
      </c>
    </row>
    <row r="17" spans="1:8" x14ac:dyDescent="0.45">
      <c r="A17" s="49" t="s">
        <v>29</v>
      </c>
      <c r="B17" s="54">
        <v>5000485</v>
      </c>
      <c r="C17" s="54">
        <v>3887356</v>
      </c>
      <c r="D17" s="54">
        <v>4175378</v>
      </c>
      <c r="E17" s="71">
        <v>95.8</v>
      </c>
      <c r="F17" s="55">
        <f t="shared" si="0"/>
        <v>7.0579581017686625E-3</v>
      </c>
      <c r="G17" s="105">
        <v>8024622</v>
      </c>
      <c r="H17" s="77">
        <v>4814709</v>
      </c>
    </row>
    <row r="18" spans="1:8" x14ac:dyDescent="0.45">
      <c r="A18" s="49" t="s">
        <v>30</v>
      </c>
      <c r="B18" s="54">
        <v>18870022</v>
      </c>
      <c r="C18" s="54">
        <v>6895581</v>
      </c>
      <c r="D18" s="54">
        <v>10784153</v>
      </c>
      <c r="E18" s="71">
        <v>73.069999999999993</v>
      </c>
      <c r="F18" s="55">
        <f t="shared" si="0"/>
        <v>2.6634181415493275E-2</v>
      </c>
      <c r="G18" s="105">
        <v>41491194</v>
      </c>
      <c r="H18" s="77">
        <v>25670921</v>
      </c>
    </row>
    <row r="19" spans="1:8" x14ac:dyDescent="0.45">
      <c r="A19" s="49" t="s">
        <v>31</v>
      </c>
      <c r="B19" s="54">
        <v>18044620</v>
      </c>
      <c r="C19" s="54">
        <v>10581485</v>
      </c>
      <c r="D19" s="54">
        <v>7942039</v>
      </c>
      <c r="E19" s="71">
        <v>59.73</v>
      </c>
      <c r="F19" s="55">
        <f t="shared" si="0"/>
        <v>2.5469163875571438E-2</v>
      </c>
      <c r="G19" s="105">
        <v>10280920</v>
      </c>
      <c r="H19" s="77">
        <v>3342715</v>
      </c>
    </row>
    <row r="20" spans="1:8" ht="18.399999999999999" x14ac:dyDescent="0.85">
      <c r="A20" s="50" t="s">
        <v>32</v>
      </c>
      <c r="B20" s="128">
        <v>708488904</v>
      </c>
      <c r="C20" s="63">
        <v>393668105</v>
      </c>
      <c r="D20" s="63">
        <v>222730970</v>
      </c>
      <c r="E20" s="86"/>
      <c r="F20" s="55"/>
      <c r="G20" s="142">
        <v>1721062100</v>
      </c>
      <c r="H20" s="84">
        <v>1433232677</v>
      </c>
    </row>
    <row r="22" spans="1:8" x14ac:dyDescent="0.45">
      <c r="G22" s="24"/>
    </row>
    <row r="23" spans="1:8" x14ac:dyDescent="0.45">
      <c r="G23" s="2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7030A0"/>
  </sheetPr>
  <dimension ref="A1:H23"/>
  <sheetViews>
    <sheetView zoomScale="70" zoomScaleNormal="70" workbookViewId="0">
      <selection activeCell="B2" sqref="B2:B21"/>
    </sheetView>
  </sheetViews>
  <sheetFormatPr defaultColWidth="9.265625" defaultRowHeight="15.4" x14ac:dyDescent="0.45"/>
  <cols>
    <col min="1" max="1" width="47.3984375" style="2" customWidth="1"/>
    <col min="2" max="2" width="18.265625" style="2" bestFit="1" customWidth="1"/>
    <col min="3" max="3" width="33" style="2" bestFit="1" customWidth="1"/>
    <col min="4" max="4" width="23.3984375" style="2" bestFit="1" customWidth="1"/>
    <col min="5" max="5" width="15.265625" style="2" bestFit="1" customWidth="1"/>
    <col min="6" max="6" width="17.73046875" style="2" bestFit="1" customWidth="1"/>
    <col min="7" max="7" width="14.73046875" style="28" bestFit="1" customWidth="1"/>
    <col min="8" max="8" width="20.265625" style="2" bestFit="1" customWidth="1"/>
    <col min="9" max="16384" width="9.265625" style="2"/>
  </cols>
  <sheetData>
    <row r="1" spans="1:8" s="48" customFormat="1" ht="26.45" customHeight="1" x14ac:dyDescent="0.4">
      <c r="A1" s="89" t="s">
        <v>51</v>
      </c>
      <c r="B1" s="89" t="s">
        <v>52</v>
      </c>
      <c r="C1" s="89" t="s">
        <v>45</v>
      </c>
      <c r="D1" s="89" t="s">
        <v>10</v>
      </c>
      <c r="E1" s="89" t="s">
        <v>11</v>
      </c>
      <c r="F1" s="89" t="s">
        <v>12</v>
      </c>
      <c r="G1" s="151" t="s">
        <v>13</v>
      </c>
      <c r="H1" s="48" t="s">
        <v>14</v>
      </c>
    </row>
    <row r="2" spans="1:8" x14ac:dyDescent="0.45">
      <c r="A2" s="57" t="s">
        <v>15</v>
      </c>
      <c r="B2" s="53">
        <v>103944</v>
      </c>
      <c r="C2" s="53">
        <v>113829</v>
      </c>
      <c r="D2" s="53">
        <v>110042</v>
      </c>
      <c r="E2" s="90">
        <v>117.73</v>
      </c>
      <c r="F2" s="91">
        <f>B2/$B$22</f>
        <v>5.5857792586061353E-4</v>
      </c>
      <c r="G2" s="140">
        <v>1181228</v>
      </c>
      <c r="H2" s="90">
        <v>928310</v>
      </c>
    </row>
    <row r="3" spans="1:8" x14ac:dyDescent="0.45">
      <c r="A3" s="57" t="s">
        <v>16</v>
      </c>
      <c r="B3" s="53">
        <v>1711978</v>
      </c>
      <c r="C3" s="53">
        <v>2103460</v>
      </c>
      <c r="D3" s="53">
        <v>971387</v>
      </c>
      <c r="E3" s="90">
        <v>58.57</v>
      </c>
      <c r="F3" s="91">
        <f t="shared" ref="F3:F21" si="0">B3/$B$22</f>
        <v>9.199887635255536E-3</v>
      </c>
      <c r="G3" s="140">
        <v>35600010</v>
      </c>
      <c r="H3" s="90">
        <v>33623407</v>
      </c>
    </row>
    <row r="4" spans="1:8" x14ac:dyDescent="0.45">
      <c r="A4" s="57" t="s">
        <v>17</v>
      </c>
      <c r="B4" s="53">
        <v>48089750</v>
      </c>
      <c r="C4" s="53">
        <v>19573512</v>
      </c>
      <c r="D4" s="53">
        <v>10757434</v>
      </c>
      <c r="E4" s="90">
        <v>43.52</v>
      </c>
      <c r="F4" s="91">
        <f t="shared" si="0"/>
        <v>0.25842639123138844</v>
      </c>
      <c r="G4" s="140">
        <v>401230296</v>
      </c>
      <c r="H4" s="90">
        <v>355396079</v>
      </c>
    </row>
    <row r="5" spans="1:8" x14ac:dyDescent="0.45">
      <c r="A5" s="57" t="s">
        <v>40</v>
      </c>
      <c r="B5" s="53">
        <v>0</v>
      </c>
      <c r="C5" s="53"/>
      <c r="D5" s="53"/>
      <c r="E5" s="90"/>
      <c r="F5" s="91">
        <f t="shared" si="0"/>
        <v>0</v>
      </c>
      <c r="G5" s="141"/>
      <c r="H5" s="90"/>
    </row>
    <row r="6" spans="1:8" x14ac:dyDescent="0.45">
      <c r="A6" s="57" t="s">
        <v>53</v>
      </c>
      <c r="B6" s="53">
        <v>0</v>
      </c>
      <c r="C6" s="53"/>
      <c r="D6" s="53"/>
      <c r="E6" s="90"/>
      <c r="F6" s="91">
        <f t="shared" si="0"/>
        <v>0</v>
      </c>
      <c r="G6" s="141"/>
      <c r="H6" s="90"/>
    </row>
    <row r="7" spans="1:8" x14ac:dyDescent="0.45">
      <c r="A7" s="57" t="s">
        <v>18</v>
      </c>
      <c r="B7" s="53">
        <v>4462607</v>
      </c>
      <c r="C7" s="53">
        <v>2329518</v>
      </c>
      <c r="D7" s="53">
        <v>1875493</v>
      </c>
      <c r="E7" s="90">
        <v>49.95</v>
      </c>
      <c r="F7" s="91">
        <f t="shared" si="0"/>
        <v>2.3981314573145684E-2</v>
      </c>
      <c r="G7" s="140">
        <v>36435345</v>
      </c>
      <c r="H7" s="90">
        <v>22464955</v>
      </c>
    </row>
    <row r="8" spans="1:8" x14ac:dyDescent="0.45">
      <c r="A8" s="57" t="s">
        <v>19</v>
      </c>
      <c r="B8" s="53">
        <v>1409937</v>
      </c>
      <c r="C8" s="53">
        <v>635600</v>
      </c>
      <c r="D8" s="53">
        <v>482259</v>
      </c>
      <c r="E8" s="90">
        <v>71.03</v>
      </c>
      <c r="F8" s="91">
        <f t="shared" si="0"/>
        <v>7.5767690781010531E-3</v>
      </c>
      <c r="G8" s="140">
        <v>6768495</v>
      </c>
      <c r="H8" s="90">
        <v>5542301</v>
      </c>
    </row>
    <row r="9" spans="1:8" x14ac:dyDescent="0.45">
      <c r="A9" s="57" t="s">
        <v>20</v>
      </c>
      <c r="B9" s="53">
        <v>14949866</v>
      </c>
      <c r="C9" s="53">
        <v>11404413</v>
      </c>
      <c r="D9" s="53">
        <v>4241611</v>
      </c>
      <c r="E9" s="90">
        <v>34.89</v>
      </c>
      <c r="F9" s="91">
        <f t="shared" si="0"/>
        <v>8.033811612189358E-2</v>
      </c>
      <c r="G9" s="140">
        <v>168190153</v>
      </c>
      <c r="H9" s="90">
        <v>148488620</v>
      </c>
    </row>
    <row r="10" spans="1:8" x14ac:dyDescent="0.45">
      <c r="A10" s="57" t="s">
        <v>47</v>
      </c>
      <c r="B10" s="53">
        <v>956390</v>
      </c>
      <c r="C10" s="53">
        <v>16851</v>
      </c>
      <c r="D10" s="53">
        <v>759361</v>
      </c>
      <c r="E10" s="90">
        <v>88.24</v>
      </c>
      <c r="F10" s="91">
        <f t="shared" si="0"/>
        <v>5.1394822453805144E-3</v>
      </c>
      <c r="G10" s="140">
        <v>24411587</v>
      </c>
      <c r="H10" s="90">
        <v>22833811</v>
      </c>
    </row>
    <row r="11" spans="1:8" x14ac:dyDescent="0.45">
      <c r="A11" s="57" t="s">
        <v>21</v>
      </c>
      <c r="B11" s="53">
        <v>7225429</v>
      </c>
      <c r="C11" s="53">
        <v>3937729</v>
      </c>
      <c r="D11" s="53">
        <v>2632168</v>
      </c>
      <c r="E11" s="90">
        <v>55.17</v>
      </c>
      <c r="F11" s="91">
        <f t="shared" si="0"/>
        <v>3.8828264683609705E-2</v>
      </c>
      <c r="G11" s="140">
        <v>113779143</v>
      </c>
      <c r="H11" s="90">
        <v>109275298</v>
      </c>
    </row>
    <row r="12" spans="1:8" x14ac:dyDescent="0.45">
      <c r="A12" s="57" t="s">
        <v>22</v>
      </c>
      <c r="B12" s="53">
        <v>7180100</v>
      </c>
      <c r="C12" s="53">
        <v>4116071</v>
      </c>
      <c r="D12" s="53">
        <v>4233294</v>
      </c>
      <c r="E12" s="90">
        <v>66.23</v>
      </c>
      <c r="F12" s="91">
        <f t="shared" si="0"/>
        <v>3.8584674107902249E-2</v>
      </c>
      <c r="G12" s="140">
        <v>140769270</v>
      </c>
      <c r="H12" s="90">
        <v>78287281</v>
      </c>
    </row>
    <row r="13" spans="1:8" x14ac:dyDescent="0.45">
      <c r="A13" s="57" t="s">
        <v>23</v>
      </c>
      <c r="B13" s="53">
        <v>2594256</v>
      </c>
      <c r="C13" s="53">
        <v>939218</v>
      </c>
      <c r="D13" s="53">
        <v>1361435</v>
      </c>
      <c r="E13" s="90">
        <v>61.76</v>
      </c>
      <c r="F13" s="91">
        <f t="shared" si="0"/>
        <v>1.3941104206413568E-2</v>
      </c>
      <c r="G13" s="140">
        <v>27693981</v>
      </c>
      <c r="H13" s="90">
        <v>22213992</v>
      </c>
    </row>
    <row r="14" spans="1:8" x14ac:dyDescent="0.45">
      <c r="A14" s="57" t="s">
        <v>24</v>
      </c>
      <c r="B14" s="53">
        <v>7028413</v>
      </c>
      <c r="C14" s="53">
        <v>1570155</v>
      </c>
      <c r="D14" s="53">
        <v>3912073</v>
      </c>
      <c r="E14" s="90">
        <v>88.57</v>
      </c>
      <c r="F14" s="91">
        <f t="shared" si="0"/>
        <v>3.7769533168165281E-2</v>
      </c>
      <c r="G14" s="140">
        <v>53941272</v>
      </c>
      <c r="H14" s="90">
        <v>36654299</v>
      </c>
    </row>
    <row r="15" spans="1:8" x14ac:dyDescent="0.45">
      <c r="A15" s="57" t="s">
        <v>25</v>
      </c>
      <c r="B15" s="53">
        <v>2306986</v>
      </c>
      <c r="C15" s="53">
        <v>1660789</v>
      </c>
      <c r="D15" s="53">
        <v>874287</v>
      </c>
      <c r="E15" s="90">
        <v>43.65</v>
      </c>
      <c r="F15" s="91">
        <f t="shared" si="0"/>
        <v>1.2397362568974384E-2</v>
      </c>
      <c r="G15" s="140">
        <v>31948695</v>
      </c>
      <c r="H15" s="90">
        <v>27505545</v>
      </c>
    </row>
    <row r="16" spans="1:8" x14ac:dyDescent="0.45">
      <c r="A16" s="57" t="s">
        <v>26</v>
      </c>
      <c r="B16" s="53">
        <v>1232845</v>
      </c>
      <c r="C16" s="53">
        <v>198931</v>
      </c>
      <c r="D16" s="53">
        <v>721278</v>
      </c>
      <c r="E16" s="90">
        <v>78.069999999999993</v>
      </c>
      <c r="F16" s="91">
        <f t="shared" si="0"/>
        <v>6.6251058551491963E-3</v>
      </c>
      <c r="G16" s="140">
        <v>17008778</v>
      </c>
      <c r="H16" s="90">
        <v>9744036</v>
      </c>
    </row>
    <row r="17" spans="1:8" x14ac:dyDescent="0.45">
      <c r="A17" s="57" t="s">
        <v>27</v>
      </c>
      <c r="B17" s="53">
        <v>51808163</v>
      </c>
      <c r="C17" s="53">
        <v>33727798</v>
      </c>
      <c r="D17" s="53">
        <v>9517479</v>
      </c>
      <c r="E17" s="90">
        <v>22.17</v>
      </c>
      <c r="F17" s="91">
        <f t="shared" si="0"/>
        <v>0.27840852989290948</v>
      </c>
      <c r="G17" s="140">
        <v>432551647</v>
      </c>
      <c r="H17" s="90">
        <v>356240703</v>
      </c>
    </row>
    <row r="18" spans="1:8" x14ac:dyDescent="0.45">
      <c r="A18" s="57" t="s">
        <v>28</v>
      </c>
      <c r="B18" s="53">
        <v>23025985</v>
      </c>
      <c r="C18" s="53">
        <v>10910908</v>
      </c>
      <c r="D18" s="53">
        <v>7490509</v>
      </c>
      <c r="E18" s="90">
        <v>45.72</v>
      </c>
      <c r="F18" s="91">
        <f t="shared" si="0"/>
        <v>0.12373784867041483</v>
      </c>
      <c r="G18" s="140">
        <v>238644732</v>
      </c>
      <c r="H18" s="90">
        <v>219625105</v>
      </c>
    </row>
    <row r="19" spans="1:8" x14ac:dyDescent="0.45">
      <c r="A19" s="57" t="s">
        <v>29</v>
      </c>
      <c r="B19" s="53">
        <v>0</v>
      </c>
      <c r="C19" s="53"/>
      <c r="D19" s="53"/>
      <c r="E19" s="90"/>
      <c r="F19" s="91">
        <f t="shared" si="0"/>
        <v>0</v>
      </c>
      <c r="G19" s="141"/>
      <c r="H19" s="90"/>
    </row>
    <row r="20" spans="1:8" x14ac:dyDescent="0.45">
      <c r="A20" s="57" t="s">
        <v>30</v>
      </c>
      <c r="B20" s="53">
        <v>4806258</v>
      </c>
      <c r="C20" s="53">
        <v>2275343</v>
      </c>
      <c r="D20" s="53">
        <v>2843003</v>
      </c>
      <c r="E20" s="90">
        <v>75.75</v>
      </c>
      <c r="F20" s="91">
        <f t="shared" si="0"/>
        <v>2.582803841290484E-2</v>
      </c>
      <c r="G20" s="140">
        <v>43185134</v>
      </c>
      <c r="H20" s="90">
        <v>26708524</v>
      </c>
    </row>
    <row r="21" spans="1:8" x14ac:dyDescent="0.45">
      <c r="A21" s="57" t="s">
        <v>31</v>
      </c>
      <c r="B21" s="53">
        <v>7193930</v>
      </c>
      <c r="C21" s="53">
        <v>2695620</v>
      </c>
      <c r="D21" s="53">
        <v>1843923</v>
      </c>
      <c r="E21" s="90">
        <v>40.14</v>
      </c>
      <c r="F21" s="91">
        <f t="shared" si="0"/>
        <v>3.8658994248695872E-2</v>
      </c>
      <c r="G21" s="140">
        <v>22677899</v>
      </c>
      <c r="H21" s="90">
        <v>16210225</v>
      </c>
    </row>
    <row r="22" spans="1:8" s="45" customFormat="1" ht="18.399999999999999" x14ac:dyDescent="0.85">
      <c r="A22" s="58" t="s">
        <v>32</v>
      </c>
      <c r="B22" s="62">
        <v>186086838</v>
      </c>
      <c r="C22" s="63">
        <v>98209744</v>
      </c>
      <c r="D22" s="63">
        <v>54627035</v>
      </c>
      <c r="E22" s="94"/>
      <c r="F22" s="95"/>
      <c r="G22" s="152">
        <v>1796017665</v>
      </c>
      <c r="H22" s="150">
        <v>1491742491</v>
      </c>
    </row>
    <row r="23" spans="1:8" x14ac:dyDescent="0.45">
      <c r="A23" s="10"/>
      <c r="C23" s="8"/>
      <c r="D23" s="10"/>
      <c r="E23" s="10"/>
      <c r="F23" s="10"/>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7030A0"/>
  </sheetPr>
  <dimension ref="A1:H26"/>
  <sheetViews>
    <sheetView zoomScale="70" zoomScaleNormal="70" workbookViewId="0">
      <selection activeCell="B2" sqref="B2:B21"/>
    </sheetView>
  </sheetViews>
  <sheetFormatPr defaultColWidth="9.265625" defaultRowHeight="15.4" x14ac:dyDescent="0.45"/>
  <cols>
    <col min="1" max="1" width="47.3984375" style="2" customWidth="1"/>
    <col min="2" max="2" width="18.265625" style="2" bestFit="1" customWidth="1"/>
    <col min="3" max="3" width="29.73046875" style="2" bestFit="1" customWidth="1"/>
    <col min="4" max="4" width="23.3984375" style="2" bestFit="1" customWidth="1"/>
    <col min="5" max="5" width="15" style="2" bestFit="1" customWidth="1"/>
    <col min="6" max="6" width="16.265625" style="2" bestFit="1" customWidth="1"/>
    <col min="7" max="7" width="14.265625" style="2" bestFit="1" customWidth="1"/>
    <col min="8" max="8" width="20.265625" style="2" bestFit="1" customWidth="1"/>
    <col min="9" max="16384" width="9.265625" style="2"/>
  </cols>
  <sheetData>
    <row r="1" spans="1:8" s="48" customFormat="1" ht="26.45" customHeight="1" x14ac:dyDescent="0.4">
      <c r="A1" s="46" t="s">
        <v>54</v>
      </c>
      <c r="B1" s="46" t="s">
        <v>52</v>
      </c>
      <c r="C1" s="46" t="s">
        <v>45</v>
      </c>
      <c r="D1" s="46" t="s">
        <v>10</v>
      </c>
      <c r="E1" s="46" t="s">
        <v>11</v>
      </c>
      <c r="F1" s="46" t="s">
        <v>12</v>
      </c>
      <c r="G1" s="48" t="s">
        <v>13</v>
      </c>
      <c r="H1" s="48" t="s">
        <v>14</v>
      </c>
    </row>
    <row r="2" spans="1:8" x14ac:dyDescent="0.45">
      <c r="A2" s="49" t="s">
        <v>15</v>
      </c>
      <c r="B2" s="53">
        <v>0</v>
      </c>
      <c r="C2" s="53"/>
      <c r="D2" s="53"/>
      <c r="E2" s="96">
        <v>117.73</v>
      </c>
      <c r="F2" s="91">
        <f>B2/$B$22</f>
        <v>0</v>
      </c>
      <c r="G2" s="103"/>
      <c r="H2" s="90"/>
    </row>
    <row r="3" spans="1:8" x14ac:dyDescent="0.45">
      <c r="A3" s="49" t="s">
        <v>16</v>
      </c>
      <c r="B3" s="53">
        <v>3623858</v>
      </c>
      <c r="C3" s="53">
        <v>3289885</v>
      </c>
      <c r="D3" s="53">
        <v>1976183</v>
      </c>
      <c r="E3" s="96">
        <v>58.57</v>
      </c>
      <c r="F3" s="91">
        <f t="shared" ref="F3:F21" si="0">B3/$B$22</f>
        <v>1.0736717287749166E-2</v>
      </c>
      <c r="G3" s="105">
        <v>36421709</v>
      </c>
      <c r="H3" s="90">
        <v>34527148</v>
      </c>
    </row>
    <row r="4" spans="1:8" x14ac:dyDescent="0.45">
      <c r="A4" s="49" t="s">
        <v>17</v>
      </c>
      <c r="B4" s="53">
        <v>108080639</v>
      </c>
      <c r="C4" s="53">
        <v>40121180</v>
      </c>
      <c r="D4" s="53">
        <v>20892572</v>
      </c>
      <c r="E4" s="96">
        <v>43.52</v>
      </c>
      <c r="F4" s="91">
        <f t="shared" si="0"/>
        <v>0.32021985001130748</v>
      </c>
      <c r="G4" s="105">
        <v>420552777</v>
      </c>
      <c r="H4" s="90">
        <v>364873945</v>
      </c>
    </row>
    <row r="5" spans="1:8" x14ac:dyDescent="0.45">
      <c r="A5" s="49" t="s">
        <v>40</v>
      </c>
      <c r="B5" s="53">
        <v>5503722</v>
      </c>
      <c r="C5" s="53">
        <v>219960</v>
      </c>
      <c r="D5" s="53">
        <v>2967839</v>
      </c>
      <c r="E5" s="96"/>
      <c r="F5" s="91">
        <f t="shared" si="0"/>
        <v>1.630635282739153E-2</v>
      </c>
      <c r="G5" s="105">
        <v>28795559</v>
      </c>
      <c r="H5" s="90">
        <v>25194861</v>
      </c>
    </row>
    <row r="6" spans="1:8" x14ac:dyDescent="0.45">
      <c r="A6" s="49" t="s">
        <v>53</v>
      </c>
      <c r="B6" s="53">
        <v>0</v>
      </c>
      <c r="C6" s="53"/>
      <c r="D6" s="53"/>
      <c r="E6" s="96"/>
      <c r="F6" s="91">
        <f t="shared" si="0"/>
        <v>0</v>
      </c>
      <c r="G6" s="103"/>
      <c r="H6" s="90"/>
    </row>
    <row r="7" spans="1:8" x14ac:dyDescent="0.45">
      <c r="A7" s="49" t="s">
        <v>18</v>
      </c>
      <c r="B7" s="53">
        <v>8317924</v>
      </c>
      <c r="C7" s="53">
        <v>4845036</v>
      </c>
      <c r="D7" s="53">
        <v>3682943</v>
      </c>
      <c r="E7" s="96">
        <v>49.95</v>
      </c>
      <c r="F7" s="91">
        <f t="shared" si="0"/>
        <v>2.4644232309594827E-2</v>
      </c>
      <c r="G7" s="105">
        <v>37327101</v>
      </c>
      <c r="H7" s="90">
        <v>22582634</v>
      </c>
    </row>
    <row r="8" spans="1:8" x14ac:dyDescent="0.45">
      <c r="A8" s="49" t="s">
        <v>19</v>
      </c>
      <c r="B8" s="53">
        <v>5768662</v>
      </c>
      <c r="C8" s="53">
        <v>1248178</v>
      </c>
      <c r="D8" s="53">
        <v>1090711</v>
      </c>
      <c r="E8" s="96">
        <v>71.03</v>
      </c>
      <c r="F8" s="91">
        <f t="shared" si="0"/>
        <v>1.7091313462774115E-2</v>
      </c>
      <c r="G8" s="105">
        <v>9438283</v>
      </c>
      <c r="H8" s="90">
        <v>4852657</v>
      </c>
    </row>
    <row r="9" spans="1:8" x14ac:dyDescent="0.45">
      <c r="A9" s="49" t="s">
        <v>20</v>
      </c>
      <c r="B9" s="53">
        <v>35262343</v>
      </c>
      <c r="C9" s="53">
        <v>23123777</v>
      </c>
      <c r="D9" s="53">
        <v>9043161</v>
      </c>
      <c r="E9" s="96">
        <v>34.89</v>
      </c>
      <c r="F9" s="91">
        <f t="shared" si="0"/>
        <v>0.10447479114651864</v>
      </c>
      <c r="G9" s="105">
        <v>169446485</v>
      </c>
      <c r="H9" s="90">
        <v>149273344</v>
      </c>
    </row>
    <row r="10" spans="1:8" x14ac:dyDescent="0.45">
      <c r="A10" s="49" t="s">
        <v>47</v>
      </c>
      <c r="B10" s="53">
        <v>2133867</v>
      </c>
      <c r="C10" s="53">
        <v>63591</v>
      </c>
      <c r="D10" s="53">
        <v>1918717</v>
      </c>
      <c r="E10" s="96">
        <v>88.24</v>
      </c>
      <c r="F10" s="91">
        <f t="shared" si="0"/>
        <v>6.3221921798970737E-3</v>
      </c>
      <c r="G10" s="105">
        <v>25281323</v>
      </c>
      <c r="H10" s="90">
        <v>23880435</v>
      </c>
    </row>
    <row r="11" spans="1:8" x14ac:dyDescent="0.45">
      <c r="A11" s="49" t="s">
        <v>21</v>
      </c>
      <c r="B11" s="53">
        <v>14491342</v>
      </c>
      <c r="C11" s="53">
        <v>9587359</v>
      </c>
      <c r="D11" s="53">
        <v>5207918</v>
      </c>
      <c r="E11" s="96">
        <v>55.17</v>
      </c>
      <c r="F11" s="91">
        <f t="shared" si="0"/>
        <v>4.2934751354519289E-2</v>
      </c>
      <c r="G11" s="105">
        <v>118181446</v>
      </c>
      <c r="H11" s="90">
        <v>113181402</v>
      </c>
    </row>
    <row r="12" spans="1:8" x14ac:dyDescent="0.45">
      <c r="A12" s="49" t="s">
        <v>22</v>
      </c>
      <c r="B12" s="53">
        <v>0</v>
      </c>
      <c r="C12" s="53"/>
      <c r="D12" s="53"/>
      <c r="E12" s="96">
        <v>66.23</v>
      </c>
      <c r="F12" s="91">
        <f t="shared" si="0"/>
        <v>0</v>
      </c>
      <c r="G12" s="103"/>
      <c r="H12" s="90"/>
    </row>
    <row r="13" spans="1:8" x14ac:dyDescent="0.45">
      <c r="A13" s="49" t="s">
        <v>23</v>
      </c>
      <c r="B13" s="53">
        <v>5193095</v>
      </c>
      <c r="C13" s="53">
        <v>2490863</v>
      </c>
      <c r="D13" s="53">
        <v>2429463</v>
      </c>
      <c r="E13" s="96">
        <v>61.76</v>
      </c>
      <c r="F13" s="91">
        <f t="shared" si="0"/>
        <v>1.5386031368619784E-2</v>
      </c>
      <c r="G13" s="105">
        <v>28129773</v>
      </c>
      <c r="H13" s="90">
        <v>22368874</v>
      </c>
    </row>
    <row r="14" spans="1:8" x14ac:dyDescent="0.45">
      <c r="A14" s="49" t="s">
        <v>24</v>
      </c>
      <c r="B14" s="53">
        <v>15157282</v>
      </c>
      <c r="C14" s="53">
        <v>3667455</v>
      </c>
      <c r="D14" s="53">
        <v>8633104</v>
      </c>
      <c r="E14" s="96">
        <v>88.57</v>
      </c>
      <c r="F14" s="91">
        <f t="shared" si="0"/>
        <v>4.4907789346240734E-2</v>
      </c>
      <c r="G14" s="105">
        <v>52383853</v>
      </c>
      <c r="H14" s="90">
        <v>41286999</v>
      </c>
    </row>
    <row r="15" spans="1:8" x14ac:dyDescent="0.45">
      <c r="A15" s="49" t="s">
        <v>25</v>
      </c>
      <c r="B15" s="53">
        <v>4679970</v>
      </c>
      <c r="C15" s="53">
        <v>3627809</v>
      </c>
      <c r="D15" s="53">
        <v>1780277</v>
      </c>
      <c r="E15" s="96">
        <v>43.65</v>
      </c>
      <c r="F15" s="91">
        <f t="shared" si="0"/>
        <v>1.3865751584401889E-2</v>
      </c>
      <c r="G15" s="105">
        <v>33194816</v>
      </c>
      <c r="H15" s="90">
        <v>28804006</v>
      </c>
    </row>
    <row r="16" spans="1:8" x14ac:dyDescent="0.45">
      <c r="A16" s="49" t="s">
        <v>26</v>
      </c>
      <c r="B16" s="53">
        <v>2629175</v>
      </c>
      <c r="C16" s="53">
        <v>520875</v>
      </c>
      <c r="D16" s="53">
        <v>1578355</v>
      </c>
      <c r="E16" s="96">
        <v>78.069999999999993</v>
      </c>
      <c r="F16" s="91">
        <f t="shared" si="0"/>
        <v>7.7896839983845707E-3</v>
      </c>
      <c r="G16" s="105">
        <v>17011250</v>
      </c>
      <c r="H16" s="90">
        <v>9930260</v>
      </c>
    </row>
    <row r="17" spans="1:8" x14ac:dyDescent="0.45">
      <c r="A17" s="49" t="s">
        <v>27</v>
      </c>
      <c r="B17" s="53">
        <v>105373859</v>
      </c>
      <c r="C17" s="53">
        <v>68867158</v>
      </c>
      <c r="D17" s="53">
        <v>20830815</v>
      </c>
      <c r="E17" s="96">
        <v>22.17</v>
      </c>
      <c r="F17" s="91">
        <f t="shared" si="0"/>
        <v>0.31220023897242744</v>
      </c>
      <c r="G17" s="105">
        <v>457102432</v>
      </c>
      <c r="H17" s="90">
        <v>380230895</v>
      </c>
    </row>
    <row r="18" spans="1:8" x14ac:dyDescent="0.45">
      <c r="A18" s="49" t="s">
        <v>28</v>
      </c>
      <c r="B18" s="53">
        <v>0</v>
      </c>
      <c r="C18" s="53"/>
      <c r="D18" s="53"/>
      <c r="E18" s="96">
        <v>45.72</v>
      </c>
      <c r="F18" s="91">
        <f t="shared" si="0"/>
        <v>0</v>
      </c>
      <c r="G18" s="103"/>
      <c r="H18" s="90"/>
    </row>
    <row r="19" spans="1:8" x14ac:dyDescent="0.45">
      <c r="A19" s="49" t="s">
        <v>29</v>
      </c>
      <c r="B19" s="53">
        <v>0</v>
      </c>
      <c r="C19" s="53"/>
      <c r="D19" s="53"/>
      <c r="E19" s="96"/>
      <c r="F19" s="91">
        <f t="shared" si="0"/>
        <v>0</v>
      </c>
      <c r="G19" s="103"/>
      <c r="H19" s="90"/>
    </row>
    <row r="20" spans="1:8" x14ac:dyDescent="0.45">
      <c r="A20" s="49" t="s">
        <v>30</v>
      </c>
      <c r="B20" s="53">
        <v>9415498</v>
      </c>
      <c r="C20" s="53">
        <v>4421768</v>
      </c>
      <c r="D20" s="53">
        <v>8928480</v>
      </c>
      <c r="E20" s="96">
        <v>75.75</v>
      </c>
      <c r="F20" s="91">
        <f t="shared" si="0"/>
        <v>2.7896109656991994E-2</v>
      </c>
      <c r="G20" s="105">
        <v>65567406</v>
      </c>
      <c r="H20" s="90">
        <v>26466447</v>
      </c>
    </row>
    <row r="21" spans="1:8" x14ac:dyDescent="0.45">
      <c r="A21" s="49" t="s">
        <v>31</v>
      </c>
      <c r="B21" s="53">
        <v>11888873</v>
      </c>
      <c r="C21" s="53">
        <v>5609110</v>
      </c>
      <c r="D21" s="53">
        <v>3719677</v>
      </c>
      <c r="E21" s="96">
        <v>40.14</v>
      </c>
      <c r="F21" s="91">
        <f t="shared" si="0"/>
        <v>3.5224191530395035E-2</v>
      </c>
      <c r="G21" s="105">
        <v>23082510</v>
      </c>
      <c r="H21" s="90">
        <v>15729999</v>
      </c>
    </row>
    <row r="22" spans="1:8" s="45" customFormat="1" ht="18.399999999999999" x14ac:dyDescent="0.85">
      <c r="A22" s="50" t="s">
        <v>32</v>
      </c>
      <c r="B22" s="62">
        <v>337520110</v>
      </c>
      <c r="C22" s="63">
        <v>171704004</v>
      </c>
      <c r="D22" s="63">
        <v>94680213</v>
      </c>
      <c r="E22" s="97"/>
      <c r="F22" s="95"/>
      <c r="G22" s="142">
        <v>1521916721</v>
      </c>
      <c r="H22" s="94">
        <v>1263183906</v>
      </c>
    </row>
    <row r="23" spans="1:8" x14ac:dyDescent="0.45">
      <c r="B23" s="6"/>
      <c r="C23" s="7"/>
    </row>
    <row r="24" spans="1:8" x14ac:dyDescent="0.45">
      <c r="B24" s="3"/>
    </row>
    <row r="25" spans="1:8" x14ac:dyDescent="0.45">
      <c r="B25" s="3"/>
    </row>
    <row r="26" spans="1:8" x14ac:dyDescent="0.45">
      <c r="B26" s="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7030A0"/>
  </sheetPr>
  <dimension ref="A1:H26"/>
  <sheetViews>
    <sheetView zoomScale="70" zoomScaleNormal="70" workbookViewId="0">
      <selection activeCell="C2" sqref="C2:D21"/>
    </sheetView>
  </sheetViews>
  <sheetFormatPr defaultColWidth="9.265625" defaultRowHeight="15.4" x14ac:dyDescent="0.45"/>
  <cols>
    <col min="1" max="1" width="47.3984375" style="2" customWidth="1"/>
    <col min="2" max="2" width="18.265625" style="2" bestFit="1" customWidth="1"/>
    <col min="3" max="3" width="29.73046875" style="2" bestFit="1" customWidth="1"/>
    <col min="4" max="4" width="23.3984375" style="2" bestFit="1" customWidth="1"/>
    <col min="5" max="5" width="15.265625" style="2" bestFit="1" customWidth="1"/>
    <col min="6" max="6" width="15" style="2" bestFit="1" customWidth="1"/>
    <col min="7" max="7" width="15.73046875" style="28" bestFit="1" customWidth="1"/>
    <col min="8" max="8" width="20.265625" style="2" bestFit="1" customWidth="1"/>
    <col min="9" max="16384" width="9.265625" style="2"/>
  </cols>
  <sheetData>
    <row r="1" spans="1:8" s="48" customFormat="1" ht="26.45" customHeight="1" x14ac:dyDescent="0.4">
      <c r="A1" s="89" t="s">
        <v>55</v>
      </c>
      <c r="B1" s="89" t="s">
        <v>56</v>
      </c>
      <c r="C1" s="89" t="s">
        <v>45</v>
      </c>
      <c r="D1" s="89" t="s">
        <v>10</v>
      </c>
      <c r="E1" s="89" t="s">
        <v>11</v>
      </c>
      <c r="F1" s="89" t="s">
        <v>12</v>
      </c>
      <c r="G1" s="99" t="s">
        <v>13</v>
      </c>
      <c r="H1" s="48" t="s">
        <v>14</v>
      </c>
    </row>
    <row r="2" spans="1:8" x14ac:dyDescent="0.45">
      <c r="A2" s="57" t="s">
        <v>15</v>
      </c>
      <c r="B2" s="53">
        <v>0</v>
      </c>
      <c r="C2" s="53"/>
      <c r="D2" s="53"/>
      <c r="E2" s="90"/>
      <c r="F2" s="90">
        <v>0</v>
      </c>
      <c r="G2" s="160"/>
      <c r="H2" s="90" t="s">
        <v>57</v>
      </c>
    </row>
    <row r="3" spans="1:8" x14ac:dyDescent="0.45">
      <c r="A3" s="57" t="s">
        <v>16</v>
      </c>
      <c r="B3" s="53">
        <v>5335081</v>
      </c>
      <c r="C3" s="53">
        <v>5242350</v>
      </c>
      <c r="D3" s="53">
        <v>3020747</v>
      </c>
      <c r="E3" s="90">
        <v>60.53</v>
      </c>
      <c r="F3" s="98">
        <f>B3/$B$22</f>
        <v>8.5163299368383964E-3</v>
      </c>
      <c r="G3" s="161">
        <v>36453367</v>
      </c>
      <c r="H3" s="90">
        <v>35154006</v>
      </c>
    </row>
    <row r="4" spans="1:8" x14ac:dyDescent="0.45">
      <c r="A4" s="57" t="s">
        <v>17</v>
      </c>
      <c r="B4" s="53">
        <v>170646475</v>
      </c>
      <c r="C4" s="53">
        <v>67119739</v>
      </c>
      <c r="D4" s="53">
        <v>31127995</v>
      </c>
      <c r="E4" s="90">
        <v>37.340000000000003</v>
      </c>
      <c r="F4" s="98">
        <f t="shared" ref="F4:F22" si="0">B4/$B$22</f>
        <v>0.27240105326581643</v>
      </c>
      <c r="G4" s="161">
        <v>451574587</v>
      </c>
      <c r="H4" s="90">
        <v>387182185</v>
      </c>
    </row>
    <row r="5" spans="1:8" x14ac:dyDescent="0.45">
      <c r="A5" s="57" t="s">
        <v>40</v>
      </c>
      <c r="B5" s="53">
        <v>8707168</v>
      </c>
      <c r="C5" s="53">
        <v>427046</v>
      </c>
      <c r="D5" s="53">
        <v>-7242370</v>
      </c>
      <c r="E5" s="90">
        <v>-56.69</v>
      </c>
      <c r="F5" s="98">
        <f t="shared" si="0"/>
        <v>1.389915457768707E-2</v>
      </c>
      <c r="G5" s="161">
        <v>56709496</v>
      </c>
      <c r="H5" s="90">
        <v>47496335</v>
      </c>
    </row>
    <row r="6" spans="1:8" x14ac:dyDescent="0.45">
      <c r="A6" s="57" t="s">
        <v>53</v>
      </c>
      <c r="B6" s="53">
        <v>0</v>
      </c>
      <c r="C6" s="53"/>
      <c r="D6" s="53"/>
      <c r="E6" s="90"/>
      <c r="F6" s="98">
        <f t="shared" si="0"/>
        <v>0</v>
      </c>
      <c r="G6" s="160"/>
      <c r="H6" s="90"/>
    </row>
    <row r="7" spans="1:8" x14ac:dyDescent="0.45">
      <c r="A7" s="57" t="s">
        <v>18</v>
      </c>
      <c r="B7" s="53">
        <v>13816215</v>
      </c>
      <c r="C7" s="53">
        <v>7070599</v>
      </c>
      <c r="D7" s="53">
        <v>5876344</v>
      </c>
      <c r="E7" s="90">
        <v>50.44</v>
      </c>
      <c r="F7" s="98">
        <f t="shared" si="0"/>
        <v>2.205466897659018E-2</v>
      </c>
      <c r="G7" s="161">
        <v>38323323</v>
      </c>
      <c r="H7" s="90">
        <v>21684668</v>
      </c>
    </row>
    <row r="8" spans="1:8" x14ac:dyDescent="0.45">
      <c r="A8" s="57" t="s">
        <v>19</v>
      </c>
      <c r="B8" s="53">
        <v>6564388</v>
      </c>
      <c r="C8" s="53">
        <v>1666947</v>
      </c>
      <c r="D8" s="53">
        <v>1917302</v>
      </c>
      <c r="E8" s="90">
        <v>64.02</v>
      </c>
      <c r="F8" s="98">
        <f t="shared" si="0"/>
        <v>1.04786589072261E-2</v>
      </c>
      <c r="G8" s="161">
        <v>18137509</v>
      </c>
      <c r="H8" s="90">
        <v>12668695</v>
      </c>
    </row>
    <row r="9" spans="1:8" x14ac:dyDescent="0.45">
      <c r="A9" s="57" t="s">
        <v>20</v>
      </c>
      <c r="B9" s="53">
        <v>58365679</v>
      </c>
      <c r="C9" s="53">
        <v>37099244</v>
      </c>
      <c r="D9" s="53">
        <v>13516589</v>
      </c>
      <c r="E9" s="90">
        <v>31.92</v>
      </c>
      <c r="F9" s="98">
        <f t="shared" si="0"/>
        <v>9.3168478482632253E-2</v>
      </c>
      <c r="G9" s="161">
        <v>179640454</v>
      </c>
      <c r="H9" s="90">
        <v>149077717</v>
      </c>
    </row>
    <row r="10" spans="1:8" x14ac:dyDescent="0.45">
      <c r="A10" s="57" t="s">
        <v>47</v>
      </c>
      <c r="B10" s="53">
        <v>4749530</v>
      </c>
      <c r="C10" s="53">
        <v>187678</v>
      </c>
      <c r="D10" s="53">
        <v>2992479</v>
      </c>
      <c r="E10" s="90">
        <v>85.92</v>
      </c>
      <c r="F10" s="98">
        <f t="shared" si="0"/>
        <v>7.5816214458434786E-3</v>
      </c>
      <c r="G10" s="161">
        <v>26319387</v>
      </c>
      <c r="H10" s="90">
        <v>24832626</v>
      </c>
    </row>
    <row r="11" spans="1:8" x14ac:dyDescent="0.45">
      <c r="A11" s="57" t="s">
        <v>21</v>
      </c>
      <c r="B11" s="53">
        <v>22748446</v>
      </c>
      <c r="C11" s="53">
        <v>16931367</v>
      </c>
      <c r="D11" s="53">
        <v>6758026</v>
      </c>
      <c r="E11" s="90">
        <v>49.31</v>
      </c>
      <c r="F11" s="98">
        <f t="shared" si="0"/>
        <v>3.6313089095807854E-2</v>
      </c>
      <c r="G11" s="161">
        <v>120338859</v>
      </c>
      <c r="H11" s="90">
        <v>117301696</v>
      </c>
    </row>
    <row r="12" spans="1:8" x14ac:dyDescent="0.45">
      <c r="A12" s="57" t="s">
        <v>22</v>
      </c>
      <c r="B12" s="53">
        <v>23036674</v>
      </c>
      <c r="C12" s="53">
        <v>13638776</v>
      </c>
      <c r="D12" s="53">
        <v>17853133</v>
      </c>
      <c r="E12" s="90">
        <v>87.12</v>
      </c>
      <c r="F12" s="98">
        <f t="shared" si="0"/>
        <v>3.6773184218081553E-2</v>
      </c>
      <c r="G12" s="161">
        <v>147186918</v>
      </c>
      <c r="H12" s="90">
        <v>114537640</v>
      </c>
    </row>
    <row r="13" spans="1:8" x14ac:dyDescent="0.45">
      <c r="A13" s="57" t="s">
        <v>23</v>
      </c>
      <c r="B13" s="53">
        <v>7693850</v>
      </c>
      <c r="C13" s="53">
        <v>4270678</v>
      </c>
      <c r="D13" s="53">
        <v>4185972</v>
      </c>
      <c r="E13" s="90">
        <v>65.739999999999995</v>
      </c>
      <c r="F13" s="98">
        <f t="shared" si="0"/>
        <v>1.2281606424446808E-2</v>
      </c>
      <c r="G13" s="161">
        <v>29086385</v>
      </c>
      <c r="H13" s="90">
        <v>22500456</v>
      </c>
    </row>
    <row r="14" spans="1:8" x14ac:dyDescent="0.45">
      <c r="A14" s="57" t="s">
        <v>24</v>
      </c>
      <c r="B14" s="53">
        <v>24008456</v>
      </c>
      <c r="C14" s="53">
        <v>6153425</v>
      </c>
      <c r="D14" s="53">
        <v>14054815</v>
      </c>
      <c r="E14" s="90">
        <v>90.22</v>
      </c>
      <c r="F14" s="98">
        <f t="shared" si="0"/>
        <v>3.8324428920585726E-2</v>
      </c>
      <c r="G14" s="161">
        <v>64995137</v>
      </c>
      <c r="H14" s="90">
        <v>54709649</v>
      </c>
    </row>
    <row r="15" spans="1:8" x14ac:dyDescent="0.45">
      <c r="A15" s="57" t="s">
        <v>25</v>
      </c>
      <c r="B15" s="53">
        <v>7174738</v>
      </c>
      <c r="C15" s="53">
        <v>5865041</v>
      </c>
      <c r="D15" s="53">
        <v>2817071</v>
      </c>
      <c r="E15" s="90">
        <v>43.81</v>
      </c>
      <c r="F15" s="98">
        <f t="shared" si="0"/>
        <v>1.1452953763658329E-2</v>
      </c>
      <c r="G15" s="161">
        <v>33948407</v>
      </c>
      <c r="H15" s="90">
        <v>29551997</v>
      </c>
    </row>
    <row r="16" spans="1:8" x14ac:dyDescent="0.45">
      <c r="A16" s="57" t="s">
        <v>26</v>
      </c>
      <c r="B16" s="53">
        <v>4402297</v>
      </c>
      <c r="C16" s="53">
        <v>871591</v>
      </c>
      <c r="D16" s="53">
        <v>2418298</v>
      </c>
      <c r="E16" s="90">
        <v>78.099999999999994</v>
      </c>
      <c r="F16" s="98">
        <f t="shared" si="0"/>
        <v>7.0273373041484961E-3</v>
      </c>
      <c r="G16" s="161">
        <v>17378908</v>
      </c>
      <c r="H16" s="90">
        <v>13504747</v>
      </c>
    </row>
    <row r="17" spans="1:8" x14ac:dyDescent="0.45">
      <c r="A17" s="57" t="s">
        <v>27</v>
      </c>
      <c r="B17" s="53">
        <v>159375717</v>
      </c>
      <c r="C17" s="53">
        <v>107806432</v>
      </c>
      <c r="D17" s="53">
        <v>30485921</v>
      </c>
      <c r="E17" s="90">
        <v>24.4</v>
      </c>
      <c r="F17" s="98">
        <f t="shared" si="0"/>
        <v>0.25440966873646048</v>
      </c>
      <c r="G17" s="161">
        <v>482987978</v>
      </c>
      <c r="H17" s="90">
        <v>401763579</v>
      </c>
    </row>
    <row r="18" spans="1:8" x14ac:dyDescent="0.45">
      <c r="A18" s="57" t="s">
        <v>28</v>
      </c>
      <c r="B18" s="53">
        <v>75498070</v>
      </c>
      <c r="C18" s="53">
        <v>29751167</v>
      </c>
      <c r="D18" s="53">
        <v>22642265</v>
      </c>
      <c r="E18" s="90">
        <v>43.34</v>
      </c>
      <c r="F18" s="98">
        <f t="shared" si="0"/>
        <v>0.1205167219981329</v>
      </c>
      <c r="G18" s="161">
        <v>264281659</v>
      </c>
      <c r="H18" s="90">
        <v>240347213</v>
      </c>
    </row>
    <row r="19" spans="1:8" x14ac:dyDescent="0.45">
      <c r="A19" s="57" t="s">
        <v>29</v>
      </c>
      <c r="B19" s="53">
        <v>2945316</v>
      </c>
      <c r="C19" s="53">
        <v>2935016</v>
      </c>
      <c r="D19" s="53">
        <v>2562628</v>
      </c>
      <c r="E19" s="90">
        <v>96.5</v>
      </c>
      <c r="F19" s="98">
        <f t="shared" si="0"/>
        <v>4.7015748822274899E-3</v>
      </c>
      <c r="G19" s="161">
        <v>14143319</v>
      </c>
      <c r="H19" s="90">
        <v>11058831</v>
      </c>
    </row>
    <row r="20" spans="1:8" x14ac:dyDescent="0.45">
      <c r="A20" s="57" t="s">
        <v>30</v>
      </c>
      <c r="B20" s="53">
        <v>14663247</v>
      </c>
      <c r="C20" s="53">
        <v>7434189</v>
      </c>
      <c r="D20" s="53">
        <v>13174526</v>
      </c>
      <c r="E20" s="90">
        <v>106.64</v>
      </c>
      <c r="F20" s="98">
        <f t="shared" si="0"/>
        <v>2.3406776653879448E-2</v>
      </c>
      <c r="G20" s="161">
        <v>64139472</v>
      </c>
      <c r="H20" s="90">
        <v>49013949</v>
      </c>
    </row>
    <row r="21" spans="1:8" x14ac:dyDescent="0.45">
      <c r="A21" s="57" t="s">
        <v>31</v>
      </c>
      <c r="B21" s="53">
        <v>16721719</v>
      </c>
      <c r="C21" s="53">
        <v>9254030</v>
      </c>
      <c r="D21" s="53">
        <v>6191598</v>
      </c>
      <c r="E21" s="90">
        <v>51.88</v>
      </c>
      <c r="F21" s="98">
        <f t="shared" si="0"/>
        <v>2.669269240993706E-2</v>
      </c>
      <c r="G21" s="161">
        <v>22198824</v>
      </c>
      <c r="H21" s="90">
        <v>15857529</v>
      </c>
    </row>
    <row r="22" spans="1:8" ht="18.399999999999999" x14ac:dyDescent="0.85">
      <c r="A22" s="58" t="s">
        <v>32</v>
      </c>
      <c r="B22" s="62">
        <v>626453066</v>
      </c>
      <c r="C22" s="63">
        <v>323725315</v>
      </c>
      <c r="D22" s="63">
        <v>174353338</v>
      </c>
      <c r="E22" s="94"/>
      <c r="F22" s="98">
        <f t="shared" si="0"/>
        <v>1</v>
      </c>
      <c r="G22" s="162">
        <v>2067843990</v>
      </c>
      <c r="H22" s="150">
        <v>1748243519</v>
      </c>
    </row>
    <row r="23" spans="1:8" x14ac:dyDescent="0.45">
      <c r="B23" s="6"/>
      <c r="C23" s="7"/>
    </row>
    <row r="24" spans="1:8" x14ac:dyDescent="0.45">
      <c r="B24" s="3"/>
    </row>
    <row r="25" spans="1:8" x14ac:dyDescent="0.45">
      <c r="B25" s="3"/>
    </row>
    <row r="26" spans="1:8" x14ac:dyDescent="0.45">
      <c r="B26" s="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rgb="FF7030A0"/>
  </sheetPr>
  <dimension ref="A1:I26"/>
  <sheetViews>
    <sheetView zoomScale="70" zoomScaleNormal="70" workbookViewId="0">
      <selection activeCell="C2" sqref="C2:D21"/>
    </sheetView>
  </sheetViews>
  <sheetFormatPr defaultColWidth="9.265625" defaultRowHeight="15.4" x14ac:dyDescent="0.45"/>
  <cols>
    <col min="1" max="1" width="47.3984375" style="2" customWidth="1"/>
    <col min="2" max="2" width="17.3984375" style="2" bestFit="1" customWidth="1"/>
    <col min="3" max="3" width="19.265625" style="2" customWidth="1"/>
    <col min="4" max="4" width="15" style="2" customWidth="1"/>
    <col min="5" max="5" width="9.73046875" style="2" customWidth="1"/>
    <col min="6" max="6" width="9.265625" style="2" customWidth="1"/>
    <col min="7" max="7" width="16" style="28" bestFit="1" customWidth="1"/>
    <col min="8" max="8" width="20.265625" style="135" bestFit="1" customWidth="1"/>
    <col min="9" max="9" width="12.73046875" style="2" bestFit="1" customWidth="1"/>
    <col min="10" max="11" width="9.265625" style="2"/>
    <col min="12" max="12" width="15.3984375" style="2" bestFit="1" customWidth="1"/>
    <col min="13" max="16384" width="9.265625" style="2"/>
  </cols>
  <sheetData>
    <row r="1" spans="1:9" s="100" customFormat="1" ht="26.45" customHeight="1" x14ac:dyDescent="0.45">
      <c r="A1" s="16" t="s">
        <v>58</v>
      </c>
      <c r="B1" s="16" t="s">
        <v>56</v>
      </c>
      <c r="C1" s="16" t="s">
        <v>45</v>
      </c>
      <c r="D1" s="16" t="s">
        <v>10</v>
      </c>
      <c r="E1" s="16" t="s">
        <v>11</v>
      </c>
      <c r="F1" s="16" t="s">
        <v>12</v>
      </c>
      <c r="G1" s="147" t="s">
        <v>13</v>
      </c>
      <c r="H1" s="148" t="s">
        <v>14</v>
      </c>
      <c r="I1" s="101"/>
    </row>
    <row r="2" spans="1:9" x14ac:dyDescent="0.45">
      <c r="A2" s="49" t="s">
        <v>15</v>
      </c>
      <c r="B2" s="53">
        <v>0</v>
      </c>
      <c r="C2" s="53"/>
      <c r="D2" s="53"/>
      <c r="E2" s="90"/>
      <c r="F2" s="90">
        <f>B2/B22</f>
        <v>0</v>
      </c>
      <c r="G2" s="141"/>
      <c r="H2" s="90"/>
    </row>
    <row r="3" spans="1:9" x14ac:dyDescent="0.45">
      <c r="A3" s="49" t="s">
        <v>16</v>
      </c>
      <c r="B3" s="53">
        <v>0</v>
      </c>
      <c r="C3" s="53"/>
      <c r="D3" s="53"/>
      <c r="E3" s="90"/>
      <c r="F3" s="90">
        <f>B3/B22</f>
        <v>0</v>
      </c>
      <c r="G3" s="141"/>
      <c r="H3" s="90"/>
    </row>
    <row r="4" spans="1:9" x14ac:dyDescent="0.45">
      <c r="A4" s="49" t="s">
        <v>17</v>
      </c>
      <c r="B4" s="53">
        <v>235311893</v>
      </c>
      <c r="C4" s="53">
        <v>90103751</v>
      </c>
      <c r="D4" s="53">
        <v>42146200</v>
      </c>
      <c r="E4" s="90">
        <v>36.26</v>
      </c>
      <c r="F4" s="91">
        <f>B4/$B$22</f>
        <v>0.27631322950139281</v>
      </c>
      <c r="G4" s="140">
        <v>481601863</v>
      </c>
      <c r="H4" s="90">
        <v>410799917</v>
      </c>
    </row>
    <row r="5" spans="1:9" x14ac:dyDescent="0.45">
      <c r="A5" s="49" t="s">
        <v>40</v>
      </c>
      <c r="B5" s="53">
        <v>12794555</v>
      </c>
      <c r="C5" s="53">
        <v>595081</v>
      </c>
      <c r="D5" s="53">
        <v>6016455</v>
      </c>
      <c r="E5" s="90">
        <v>67.900000000000006</v>
      </c>
      <c r="F5" s="91">
        <f t="shared" ref="F5:F21" si="0">B5/$B$22</f>
        <v>1.5023910466281418E-2</v>
      </c>
      <c r="G5" s="140">
        <v>54701222</v>
      </c>
      <c r="H5" s="90">
        <v>50920798</v>
      </c>
    </row>
    <row r="6" spans="1:9" x14ac:dyDescent="0.45">
      <c r="A6" s="49" t="s">
        <v>53</v>
      </c>
      <c r="B6" s="53">
        <v>278975</v>
      </c>
      <c r="C6" s="53">
        <v>0</v>
      </c>
      <c r="D6" s="53">
        <v>5300840</v>
      </c>
      <c r="E6" s="90">
        <v>2274.98</v>
      </c>
      <c r="F6" s="91">
        <f t="shared" si="0"/>
        <v>3.2758430616233687E-4</v>
      </c>
      <c r="G6" s="140">
        <v>12869717</v>
      </c>
      <c r="H6" s="90">
        <v>9114057</v>
      </c>
    </row>
    <row r="7" spans="1:9" x14ac:dyDescent="0.45">
      <c r="A7" s="49" t="s">
        <v>18</v>
      </c>
      <c r="B7" s="53">
        <v>17911223</v>
      </c>
      <c r="C7" s="53">
        <v>9777028</v>
      </c>
      <c r="D7" s="53">
        <v>8713773</v>
      </c>
      <c r="E7" s="90">
        <v>58.19</v>
      </c>
      <c r="F7" s="91">
        <f t="shared" si="0"/>
        <v>2.103211957692944E-2</v>
      </c>
      <c r="G7" s="140">
        <v>39774055</v>
      </c>
      <c r="H7" s="90">
        <v>23714169</v>
      </c>
    </row>
    <row r="8" spans="1:9" x14ac:dyDescent="0.45">
      <c r="A8" s="49" t="s">
        <v>19</v>
      </c>
      <c r="B8" s="53">
        <v>7636506</v>
      </c>
      <c r="C8" s="53">
        <v>2139801</v>
      </c>
      <c r="D8" s="53">
        <v>2652963</v>
      </c>
      <c r="E8" s="90">
        <v>69.72</v>
      </c>
      <c r="F8" s="91">
        <f t="shared" si="0"/>
        <v>8.9671100260400489E-3</v>
      </c>
      <c r="G8" s="140">
        <v>18361254</v>
      </c>
      <c r="H8" s="90">
        <v>12624166</v>
      </c>
    </row>
    <row r="9" spans="1:9" x14ac:dyDescent="0.45">
      <c r="A9" s="49" t="s">
        <v>20</v>
      </c>
      <c r="B9" s="53">
        <v>82584057</v>
      </c>
      <c r="C9" s="53">
        <v>53638702</v>
      </c>
      <c r="D9" s="53">
        <v>20428976</v>
      </c>
      <c r="E9" s="90">
        <v>32.92</v>
      </c>
      <c r="F9" s="91">
        <f t="shared" si="0"/>
        <v>9.6973710950500516E-2</v>
      </c>
      <c r="G9" s="140">
        <v>217045339</v>
      </c>
      <c r="H9" s="90">
        <v>184554163</v>
      </c>
    </row>
    <row r="10" spans="1:9" x14ac:dyDescent="0.45">
      <c r="A10" s="49" t="s">
        <v>47</v>
      </c>
      <c r="B10" s="53">
        <v>7232351</v>
      </c>
      <c r="C10" s="53">
        <v>262834</v>
      </c>
      <c r="D10" s="53">
        <v>4197542</v>
      </c>
      <c r="E10" s="90">
        <v>78.06</v>
      </c>
      <c r="F10" s="91">
        <f t="shared" si="0"/>
        <v>8.492534041607611E-3</v>
      </c>
      <c r="G10" s="140">
        <v>27877824</v>
      </c>
      <c r="H10" s="90">
        <v>25879585</v>
      </c>
    </row>
    <row r="11" spans="1:9" x14ac:dyDescent="0.45">
      <c r="A11" s="49" t="s">
        <v>21</v>
      </c>
      <c r="B11" s="53">
        <v>31467154</v>
      </c>
      <c r="C11" s="53">
        <v>22025936</v>
      </c>
      <c r="D11" s="53">
        <v>13653368</v>
      </c>
      <c r="E11" s="90">
        <v>53.42</v>
      </c>
      <c r="F11" s="91">
        <f t="shared" si="0"/>
        <v>3.6950070113785836E-2</v>
      </c>
      <c r="G11" s="140">
        <v>124205044</v>
      </c>
      <c r="H11" s="90">
        <v>120449990</v>
      </c>
    </row>
    <row r="12" spans="1:9" x14ac:dyDescent="0.45">
      <c r="A12" s="49" t="s">
        <v>22</v>
      </c>
      <c r="B12" s="53">
        <v>33644029</v>
      </c>
      <c r="C12" s="53">
        <v>36199000</v>
      </c>
      <c r="D12" s="53">
        <v>22499471</v>
      </c>
      <c r="E12" s="90">
        <v>76.81</v>
      </c>
      <c r="F12" s="91">
        <f t="shared" si="0"/>
        <v>3.95062492928418E-2</v>
      </c>
      <c r="G12" s="140">
        <v>163519621</v>
      </c>
      <c r="H12" s="90">
        <v>142954953</v>
      </c>
    </row>
    <row r="13" spans="1:9" x14ac:dyDescent="0.45">
      <c r="A13" s="49" t="s">
        <v>23</v>
      </c>
      <c r="B13" s="53">
        <v>10271644</v>
      </c>
      <c r="C13" s="53">
        <v>5838315</v>
      </c>
      <c r="D13" s="53">
        <v>6200634</v>
      </c>
      <c r="E13" s="90">
        <v>72.72</v>
      </c>
      <c r="F13" s="91">
        <f t="shared" si="0"/>
        <v>1.2061401103634845E-2</v>
      </c>
      <c r="G13" s="140">
        <v>30371416</v>
      </c>
      <c r="H13" s="90">
        <v>21610961</v>
      </c>
    </row>
    <row r="14" spans="1:9" x14ac:dyDescent="0.45">
      <c r="A14" s="49" t="s">
        <v>24</v>
      </c>
      <c r="B14" s="53">
        <v>33814009</v>
      </c>
      <c r="C14" s="53">
        <v>8148050</v>
      </c>
      <c r="D14" s="53">
        <v>20472938</v>
      </c>
      <c r="E14" s="90">
        <v>94.27</v>
      </c>
      <c r="F14" s="91">
        <f t="shared" si="0"/>
        <v>3.9705847035870649E-2</v>
      </c>
      <c r="G14" s="140">
        <v>68658175</v>
      </c>
      <c r="H14" s="90">
        <v>52165608</v>
      </c>
    </row>
    <row r="15" spans="1:9" x14ac:dyDescent="0.45">
      <c r="A15" s="49" t="s">
        <v>25</v>
      </c>
      <c r="B15" s="53">
        <v>9424764</v>
      </c>
      <c r="C15" s="53">
        <v>8043338</v>
      </c>
      <c r="D15" s="53">
        <v>3843741</v>
      </c>
      <c r="E15" s="90">
        <v>46.32</v>
      </c>
      <c r="F15" s="91">
        <f>B15/$B$22</f>
        <v>1.1066958600891732E-2</v>
      </c>
      <c r="G15" s="140">
        <v>34556519</v>
      </c>
      <c r="H15" s="90">
        <v>30955129</v>
      </c>
    </row>
    <row r="16" spans="1:9" x14ac:dyDescent="0.45">
      <c r="A16" s="49" t="s">
        <v>26</v>
      </c>
      <c r="B16" s="53">
        <v>5999595</v>
      </c>
      <c r="C16" s="53">
        <v>1277871</v>
      </c>
      <c r="D16" s="53">
        <v>3302812</v>
      </c>
      <c r="E16" s="90">
        <v>79.45</v>
      </c>
      <c r="F16" s="91">
        <f t="shared" si="0"/>
        <v>7.0449795333991424E-3</v>
      </c>
      <c r="G16" s="140">
        <v>17885291</v>
      </c>
      <c r="H16" s="90">
        <v>15781374</v>
      </c>
    </row>
    <row r="17" spans="1:8" x14ac:dyDescent="0.45">
      <c r="A17" s="49" t="s">
        <v>27</v>
      </c>
      <c r="B17" s="53">
        <v>212960892</v>
      </c>
      <c r="C17" s="53">
        <v>146209012</v>
      </c>
      <c r="D17" s="53">
        <v>44359796</v>
      </c>
      <c r="E17" s="90">
        <v>26.39</v>
      </c>
      <c r="F17" s="91">
        <f t="shared" si="0"/>
        <v>0.25006773383110442</v>
      </c>
      <c r="G17" s="140">
        <v>479591601</v>
      </c>
      <c r="H17" s="90">
        <v>423506758</v>
      </c>
    </row>
    <row r="18" spans="1:8" x14ac:dyDescent="0.45">
      <c r="A18" s="49" t="s">
        <v>28</v>
      </c>
      <c r="B18" s="53">
        <v>105636087</v>
      </c>
      <c r="C18" s="53">
        <v>39225895</v>
      </c>
      <c r="D18" s="53">
        <v>30988421</v>
      </c>
      <c r="E18" s="90">
        <v>42.96</v>
      </c>
      <c r="F18" s="91">
        <f t="shared" si="0"/>
        <v>0.12404238467819431</v>
      </c>
      <c r="G18" s="140">
        <v>306390713</v>
      </c>
      <c r="H18" s="90">
        <v>279833493</v>
      </c>
    </row>
    <row r="19" spans="1:8" x14ac:dyDescent="0.45">
      <c r="A19" s="49" t="s">
        <v>29</v>
      </c>
      <c r="B19" s="53">
        <v>3687651</v>
      </c>
      <c r="C19" s="53">
        <v>3958780</v>
      </c>
      <c r="D19" s="53">
        <v>3586346</v>
      </c>
      <c r="E19" s="90">
        <v>107.77</v>
      </c>
      <c r="F19" s="91">
        <f t="shared" si="0"/>
        <v>4.3301965918230946E-3</v>
      </c>
      <c r="G19" s="140">
        <v>17436856</v>
      </c>
      <c r="H19" s="90">
        <v>14508638</v>
      </c>
    </row>
    <row r="20" spans="1:8" x14ac:dyDescent="0.45">
      <c r="A20" s="49" t="s">
        <v>30</v>
      </c>
      <c r="B20" s="53">
        <v>19463820</v>
      </c>
      <c r="C20" s="53">
        <v>10828245</v>
      </c>
      <c r="D20" s="53">
        <v>16632213</v>
      </c>
      <c r="E20" s="90">
        <v>103.93</v>
      </c>
      <c r="F20" s="91">
        <f t="shared" si="0"/>
        <v>2.2855244985997371E-2</v>
      </c>
      <c r="G20" s="140">
        <v>63516503</v>
      </c>
      <c r="H20" s="90">
        <v>48639113</v>
      </c>
    </row>
    <row r="21" spans="1:8" x14ac:dyDescent="0.45">
      <c r="A21" s="49" t="s">
        <v>31</v>
      </c>
      <c r="B21" s="53">
        <v>21493631</v>
      </c>
      <c r="C21" s="53">
        <v>10752437</v>
      </c>
      <c r="D21" s="53">
        <v>7859438</v>
      </c>
      <c r="E21" s="90">
        <v>52.98</v>
      </c>
      <c r="F21" s="91">
        <f t="shared" si="0"/>
        <v>2.5238735363542594E-2</v>
      </c>
      <c r="G21" s="140">
        <v>24310026</v>
      </c>
      <c r="H21" s="90">
        <v>15878613</v>
      </c>
    </row>
    <row r="22" spans="1:8" ht="18.399999999999999" x14ac:dyDescent="0.85">
      <c r="A22" s="50" t="s">
        <v>32</v>
      </c>
      <c r="B22" s="62">
        <v>851612836</v>
      </c>
      <c r="C22" s="63">
        <v>449024076</v>
      </c>
      <c r="D22" s="63">
        <v>262855928</v>
      </c>
      <c r="E22" s="94"/>
      <c r="F22" s="91"/>
      <c r="G22" s="149">
        <v>2182673039</v>
      </c>
      <c r="H22" s="150">
        <v>1883891483</v>
      </c>
    </row>
    <row r="23" spans="1:8" x14ac:dyDescent="0.45">
      <c r="B23" s="6"/>
    </row>
    <row r="24" spans="1:8" x14ac:dyDescent="0.45">
      <c r="B24" s="3"/>
    </row>
    <row r="25" spans="1:8" x14ac:dyDescent="0.45">
      <c r="B25" s="3"/>
    </row>
    <row r="26" spans="1:8" x14ac:dyDescent="0.45">
      <c r="B26" s="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rgb="FF7030A0"/>
  </sheetPr>
  <dimension ref="A1:H100"/>
  <sheetViews>
    <sheetView topLeftCell="A5" workbookViewId="0">
      <selection activeCell="C3" sqref="C3:D26"/>
    </sheetView>
  </sheetViews>
  <sheetFormatPr defaultRowHeight="14.25" x14ac:dyDescent="0.45"/>
  <cols>
    <col min="1" max="1" width="42.265625" customWidth="1"/>
    <col min="2" max="2" width="15.265625" bestFit="1" customWidth="1"/>
    <col min="3" max="3" width="16.3984375" customWidth="1"/>
    <col min="4" max="4" width="14.73046875" customWidth="1"/>
    <col min="5" max="5" width="10.265625" customWidth="1"/>
    <col min="7" max="7" width="12.3984375" customWidth="1"/>
    <col min="8" max="8" width="16.73046875" style="137" bestFit="1" customWidth="1"/>
    <col min="242" max="242" width="28.3984375" customWidth="1"/>
    <col min="243" max="254" width="12.3984375" customWidth="1"/>
    <col min="255" max="255" width="20.3984375" customWidth="1"/>
    <col min="256" max="256" width="17.265625" customWidth="1"/>
    <col min="498" max="498" width="28.3984375" customWidth="1"/>
    <col min="499" max="510" width="12.3984375" customWidth="1"/>
    <col min="511" max="511" width="20.3984375" customWidth="1"/>
    <col min="512" max="512" width="17.265625" customWidth="1"/>
    <col min="754" max="754" width="28.3984375" customWidth="1"/>
    <col min="755" max="766" width="12.3984375" customWidth="1"/>
    <col min="767" max="767" width="20.3984375" customWidth="1"/>
    <col min="768" max="768" width="17.265625" customWidth="1"/>
    <col min="1010" max="1010" width="28.3984375" customWidth="1"/>
    <col min="1011" max="1022" width="12.3984375" customWidth="1"/>
    <col min="1023" max="1023" width="20.3984375" customWidth="1"/>
    <col min="1024" max="1024" width="17.265625" customWidth="1"/>
    <col min="1266" max="1266" width="28.3984375" customWidth="1"/>
    <col min="1267" max="1278" width="12.3984375" customWidth="1"/>
    <col min="1279" max="1279" width="20.3984375" customWidth="1"/>
    <col min="1280" max="1280" width="17.265625" customWidth="1"/>
    <col min="1522" max="1522" width="28.3984375" customWidth="1"/>
    <col min="1523" max="1534" width="12.3984375" customWidth="1"/>
    <col min="1535" max="1535" width="20.3984375" customWidth="1"/>
    <col min="1536" max="1536" width="17.265625" customWidth="1"/>
    <col min="1778" max="1778" width="28.3984375" customWidth="1"/>
    <col min="1779" max="1790" width="12.3984375" customWidth="1"/>
    <col min="1791" max="1791" width="20.3984375" customWidth="1"/>
    <col min="1792" max="1792" width="17.265625" customWidth="1"/>
    <col min="2034" max="2034" width="28.3984375" customWidth="1"/>
    <col min="2035" max="2046" width="12.3984375" customWidth="1"/>
    <col min="2047" max="2047" width="20.3984375" customWidth="1"/>
    <col min="2048" max="2048" width="17.265625" customWidth="1"/>
    <col min="2290" max="2290" width="28.3984375" customWidth="1"/>
    <col min="2291" max="2302" width="12.3984375" customWidth="1"/>
    <col min="2303" max="2303" width="20.3984375" customWidth="1"/>
    <col min="2304" max="2304" width="17.265625" customWidth="1"/>
    <col min="2546" max="2546" width="28.3984375" customWidth="1"/>
    <col min="2547" max="2558" width="12.3984375" customWidth="1"/>
    <col min="2559" max="2559" width="20.3984375" customWidth="1"/>
    <col min="2560" max="2560" width="17.265625" customWidth="1"/>
    <col min="2802" max="2802" width="28.3984375" customWidth="1"/>
    <col min="2803" max="2814" width="12.3984375" customWidth="1"/>
    <col min="2815" max="2815" width="20.3984375" customWidth="1"/>
    <col min="2816" max="2816" width="17.265625" customWidth="1"/>
    <col min="3058" max="3058" width="28.3984375" customWidth="1"/>
    <col min="3059" max="3070" width="12.3984375" customWidth="1"/>
    <col min="3071" max="3071" width="20.3984375" customWidth="1"/>
    <col min="3072" max="3072" width="17.265625" customWidth="1"/>
    <col min="3314" max="3314" width="28.3984375" customWidth="1"/>
    <col min="3315" max="3326" width="12.3984375" customWidth="1"/>
    <col min="3327" max="3327" width="20.3984375" customWidth="1"/>
    <col min="3328" max="3328" width="17.265625" customWidth="1"/>
    <col min="3570" max="3570" width="28.3984375" customWidth="1"/>
    <col min="3571" max="3582" width="12.3984375" customWidth="1"/>
    <col min="3583" max="3583" width="20.3984375" customWidth="1"/>
    <col min="3584" max="3584" width="17.265625" customWidth="1"/>
    <col min="3826" max="3826" width="28.3984375" customWidth="1"/>
    <col min="3827" max="3838" width="12.3984375" customWidth="1"/>
    <col min="3839" max="3839" width="20.3984375" customWidth="1"/>
    <col min="3840" max="3840" width="17.265625" customWidth="1"/>
    <col min="4082" max="4082" width="28.3984375" customWidth="1"/>
    <col min="4083" max="4094" width="12.3984375" customWidth="1"/>
    <col min="4095" max="4095" width="20.3984375" customWidth="1"/>
    <col min="4096" max="4096" width="17.265625" customWidth="1"/>
    <col min="4338" max="4338" width="28.3984375" customWidth="1"/>
    <col min="4339" max="4350" width="12.3984375" customWidth="1"/>
    <col min="4351" max="4351" width="20.3984375" customWidth="1"/>
    <col min="4352" max="4352" width="17.265625" customWidth="1"/>
    <col min="4594" max="4594" width="28.3984375" customWidth="1"/>
    <col min="4595" max="4606" width="12.3984375" customWidth="1"/>
    <col min="4607" max="4607" width="20.3984375" customWidth="1"/>
    <col min="4608" max="4608" width="17.265625" customWidth="1"/>
    <col min="4850" max="4850" width="28.3984375" customWidth="1"/>
    <col min="4851" max="4862" width="12.3984375" customWidth="1"/>
    <col min="4863" max="4863" width="20.3984375" customWidth="1"/>
    <col min="4864" max="4864" width="17.265625" customWidth="1"/>
    <col min="5106" max="5106" width="28.3984375" customWidth="1"/>
    <col min="5107" max="5118" width="12.3984375" customWidth="1"/>
    <col min="5119" max="5119" width="20.3984375" customWidth="1"/>
    <col min="5120" max="5120" width="17.265625" customWidth="1"/>
    <col min="5362" max="5362" width="28.3984375" customWidth="1"/>
    <col min="5363" max="5374" width="12.3984375" customWidth="1"/>
    <col min="5375" max="5375" width="20.3984375" customWidth="1"/>
    <col min="5376" max="5376" width="17.265625" customWidth="1"/>
    <col min="5618" max="5618" width="28.3984375" customWidth="1"/>
    <col min="5619" max="5630" width="12.3984375" customWidth="1"/>
    <col min="5631" max="5631" width="20.3984375" customWidth="1"/>
    <col min="5632" max="5632" width="17.265625" customWidth="1"/>
    <col min="5874" max="5874" width="28.3984375" customWidth="1"/>
    <col min="5875" max="5886" width="12.3984375" customWidth="1"/>
    <col min="5887" max="5887" width="20.3984375" customWidth="1"/>
    <col min="5888" max="5888" width="17.265625" customWidth="1"/>
    <col min="6130" max="6130" width="28.3984375" customWidth="1"/>
    <col min="6131" max="6142" width="12.3984375" customWidth="1"/>
    <col min="6143" max="6143" width="20.3984375" customWidth="1"/>
    <col min="6144" max="6144" width="17.265625" customWidth="1"/>
    <col min="6386" max="6386" width="28.3984375" customWidth="1"/>
    <col min="6387" max="6398" width="12.3984375" customWidth="1"/>
    <col min="6399" max="6399" width="20.3984375" customWidth="1"/>
    <col min="6400" max="6400" width="17.265625" customWidth="1"/>
    <col min="6642" max="6642" width="28.3984375" customWidth="1"/>
    <col min="6643" max="6654" width="12.3984375" customWidth="1"/>
    <col min="6655" max="6655" width="20.3984375" customWidth="1"/>
    <col min="6656" max="6656" width="17.265625" customWidth="1"/>
    <col min="6898" max="6898" width="28.3984375" customWidth="1"/>
    <col min="6899" max="6910" width="12.3984375" customWidth="1"/>
    <col min="6911" max="6911" width="20.3984375" customWidth="1"/>
    <col min="6912" max="6912" width="17.265625" customWidth="1"/>
    <col min="7154" max="7154" width="28.3984375" customWidth="1"/>
    <col min="7155" max="7166" width="12.3984375" customWidth="1"/>
    <col min="7167" max="7167" width="20.3984375" customWidth="1"/>
    <col min="7168" max="7168" width="17.265625" customWidth="1"/>
    <col min="7410" max="7410" width="28.3984375" customWidth="1"/>
    <col min="7411" max="7422" width="12.3984375" customWidth="1"/>
    <col min="7423" max="7423" width="20.3984375" customWidth="1"/>
    <col min="7424" max="7424" width="17.265625" customWidth="1"/>
    <col min="7666" max="7666" width="28.3984375" customWidth="1"/>
    <col min="7667" max="7678" width="12.3984375" customWidth="1"/>
    <col min="7679" max="7679" width="20.3984375" customWidth="1"/>
    <col min="7680" max="7680" width="17.265625" customWidth="1"/>
    <col min="7922" max="7922" width="28.3984375" customWidth="1"/>
    <col min="7923" max="7934" width="12.3984375" customWidth="1"/>
    <col min="7935" max="7935" width="20.3984375" customWidth="1"/>
    <col min="7936" max="7936" width="17.265625" customWidth="1"/>
    <col min="8178" max="8178" width="28.3984375" customWidth="1"/>
    <col min="8179" max="8190" width="12.3984375" customWidth="1"/>
    <col min="8191" max="8191" width="20.3984375" customWidth="1"/>
    <col min="8192" max="8192" width="17.265625" customWidth="1"/>
    <col min="8434" max="8434" width="28.3984375" customWidth="1"/>
    <col min="8435" max="8446" width="12.3984375" customWidth="1"/>
    <col min="8447" max="8447" width="20.3984375" customWidth="1"/>
    <col min="8448" max="8448" width="17.265625" customWidth="1"/>
    <col min="8690" max="8690" width="28.3984375" customWidth="1"/>
    <col min="8691" max="8702" width="12.3984375" customWidth="1"/>
    <col min="8703" max="8703" width="20.3984375" customWidth="1"/>
    <col min="8704" max="8704" width="17.265625" customWidth="1"/>
    <col min="8946" max="8946" width="28.3984375" customWidth="1"/>
    <col min="8947" max="8958" width="12.3984375" customWidth="1"/>
    <col min="8959" max="8959" width="20.3984375" customWidth="1"/>
    <col min="8960" max="8960" width="17.265625" customWidth="1"/>
    <col min="9202" max="9202" width="28.3984375" customWidth="1"/>
    <col min="9203" max="9214" width="12.3984375" customWidth="1"/>
    <col min="9215" max="9215" width="20.3984375" customWidth="1"/>
    <col min="9216" max="9216" width="17.265625" customWidth="1"/>
    <col min="9458" max="9458" width="28.3984375" customWidth="1"/>
    <col min="9459" max="9470" width="12.3984375" customWidth="1"/>
    <col min="9471" max="9471" width="20.3984375" customWidth="1"/>
    <col min="9472" max="9472" width="17.265625" customWidth="1"/>
    <col min="9714" max="9714" width="28.3984375" customWidth="1"/>
    <col min="9715" max="9726" width="12.3984375" customWidth="1"/>
    <col min="9727" max="9727" width="20.3984375" customWidth="1"/>
    <col min="9728" max="9728" width="17.265625" customWidth="1"/>
    <col min="9970" max="9970" width="28.3984375" customWidth="1"/>
    <col min="9971" max="9982" width="12.3984375" customWidth="1"/>
    <col min="9983" max="9983" width="20.3984375" customWidth="1"/>
    <col min="9984" max="9984" width="17.265625" customWidth="1"/>
    <col min="10226" max="10226" width="28.3984375" customWidth="1"/>
    <col min="10227" max="10238" width="12.3984375" customWidth="1"/>
    <col min="10239" max="10239" width="20.3984375" customWidth="1"/>
    <col min="10240" max="10240" width="17.265625" customWidth="1"/>
    <col min="10482" max="10482" width="28.3984375" customWidth="1"/>
    <col min="10483" max="10494" width="12.3984375" customWidth="1"/>
    <col min="10495" max="10495" width="20.3984375" customWidth="1"/>
    <col min="10496" max="10496" width="17.265625" customWidth="1"/>
    <col min="10738" max="10738" width="28.3984375" customWidth="1"/>
    <col min="10739" max="10750" width="12.3984375" customWidth="1"/>
    <col min="10751" max="10751" width="20.3984375" customWidth="1"/>
    <col min="10752" max="10752" width="17.265625" customWidth="1"/>
    <col min="10994" max="10994" width="28.3984375" customWidth="1"/>
    <col min="10995" max="11006" width="12.3984375" customWidth="1"/>
    <col min="11007" max="11007" width="20.3984375" customWidth="1"/>
    <col min="11008" max="11008" width="17.265625" customWidth="1"/>
    <col min="11250" max="11250" width="28.3984375" customWidth="1"/>
    <col min="11251" max="11262" width="12.3984375" customWidth="1"/>
    <col min="11263" max="11263" width="20.3984375" customWidth="1"/>
    <col min="11264" max="11264" width="17.265625" customWidth="1"/>
    <col min="11506" max="11506" width="28.3984375" customWidth="1"/>
    <col min="11507" max="11518" width="12.3984375" customWidth="1"/>
    <col min="11519" max="11519" width="20.3984375" customWidth="1"/>
    <col min="11520" max="11520" width="17.265625" customWidth="1"/>
    <col min="11762" max="11762" width="28.3984375" customWidth="1"/>
    <col min="11763" max="11774" width="12.3984375" customWidth="1"/>
    <col min="11775" max="11775" width="20.3984375" customWidth="1"/>
    <col min="11776" max="11776" width="17.265625" customWidth="1"/>
    <col min="12018" max="12018" width="28.3984375" customWidth="1"/>
    <col min="12019" max="12030" width="12.3984375" customWidth="1"/>
    <col min="12031" max="12031" width="20.3984375" customWidth="1"/>
    <col min="12032" max="12032" width="17.265625" customWidth="1"/>
    <col min="12274" max="12274" width="28.3984375" customWidth="1"/>
    <col min="12275" max="12286" width="12.3984375" customWidth="1"/>
    <col min="12287" max="12287" width="20.3984375" customWidth="1"/>
    <col min="12288" max="12288" width="17.265625" customWidth="1"/>
    <col min="12530" max="12530" width="28.3984375" customWidth="1"/>
    <col min="12531" max="12542" width="12.3984375" customWidth="1"/>
    <col min="12543" max="12543" width="20.3984375" customWidth="1"/>
    <col min="12544" max="12544" width="17.265625" customWidth="1"/>
    <col min="12786" max="12786" width="28.3984375" customWidth="1"/>
    <col min="12787" max="12798" width="12.3984375" customWidth="1"/>
    <col min="12799" max="12799" width="20.3984375" customWidth="1"/>
    <col min="12800" max="12800" width="17.265625" customWidth="1"/>
    <col min="13042" max="13042" width="28.3984375" customWidth="1"/>
    <col min="13043" max="13054" width="12.3984375" customWidth="1"/>
    <col min="13055" max="13055" width="20.3984375" customWidth="1"/>
    <col min="13056" max="13056" width="17.265625" customWidth="1"/>
    <col min="13298" max="13298" width="28.3984375" customWidth="1"/>
    <col min="13299" max="13310" width="12.3984375" customWidth="1"/>
    <col min="13311" max="13311" width="20.3984375" customWidth="1"/>
    <col min="13312" max="13312" width="17.265625" customWidth="1"/>
    <col min="13554" max="13554" width="28.3984375" customWidth="1"/>
    <col min="13555" max="13566" width="12.3984375" customWidth="1"/>
    <col min="13567" max="13567" width="20.3984375" customWidth="1"/>
    <col min="13568" max="13568" width="17.265625" customWidth="1"/>
    <col min="13810" max="13810" width="28.3984375" customWidth="1"/>
    <col min="13811" max="13822" width="12.3984375" customWidth="1"/>
    <col min="13823" max="13823" width="20.3984375" customWidth="1"/>
    <col min="13824" max="13824" width="17.265625" customWidth="1"/>
    <col min="14066" max="14066" width="28.3984375" customWidth="1"/>
    <col min="14067" max="14078" width="12.3984375" customWidth="1"/>
    <col min="14079" max="14079" width="20.3984375" customWidth="1"/>
    <col min="14080" max="14080" width="17.265625" customWidth="1"/>
    <col min="14322" max="14322" width="28.3984375" customWidth="1"/>
    <col min="14323" max="14334" width="12.3984375" customWidth="1"/>
    <col min="14335" max="14335" width="20.3984375" customWidth="1"/>
    <col min="14336" max="14336" width="17.265625" customWidth="1"/>
    <col min="14578" max="14578" width="28.3984375" customWidth="1"/>
    <col min="14579" max="14590" width="12.3984375" customWidth="1"/>
    <col min="14591" max="14591" width="20.3984375" customWidth="1"/>
    <col min="14592" max="14592" width="17.265625" customWidth="1"/>
    <col min="14834" max="14834" width="28.3984375" customWidth="1"/>
    <col min="14835" max="14846" width="12.3984375" customWidth="1"/>
    <col min="14847" max="14847" width="20.3984375" customWidth="1"/>
    <col min="14848" max="14848" width="17.265625" customWidth="1"/>
    <col min="15090" max="15090" width="28.3984375" customWidth="1"/>
    <col min="15091" max="15102" width="12.3984375" customWidth="1"/>
    <col min="15103" max="15103" width="20.3984375" customWidth="1"/>
    <col min="15104" max="15104" width="17.265625" customWidth="1"/>
    <col min="15346" max="15346" width="28.3984375" customWidth="1"/>
    <col min="15347" max="15358" width="12.3984375" customWidth="1"/>
    <col min="15359" max="15359" width="20.3984375" customWidth="1"/>
    <col min="15360" max="15360" width="17.265625" customWidth="1"/>
    <col min="15602" max="15602" width="28.3984375" customWidth="1"/>
    <col min="15603" max="15614" width="12.3984375" customWidth="1"/>
    <col min="15615" max="15615" width="20.3984375" customWidth="1"/>
    <col min="15616" max="15616" width="17.265625" customWidth="1"/>
    <col min="15858" max="15858" width="28.3984375" customWidth="1"/>
    <col min="15859" max="15870" width="12.3984375" customWidth="1"/>
    <col min="15871" max="15871" width="20.3984375" customWidth="1"/>
    <col min="15872" max="15872" width="17.265625" customWidth="1"/>
    <col min="16114" max="16114" width="28.3984375" customWidth="1"/>
    <col min="16115" max="16126" width="12.3984375" customWidth="1"/>
    <col min="16127" max="16127" width="20.3984375" customWidth="1"/>
    <col min="16128" max="16128" width="17.265625" customWidth="1"/>
  </cols>
  <sheetData>
    <row r="1" spans="1:8" s="111" customFormat="1" ht="15" customHeight="1" x14ac:dyDescent="0.45">
      <c r="A1" s="109" t="s">
        <v>59</v>
      </c>
      <c r="B1" s="110"/>
      <c r="C1" s="110"/>
      <c r="D1" s="110"/>
      <c r="E1" s="110"/>
      <c r="F1" s="110"/>
      <c r="H1" s="136"/>
    </row>
    <row r="2" spans="1:8" s="111" customFormat="1" ht="30" customHeight="1" x14ac:dyDescent="0.45">
      <c r="A2" s="22" t="s">
        <v>60</v>
      </c>
      <c r="B2" s="110" t="s">
        <v>56</v>
      </c>
      <c r="C2" s="16" t="s">
        <v>61</v>
      </c>
      <c r="D2" s="16" t="s">
        <v>10</v>
      </c>
      <c r="E2" s="16" t="s">
        <v>11</v>
      </c>
      <c r="F2" s="16" t="s">
        <v>12</v>
      </c>
      <c r="G2" s="26" t="s">
        <v>13</v>
      </c>
      <c r="H2" s="111" t="s">
        <v>14</v>
      </c>
    </row>
    <row r="3" spans="1:8" x14ac:dyDescent="0.45">
      <c r="A3" s="43" t="s">
        <v>62</v>
      </c>
      <c r="B3" s="102">
        <v>0</v>
      </c>
      <c r="C3" s="103"/>
      <c r="D3" s="103"/>
      <c r="E3" s="103"/>
      <c r="F3" s="104">
        <f t="shared" ref="F3:F26" si="0">B3/$B$27</f>
        <v>0</v>
      </c>
      <c r="G3" s="103"/>
      <c r="H3" s="144"/>
    </row>
    <row r="4" spans="1:8" x14ac:dyDescent="0.45">
      <c r="A4" s="43" t="s">
        <v>63</v>
      </c>
      <c r="B4" s="102">
        <v>0</v>
      </c>
      <c r="C4" s="103"/>
      <c r="D4" s="103"/>
      <c r="E4" s="103"/>
      <c r="F4" s="104">
        <f t="shared" si="0"/>
        <v>0</v>
      </c>
      <c r="G4" s="103"/>
      <c r="H4" s="144"/>
    </row>
    <row r="5" spans="1:8" x14ac:dyDescent="0.45">
      <c r="A5" s="43" t="s">
        <v>16</v>
      </c>
      <c r="B5" s="102">
        <v>1919477</v>
      </c>
      <c r="C5" s="105">
        <v>1462565</v>
      </c>
      <c r="D5" s="105">
        <v>1086513</v>
      </c>
      <c r="E5" s="103">
        <v>62.48</v>
      </c>
      <c r="F5" s="104">
        <f t="shared" si="0"/>
        <v>8.2386857453250802E-3</v>
      </c>
      <c r="G5" s="105">
        <v>56872294</v>
      </c>
      <c r="H5" s="144">
        <v>49168434</v>
      </c>
    </row>
    <row r="6" spans="1:8" x14ac:dyDescent="0.45">
      <c r="A6" s="43" t="s">
        <v>17</v>
      </c>
      <c r="B6" s="102">
        <v>67769917</v>
      </c>
      <c r="C6" s="105">
        <v>27380581</v>
      </c>
      <c r="D6" s="105">
        <v>13636836</v>
      </c>
      <c r="E6" s="103">
        <v>38.47</v>
      </c>
      <c r="F6" s="104">
        <f t="shared" si="0"/>
        <v>0.29087873892198962</v>
      </c>
      <c r="G6" s="105">
        <v>512652860</v>
      </c>
      <c r="H6" s="144">
        <v>403241084</v>
      </c>
    </row>
    <row r="7" spans="1:8" x14ac:dyDescent="0.45">
      <c r="A7" s="43" t="s">
        <v>40</v>
      </c>
      <c r="B7" s="102">
        <v>0</v>
      </c>
      <c r="C7" s="103"/>
      <c r="D7" s="103"/>
      <c r="E7" s="103"/>
      <c r="F7" s="104">
        <f t="shared" si="0"/>
        <v>0</v>
      </c>
      <c r="G7" s="103"/>
      <c r="H7" s="144"/>
    </row>
    <row r="8" spans="1:8" x14ac:dyDescent="0.45">
      <c r="A8" s="43" t="s">
        <v>53</v>
      </c>
      <c r="B8" s="102">
        <v>0</v>
      </c>
      <c r="C8" s="103"/>
      <c r="D8" s="103"/>
      <c r="E8" s="103"/>
      <c r="F8" s="104">
        <f t="shared" si="0"/>
        <v>0</v>
      </c>
      <c r="G8" s="103"/>
      <c r="H8" s="144"/>
    </row>
    <row r="9" spans="1:8" x14ac:dyDescent="0.45">
      <c r="A9" s="43" t="s">
        <v>18</v>
      </c>
      <c r="B9" s="102">
        <v>0</v>
      </c>
      <c r="C9" s="103"/>
      <c r="D9" s="103"/>
      <c r="E9" s="103"/>
      <c r="F9" s="104">
        <f t="shared" si="0"/>
        <v>0</v>
      </c>
      <c r="G9" s="103"/>
      <c r="H9" s="144"/>
    </row>
    <row r="10" spans="1:8" x14ac:dyDescent="0.45">
      <c r="A10" s="43" t="s">
        <v>19</v>
      </c>
      <c r="B10" s="102">
        <v>1761265</v>
      </c>
      <c r="C10" s="105">
        <v>656012</v>
      </c>
      <c r="D10" s="105">
        <v>811152</v>
      </c>
      <c r="E10" s="103">
        <v>73.22</v>
      </c>
      <c r="F10" s="104">
        <f t="shared" si="0"/>
        <v>7.5596159001853E-3</v>
      </c>
      <c r="G10" s="105">
        <v>19474655</v>
      </c>
      <c r="H10" s="144">
        <v>11611322</v>
      </c>
    </row>
    <row r="11" spans="1:8" x14ac:dyDescent="0.45">
      <c r="A11" s="43" t="s">
        <v>20</v>
      </c>
      <c r="B11" s="102">
        <v>17919530</v>
      </c>
      <c r="C11" s="105">
        <v>15625466</v>
      </c>
      <c r="D11" s="105">
        <v>5775735</v>
      </c>
      <c r="E11" s="103">
        <v>39.99</v>
      </c>
      <c r="F11" s="104">
        <f t="shared" si="0"/>
        <v>7.6913334399904318E-2</v>
      </c>
      <c r="G11" s="105">
        <v>227709437</v>
      </c>
      <c r="H11" s="144">
        <v>210338555</v>
      </c>
    </row>
    <row r="12" spans="1:8" x14ac:dyDescent="0.45">
      <c r="A12" s="43" t="s">
        <v>47</v>
      </c>
      <c r="B12" s="102">
        <v>2831343</v>
      </c>
      <c r="C12" s="105">
        <v>215660</v>
      </c>
      <c r="D12" s="105">
        <v>1039047</v>
      </c>
      <c r="E12" s="103">
        <v>52.61</v>
      </c>
      <c r="F12" s="104">
        <f t="shared" si="0"/>
        <v>1.2152552603769648E-2</v>
      </c>
      <c r="G12" s="105">
        <v>30570985</v>
      </c>
      <c r="H12" s="144">
        <v>27261337</v>
      </c>
    </row>
    <row r="13" spans="1:8" x14ac:dyDescent="0.45">
      <c r="A13" s="43" t="s">
        <v>64</v>
      </c>
      <c r="B13" s="102">
        <v>0</v>
      </c>
      <c r="C13" s="103"/>
      <c r="D13" s="103"/>
      <c r="E13" s="103"/>
      <c r="F13" s="104">
        <f t="shared" si="0"/>
        <v>0</v>
      </c>
      <c r="G13" s="103"/>
      <c r="H13" s="144"/>
    </row>
    <row r="14" spans="1:8" x14ac:dyDescent="0.45">
      <c r="A14" s="43" t="s">
        <v>65</v>
      </c>
      <c r="B14" s="102">
        <v>0</v>
      </c>
      <c r="C14" s="103"/>
      <c r="D14" s="103"/>
      <c r="E14" s="103"/>
      <c r="F14" s="104">
        <f t="shared" si="0"/>
        <v>0</v>
      </c>
      <c r="G14" s="103"/>
      <c r="H14" s="144"/>
    </row>
    <row r="15" spans="1:8" x14ac:dyDescent="0.45">
      <c r="A15" s="43" t="s">
        <v>21</v>
      </c>
      <c r="B15" s="102">
        <v>9279855</v>
      </c>
      <c r="C15" s="105">
        <v>5433104</v>
      </c>
      <c r="D15" s="105">
        <v>3859529</v>
      </c>
      <c r="E15" s="103">
        <v>52.05</v>
      </c>
      <c r="F15" s="104">
        <f t="shared" si="0"/>
        <v>3.9830541916982432E-2</v>
      </c>
      <c r="G15" s="105">
        <v>132266599</v>
      </c>
      <c r="H15" s="144">
        <v>127119055</v>
      </c>
    </row>
    <row r="16" spans="1:8" x14ac:dyDescent="0.45">
      <c r="A16" s="43" t="s">
        <v>66</v>
      </c>
      <c r="B16" s="102">
        <v>0</v>
      </c>
      <c r="C16" s="103"/>
      <c r="D16" s="103"/>
      <c r="E16" s="103"/>
      <c r="F16" s="104">
        <f t="shared" si="0"/>
        <v>0</v>
      </c>
      <c r="G16" s="103"/>
      <c r="H16" s="144"/>
    </row>
    <row r="17" spans="1:8" x14ac:dyDescent="0.45">
      <c r="A17" s="43" t="s">
        <v>22</v>
      </c>
      <c r="B17" s="102">
        <v>12542000</v>
      </c>
      <c r="C17" s="105">
        <v>12240564</v>
      </c>
      <c r="D17" s="105">
        <v>7718028</v>
      </c>
      <c r="E17" s="103">
        <v>70.540000000000006</v>
      </c>
      <c r="F17" s="104">
        <f t="shared" si="0"/>
        <v>5.3832161895072027E-2</v>
      </c>
      <c r="G17" s="105">
        <v>169133000</v>
      </c>
      <c r="H17" s="144">
        <v>149486400</v>
      </c>
    </row>
    <row r="18" spans="1:8" x14ac:dyDescent="0.45">
      <c r="A18" s="43" t="s">
        <v>23</v>
      </c>
      <c r="B18" s="102">
        <v>3032752</v>
      </c>
      <c r="C18" s="105">
        <v>2157270</v>
      </c>
      <c r="D18" s="105">
        <v>1587078</v>
      </c>
      <c r="E18" s="103">
        <v>65.489999999999995</v>
      </c>
      <c r="F18" s="104">
        <f t="shared" si="0"/>
        <v>1.3017030509615968E-2</v>
      </c>
      <c r="G18" s="105">
        <v>30942834</v>
      </c>
      <c r="H18" s="144">
        <v>25623874</v>
      </c>
    </row>
    <row r="19" spans="1:8" x14ac:dyDescent="0.45">
      <c r="A19" s="43" t="s">
        <v>24</v>
      </c>
      <c r="B19" s="102">
        <v>10384294</v>
      </c>
      <c r="C19" s="105">
        <v>2481322</v>
      </c>
      <c r="D19" s="105">
        <v>6033465</v>
      </c>
      <c r="E19" s="103">
        <v>87.03</v>
      </c>
      <c r="F19" s="104">
        <f t="shared" si="0"/>
        <v>4.4570961232181877E-2</v>
      </c>
      <c r="G19" s="105">
        <v>68681448</v>
      </c>
      <c r="H19" s="144">
        <v>58274365</v>
      </c>
    </row>
    <row r="20" spans="1:8" x14ac:dyDescent="0.45">
      <c r="A20" s="43" t="s">
        <v>25</v>
      </c>
      <c r="B20" s="102">
        <v>2642307</v>
      </c>
      <c r="C20" s="105">
        <v>2258595</v>
      </c>
      <c r="D20" s="105">
        <v>850234</v>
      </c>
      <c r="E20" s="103">
        <v>36.520000000000003</v>
      </c>
      <c r="F20" s="104">
        <f t="shared" si="0"/>
        <v>1.1341181486244785E-2</v>
      </c>
      <c r="G20" s="105">
        <v>37254878</v>
      </c>
      <c r="H20" s="144">
        <v>32950743</v>
      </c>
    </row>
    <row r="21" spans="1:8" x14ac:dyDescent="0.45">
      <c r="A21" s="43" t="s">
        <v>26</v>
      </c>
      <c r="B21" s="102">
        <v>2004381</v>
      </c>
      <c r="C21" s="105">
        <v>390509</v>
      </c>
      <c r="D21" s="105">
        <v>948909</v>
      </c>
      <c r="E21" s="103">
        <v>62.31</v>
      </c>
      <c r="F21" s="104">
        <f t="shared" si="0"/>
        <v>8.6031065612666522E-3</v>
      </c>
      <c r="G21" s="105">
        <v>18464937</v>
      </c>
      <c r="H21" s="144">
        <v>15901546</v>
      </c>
    </row>
    <row r="22" spans="1:8" x14ac:dyDescent="0.45">
      <c r="A22" s="43" t="s">
        <v>27</v>
      </c>
      <c r="B22" s="102">
        <v>61594656</v>
      </c>
      <c r="C22" s="105">
        <v>41030073</v>
      </c>
      <c r="D22" s="105">
        <v>11940243</v>
      </c>
      <c r="E22" s="103">
        <v>24.07</v>
      </c>
      <c r="F22" s="104">
        <f t="shared" si="0"/>
        <v>0.26437358424998164</v>
      </c>
      <c r="G22" s="105">
        <v>505305194</v>
      </c>
      <c r="H22" s="144">
        <v>454545343</v>
      </c>
    </row>
    <row r="23" spans="1:8" x14ac:dyDescent="0.45">
      <c r="A23" s="43" t="s">
        <v>28</v>
      </c>
      <c r="B23" s="102">
        <v>32657342</v>
      </c>
      <c r="C23" s="105">
        <v>14342411</v>
      </c>
      <c r="D23" s="105">
        <v>8297286</v>
      </c>
      <c r="E23" s="103">
        <v>40.31</v>
      </c>
      <c r="F23" s="104">
        <f t="shared" si="0"/>
        <v>0.14017025367618682</v>
      </c>
      <c r="G23" s="105">
        <v>325041175</v>
      </c>
      <c r="H23" s="144">
        <v>299506161</v>
      </c>
    </row>
    <row r="24" spans="1:8" x14ac:dyDescent="0.45">
      <c r="A24" s="43" t="s">
        <v>29</v>
      </c>
      <c r="B24" s="102">
        <v>764848</v>
      </c>
      <c r="C24" s="105">
        <v>551389</v>
      </c>
      <c r="D24" s="105">
        <v>629852</v>
      </c>
      <c r="E24" s="103">
        <v>90.33</v>
      </c>
      <c r="F24" s="104">
        <f t="shared" si="0"/>
        <v>3.2828433552162372E-3</v>
      </c>
      <c r="G24" s="105">
        <v>25928810</v>
      </c>
      <c r="H24" s="144">
        <v>23352064</v>
      </c>
    </row>
    <row r="25" spans="1:8" x14ac:dyDescent="0.45">
      <c r="A25" s="43" t="s">
        <v>30</v>
      </c>
      <c r="B25" s="102">
        <v>5879431</v>
      </c>
      <c r="C25" s="105">
        <v>3558136</v>
      </c>
      <c r="D25" s="105">
        <v>4089554</v>
      </c>
      <c r="E25" s="103">
        <v>81.680000000000007</v>
      </c>
      <c r="F25" s="104">
        <f t="shared" si="0"/>
        <v>2.5235407546077598E-2</v>
      </c>
      <c r="G25" s="105">
        <v>65154491</v>
      </c>
      <c r="H25" s="144">
        <v>46822272</v>
      </c>
    </row>
    <row r="26" spans="1:8" x14ac:dyDescent="0.45">
      <c r="A26" s="43" t="s">
        <v>31</v>
      </c>
      <c r="B26" s="102">
        <v>0</v>
      </c>
      <c r="C26" s="103"/>
      <c r="D26" s="103"/>
      <c r="E26" s="103"/>
      <c r="F26" s="104">
        <f t="shared" si="0"/>
        <v>0</v>
      </c>
      <c r="G26" s="103"/>
      <c r="H26" s="144"/>
    </row>
    <row r="27" spans="1:8" s="34" customFormat="1" ht="17.25" x14ac:dyDescent="0.85">
      <c r="A27" s="106" t="s">
        <v>67</v>
      </c>
      <c r="B27" s="131">
        <v>232983398</v>
      </c>
      <c r="C27" s="132">
        <v>129783657</v>
      </c>
      <c r="D27" s="132">
        <v>68303461</v>
      </c>
      <c r="E27" s="107"/>
      <c r="F27" s="108"/>
      <c r="G27" s="145">
        <v>2225453598</v>
      </c>
      <c r="H27" s="146">
        <v>1935202556</v>
      </c>
    </row>
    <row r="28" spans="1:8" x14ac:dyDescent="0.45">
      <c r="A28" s="31"/>
      <c r="B28" s="29"/>
      <c r="C28" s="33"/>
      <c r="D28" s="33"/>
      <c r="F28" s="30"/>
      <c r="G28" s="33"/>
    </row>
    <row r="29" spans="1:8" x14ac:dyDescent="0.45">
      <c r="A29" s="31"/>
      <c r="B29" s="29"/>
      <c r="C29" s="33"/>
      <c r="D29" s="33"/>
      <c r="F29" s="30"/>
      <c r="G29" s="33"/>
    </row>
    <row r="30" spans="1:8" x14ac:dyDescent="0.45">
      <c r="A30" s="31"/>
      <c r="B30" s="29"/>
      <c r="C30" s="33"/>
      <c r="D30" s="33"/>
      <c r="F30" s="30"/>
      <c r="G30" s="33"/>
    </row>
    <row r="31" spans="1:8" x14ac:dyDescent="0.45">
      <c r="A31" s="31"/>
      <c r="B31" s="29"/>
      <c r="C31" s="33"/>
      <c r="D31" s="33"/>
      <c r="F31" s="30"/>
      <c r="G31" s="33"/>
    </row>
    <row r="32" spans="1:8" x14ac:dyDescent="0.45">
      <c r="A32" s="31"/>
      <c r="B32" s="29"/>
      <c r="C32" s="33"/>
      <c r="D32" s="33"/>
      <c r="F32" s="30"/>
      <c r="G32" s="33"/>
    </row>
    <row r="33" spans="1:7" x14ac:dyDescent="0.45">
      <c r="A33" s="31"/>
      <c r="B33" s="29"/>
      <c r="C33" s="33"/>
      <c r="D33" s="33"/>
      <c r="F33" s="30"/>
      <c r="G33" s="33"/>
    </row>
    <row r="34" spans="1:7" x14ac:dyDescent="0.45">
      <c r="A34" s="31"/>
      <c r="B34" s="29"/>
      <c r="C34" s="33"/>
      <c r="D34" s="33"/>
      <c r="F34" s="30"/>
      <c r="G34" s="33"/>
    </row>
    <row r="35" spans="1:7" x14ac:dyDescent="0.45">
      <c r="A35" s="31"/>
      <c r="B35" s="29"/>
      <c r="C35" s="33"/>
      <c r="D35" s="33"/>
      <c r="F35" s="30"/>
      <c r="G35" s="33"/>
    </row>
    <row r="36" spans="1:7" x14ac:dyDescent="0.45">
      <c r="A36" s="31"/>
      <c r="B36" s="29"/>
      <c r="C36" s="33"/>
      <c r="D36" s="33"/>
      <c r="F36" s="30"/>
      <c r="G36" s="33"/>
    </row>
    <row r="37" spans="1:7" x14ac:dyDescent="0.45">
      <c r="A37" s="31"/>
      <c r="B37" s="29"/>
      <c r="C37" s="33"/>
      <c r="D37" s="33"/>
      <c r="F37" s="30"/>
      <c r="G37" s="33"/>
    </row>
    <row r="38" spans="1:7" x14ac:dyDescent="0.45">
      <c r="A38" s="31"/>
      <c r="B38" s="29"/>
      <c r="C38" s="33"/>
      <c r="D38" s="33"/>
      <c r="F38" s="30"/>
      <c r="G38" s="33"/>
    </row>
    <row r="39" spans="1:7" x14ac:dyDescent="0.45">
      <c r="A39" s="31"/>
      <c r="B39" s="29"/>
      <c r="C39" s="33"/>
      <c r="D39" s="33"/>
      <c r="F39" s="30"/>
      <c r="G39" s="33"/>
    </row>
    <row r="40" spans="1:7" x14ac:dyDescent="0.45">
      <c r="A40" s="31"/>
      <c r="B40" s="29"/>
      <c r="C40" s="33"/>
      <c r="D40" s="33"/>
      <c r="F40" s="30"/>
      <c r="G40" s="33"/>
    </row>
    <row r="41" spans="1:7" x14ac:dyDescent="0.45">
      <c r="A41" s="31"/>
      <c r="B41" s="29"/>
      <c r="C41" s="33"/>
      <c r="D41" s="33"/>
      <c r="F41" s="30"/>
      <c r="G41" s="33"/>
    </row>
    <row r="42" spans="1:7" x14ac:dyDescent="0.45">
      <c r="A42" s="31"/>
      <c r="B42" s="29"/>
      <c r="C42" s="33"/>
      <c r="D42" s="33"/>
      <c r="F42" s="30"/>
      <c r="G42" s="33"/>
    </row>
    <row r="43" spans="1:7" x14ac:dyDescent="0.45">
      <c r="A43" s="31"/>
      <c r="B43" s="29"/>
      <c r="C43" s="33"/>
      <c r="D43" s="33"/>
      <c r="F43" s="30"/>
      <c r="G43" s="33"/>
    </row>
    <row r="44" spans="1:7" x14ac:dyDescent="0.45">
      <c r="A44" s="31"/>
      <c r="B44" s="29"/>
      <c r="C44" s="33"/>
      <c r="D44" s="33"/>
      <c r="F44" s="30"/>
      <c r="G44" s="33"/>
    </row>
    <row r="45" spans="1:7" x14ac:dyDescent="0.45">
      <c r="A45" s="31"/>
      <c r="B45" s="29"/>
      <c r="C45" s="33"/>
      <c r="D45" s="33"/>
      <c r="F45" s="30"/>
      <c r="G45" s="33"/>
    </row>
    <row r="46" spans="1:7" x14ac:dyDescent="0.45">
      <c r="A46" s="31"/>
      <c r="B46" s="29"/>
      <c r="C46" s="33"/>
      <c r="D46" s="33"/>
      <c r="F46" s="30"/>
      <c r="G46" s="33"/>
    </row>
    <row r="47" spans="1:7" x14ac:dyDescent="0.45">
      <c r="A47" s="31"/>
      <c r="B47" s="29"/>
      <c r="C47" s="33"/>
      <c r="D47" s="33"/>
      <c r="F47" s="30"/>
      <c r="G47" s="33"/>
    </row>
    <row r="48" spans="1:7" x14ac:dyDescent="0.45">
      <c r="A48" s="31"/>
      <c r="B48" s="29"/>
      <c r="C48" s="33"/>
      <c r="D48" s="33"/>
      <c r="F48" s="30"/>
      <c r="G48" s="33"/>
    </row>
    <row r="49" spans="1:7" x14ac:dyDescent="0.45">
      <c r="A49" s="31"/>
      <c r="B49" s="29"/>
      <c r="C49" s="33"/>
      <c r="D49" s="33"/>
      <c r="F49" s="30"/>
      <c r="G49" s="33"/>
    </row>
    <row r="50" spans="1:7" x14ac:dyDescent="0.45">
      <c r="A50" s="31"/>
      <c r="B50" s="29"/>
      <c r="C50" s="33"/>
      <c r="D50" s="33"/>
      <c r="F50" s="30"/>
      <c r="G50" s="33"/>
    </row>
    <row r="51" spans="1:7" x14ac:dyDescent="0.45">
      <c r="A51" s="31"/>
      <c r="B51" s="29"/>
      <c r="C51" s="33"/>
      <c r="D51" s="33"/>
      <c r="F51" s="30"/>
      <c r="G51" s="33"/>
    </row>
    <row r="52" spans="1:7" x14ac:dyDescent="0.45">
      <c r="A52" s="31"/>
      <c r="B52" s="29"/>
      <c r="C52" s="33"/>
      <c r="D52" s="33"/>
      <c r="F52" s="30"/>
      <c r="G52" s="33"/>
    </row>
    <row r="53" spans="1:7" x14ac:dyDescent="0.45">
      <c r="A53" s="31"/>
      <c r="B53" s="29"/>
      <c r="C53" s="33"/>
      <c r="D53" s="33"/>
      <c r="F53" s="30"/>
      <c r="G53" s="33"/>
    </row>
    <row r="54" spans="1:7" x14ac:dyDescent="0.45">
      <c r="A54" s="31"/>
      <c r="B54" s="29"/>
      <c r="C54" s="33"/>
      <c r="D54" s="33"/>
      <c r="F54" s="30"/>
      <c r="G54" s="33"/>
    </row>
    <row r="55" spans="1:7" x14ac:dyDescent="0.45">
      <c r="A55" s="31"/>
      <c r="B55" s="29"/>
      <c r="C55" s="33"/>
      <c r="D55" s="33"/>
      <c r="F55" s="30"/>
      <c r="G55" s="33"/>
    </row>
    <row r="56" spans="1:7" x14ac:dyDescent="0.45">
      <c r="A56" s="31"/>
      <c r="B56" s="29"/>
      <c r="C56" s="33"/>
      <c r="D56" s="33"/>
      <c r="F56" s="30"/>
      <c r="G56" s="33"/>
    </row>
    <row r="57" spans="1:7" x14ac:dyDescent="0.45">
      <c r="A57" s="31"/>
      <c r="B57" s="29"/>
      <c r="C57" s="33"/>
      <c r="D57" s="33"/>
      <c r="F57" s="30"/>
      <c r="G57" s="33"/>
    </row>
    <row r="58" spans="1:7" x14ac:dyDescent="0.45">
      <c r="A58" s="31"/>
      <c r="B58" s="29"/>
      <c r="C58" s="33"/>
      <c r="D58" s="33"/>
      <c r="F58" s="30"/>
      <c r="G58" s="33"/>
    </row>
    <row r="59" spans="1:7" x14ac:dyDescent="0.45">
      <c r="A59" s="31"/>
      <c r="B59" s="29"/>
      <c r="C59" s="33"/>
      <c r="D59" s="33"/>
      <c r="F59" s="30"/>
      <c r="G59" s="33"/>
    </row>
    <row r="60" spans="1:7" x14ac:dyDescent="0.45">
      <c r="A60" s="31"/>
      <c r="B60" s="29"/>
      <c r="C60" s="33"/>
      <c r="D60" s="33"/>
      <c r="F60" s="30"/>
      <c r="G60" s="33"/>
    </row>
    <row r="61" spans="1:7" x14ac:dyDescent="0.45">
      <c r="A61" s="31"/>
      <c r="B61" s="29"/>
      <c r="C61" s="33"/>
      <c r="D61" s="33"/>
      <c r="F61" s="30"/>
      <c r="G61" s="33"/>
    </row>
    <row r="62" spans="1:7" x14ac:dyDescent="0.45">
      <c r="A62" s="31"/>
      <c r="B62" s="29"/>
      <c r="C62" s="33"/>
      <c r="D62" s="33"/>
      <c r="F62" s="30"/>
      <c r="G62" s="33"/>
    </row>
    <row r="63" spans="1:7" x14ac:dyDescent="0.45">
      <c r="A63" s="31"/>
      <c r="B63" s="29"/>
      <c r="C63" s="33"/>
      <c r="D63" s="33"/>
      <c r="F63" s="30"/>
      <c r="G63" s="33"/>
    </row>
    <row r="64" spans="1:7" x14ac:dyDescent="0.45">
      <c r="A64" s="31"/>
      <c r="B64" s="29"/>
      <c r="C64" s="33"/>
      <c r="D64" s="33"/>
      <c r="F64" s="30"/>
      <c r="G64" s="33"/>
    </row>
    <row r="65" spans="1:7" x14ac:dyDescent="0.45">
      <c r="A65" s="31"/>
      <c r="B65" s="29"/>
      <c r="C65" s="33"/>
      <c r="D65" s="33"/>
      <c r="F65" s="30"/>
      <c r="G65" s="33"/>
    </row>
    <row r="66" spans="1:7" x14ac:dyDescent="0.45">
      <c r="A66" s="31"/>
      <c r="B66" s="29"/>
      <c r="C66" s="33"/>
      <c r="D66" s="33"/>
      <c r="F66" s="30"/>
      <c r="G66" s="33"/>
    </row>
    <row r="67" spans="1:7" x14ac:dyDescent="0.45">
      <c r="A67" s="31"/>
      <c r="B67" s="29"/>
      <c r="C67" s="33"/>
      <c r="D67" s="33"/>
      <c r="F67" s="30"/>
      <c r="G67" s="33"/>
    </row>
    <row r="68" spans="1:7" x14ac:dyDescent="0.45">
      <c r="A68" s="31"/>
      <c r="B68" s="29"/>
      <c r="C68" s="33"/>
      <c r="D68" s="33"/>
      <c r="F68" s="30"/>
      <c r="G68" s="33"/>
    </row>
    <row r="69" spans="1:7" x14ac:dyDescent="0.45">
      <c r="A69" s="31"/>
      <c r="B69" s="29"/>
      <c r="C69" s="33"/>
      <c r="D69" s="33"/>
      <c r="F69" s="30"/>
      <c r="G69" s="33"/>
    </row>
    <row r="70" spans="1:7" x14ac:dyDescent="0.45">
      <c r="A70" s="31"/>
      <c r="B70" s="29"/>
      <c r="C70" s="33"/>
      <c r="D70" s="33"/>
      <c r="F70" s="30"/>
      <c r="G70" s="33"/>
    </row>
    <row r="71" spans="1:7" x14ac:dyDescent="0.45">
      <c r="A71" s="31"/>
      <c r="B71" s="29"/>
      <c r="C71" s="33"/>
      <c r="D71" s="33"/>
      <c r="F71" s="30"/>
      <c r="G71" s="33"/>
    </row>
    <row r="72" spans="1:7" x14ac:dyDescent="0.45">
      <c r="A72" s="31"/>
      <c r="B72" s="29"/>
      <c r="C72" s="33"/>
      <c r="D72" s="33"/>
      <c r="F72" s="30"/>
      <c r="G72" s="33"/>
    </row>
    <row r="73" spans="1:7" x14ac:dyDescent="0.45">
      <c r="A73" s="31"/>
      <c r="B73" s="29"/>
      <c r="C73" s="33"/>
      <c r="D73" s="33"/>
      <c r="F73" s="30"/>
      <c r="G73" s="33"/>
    </row>
    <row r="74" spans="1:7" x14ac:dyDescent="0.45">
      <c r="A74" s="31"/>
      <c r="B74" s="29"/>
      <c r="C74" s="33"/>
      <c r="D74" s="33"/>
      <c r="F74" s="30"/>
      <c r="G74" s="33"/>
    </row>
    <row r="75" spans="1:7" x14ac:dyDescent="0.45">
      <c r="A75" s="31"/>
      <c r="B75" s="29"/>
      <c r="C75" s="33"/>
      <c r="D75" s="33"/>
      <c r="F75" s="30"/>
      <c r="G75" s="33"/>
    </row>
    <row r="76" spans="1:7" x14ac:dyDescent="0.45">
      <c r="A76" s="31"/>
      <c r="B76" s="29"/>
      <c r="C76" s="33"/>
      <c r="D76" s="33"/>
      <c r="F76" s="30"/>
      <c r="G76" s="33"/>
    </row>
    <row r="77" spans="1:7" x14ac:dyDescent="0.45">
      <c r="A77" s="31"/>
      <c r="B77" s="29"/>
      <c r="C77" s="33"/>
      <c r="D77" s="33"/>
      <c r="F77" s="30"/>
      <c r="G77" s="33"/>
    </row>
    <row r="78" spans="1:7" x14ac:dyDescent="0.45">
      <c r="A78" s="31"/>
      <c r="B78" s="29"/>
      <c r="C78" s="33"/>
      <c r="D78" s="33"/>
      <c r="F78" s="30"/>
      <c r="G78" s="33"/>
    </row>
    <row r="79" spans="1:7" x14ac:dyDescent="0.45">
      <c r="A79" s="31"/>
      <c r="B79" s="29"/>
      <c r="C79" s="33"/>
      <c r="D79" s="33"/>
      <c r="F79" s="30"/>
      <c r="G79" s="33"/>
    </row>
    <row r="80" spans="1:7" x14ac:dyDescent="0.45">
      <c r="A80" s="32"/>
    </row>
    <row r="81" spans="1:1" x14ac:dyDescent="0.45">
      <c r="A81" s="32"/>
    </row>
    <row r="82" spans="1:1" x14ac:dyDescent="0.45">
      <c r="A82" s="32"/>
    </row>
    <row r="83" spans="1:1" x14ac:dyDescent="0.45">
      <c r="A83" s="32"/>
    </row>
    <row r="84" spans="1:1" x14ac:dyDescent="0.45">
      <c r="A84" s="32"/>
    </row>
    <row r="85" spans="1:1" x14ac:dyDescent="0.45">
      <c r="A85" s="32"/>
    </row>
    <row r="86" spans="1:1" x14ac:dyDescent="0.45">
      <c r="A86" s="32"/>
    </row>
    <row r="87" spans="1:1" x14ac:dyDescent="0.45">
      <c r="A87" s="32"/>
    </row>
    <row r="88" spans="1:1" x14ac:dyDescent="0.45">
      <c r="A88" s="32"/>
    </row>
    <row r="89" spans="1:1" x14ac:dyDescent="0.45">
      <c r="A89" s="32"/>
    </row>
    <row r="90" spans="1:1" x14ac:dyDescent="0.45">
      <c r="A90" s="32"/>
    </row>
    <row r="91" spans="1:1" x14ac:dyDescent="0.45">
      <c r="A91" s="32"/>
    </row>
    <row r="92" spans="1:1" x14ac:dyDescent="0.45">
      <c r="A92" s="32"/>
    </row>
    <row r="93" spans="1:1" x14ac:dyDescent="0.45">
      <c r="A93" s="12"/>
    </row>
    <row r="94" spans="1:1" ht="26.25" x14ac:dyDescent="0.45">
      <c r="A94" s="11" t="s">
        <v>68</v>
      </c>
    </row>
    <row r="95" spans="1:1" ht="187.5" customHeight="1" x14ac:dyDescent="0.45">
      <c r="A95" s="12"/>
    </row>
    <row r="96" spans="1:1" x14ac:dyDescent="0.45">
      <c r="A96" s="12"/>
    </row>
    <row r="97" spans="1:1" ht="26.25" x14ac:dyDescent="0.45">
      <c r="A97" s="11" t="s">
        <v>69</v>
      </c>
    </row>
    <row r="98" spans="1:1" ht="187.5" customHeight="1" x14ac:dyDescent="0.45">
      <c r="A98" s="12"/>
    </row>
    <row r="99" spans="1:1" ht="26.25" x14ac:dyDescent="0.45">
      <c r="A99" s="11" t="s">
        <v>70</v>
      </c>
    </row>
    <row r="100" spans="1:1" ht="187.5" customHeight="1" x14ac:dyDescent="0.45">
      <c r="A100" s="12"/>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rgb="FF7030A0"/>
  </sheetPr>
  <dimension ref="A1:H23"/>
  <sheetViews>
    <sheetView workbookViewId="0">
      <selection activeCell="C3" sqref="C3:D22"/>
    </sheetView>
  </sheetViews>
  <sheetFormatPr defaultRowHeight="14.25" x14ac:dyDescent="0.45"/>
  <cols>
    <col min="1" max="1" width="42.73046875" customWidth="1"/>
    <col min="2" max="2" width="14" customWidth="1"/>
    <col min="3" max="4" width="15" bestFit="1" customWidth="1"/>
    <col min="5" max="5" width="9.265625" bestFit="1" customWidth="1"/>
    <col min="7" max="7" width="16" customWidth="1"/>
    <col min="8" max="8" width="16.73046875" style="137" bestFit="1" customWidth="1"/>
    <col min="243" max="243" width="28.3984375" customWidth="1"/>
    <col min="244" max="255" width="12.3984375" customWidth="1"/>
    <col min="256" max="256" width="20.3984375" customWidth="1"/>
    <col min="257" max="257" width="17.265625" customWidth="1"/>
    <col min="499" max="499" width="28.3984375" customWidth="1"/>
    <col min="500" max="511" width="12.3984375" customWidth="1"/>
    <col min="512" max="512" width="20.3984375" customWidth="1"/>
    <col min="513" max="513" width="17.265625" customWidth="1"/>
    <col min="755" max="755" width="28.3984375" customWidth="1"/>
    <col min="756" max="767" width="12.3984375" customWidth="1"/>
    <col min="768" max="768" width="20.3984375" customWidth="1"/>
    <col min="769" max="769" width="17.265625" customWidth="1"/>
    <col min="1011" max="1011" width="28.3984375" customWidth="1"/>
    <col min="1012" max="1023" width="12.3984375" customWidth="1"/>
    <col min="1024" max="1024" width="20.3984375" customWidth="1"/>
    <col min="1025" max="1025" width="17.265625" customWidth="1"/>
    <col min="1267" max="1267" width="28.3984375" customWidth="1"/>
    <col min="1268" max="1279" width="12.3984375" customWidth="1"/>
    <col min="1280" max="1280" width="20.3984375" customWidth="1"/>
    <col min="1281" max="1281" width="17.265625" customWidth="1"/>
    <col min="1523" max="1523" width="28.3984375" customWidth="1"/>
    <col min="1524" max="1535" width="12.3984375" customWidth="1"/>
    <col min="1536" max="1536" width="20.3984375" customWidth="1"/>
    <col min="1537" max="1537" width="17.265625" customWidth="1"/>
    <col min="1779" max="1779" width="28.3984375" customWidth="1"/>
    <col min="1780" max="1791" width="12.3984375" customWidth="1"/>
    <col min="1792" max="1792" width="20.3984375" customWidth="1"/>
    <col min="1793" max="1793" width="17.265625" customWidth="1"/>
    <col min="2035" max="2035" width="28.3984375" customWidth="1"/>
    <col min="2036" max="2047" width="12.3984375" customWidth="1"/>
    <col min="2048" max="2048" width="20.3984375" customWidth="1"/>
    <col min="2049" max="2049" width="17.265625" customWidth="1"/>
    <col min="2291" max="2291" width="28.3984375" customWidth="1"/>
    <col min="2292" max="2303" width="12.3984375" customWidth="1"/>
    <col min="2304" max="2304" width="20.3984375" customWidth="1"/>
    <col min="2305" max="2305" width="17.265625" customWidth="1"/>
    <col min="2547" max="2547" width="28.3984375" customWidth="1"/>
    <col min="2548" max="2559" width="12.3984375" customWidth="1"/>
    <col min="2560" max="2560" width="20.3984375" customWidth="1"/>
    <col min="2561" max="2561" width="17.265625" customWidth="1"/>
    <col min="2803" max="2803" width="28.3984375" customWidth="1"/>
    <col min="2804" max="2815" width="12.3984375" customWidth="1"/>
    <col min="2816" max="2816" width="20.3984375" customWidth="1"/>
    <col min="2817" max="2817" width="17.265625" customWidth="1"/>
    <col min="3059" max="3059" width="28.3984375" customWidth="1"/>
    <col min="3060" max="3071" width="12.3984375" customWidth="1"/>
    <col min="3072" max="3072" width="20.3984375" customWidth="1"/>
    <col min="3073" max="3073" width="17.265625" customWidth="1"/>
    <col min="3315" max="3315" width="28.3984375" customWidth="1"/>
    <col min="3316" max="3327" width="12.3984375" customWidth="1"/>
    <col min="3328" max="3328" width="20.3984375" customWidth="1"/>
    <col min="3329" max="3329" width="17.265625" customWidth="1"/>
    <col min="3571" max="3571" width="28.3984375" customWidth="1"/>
    <col min="3572" max="3583" width="12.3984375" customWidth="1"/>
    <col min="3584" max="3584" width="20.3984375" customWidth="1"/>
    <col min="3585" max="3585" width="17.265625" customWidth="1"/>
    <col min="3827" max="3827" width="28.3984375" customWidth="1"/>
    <col min="3828" max="3839" width="12.3984375" customWidth="1"/>
    <col min="3840" max="3840" width="20.3984375" customWidth="1"/>
    <col min="3841" max="3841" width="17.265625" customWidth="1"/>
    <col min="4083" max="4083" width="28.3984375" customWidth="1"/>
    <col min="4084" max="4095" width="12.3984375" customWidth="1"/>
    <col min="4096" max="4096" width="20.3984375" customWidth="1"/>
    <col min="4097" max="4097" width="17.265625" customWidth="1"/>
    <col min="4339" max="4339" width="28.3984375" customWidth="1"/>
    <col min="4340" max="4351" width="12.3984375" customWidth="1"/>
    <col min="4352" max="4352" width="20.3984375" customWidth="1"/>
    <col min="4353" max="4353" width="17.265625" customWidth="1"/>
    <col min="4595" max="4595" width="28.3984375" customWidth="1"/>
    <col min="4596" max="4607" width="12.3984375" customWidth="1"/>
    <col min="4608" max="4608" width="20.3984375" customWidth="1"/>
    <col min="4609" max="4609" width="17.265625" customWidth="1"/>
    <col min="4851" max="4851" width="28.3984375" customWidth="1"/>
    <col min="4852" max="4863" width="12.3984375" customWidth="1"/>
    <col min="4864" max="4864" width="20.3984375" customWidth="1"/>
    <col min="4865" max="4865" width="17.265625" customWidth="1"/>
    <col min="5107" max="5107" width="28.3984375" customWidth="1"/>
    <col min="5108" max="5119" width="12.3984375" customWidth="1"/>
    <col min="5120" max="5120" width="20.3984375" customWidth="1"/>
    <col min="5121" max="5121" width="17.265625" customWidth="1"/>
    <col min="5363" max="5363" width="28.3984375" customWidth="1"/>
    <col min="5364" max="5375" width="12.3984375" customWidth="1"/>
    <col min="5376" max="5376" width="20.3984375" customWidth="1"/>
    <col min="5377" max="5377" width="17.265625" customWidth="1"/>
    <col min="5619" max="5619" width="28.3984375" customWidth="1"/>
    <col min="5620" max="5631" width="12.3984375" customWidth="1"/>
    <col min="5632" max="5632" width="20.3984375" customWidth="1"/>
    <col min="5633" max="5633" width="17.265625" customWidth="1"/>
    <col min="5875" max="5875" width="28.3984375" customWidth="1"/>
    <col min="5876" max="5887" width="12.3984375" customWidth="1"/>
    <col min="5888" max="5888" width="20.3984375" customWidth="1"/>
    <col min="5889" max="5889" width="17.265625" customWidth="1"/>
    <col min="6131" max="6131" width="28.3984375" customWidth="1"/>
    <col min="6132" max="6143" width="12.3984375" customWidth="1"/>
    <col min="6144" max="6144" width="20.3984375" customWidth="1"/>
    <col min="6145" max="6145" width="17.265625" customWidth="1"/>
    <col min="6387" max="6387" width="28.3984375" customWidth="1"/>
    <col min="6388" max="6399" width="12.3984375" customWidth="1"/>
    <col min="6400" max="6400" width="20.3984375" customWidth="1"/>
    <col min="6401" max="6401" width="17.265625" customWidth="1"/>
    <col min="6643" max="6643" width="28.3984375" customWidth="1"/>
    <col min="6644" max="6655" width="12.3984375" customWidth="1"/>
    <col min="6656" max="6656" width="20.3984375" customWidth="1"/>
    <col min="6657" max="6657" width="17.265625" customWidth="1"/>
    <col min="6899" max="6899" width="28.3984375" customWidth="1"/>
    <col min="6900" max="6911" width="12.3984375" customWidth="1"/>
    <col min="6912" max="6912" width="20.3984375" customWidth="1"/>
    <col min="6913" max="6913" width="17.265625" customWidth="1"/>
    <col min="7155" max="7155" width="28.3984375" customWidth="1"/>
    <col min="7156" max="7167" width="12.3984375" customWidth="1"/>
    <col min="7168" max="7168" width="20.3984375" customWidth="1"/>
    <col min="7169" max="7169" width="17.265625" customWidth="1"/>
    <col min="7411" max="7411" width="28.3984375" customWidth="1"/>
    <col min="7412" max="7423" width="12.3984375" customWidth="1"/>
    <col min="7424" max="7424" width="20.3984375" customWidth="1"/>
    <col min="7425" max="7425" width="17.265625" customWidth="1"/>
    <col min="7667" max="7667" width="28.3984375" customWidth="1"/>
    <col min="7668" max="7679" width="12.3984375" customWidth="1"/>
    <col min="7680" max="7680" width="20.3984375" customWidth="1"/>
    <col min="7681" max="7681" width="17.265625" customWidth="1"/>
    <col min="7923" max="7923" width="28.3984375" customWidth="1"/>
    <col min="7924" max="7935" width="12.3984375" customWidth="1"/>
    <col min="7936" max="7936" width="20.3984375" customWidth="1"/>
    <col min="7937" max="7937" width="17.265625" customWidth="1"/>
    <col min="8179" max="8179" width="28.3984375" customWidth="1"/>
    <col min="8180" max="8191" width="12.3984375" customWidth="1"/>
    <col min="8192" max="8192" width="20.3984375" customWidth="1"/>
    <col min="8193" max="8193" width="17.265625" customWidth="1"/>
    <col min="8435" max="8435" width="28.3984375" customWidth="1"/>
    <col min="8436" max="8447" width="12.3984375" customWidth="1"/>
    <col min="8448" max="8448" width="20.3984375" customWidth="1"/>
    <col min="8449" max="8449" width="17.265625" customWidth="1"/>
    <col min="8691" max="8691" width="28.3984375" customWidth="1"/>
    <col min="8692" max="8703" width="12.3984375" customWidth="1"/>
    <col min="8704" max="8704" width="20.3984375" customWidth="1"/>
    <col min="8705" max="8705" width="17.265625" customWidth="1"/>
    <col min="8947" max="8947" width="28.3984375" customWidth="1"/>
    <col min="8948" max="8959" width="12.3984375" customWidth="1"/>
    <col min="8960" max="8960" width="20.3984375" customWidth="1"/>
    <col min="8961" max="8961" width="17.265625" customWidth="1"/>
    <col min="9203" max="9203" width="28.3984375" customWidth="1"/>
    <col min="9204" max="9215" width="12.3984375" customWidth="1"/>
    <col min="9216" max="9216" width="20.3984375" customWidth="1"/>
    <col min="9217" max="9217" width="17.265625" customWidth="1"/>
    <col min="9459" max="9459" width="28.3984375" customWidth="1"/>
    <col min="9460" max="9471" width="12.3984375" customWidth="1"/>
    <col min="9472" max="9472" width="20.3984375" customWidth="1"/>
    <col min="9473" max="9473" width="17.265625" customWidth="1"/>
    <col min="9715" max="9715" width="28.3984375" customWidth="1"/>
    <col min="9716" max="9727" width="12.3984375" customWidth="1"/>
    <col min="9728" max="9728" width="20.3984375" customWidth="1"/>
    <col min="9729" max="9729" width="17.265625" customWidth="1"/>
    <col min="9971" max="9971" width="28.3984375" customWidth="1"/>
    <col min="9972" max="9983" width="12.3984375" customWidth="1"/>
    <col min="9984" max="9984" width="20.3984375" customWidth="1"/>
    <col min="9985" max="9985" width="17.265625" customWidth="1"/>
    <col min="10227" max="10227" width="28.3984375" customWidth="1"/>
    <col min="10228" max="10239" width="12.3984375" customWidth="1"/>
    <col min="10240" max="10240" width="20.3984375" customWidth="1"/>
    <col min="10241" max="10241" width="17.265625" customWidth="1"/>
    <col min="10483" max="10483" width="28.3984375" customWidth="1"/>
    <col min="10484" max="10495" width="12.3984375" customWidth="1"/>
    <col min="10496" max="10496" width="20.3984375" customWidth="1"/>
    <col min="10497" max="10497" width="17.265625" customWidth="1"/>
    <col min="10739" max="10739" width="28.3984375" customWidth="1"/>
    <col min="10740" max="10751" width="12.3984375" customWidth="1"/>
    <col min="10752" max="10752" width="20.3984375" customWidth="1"/>
    <col min="10753" max="10753" width="17.265625" customWidth="1"/>
    <col min="10995" max="10995" width="28.3984375" customWidth="1"/>
    <col min="10996" max="11007" width="12.3984375" customWidth="1"/>
    <col min="11008" max="11008" width="20.3984375" customWidth="1"/>
    <col min="11009" max="11009" width="17.265625" customWidth="1"/>
    <col min="11251" max="11251" width="28.3984375" customWidth="1"/>
    <col min="11252" max="11263" width="12.3984375" customWidth="1"/>
    <col min="11264" max="11264" width="20.3984375" customWidth="1"/>
    <col min="11265" max="11265" width="17.265625" customWidth="1"/>
    <col min="11507" max="11507" width="28.3984375" customWidth="1"/>
    <col min="11508" max="11519" width="12.3984375" customWidth="1"/>
    <col min="11520" max="11520" width="20.3984375" customWidth="1"/>
    <col min="11521" max="11521" width="17.265625" customWidth="1"/>
    <col min="11763" max="11763" width="28.3984375" customWidth="1"/>
    <col min="11764" max="11775" width="12.3984375" customWidth="1"/>
    <col min="11776" max="11776" width="20.3984375" customWidth="1"/>
    <col min="11777" max="11777" width="17.265625" customWidth="1"/>
    <col min="12019" max="12019" width="28.3984375" customWidth="1"/>
    <col min="12020" max="12031" width="12.3984375" customWidth="1"/>
    <col min="12032" max="12032" width="20.3984375" customWidth="1"/>
    <col min="12033" max="12033" width="17.265625" customWidth="1"/>
    <col min="12275" max="12275" width="28.3984375" customWidth="1"/>
    <col min="12276" max="12287" width="12.3984375" customWidth="1"/>
    <col min="12288" max="12288" width="20.3984375" customWidth="1"/>
    <col min="12289" max="12289" width="17.265625" customWidth="1"/>
    <col min="12531" max="12531" width="28.3984375" customWidth="1"/>
    <col min="12532" max="12543" width="12.3984375" customWidth="1"/>
    <col min="12544" max="12544" width="20.3984375" customWidth="1"/>
    <col min="12545" max="12545" width="17.265625" customWidth="1"/>
    <col min="12787" max="12787" width="28.3984375" customWidth="1"/>
    <col min="12788" max="12799" width="12.3984375" customWidth="1"/>
    <col min="12800" max="12800" width="20.3984375" customWidth="1"/>
    <col min="12801" max="12801" width="17.265625" customWidth="1"/>
    <col min="13043" max="13043" width="28.3984375" customWidth="1"/>
    <col min="13044" max="13055" width="12.3984375" customWidth="1"/>
    <col min="13056" max="13056" width="20.3984375" customWidth="1"/>
    <col min="13057" max="13057" width="17.265625" customWidth="1"/>
    <col min="13299" max="13299" width="28.3984375" customWidth="1"/>
    <col min="13300" max="13311" width="12.3984375" customWidth="1"/>
    <col min="13312" max="13312" width="20.3984375" customWidth="1"/>
    <col min="13313" max="13313" width="17.265625" customWidth="1"/>
    <col min="13555" max="13555" width="28.3984375" customWidth="1"/>
    <col min="13556" max="13567" width="12.3984375" customWidth="1"/>
    <col min="13568" max="13568" width="20.3984375" customWidth="1"/>
    <col min="13569" max="13569" width="17.265625" customWidth="1"/>
    <col min="13811" max="13811" width="28.3984375" customWidth="1"/>
    <col min="13812" max="13823" width="12.3984375" customWidth="1"/>
    <col min="13824" max="13824" width="20.3984375" customWidth="1"/>
    <col min="13825" max="13825" width="17.265625" customWidth="1"/>
    <col min="14067" max="14067" width="28.3984375" customWidth="1"/>
    <col min="14068" max="14079" width="12.3984375" customWidth="1"/>
    <col min="14080" max="14080" width="20.3984375" customWidth="1"/>
    <col min="14081" max="14081" width="17.265625" customWidth="1"/>
    <col min="14323" max="14323" width="28.3984375" customWidth="1"/>
    <col min="14324" max="14335" width="12.3984375" customWidth="1"/>
    <col min="14336" max="14336" width="20.3984375" customWidth="1"/>
    <col min="14337" max="14337" width="17.265625" customWidth="1"/>
    <col min="14579" max="14579" width="28.3984375" customWidth="1"/>
    <col min="14580" max="14591" width="12.3984375" customWidth="1"/>
    <col min="14592" max="14592" width="20.3984375" customWidth="1"/>
    <col min="14593" max="14593" width="17.265625" customWidth="1"/>
    <col min="14835" max="14835" width="28.3984375" customWidth="1"/>
    <col min="14836" max="14847" width="12.3984375" customWidth="1"/>
    <col min="14848" max="14848" width="20.3984375" customWidth="1"/>
    <col min="14849" max="14849" width="17.265625" customWidth="1"/>
    <col min="15091" max="15091" width="28.3984375" customWidth="1"/>
    <col min="15092" max="15103" width="12.3984375" customWidth="1"/>
    <col min="15104" max="15104" width="20.3984375" customWidth="1"/>
    <col min="15105" max="15105" width="17.265625" customWidth="1"/>
    <col min="15347" max="15347" width="28.3984375" customWidth="1"/>
    <col min="15348" max="15359" width="12.3984375" customWidth="1"/>
    <col min="15360" max="15360" width="20.3984375" customWidth="1"/>
    <col min="15361" max="15361" width="17.265625" customWidth="1"/>
    <col min="15603" max="15603" width="28.3984375" customWidth="1"/>
    <col min="15604" max="15615" width="12.3984375" customWidth="1"/>
    <col min="15616" max="15616" width="20.3984375" customWidth="1"/>
    <col min="15617" max="15617" width="17.265625" customWidth="1"/>
    <col min="15859" max="15859" width="28.3984375" customWidth="1"/>
    <col min="15860" max="15871" width="12.3984375" customWidth="1"/>
    <col min="15872" max="15872" width="20.3984375" customWidth="1"/>
    <col min="15873" max="15873" width="17.265625" customWidth="1"/>
    <col min="16115" max="16115" width="28.3984375" customWidth="1"/>
    <col min="16116" max="16127" width="12.3984375" customWidth="1"/>
    <col min="16128" max="16128" width="20.3984375" customWidth="1"/>
    <col min="16129" max="16129" width="17.265625" customWidth="1"/>
  </cols>
  <sheetData>
    <row r="1" spans="1:8" ht="14.1" customHeight="1" x14ac:dyDescent="0.45">
      <c r="A1" s="17" t="s">
        <v>71</v>
      </c>
      <c r="B1" s="18"/>
      <c r="C1" s="18"/>
      <c r="D1" s="18"/>
      <c r="E1" s="18"/>
      <c r="F1" s="18"/>
    </row>
    <row r="2" spans="1:8" ht="32.25" customHeight="1" x14ac:dyDescent="0.45">
      <c r="A2" s="17" t="s">
        <v>60</v>
      </c>
      <c r="B2" s="19" t="s">
        <v>56</v>
      </c>
      <c r="C2" s="20" t="s">
        <v>9</v>
      </c>
      <c r="D2" s="20" t="s">
        <v>10</v>
      </c>
      <c r="E2" s="21" t="s">
        <v>11</v>
      </c>
      <c r="F2" s="20" t="s">
        <v>12</v>
      </c>
      <c r="G2" s="27" t="s">
        <v>13</v>
      </c>
      <c r="H2" s="111" t="s">
        <v>14</v>
      </c>
    </row>
    <row r="3" spans="1:8" ht="14.1" customHeight="1" x14ac:dyDescent="0.45">
      <c r="A3" s="112" t="s">
        <v>72</v>
      </c>
      <c r="B3" s="113">
        <v>0</v>
      </c>
      <c r="C3" s="103"/>
      <c r="D3" s="103"/>
      <c r="E3" s="103"/>
      <c r="F3" s="104">
        <f t="shared" ref="F3:F22" si="0">B3/$B$23</f>
        <v>0</v>
      </c>
      <c r="G3" s="78"/>
      <c r="H3" s="139"/>
    </row>
    <row r="4" spans="1:8" ht="14.1" customHeight="1" x14ac:dyDescent="0.45">
      <c r="A4" s="112" t="s">
        <v>16</v>
      </c>
      <c r="B4" s="113">
        <v>4006916</v>
      </c>
      <c r="C4" s="113">
        <v>2748688</v>
      </c>
      <c r="D4" s="113">
        <v>2598468</v>
      </c>
      <c r="E4" s="113">
        <v>69.69</v>
      </c>
      <c r="F4" s="104">
        <f t="shared" si="0"/>
        <v>7.8158270871075512E-3</v>
      </c>
      <c r="G4" s="92">
        <v>57828892</v>
      </c>
      <c r="H4" s="139">
        <v>48905959</v>
      </c>
    </row>
    <row r="5" spans="1:8" ht="14.1" customHeight="1" x14ac:dyDescent="0.45">
      <c r="A5" s="112" t="s">
        <v>17</v>
      </c>
      <c r="B5" s="113">
        <v>143555892</v>
      </c>
      <c r="C5" s="113">
        <v>53303699</v>
      </c>
      <c r="D5" s="113">
        <v>26120794</v>
      </c>
      <c r="E5" s="113">
        <v>37.799999999999997</v>
      </c>
      <c r="F5" s="104">
        <f t="shared" si="0"/>
        <v>0.28001785642810734</v>
      </c>
      <c r="G5" s="92">
        <v>544252546</v>
      </c>
      <c r="H5" s="139">
        <v>465219357</v>
      </c>
    </row>
    <row r="6" spans="1:8" ht="14.1" customHeight="1" x14ac:dyDescent="0.45">
      <c r="A6" s="112" t="s">
        <v>40</v>
      </c>
      <c r="B6" s="113">
        <v>8656754</v>
      </c>
      <c r="C6" s="113">
        <v>1054517</v>
      </c>
      <c r="D6" s="113">
        <v>4299532</v>
      </c>
      <c r="E6" s="113">
        <v>80.56</v>
      </c>
      <c r="F6" s="104">
        <f t="shared" si="0"/>
        <v>1.6885727676753552E-2</v>
      </c>
      <c r="G6" s="92">
        <v>57963733</v>
      </c>
      <c r="H6" s="139">
        <v>52772182</v>
      </c>
    </row>
    <row r="7" spans="1:8" ht="14.1" customHeight="1" x14ac:dyDescent="0.45">
      <c r="A7" s="112" t="s">
        <v>53</v>
      </c>
      <c r="B7" s="113">
        <v>452716</v>
      </c>
      <c r="C7" s="113">
        <v>0</v>
      </c>
      <c r="D7" s="113">
        <v>2820073</v>
      </c>
      <c r="E7" s="113">
        <v>736.1</v>
      </c>
      <c r="F7" s="104">
        <f t="shared" si="0"/>
        <v>8.8306068197261485E-4</v>
      </c>
      <c r="G7" s="92">
        <v>20075563</v>
      </c>
      <c r="H7" s="139">
        <v>11737613</v>
      </c>
    </row>
    <row r="8" spans="1:8" ht="14.1" customHeight="1" x14ac:dyDescent="0.45">
      <c r="A8" s="112" t="s">
        <v>18</v>
      </c>
      <c r="B8" s="113">
        <v>0</v>
      </c>
      <c r="C8" s="113"/>
      <c r="D8" s="113"/>
      <c r="E8" s="113"/>
      <c r="F8" s="104">
        <f t="shared" si="0"/>
        <v>0</v>
      </c>
      <c r="G8" s="93"/>
      <c r="H8" s="139"/>
    </row>
    <row r="9" spans="1:8" ht="14.1" customHeight="1" x14ac:dyDescent="0.45">
      <c r="A9" s="112" t="s">
        <v>19</v>
      </c>
      <c r="B9" s="113">
        <v>6945603</v>
      </c>
      <c r="C9" s="113">
        <v>883838</v>
      </c>
      <c r="D9" s="113">
        <v>1483610</v>
      </c>
      <c r="E9" s="113">
        <v>53.93</v>
      </c>
      <c r="F9" s="104">
        <f t="shared" si="0"/>
        <v>1.3547983552361833E-2</v>
      </c>
      <c r="G9" s="92">
        <v>23030634</v>
      </c>
      <c r="H9" s="139">
        <v>12415672</v>
      </c>
    </row>
    <row r="10" spans="1:8" ht="14.1" customHeight="1" x14ac:dyDescent="0.45">
      <c r="A10" s="112" t="s">
        <v>20</v>
      </c>
      <c r="B10" s="113">
        <v>43573127</v>
      </c>
      <c r="C10" s="113">
        <v>31080294</v>
      </c>
      <c r="D10" s="113">
        <v>10166875</v>
      </c>
      <c r="E10" s="113">
        <v>30.31</v>
      </c>
      <c r="F10" s="104">
        <f t="shared" si="0"/>
        <v>8.4993053579505387E-2</v>
      </c>
      <c r="G10" s="92">
        <v>231512648</v>
      </c>
      <c r="H10" s="139">
        <v>211531485</v>
      </c>
    </row>
    <row r="11" spans="1:8" ht="14.1" customHeight="1" x14ac:dyDescent="0.45">
      <c r="A11" s="112" t="s">
        <v>47</v>
      </c>
      <c r="B11" s="113">
        <v>6196285</v>
      </c>
      <c r="C11" s="113">
        <v>383494</v>
      </c>
      <c r="D11" s="113">
        <v>2638204</v>
      </c>
      <c r="E11" s="113">
        <v>58.92</v>
      </c>
      <c r="F11" s="104">
        <f t="shared" si="0"/>
        <v>1.2086375692038019E-2</v>
      </c>
      <c r="G11" s="92">
        <v>32418694</v>
      </c>
      <c r="H11" s="139">
        <v>28634253</v>
      </c>
    </row>
    <row r="12" spans="1:8" ht="14.1" customHeight="1" x14ac:dyDescent="0.45">
      <c r="A12" s="112" t="s">
        <v>21</v>
      </c>
      <c r="B12" s="113">
        <v>18892213</v>
      </c>
      <c r="C12" s="113">
        <v>11702599</v>
      </c>
      <c r="D12" s="113">
        <v>5470531</v>
      </c>
      <c r="E12" s="113">
        <v>46.83</v>
      </c>
      <c r="F12" s="104">
        <f t="shared" si="0"/>
        <v>3.6850852401399334E-2</v>
      </c>
      <c r="G12" s="92">
        <v>136342433</v>
      </c>
      <c r="H12" s="139">
        <v>129591324</v>
      </c>
    </row>
    <row r="13" spans="1:8" ht="14.1" customHeight="1" x14ac:dyDescent="0.45">
      <c r="A13" s="112" t="s">
        <v>22</v>
      </c>
      <c r="B13" s="113">
        <v>25367000</v>
      </c>
      <c r="C13" s="113">
        <v>28853986</v>
      </c>
      <c r="D13" s="113">
        <v>12650000</v>
      </c>
      <c r="E13" s="113">
        <v>58.03</v>
      </c>
      <c r="F13" s="104">
        <f t="shared" si="0"/>
        <v>4.9480469697557233E-2</v>
      </c>
      <c r="G13" s="92">
        <v>179430400</v>
      </c>
      <c r="H13" s="139">
        <v>157573400</v>
      </c>
    </row>
    <row r="14" spans="1:8" ht="14.1" customHeight="1" x14ac:dyDescent="0.45">
      <c r="A14" s="112" t="s">
        <v>23</v>
      </c>
      <c r="B14" s="113">
        <v>6474073</v>
      </c>
      <c r="C14" s="113">
        <v>4360998</v>
      </c>
      <c r="D14" s="113">
        <v>3443360</v>
      </c>
      <c r="E14" s="113">
        <v>64.42</v>
      </c>
      <c r="F14" s="104">
        <f t="shared" si="0"/>
        <v>1.2628224579030766E-2</v>
      </c>
      <c r="G14" s="92">
        <v>31348588</v>
      </c>
      <c r="H14" s="139">
        <v>24808206</v>
      </c>
    </row>
    <row r="15" spans="1:8" ht="14.1" customHeight="1" x14ac:dyDescent="0.45">
      <c r="A15" s="112" t="s">
        <v>24</v>
      </c>
      <c r="B15" s="113">
        <v>22042156</v>
      </c>
      <c r="C15" s="113">
        <v>4910339</v>
      </c>
      <c r="D15" s="113">
        <v>12464405</v>
      </c>
      <c r="E15" s="113">
        <v>86.54</v>
      </c>
      <c r="F15" s="104">
        <f t="shared" si="0"/>
        <v>4.2995081484875207E-2</v>
      </c>
      <c r="G15" s="92">
        <v>84237173</v>
      </c>
      <c r="H15" s="139">
        <v>70327198</v>
      </c>
    </row>
    <row r="16" spans="1:8" ht="14.1" customHeight="1" x14ac:dyDescent="0.45">
      <c r="A16" s="112" t="s">
        <v>25</v>
      </c>
      <c r="B16" s="113">
        <v>5238257</v>
      </c>
      <c r="C16" s="113">
        <v>4454398</v>
      </c>
      <c r="D16" s="113">
        <v>1901664</v>
      </c>
      <c r="E16" s="113">
        <v>40.98</v>
      </c>
      <c r="F16" s="104">
        <f t="shared" si="0"/>
        <v>1.0217661400895537E-2</v>
      </c>
      <c r="G16" s="92">
        <v>45025690</v>
      </c>
      <c r="H16" s="139">
        <v>37277719</v>
      </c>
    </row>
    <row r="17" spans="1:8" ht="14.1" customHeight="1" x14ac:dyDescent="0.45">
      <c r="A17" s="112" t="s">
        <v>26</v>
      </c>
      <c r="B17" s="113">
        <v>3504897</v>
      </c>
      <c r="C17" s="113">
        <v>814063</v>
      </c>
      <c r="D17" s="113">
        <v>1896979</v>
      </c>
      <c r="E17" s="113">
        <v>72.010000000000005</v>
      </c>
      <c r="F17" s="104">
        <f t="shared" si="0"/>
        <v>6.8365967517467286E-3</v>
      </c>
      <c r="G17" s="92">
        <v>18720754</v>
      </c>
      <c r="H17" s="139">
        <v>16330337</v>
      </c>
    </row>
    <row r="18" spans="1:8" ht="14.1" customHeight="1" x14ac:dyDescent="0.45">
      <c r="A18" s="112" t="s">
        <v>27</v>
      </c>
      <c r="B18" s="113">
        <v>125500434</v>
      </c>
      <c r="C18" s="113">
        <v>81414715</v>
      </c>
      <c r="D18" s="113">
        <v>23850649</v>
      </c>
      <c r="E18" s="113">
        <v>24.74</v>
      </c>
      <c r="F18" s="104">
        <f t="shared" si="0"/>
        <v>0.24479916511874805</v>
      </c>
      <c r="G18" s="92">
        <v>537380805</v>
      </c>
      <c r="H18" s="139">
        <v>488031252</v>
      </c>
    </row>
    <row r="19" spans="1:8" ht="14.1" customHeight="1" x14ac:dyDescent="0.45">
      <c r="A19" s="112" t="s">
        <v>28</v>
      </c>
      <c r="B19" s="113">
        <v>68099204</v>
      </c>
      <c r="C19" s="113">
        <v>27807450</v>
      </c>
      <c r="D19" s="113">
        <v>16936574</v>
      </c>
      <c r="E19" s="113">
        <v>40.08</v>
      </c>
      <c r="F19" s="104">
        <f t="shared" si="0"/>
        <v>0.13283323215002832</v>
      </c>
      <c r="G19" s="92">
        <v>343427087</v>
      </c>
      <c r="H19" s="139">
        <v>311574844</v>
      </c>
    </row>
    <row r="20" spans="1:8" ht="14.1" customHeight="1" x14ac:dyDescent="0.45">
      <c r="A20" s="112" t="s">
        <v>29</v>
      </c>
      <c r="B20" s="113">
        <v>1639003</v>
      </c>
      <c r="C20" s="113">
        <v>1361810</v>
      </c>
      <c r="D20" s="113">
        <v>1457579</v>
      </c>
      <c r="E20" s="113">
        <v>98.1</v>
      </c>
      <c r="F20" s="104">
        <f t="shared" si="0"/>
        <v>3.1970133746877993E-3</v>
      </c>
      <c r="G20" s="92">
        <v>50866722</v>
      </c>
      <c r="H20" s="139">
        <v>48018886</v>
      </c>
    </row>
    <row r="21" spans="1:8" ht="14.1" customHeight="1" x14ac:dyDescent="0.45">
      <c r="A21" s="112" t="s">
        <v>30</v>
      </c>
      <c r="B21" s="113">
        <v>11232050</v>
      </c>
      <c r="C21" s="113">
        <v>8184408</v>
      </c>
      <c r="D21" s="113">
        <v>8071045</v>
      </c>
      <c r="E21" s="113">
        <v>86.98</v>
      </c>
      <c r="F21" s="104">
        <f t="shared" si="0"/>
        <v>2.1909059394743084E-2</v>
      </c>
      <c r="G21" s="92">
        <v>59741791</v>
      </c>
      <c r="H21" s="139">
        <v>41002472</v>
      </c>
    </row>
    <row r="22" spans="1:8" ht="14.1" customHeight="1" x14ac:dyDescent="0.45">
      <c r="A22" s="112" t="s">
        <v>31</v>
      </c>
      <c r="B22" s="113">
        <v>11290341</v>
      </c>
      <c r="C22" s="113">
        <v>3841767</v>
      </c>
      <c r="D22" s="113">
        <v>3356200</v>
      </c>
      <c r="E22" s="113">
        <v>47.42</v>
      </c>
      <c r="F22" s="104">
        <f t="shared" si="0"/>
        <v>2.2022760899025825E-2</v>
      </c>
      <c r="G22" s="92">
        <v>23831387</v>
      </c>
      <c r="H22" s="139">
        <v>15844877</v>
      </c>
    </row>
    <row r="23" spans="1:8" s="40" customFormat="1" ht="14.1" customHeight="1" x14ac:dyDescent="0.75">
      <c r="A23" s="44" t="s">
        <v>67</v>
      </c>
      <c r="B23" s="36">
        <v>512666920</v>
      </c>
      <c r="C23" s="37">
        <v>267161062</v>
      </c>
      <c r="D23" s="37">
        <v>141626542</v>
      </c>
      <c r="E23" s="38"/>
      <c r="F23" s="39"/>
      <c r="G23" s="35">
        <v>2477435539</v>
      </c>
      <c r="H23" s="138">
        <v>2171597036</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rgb="FF7030A0"/>
  </sheetPr>
  <dimension ref="A1:I24"/>
  <sheetViews>
    <sheetView topLeftCell="A42" workbookViewId="0">
      <selection activeCell="D26" sqref="D26"/>
    </sheetView>
  </sheetViews>
  <sheetFormatPr defaultRowHeight="14.25" x14ac:dyDescent="0.45"/>
  <cols>
    <col min="1" max="1" width="42" customWidth="1"/>
    <col min="2" max="2" width="13.73046875" customWidth="1"/>
    <col min="3" max="3" width="20.265625" customWidth="1"/>
    <col min="4" max="4" width="15" bestFit="1" customWidth="1"/>
    <col min="5" max="5" width="9.265625" bestFit="1" customWidth="1"/>
    <col min="7" max="7" width="15.265625" bestFit="1" customWidth="1"/>
    <col min="8" max="8" width="16.73046875" bestFit="1" customWidth="1"/>
    <col min="243" max="243" width="28.3984375" customWidth="1"/>
    <col min="244" max="255" width="12.3984375" customWidth="1"/>
    <col min="256" max="256" width="20.3984375" customWidth="1"/>
    <col min="257" max="257" width="17.265625" customWidth="1"/>
    <col min="499" max="499" width="28.3984375" customWidth="1"/>
    <col min="500" max="511" width="12.3984375" customWidth="1"/>
    <col min="512" max="512" width="20.3984375" customWidth="1"/>
    <col min="513" max="513" width="17.265625" customWidth="1"/>
    <col min="755" max="755" width="28.3984375" customWidth="1"/>
    <col min="756" max="767" width="12.3984375" customWidth="1"/>
    <col min="768" max="768" width="20.3984375" customWidth="1"/>
    <col min="769" max="769" width="17.265625" customWidth="1"/>
    <col min="1011" max="1011" width="28.3984375" customWidth="1"/>
    <col min="1012" max="1023" width="12.3984375" customWidth="1"/>
    <col min="1024" max="1024" width="20.3984375" customWidth="1"/>
    <col min="1025" max="1025" width="17.265625" customWidth="1"/>
    <col min="1267" max="1267" width="28.3984375" customWidth="1"/>
    <col min="1268" max="1279" width="12.3984375" customWidth="1"/>
    <col min="1280" max="1280" width="20.3984375" customWidth="1"/>
    <col min="1281" max="1281" width="17.265625" customWidth="1"/>
    <col min="1523" max="1523" width="28.3984375" customWidth="1"/>
    <col min="1524" max="1535" width="12.3984375" customWidth="1"/>
    <col min="1536" max="1536" width="20.3984375" customWidth="1"/>
    <col min="1537" max="1537" width="17.265625" customWidth="1"/>
    <col min="1779" max="1779" width="28.3984375" customWidth="1"/>
    <col min="1780" max="1791" width="12.3984375" customWidth="1"/>
    <col min="1792" max="1792" width="20.3984375" customWidth="1"/>
    <col min="1793" max="1793" width="17.265625" customWidth="1"/>
    <col min="2035" max="2035" width="28.3984375" customWidth="1"/>
    <col min="2036" max="2047" width="12.3984375" customWidth="1"/>
    <col min="2048" max="2048" width="20.3984375" customWidth="1"/>
    <col min="2049" max="2049" width="17.265625" customWidth="1"/>
    <col min="2291" max="2291" width="28.3984375" customWidth="1"/>
    <col min="2292" max="2303" width="12.3984375" customWidth="1"/>
    <col min="2304" max="2304" width="20.3984375" customWidth="1"/>
    <col min="2305" max="2305" width="17.265625" customWidth="1"/>
    <col min="2547" max="2547" width="28.3984375" customWidth="1"/>
    <col min="2548" max="2559" width="12.3984375" customWidth="1"/>
    <col min="2560" max="2560" width="20.3984375" customWidth="1"/>
    <col min="2561" max="2561" width="17.265625" customWidth="1"/>
    <col min="2803" max="2803" width="28.3984375" customWidth="1"/>
    <col min="2804" max="2815" width="12.3984375" customWidth="1"/>
    <col min="2816" max="2816" width="20.3984375" customWidth="1"/>
    <col min="2817" max="2817" width="17.265625" customWidth="1"/>
    <col min="3059" max="3059" width="28.3984375" customWidth="1"/>
    <col min="3060" max="3071" width="12.3984375" customWidth="1"/>
    <col min="3072" max="3072" width="20.3984375" customWidth="1"/>
    <col min="3073" max="3073" width="17.265625" customWidth="1"/>
    <col min="3315" max="3315" width="28.3984375" customWidth="1"/>
    <col min="3316" max="3327" width="12.3984375" customWidth="1"/>
    <col min="3328" max="3328" width="20.3984375" customWidth="1"/>
    <col min="3329" max="3329" width="17.265625" customWidth="1"/>
    <col min="3571" max="3571" width="28.3984375" customWidth="1"/>
    <col min="3572" max="3583" width="12.3984375" customWidth="1"/>
    <col min="3584" max="3584" width="20.3984375" customWidth="1"/>
    <col min="3585" max="3585" width="17.265625" customWidth="1"/>
    <col min="3827" max="3827" width="28.3984375" customWidth="1"/>
    <col min="3828" max="3839" width="12.3984375" customWidth="1"/>
    <col min="3840" max="3840" width="20.3984375" customWidth="1"/>
    <col min="3841" max="3841" width="17.265625" customWidth="1"/>
    <col min="4083" max="4083" width="28.3984375" customWidth="1"/>
    <col min="4084" max="4095" width="12.3984375" customWidth="1"/>
    <col min="4096" max="4096" width="20.3984375" customWidth="1"/>
    <col min="4097" max="4097" width="17.265625" customWidth="1"/>
    <col min="4339" max="4339" width="28.3984375" customWidth="1"/>
    <col min="4340" max="4351" width="12.3984375" customWidth="1"/>
    <col min="4352" max="4352" width="20.3984375" customWidth="1"/>
    <col min="4353" max="4353" width="17.265625" customWidth="1"/>
    <col min="4595" max="4595" width="28.3984375" customWidth="1"/>
    <col min="4596" max="4607" width="12.3984375" customWidth="1"/>
    <col min="4608" max="4608" width="20.3984375" customWidth="1"/>
    <col min="4609" max="4609" width="17.265625" customWidth="1"/>
    <col min="4851" max="4851" width="28.3984375" customWidth="1"/>
    <col min="4852" max="4863" width="12.3984375" customWidth="1"/>
    <col min="4864" max="4864" width="20.3984375" customWidth="1"/>
    <col min="4865" max="4865" width="17.265625" customWidth="1"/>
    <col min="5107" max="5107" width="28.3984375" customWidth="1"/>
    <col min="5108" max="5119" width="12.3984375" customWidth="1"/>
    <col min="5120" max="5120" width="20.3984375" customWidth="1"/>
    <col min="5121" max="5121" width="17.265625" customWidth="1"/>
    <col min="5363" max="5363" width="28.3984375" customWidth="1"/>
    <col min="5364" max="5375" width="12.3984375" customWidth="1"/>
    <col min="5376" max="5376" width="20.3984375" customWidth="1"/>
    <col min="5377" max="5377" width="17.265625" customWidth="1"/>
    <col min="5619" max="5619" width="28.3984375" customWidth="1"/>
    <col min="5620" max="5631" width="12.3984375" customWidth="1"/>
    <col min="5632" max="5632" width="20.3984375" customWidth="1"/>
    <col min="5633" max="5633" width="17.265625" customWidth="1"/>
    <col min="5875" max="5875" width="28.3984375" customWidth="1"/>
    <col min="5876" max="5887" width="12.3984375" customWidth="1"/>
    <col min="5888" max="5888" width="20.3984375" customWidth="1"/>
    <col min="5889" max="5889" width="17.265625" customWidth="1"/>
    <col min="6131" max="6131" width="28.3984375" customWidth="1"/>
    <col min="6132" max="6143" width="12.3984375" customWidth="1"/>
    <col min="6144" max="6144" width="20.3984375" customWidth="1"/>
    <col min="6145" max="6145" width="17.265625" customWidth="1"/>
    <col min="6387" max="6387" width="28.3984375" customWidth="1"/>
    <col min="6388" max="6399" width="12.3984375" customWidth="1"/>
    <col min="6400" max="6400" width="20.3984375" customWidth="1"/>
    <col min="6401" max="6401" width="17.265625" customWidth="1"/>
    <col min="6643" max="6643" width="28.3984375" customWidth="1"/>
    <col min="6644" max="6655" width="12.3984375" customWidth="1"/>
    <col min="6656" max="6656" width="20.3984375" customWidth="1"/>
    <col min="6657" max="6657" width="17.265625" customWidth="1"/>
    <col min="6899" max="6899" width="28.3984375" customWidth="1"/>
    <col min="6900" max="6911" width="12.3984375" customWidth="1"/>
    <col min="6912" max="6912" width="20.3984375" customWidth="1"/>
    <col min="6913" max="6913" width="17.265625" customWidth="1"/>
    <col min="7155" max="7155" width="28.3984375" customWidth="1"/>
    <col min="7156" max="7167" width="12.3984375" customWidth="1"/>
    <col min="7168" max="7168" width="20.3984375" customWidth="1"/>
    <col min="7169" max="7169" width="17.265625" customWidth="1"/>
    <col min="7411" max="7411" width="28.3984375" customWidth="1"/>
    <col min="7412" max="7423" width="12.3984375" customWidth="1"/>
    <col min="7424" max="7424" width="20.3984375" customWidth="1"/>
    <col min="7425" max="7425" width="17.265625" customWidth="1"/>
    <col min="7667" max="7667" width="28.3984375" customWidth="1"/>
    <col min="7668" max="7679" width="12.3984375" customWidth="1"/>
    <col min="7680" max="7680" width="20.3984375" customWidth="1"/>
    <col min="7681" max="7681" width="17.265625" customWidth="1"/>
    <col min="7923" max="7923" width="28.3984375" customWidth="1"/>
    <col min="7924" max="7935" width="12.3984375" customWidth="1"/>
    <col min="7936" max="7936" width="20.3984375" customWidth="1"/>
    <col min="7937" max="7937" width="17.265625" customWidth="1"/>
    <col min="8179" max="8179" width="28.3984375" customWidth="1"/>
    <col min="8180" max="8191" width="12.3984375" customWidth="1"/>
    <col min="8192" max="8192" width="20.3984375" customWidth="1"/>
    <col min="8193" max="8193" width="17.265625" customWidth="1"/>
    <col min="8435" max="8435" width="28.3984375" customWidth="1"/>
    <col min="8436" max="8447" width="12.3984375" customWidth="1"/>
    <col min="8448" max="8448" width="20.3984375" customWidth="1"/>
    <col min="8449" max="8449" width="17.265625" customWidth="1"/>
    <col min="8691" max="8691" width="28.3984375" customWidth="1"/>
    <col min="8692" max="8703" width="12.3984375" customWidth="1"/>
    <col min="8704" max="8704" width="20.3984375" customWidth="1"/>
    <col min="8705" max="8705" width="17.265625" customWidth="1"/>
    <col min="8947" max="8947" width="28.3984375" customWidth="1"/>
    <col min="8948" max="8959" width="12.3984375" customWidth="1"/>
    <col min="8960" max="8960" width="20.3984375" customWidth="1"/>
    <col min="8961" max="8961" width="17.265625" customWidth="1"/>
    <col min="9203" max="9203" width="28.3984375" customWidth="1"/>
    <col min="9204" max="9215" width="12.3984375" customWidth="1"/>
    <col min="9216" max="9216" width="20.3984375" customWidth="1"/>
    <col min="9217" max="9217" width="17.265625" customWidth="1"/>
    <col min="9459" max="9459" width="28.3984375" customWidth="1"/>
    <col min="9460" max="9471" width="12.3984375" customWidth="1"/>
    <col min="9472" max="9472" width="20.3984375" customWidth="1"/>
    <col min="9473" max="9473" width="17.265625" customWidth="1"/>
    <col min="9715" max="9715" width="28.3984375" customWidth="1"/>
    <col min="9716" max="9727" width="12.3984375" customWidth="1"/>
    <col min="9728" max="9728" width="20.3984375" customWidth="1"/>
    <col min="9729" max="9729" width="17.265625" customWidth="1"/>
    <col min="9971" max="9971" width="28.3984375" customWidth="1"/>
    <col min="9972" max="9983" width="12.3984375" customWidth="1"/>
    <col min="9984" max="9984" width="20.3984375" customWidth="1"/>
    <col min="9985" max="9985" width="17.265625" customWidth="1"/>
    <col min="10227" max="10227" width="28.3984375" customWidth="1"/>
    <col min="10228" max="10239" width="12.3984375" customWidth="1"/>
    <col min="10240" max="10240" width="20.3984375" customWidth="1"/>
    <col min="10241" max="10241" width="17.265625" customWidth="1"/>
    <col min="10483" max="10483" width="28.3984375" customWidth="1"/>
    <col min="10484" max="10495" width="12.3984375" customWidth="1"/>
    <col min="10496" max="10496" width="20.3984375" customWidth="1"/>
    <col min="10497" max="10497" width="17.265625" customWidth="1"/>
    <col min="10739" max="10739" width="28.3984375" customWidth="1"/>
    <col min="10740" max="10751" width="12.3984375" customWidth="1"/>
    <col min="10752" max="10752" width="20.3984375" customWidth="1"/>
    <col min="10753" max="10753" width="17.265625" customWidth="1"/>
    <col min="10995" max="10995" width="28.3984375" customWidth="1"/>
    <col min="10996" max="11007" width="12.3984375" customWidth="1"/>
    <col min="11008" max="11008" width="20.3984375" customWidth="1"/>
    <col min="11009" max="11009" width="17.265625" customWidth="1"/>
    <col min="11251" max="11251" width="28.3984375" customWidth="1"/>
    <col min="11252" max="11263" width="12.3984375" customWidth="1"/>
    <col min="11264" max="11264" width="20.3984375" customWidth="1"/>
    <col min="11265" max="11265" width="17.265625" customWidth="1"/>
    <col min="11507" max="11507" width="28.3984375" customWidth="1"/>
    <col min="11508" max="11519" width="12.3984375" customWidth="1"/>
    <col min="11520" max="11520" width="20.3984375" customWidth="1"/>
    <col min="11521" max="11521" width="17.265625" customWidth="1"/>
    <col min="11763" max="11763" width="28.3984375" customWidth="1"/>
    <col min="11764" max="11775" width="12.3984375" customWidth="1"/>
    <col min="11776" max="11776" width="20.3984375" customWidth="1"/>
    <col min="11777" max="11777" width="17.265625" customWidth="1"/>
    <col min="12019" max="12019" width="28.3984375" customWidth="1"/>
    <col min="12020" max="12031" width="12.3984375" customWidth="1"/>
    <col min="12032" max="12032" width="20.3984375" customWidth="1"/>
    <col min="12033" max="12033" width="17.265625" customWidth="1"/>
    <col min="12275" max="12275" width="28.3984375" customWidth="1"/>
    <col min="12276" max="12287" width="12.3984375" customWidth="1"/>
    <col min="12288" max="12288" width="20.3984375" customWidth="1"/>
    <col min="12289" max="12289" width="17.265625" customWidth="1"/>
    <col min="12531" max="12531" width="28.3984375" customWidth="1"/>
    <col min="12532" max="12543" width="12.3984375" customWidth="1"/>
    <col min="12544" max="12544" width="20.3984375" customWidth="1"/>
    <col min="12545" max="12545" width="17.265625" customWidth="1"/>
    <col min="12787" max="12787" width="28.3984375" customWidth="1"/>
    <col min="12788" max="12799" width="12.3984375" customWidth="1"/>
    <col min="12800" max="12800" width="20.3984375" customWidth="1"/>
    <col min="12801" max="12801" width="17.265625" customWidth="1"/>
    <col min="13043" max="13043" width="28.3984375" customWidth="1"/>
    <col min="13044" max="13055" width="12.3984375" customWidth="1"/>
    <col min="13056" max="13056" width="20.3984375" customWidth="1"/>
    <col min="13057" max="13057" width="17.265625" customWidth="1"/>
    <col min="13299" max="13299" width="28.3984375" customWidth="1"/>
    <col min="13300" max="13311" width="12.3984375" customWidth="1"/>
    <col min="13312" max="13312" width="20.3984375" customWidth="1"/>
    <col min="13313" max="13313" width="17.265625" customWidth="1"/>
    <col min="13555" max="13555" width="28.3984375" customWidth="1"/>
    <col min="13556" max="13567" width="12.3984375" customWidth="1"/>
    <col min="13568" max="13568" width="20.3984375" customWidth="1"/>
    <col min="13569" max="13569" width="17.265625" customWidth="1"/>
    <col min="13811" max="13811" width="28.3984375" customWidth="1"/>
    <col min="13812" max="13823" width="12.3984375" customWidth="1"/>
    <col min="13824" max="13824" width="20.3984375" customWidth="1"/>
    <col min="13825" max="13825" width="17.265625" customWidth="1"/>
    <col min="14067" max="14067" width="28.3984375" customWidth="1"/>
    <col min="14068" max="14079" width="12.3984375" customWidth="1"/>
    <col min="14080" max="14080" width="20.3984375" customWidth="1"/>
    <col min="14081" max="14081" width="17.265625" customWidth="1"/>
    <col min="14323" max="14323" width="28.3984375" customWidth="1"/>
    <col min="14324" max="14335" width="12.3984375" customWidth="1"/>
    <col min="14336" max="14336" width="20.3984375" customWidth="1"/>
    <col min="14337" max="14337" width="17.265625" customWidth="1"/>
    <col min="14579" max="14579" width="28.3984375" customWidth="1"/>
    <col min="14580" max="14591" width="12.3984375" customWidth="1"/>
    <col min="14592" max="14592" width="20.3984375" customWidth="1"/>
    <col min="14593" max="14593" width="17.265625" customWidth="1"/>
    <col min="14835" max="14835" width="28.3984375" customWidth="1"/>
    <col min="14836" max="14847" width="12.3984375" customWidth="1"/>
    <col min="14848" max="14848" width="20.3984375" customWidth="1"/>
    <col min="14849" max="14849" width="17.265625" customWidth="1"/>
    <col min="15091" max="15091" width="28.3984375" customWidth="1"/>
    <col min="15092" max="15103" width="12.3984375" customWidth="1"/>
    <col min="15104" max="15104" width="20.3984375" customWidth="1"/>
    <col min="15105" max="15105" width="17.265625" customWidth="1"/>
    <col min="15347" max="15347" width="28.3984375" customWidth="1"/>
    <col min="15348" max="15359" width="12.3984375" customWidth="1"/>
    <col min="15360" max="15360" width="20.3984375" customWidth="1"/>
    <col min="15361" max="15361" width="17.265625" customWidth="1"/>
    <col min="15603" max="15603" width="28.3984375" customWidth="1"/>
    <col min="15604" max="15615" width="12.3984375" customWidth="1"/>
    <col min="15616" max="15616" width="20.3984375" customWidth="1"/>
    <col min="15617" max="15617" width="17.265625" customWidth="1"/>
    <col min="15859" max="15859" width="28.3984375" customWidth="1"/>
    <col min="15860" max="15871" width="12.3984375" customWidth="1"/>
    <col min="15872" max="15872" width="20.3984375" customWidth="1"/>
    <col min="15873" max="15873" width="17.265625" customWidth="1"/>
    <col min="16115" max="16115" width="28.3984375" customWidth="1"/>
    <col min="16116" max="16127" width="12.3984375" customWidth="1"/>
    <col min="16128" max="16128" width="20.3984375" customWidth="1"/>
    <col min="16129" max="16129" width="17.265625" customWidth="1"/>
  </cols>
  <sheetData>
    <row r="1" spans="1:9" ht="15" customHeight="1" x14ac:dyDescent="0.45">
      <c r="A1" s="22" t="s">
        <v>73</v>
      </c>
      <c r="B1" s="13"/>
      <c r="C1" s="13"/>
      <c r="D1" s="13"/>
      <c r="E1" s="13"/>
      <c r="F1" s="13"/>
    </row>
    <row r="2" spans="1:9" ht="38.25" customHeight="1" x14ac:dyDescent="0.45">
      <c r="A2" s="22" t="s">
        <v>60</v>
      </c>
      <c r="B2" s="41" t="s">
        <v>56</v>
      </c>
      <c r="C2" s="41" t="s">
        <v>74</v>
      </c>
      <c r="D2" s="42" t="s">
        <v>10</v>
      </c>
      <c r="E2" s="42" t="s">
        <v>11</v>
      </c>
      <c r="F2" s="42" t="s">
        <v>12</v>
      </c>
      <c r="G2" s="26" t="s">
        <v>13</v>
      </c>
      <c r="H2" s="111" t="s">
        <v>14</v>
      </c>
    </row>
    <row r="3" spans="1:9" ht="14.1" customHeight="1" x14ac:dyDescent="0.45">
      <c r="A3" s="43" t="s">
        <v>62</v>
      </c>
      <c r="B3" s="113">
        <v>147887</v>
      </c>
      <c r="C3" s="113">
        <v>0</v>
      </c>
      <c r="D3" s="113">
        <v>2112599</v>
      </c>
      <c r="E3" s="113">
        <v>1485.95</v>
      </c>
      <c r="F3" s="104">
        <f t="shared" ref="F3:F23" si="0">B3/$B$24</f>
        <v>1.9950922702485424E-4</v>
      </c>
      <c r="G3" s="116">
        <v>15380645</v>
      </c>
      <c r="H3" s="102">
        <v>9724366</v>
      </c>
    </row>
    <row r="4" spans="1:9" ht="14.1" customHeight="1" x14ac:dyDescent="0.45">
      <c r="A4" s="43" t="s">
        <v>63</v>
      </c>
      <c r="B4" s="113">
        <v>67737</v>
      </c>
      <c r="C4" s="113">
        <v>174322</v>
      </c>
      <c r="D4" s="113">
        <v>908512</v>
      </c>
      <c r="E4" s="113">
        <v>1341.23</v>
      </c>
      <c r="F4" s="104">
        <f t="shared" si="0"/>
        <v>9.1381639434044584E-5</v>
      </c>
      <c r="G4" s="116">
        <v>5505349</v>
      </c>
      <c r="H4" s="102">
        <v>2962033</v>
      </c>
    </row>
    <row r="5" spans="1:9" ht="14.1" customHeight="1" x14ac:dyDescent="0.45">
      <c r="A5" s="43" t="s">
        <v>16</v>
      </c>
      <c r="B5" s="113">
        <v>5946762</v>
      </c>
      <c r="C5" s="113">
        <v>4498945</v>
      </c>
      <c r="D5" s="113">
        <v>4280675</v>
      </c>
      <c r="E5" s="113">
        <v>79.599999999999994</v>
      </c>
      <c r="F5" s="104">
        <f t="shared" si="0"/>
        <v>8.0225705431902477E-3</v>
      </c>
      <c r="G5" s="116">
        <v>58326387</v>
      </c>
      <c r="H5" s="102">
        <v>49073918</v>
      </c>
    </row>
    <row r="6" spans="1:9" ht="14.1" customHeight="1" x14ac:dyDescent="0.45">
      <c r="A6" s="43" t="s">
        <v>17</v>
      </c>
      <c r="B6" s="113">
        <v>218124359</v>
      </c>
      <c r="C6" s="113">
        <v>88728481</v>
      </c>
      <c r="D6" s="113">
        <v>39520598</v>
      </c>
      <c r="E6" s="113">
        <v>37.17</v>
      </c>
      <c r="F6" s="104">
        <f t="shared" si="0"/>
        <v>0.29426401414175557</v>
      </c>
      <c r="G6" s="116">
        <v>584257754</v>
      </c>
      <c r="H6" s="102">
        <v>493008143</v>
      </c>
    </row>
    <row r="7" spans="1:9" ht="14.1" customHeight="1" x14ac:dyDescent="0.45">
      <c r="A7" s="43" t="s">
        <v>40</v>
      </c>
      <c r="B7" s="113">
        <v>0</v>
      </c>
      <c r="C7" s="113"/>
      <c r="D7" s="113"/>
      <c r="E7" s="113"/>
      <c r="F7" s="104">
        <f t="shared" si="0"/>
        <v>0</v>
      </c>
      <c r="G7" s="115"/>
      <c r="H7" s="102"/>
    </row>
    <row r="8" spans="1:9" ht="14.1" customHeight="1" x14ac:dyDescent="0.45">
      <c r="A8" s="43" t="s">
        <v>53</v>
      </c>
      <c r="B8" s="113">
        <v>720832</v>
      </c>
      <c r="C8" s="113">
        <v>0</v>
      </c>
      <c r="D8" s="113">
        <v>4646302</v>
      </c>
      <c r="E8" s="113">
        <v>755.91</v>
      </c>
      <c r="F8" s="104">
        <f t="shared" si="0"/>
        <v>9.7244947246735497E-4</v>
      </c>
      <c r="G8" s="116">
        <v>19316727</v>
      </c>
      <c r="H8" s="102">
        <v>11077917</v>
      </c>
      <c r="I8" s="163"/>
    </row>
    <row r="9" spans="1:9" ht="14.1" customHeight="1" x14ac:dyDescent="0.45">
      <c r="A9" s="43" t="s">
        <v>18</v>
      </c>
      <c r="B9" s="113">
        <v>0</v>
      </c>
      <c r="C9" s="113"/>
      <c r="D9" s="113"/>
      <c r="E9" s="113"/>
      <c r="F9" s="104">
        <f t="shared" si="0"/>
        <v>0</v>
      </c>
      <c r="G9" s="115"/>
      <c r="H9" s="102"/>
    </row>
    <row r="10" spans="1:9" ht="14.1" customHeight="1" x14ac:dyDescent="0.45">
      <c r="A10" s="43" t="s">
        <v>19</v>
      </c>
      <c r="B10" s="113">
        <v>8040529</v>
      </c>
      <c r="C10" s="113">
        <v>1565861</v>
      </c>
      <c r="D10" s="113">
        <v>2164798</v>
      </c>
      <c r="E10" s="113">
        <v>61.02</v>
      </c>
      <c r="F10" s="104">
        <f t="shared" si="0"/>
        <v>1.0847199048333688E-2</v>
      </c>
      <c r="G10" s="116">
        <v>21916742</v>
      </c>
      <c r="H10" s="102">
        <v>14240887</v>
      </c>
    </row>
    <row r="11" spans="1:9" ht="14.1" customHeight="1" x14ac:dyDescent="0.45">
      <c r="A11" s="43" t="s">
        <v>20</v>
      </c>
      <c r="B11" s="113">
        <v>69968249</v>
      </c>
      <c r="C11" s="113">
        <v>45717647</v>
      </c>
      <c r="D11" s="113">
        <v>16658795</v>
      </c>
      <c r="E11" s="113">
        <v>32.61</v>
      </c>
      <c r="F11" s="104">
        <f t="shared" si="0"/>
        <v>9.4391740141273606E-2</v>
      </c>
      <c r="G11" s="116">
        <v>235918968</v>
      </c>
      <c r="H11" s="102">
        <v>215768868</v>
      </c>
    </row>
    <row r="12" spans="1:9" ht="14.1" customHeight="1" x14ac:dyDescent="0.45">
      <c r="A12" s="43" t="s">
        <v>47</v>
      </c>
      <c r="B12" s="113">
        <v>10088641</v>
      </c>
      <c r="C12" s="113">
        <v>768379</v>
      </c>
      <c r="D12" s="113">
        <v>4000668</v>
      </c>
      <c r="E12" s="113">
        <v>55.81</v>
      </c>
      <c r="F12" s="104">
        <f t="shared" si="0"/>
        <v>1.3610235975043463E-2</v>
      </c>
      <c r="G12" s="116">
        <v>34874618</v>
      </c>
      <c r="H12" s="102">
        <v>30852431</v>
      </c>
    </row>
    <row r="13" spans="1:9" ht="14.1" customHeight="1" x14ac:dyDescent="0.45">
      <c r="A13" s="43" t="s">
        <v>21</v>
      </c>
      <c r="B13" s="113">
        <v>39705069</v>
      </c>
      <c r="C13" s="113">
        <v>20451255.609999999</v>
      </c>
      <c r="D13" s="113">
        <v>7245238.4100000001</v>
      </c>
      <c r="E13" s="113">
        <v>58</v>
      </c>
      <c r="F13" s="104">
        <f t="shared" si="0"/>
        <v>5.3564732702391031E-2</v>
      </c>
      <c r="G13" s="102">
        <v>143921959.11000001</v>
      </c>
      <c r="H13" s="102">
        <v>140053730.36558113</v>
      </c>
    </row>
    <row r="14" spans="1:9" ht="14.1" customHeight="1" x14ac:dyDescent="0.45">
      <c r="A14" s="43" t="s">
        <v>22</v>
      </c>
      <c r="B14" s="113">
        <v>39023612</v>
      </c>
      <c r="C14" s="113">
        <v>42406378</v>
      </c>
      <c r="D14" s="113">
        <v>19346000</v>
      </c>
      <c r="E14" s="113">
        <v>58.08</v>
      </c>
      <c r="F14" s="104">
        <f t="shared" si="0"/>
        <v>5.2645402677975926E-2</v>
      </c>
      <c r="G14" s="116">
        <v>184066000</v>
      </c>
      <c r="H14" s="102">
        <v>164528400</v>
      </c>
    </row>
    <row r="15" spans="1:9" ht="14.1" customHeight="1" x14ac:dyDescent="0.45">
      <c r="A15" s="43" t="s">
        <v>23</v>
      </c>
      <c r="B15" s="113">
        <v>10001219</v>
      </c>
      <c r="C15" s="113">
        <v>6859509</v>
      </c>
      <c r="D15" s="113">
        <v>5219490</v>
      </c>
      <c r="E15" s="113">
        <v>63.07</v>
      </c>
      <c r="F15" s="104">
        <f t="shared" si="0"/>
        <v>1.3492297984246658E-2</v>
      </c>
      <c r="G15" s="116">
        <v>30422401</v>
      </c>
      <c r="H15" s="102">
        <v>23697945</v>
      </c>
    </row>
    <row r="16" spans="1:9" ht="14.1" customHeight="1" x14ac:dyDescent="0.45">
      <c r="A16" s="43" t="s">
        <v>24</v>
      </c>
      <c r="B16" s="113">
        <v>35468005</v>
      </c>
      <c r="C16" s="113">
        <v>7561002</v>
      </c>
      <c r="D16" s="113">
        <v>19009475</v>
      </c>
      <c r="E16" s="113">
        <v>83.66</v>
      </c>
      <c r="F16" s="104">
        <f t="shared" si="0"/>
        <v>4.7848656485449469E-2</v>
      </c>
      <c r="G16" s="116">
        <v>88088872</v>
      </c>
      <c r="H16" s="102">
        <v>75112510</v>
      </c>
    </row>
    <row r="17" spans="1:8" ht="14.1" customHeight="1" x14ac:dyDescent="0.45">
      <c r="A17" s="43" t="s">
        <v>25</v>
      </c>
      <c r="B17" s="113">
        <v>7890952</v>
      </c>
      <c r="C17" s="113">
        <v>6679347</v>
      </c>
      <c r="D17" s="113">
        <v>2942917</v>
      </c>
      <c r="E17" s="113">
        <v>41.56</v>
      </c>
      <c r="F17" s="104">
        <f t="shared" si="0"/>
        <v>1.0645409900871799E-2</v>
      </c>
      <c r="G17" s="116">
        <v>46966920</v>
      </c>
      <c r="H17" s="102">
        <v>41782921</v>
      </c>
    </row>
    <row r="18" spans="1:8" ht="14.1" customHeight="1" x14ac:dyDescent="0.45">
      <c r="A18" s="43" t="s">
        <v>26</v>
      </c>
      <c r="B18" s="113">
        <v>5509913</v>
      </c>
      <c r="C18" s="113">
        <v>1261579</v>
      </c>
      <c r="D18" s="113">
        <v>2771267</v>
      </c>
      <c r="E18" s="113">
        <v>71.47</v>
      </c>
      <c r="F18" s="104">
        <f t="shared" si="0"/>
        <v>7.4332326952618938E-3</v>
      </c>
      <c r="G18" s="116">
        <v>19333855</v>
      </c>
      <c r="H18" s="102">
        <v>16965485</v>
      </c>
    </row>
    <row r="19" spans="1:8" ht="14.1" customHeight="1" x14ac:dyDescent="0.45">
      <c r="A19" s="43" t="s">
        <v>27</v>
      </c>
      <c r="B19" s="113">
        <v>190312010</v>
      </c>
      <c r="C19" s="113">
        <v>128613176</v>
      </c>
      <c r="D19" s="113">
        <v>36302457</v>
      </c>
      <c r="E19" s="113">
        <v>24.2</v>
      </c>
      <c r="F19" s="104">
        <f t="shared" si="0"/>
        <v>0.25674333787720577</v>
      </c>
      <c r="G19" s="116">
        <v>560307858</v>
      </c>
      <c r="H19" s="102">
        <v>524439135</v>
      </c>
    </row>
    <row r="20" spans="1:8" ht="14.1" customHeight="1" x14ac:dyDescent="0.45">
      <c r="A20" s="43" t="s">
        <v>28</v>
      </c>
      <c r="B20" s="113">
        <v>107777041</v>
      </c>
      <c r="C20" s="113">
        <v>43818132</v>
      </c>
      <c r="D20" s="113">
        <v>25197578</v>
      </c>
      <c r="E20" s="113">
        <v>38.28</v>
      </c>
      <c r="F20" s="104">
        <f t="shared" si="0"/>
        <v>0.14539827125397109</v>
      </c>
      <c r="G20" s="116">
        <v>364737170</v>
      </c>
      <c r="H20" s="102">
        <v>327456474</v>
      </c>
    </row>
    <row r="21" spans="1:8" ht="14.1" customHeight="1" x14ac:dyDescent="0.45">
      <c r="A21" s="43" t="s">
        <v>29</v>
      </c>
      <c r="B21" s="113">
        <v>2322603</v>
      </c>
      <c r="C21" s="113">
        <v>2152380</v>
      </c>
      <c r="D21" s="113">
        <v>2557207</v>
      </c>
      <c r="E21" s="113">
        <v>119.72</v>
      </c>
      <c r="F21" s="104">
        <f t="shared" si="0"/>
        <v>3.133343222971644E-3</v>
      </c>
      <c r="G21" s="116">
        <v>129522515</v>
      </c>
      <c r="H21" s="102">
        <v>120913398</v>
      </c>
    </row>
    <row r="22" spans="1:8" ht="14.1" customHeight="1" x14ac:dyDescent="0.45">
      <c r="A22" s="43" t="s">
        <v>30</v>
      </c>
      <c r="B22" s="113">
        <v>17876909</v>
      </c>
      <c r="C22" s="113">
        <v>13264262</v>
      </c>
      <c r="D22" s="113">
        <v>12434149</v>
      </c>
      <c r="E22" s="113">
        <v>86.09</v>
      </c>
      <c r="F22" s="104">
        <f t="shared" si="0"/>
        <v>2.4117118449787065E-2</v>
      </c>
      <c r="G22" s="116">
        <v>56334377</v>
      </c>
      <c r="H22" s="102">
        <v>39490559</v>
      </c>
    </row>
    <row r="23" spans="1:8" ht="14.1" customHeight="1" x14ac:dyDescent="0.45">
      <c r="A23" s="43" t="s">
        <v>31</v>
      </c>
      <c r="B23" s="113">
        <v>11966677</v>
      </c>
      <c r="C23" s="113">
        <v>1594298</v>
      </c>
      <c r="D23" s="113">
        <v>4477643</v>
      </c>
      <c r="E23" s="113">
        <v>58.88</v>
      </c>
      <c r="F23" s="104">
        <f t="shared" si="0"/>
        <v>1.6143829263735837E-2</v>
      </c>
      <c r="G23" s="116">
        <v>25743975</v>
      </c>
      <c r="H23" s="102">
        <v>15410091</v>
      </c>
    </row>
    <row r="24" spans="1:8" s="34" customFormat="1" ht="14.1" customHeight="1" x14ac:dyDescent="0.45">
      <c r="A24" s="44" t="s">
        <v>67</v>
      </c>
      <c r="B24" s="117">
        <v>741253937</v>
      </c>
      <c r="C24" s="118">
        <v>395663698</v>
      </c>
      <c r="D24" s="118">
        <v>204551129</v>
      </c>
      <c r="E24" s="119"/>
      <c r="F24" s="120"/>
      <c r="G24" s="121">
        <v>2481021134</v>
      </c>
      <c r="H24" s="102">
        <v>2176505481</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tabColor rgb="FF7030A0"/>
  </sheetPr>
  <dimension ref="A1:H25"/>
  <sheetViews>
    <sheetView workbookViewId="0">
      <selection activeCell="C3" sqref="C3:D24"/>
    </sheetView>
  </sheetViews>
  <sheetFormatPr defaultRowHeight="14.25" x14ac:dyDescent="0.45"/>
  <cols>
    <col min="1" max="1" width="37.73046875" customWidth="1"/>
    <col min="2" max="2" width="15" customWidth="1"/>
    <col min="3" max="3" width="15.3984375" customWidth="1"/>
    <col min="4" max="4" width="15" bestFit="1" customWidth="1"/>
    <col min="5" max="5" width="9.265625" bestFit="1" customWidth="1"/>
    <col min="7" max="7" width="12.73046875" style="25" bestFit="1" customWidth="1"/>
    <col min="8" max="8" width="16.73046875" bestFit="1" customWidth="1"/>
    <col min="242" max="242" width="28.3984375" customWidth="1"/>
    <col min="243" max="254" width="12.3984375" customWidth="1"/>
    <col min="255" max="255" width="20.3984375" customWidth="1"/>
    <col min="256" max="256" width="17.265625" customWidth="1"/>
    <col min="498" max="498" width="28.3984375" customWidth="1"/>
    <col min="499" max="510" width="12.3984375" customWidth="1"/>
    <col min="511" max="511" width="20.3984375" customWidth="1"/>
    <col min="512" max="512" width="17.265625" customWidth="1"/>
    <col min="754" max="754" width="28.3984375" customWidth="1"/>
    <col min="755" max="766" width="12.3984375" customWidth="1"/>
    <col min="767" max="767" width="20.3984375" customWidth="1"/>
    <col min="768" max="768" width="17.265625" customWidth="1"/>
    <col min="1010" max="1010" width="28.3984375" customWidth="1"/>
    <col min="1011" max="1022" width="12.3984375" customWidth="1"/>
    <col min="1023" max="1023" width="20.3984375" customWidth="1"/>
    <col min="1024" max="1024" width="17.265625" customWidth="1"/>
    <col min="1266" max="1266" width="28.3984375" customWidth="1"/>
    <col min="1267" max="1278" width="12.3984375" customWidth="1"/>
    <col min="1279" max="1279" width="20.3984375" customWidth="1"/>
    <col min="1280" max="1280" width="17.265625" customWidth="1"/>
    <col min="1522" max="1522" width="28.3984375" customWidth="1"/>
    <col min="1523" max="1534" width="12.3984375" customWidth="1"/>
    <col min="1535" max="1535" width="20.3984375" customWidth="1"/>
    <col min="1536" max="1536" width="17.265625" customWidth="1"/>
    <col min="1778" max="1778" width="28.3984375" customWidth="1"/>
    <col min="1779" max="1790" width="12.3984375" customWidth="1"/>
    <col min="1791" max="1791" width="20.3984375" customWidth="1"/>
    <col min="1792" max="1792" width="17.265625" customWidth="1"/>
    <col min="2034" max="2034" width="28.3984375" customWidth="1"/>
    <col min="2035" max="2046" width="12.3984375" customWidth="1"/>
    <col min="2047" max="2047" width="20.3984375" customWidth="1"/>
    <col min="2048" max="2048" width="17.265625" customWidth="1"/>
    <col min="2290" max="2290" width="28.3984375" customWidth="1"/>
    <col min="2291" max="2302" width="12.3984375" customWidth="1"/>
    <col min="2303" max="2303" width="20.3984375" customWidth="1"/>
    <col min="2304" max="2304" width="17.265625" customWidth="1"/>
    <col min="2546" max="2546" width="28.3984375" customWidth="1"/>
    <col min="2547" max="2558" width="12.3984375" customWidth="1"/>
    <col min="2559" max="2559" width="20.3984375" customWidth="1"/>
    <col min="2560" max="2560" width="17.265625" customWidth="1"/>
    <col min="2802" max="2802" width="28.3984375" customWidth="1"/>
    <col min="2803" max="2814" width="12.3984375" customWidth="1"/>
    <col min="2815" max="2815" width="20.3984375" customWidth="1"/>
    <col min="2816" max="2816" width="17.265625" customWidth="1"/>
    <col min="3058" max="3058" width="28.3984375" customWidth="1"/>
    <col min="3059" max="3070" width="12.3984375" customWidth="1"/>
    <col min="3071" max="3071" width="20.3984375" customWidth="1"/>
    <col min="3072" max="3072" width="17.265625" customWidth="1"/>
    <col min="3314" max="3314" width="28.3984375" customWidth="1"/>
    <col min="3315" max="3326" width="12.3984375" customWidth="1"/>
    <col min="3327" max="3327" width="20.3984375" customWidth="1"/>
    <col min="3328" max="3328" width="17.265625" customWidth="1"/>
    <col min="3570" max="3570" width="28.3984375" customWidth="1"/>
    <col min="3571" max="3582" width="12.3984375" customWidth="1"/>
    <col min="3583" max="3583" width="20.3984375" customWidth="1"/>
    <col min="3584" max="3584" width="17.265625" customWidth="1"/>
    <col min="3826" max="3826" width="28.3984375" customWidth="1"/>
    <col min="3827" max="3838" width="12.3984375" customWidth="1"/>
    <col min="3839" max="3839" width="20.3984375" customWidth="1"/>
    <col min="3840" max="3840" width="17.265625" customWidth="1"/>
    <col min="4082" max="4082" width="28.3984375" customWidth="1"/>
    <col min="4083" max="4094" width="12.3984375" customWidth="1"/>
    <col min="4095" max="4095" width="20.3984375" customWidth="1"/>
    <col min="4096" max="4096" width="17.265625" customWidth="1"/>
    <col min="4338" max="4338" width="28.3984375" customWidth="1"/>
    <col min="4339" max="4350" width="12.3984375" customWidth="1"/>
    <col min="4351" max="4351" width="20.3984375" customWidth="1"/>
    <col min="4352" max="4352" width="17.265625" customWidth="1"/>
    <col min="4594" max="4594" width="28.3984375" customWidth="1"/>
    <col min="4595" max="4606" width="12.3984375" customWidth="1"/>
    <col min="4607" max="4607" width="20.3984375" customWidth="1"/>
    <col min="4608" max="4608" width="17.265625" customWidth="1"/>
    <col min="4850" max="4850" width="28.3984375" customWidth="1"/>
    <col min="4851" max="4862" width="12.3984375" customWidth="1"/>
    <col min="4863" max="4863" width="20.3984375" customWidth="1"/>
    <col min="4864" max="4864" width="17.265625" customWidth="1"/>
    <col min="5106" max="5106" width="28.3984375" customWidth="1"/>
    <col min="5107" max="5118" width="12.3984375" customWidth="1"/>
    <col min="5119" max="5119" width="20.3984375" customWidth="1"/>
    <col min="5120" max="5120" width="17.265625" customWidth="1"/>
    <col min="5362" max="5362" width="28.3984375" customWidth="1"/>
    <col min="5363" max="5374" width="12.3984375" customWidth="1"/>
    <col min="5375" max="5375" width="20.3984375" customWidth="1"/>
    <col min="5376" max="5376" width="17.265625" customWidth="1"/>
    <col min="5618" max="5618" width="28.3984375" customWidth="1"/>
    <col min="5619" max="5630" width="12.3984375" customWidth="1"/>
    <col min="5631" max="5631" width="20.3984375" customWidth="1"/>
    <col min="5632" max="5632" width="17.265625" customWidth="1"/>
    <col min="5874" max="5874" width="28.3984375" customWidth="1"/>
    <col min="5875" max="5886" width="12.3984375" customWidth="1"/>
    <col min="5887" max="5887" width="20.3984375" customWidth="1"/>
    <col min="5888" max="5888" width="17.265625" customWidth="1"/>
    <col min="6130" max="6130" width="28.3984375" customWidth="1"/>
    <col min="6131" max="6142" width="12.3984375" customWidth="1"/>
    <col min="6143" max="6143" width="20.3984375" customWidth="1"/>
    <col min="6144" max="6144" width="17.265625" customWidth="1"/>
    <col min="6386" max="6386" width="28.3984375" customWidth="1"/>
    <col min="6387" max="6398" width="12.3984375" customWidth="1"/>
    <col min="6399" max="6399" width="20.3984375" customWidth="1"/>
    <col min="6400" max="6400" width="17.265625" customWidth="1"/>
    <col min="6642" max="6642" width="28.3984375" customWidth="1"/>
    <col min="6643" max="6654" width="12.3984375" customWidth="1"/>
    <col min="6655" max="6655" width="20.3984375" customWidth="1"/>
    <col min="6656" max="6656" width="17.265625" customWidth="1"/>
    <col min="6898" max="6898" width="28.3984375" customWidth="1"/>
    <col min="6899" max="6910" width="12.3984375" customWidth="1"/>
    <col min="6911" max="6911" width="20.3984375" customWidth="1"/>
    <col min="6912" max="6912" width="17.265625" customWidth="1"/>
    <col min="7154" max="7154" width="28.3984375" customWidth="1"/>
    <col min="7155" max="7166" width="12.3984375" customWidth="1"/>
    <col min="7167" max="7167" width="20.3984375" customWidth="1"/>
    <col min="7168" max="7168" width="17.265625" customWidth="1"/>
    <col min="7410" max="7410" width="28.3984375" customWidth="1"/>
    <col min="7411" max="7422" width="12.3984375" customWidth="1"/>
    <col min="7423" max="7423" width="20.3984375" customWidth="1"/>
    <col min="7424" max="7424" width="17.265625" customWidth="1"/>
    <col min="7666" max="7666" width="28.3984375" customWidth="1"/>
    <col min="7667" max="7678" width="12.3984375" customWidth="1"/>
    <col min="7679" max="7679" width="20.3984375" customWidth="1"/>
    <col min="7680" max="7680" width="17.265625" customWidth="1"/>
    <col min="7922" max="7922" width="28.3984375" customWidth="1"/>
    <col min="7923" max="7934" width="12.3984375" customWidth="1"/>
    <col min="7935" max="7935" width="20.3984375" customWidth="1"/>
    <col min="7936" max="7936" width="17.265625" customWidth="1"/>
    <col min="8178" max="8178" width="28.3984375" customWidth="1"/>
    <col min="8179" max="8190" width="12.3984375" customWidth="1"/>
    <col min="8191" max="8191" width="20.3984375" customWidth="1"/>
    <col min="8192" max="8192" width="17.265625" customWidth="1"/>
    <col min="8434" max="8434" width="28.3984375" customWidth="1"/>
    <col min="8435" max="8446" width="12.3984375" customWidth="1"/>
    <col min="8447" max="8447" width="20.3984375" customWidth="1"/>
    <col min="8448" max="8448" width="17.265625" customWidth="1"/>
    <col min="8690" max="8690" width="28.3984375" customWidth="1"/>
    <col min="8691" max="8702" width="12.3984375" customWidth="1"/>
    <col min="8703" max="8703" width="20.3984375" customWidth="1"/>
    <col min="8704" max="8704" width="17.265625" customWidth="1"/>
    <col min="8946" max="8946" width="28.3984375" customWidth="1"/>
    <col min="8947" max="8958" width="12.3984375" customWidth="1"/>
    <col min="8959" max="8959" width="20.3984375" customWidth="1"/>
    <col min="8960" max="8960" width="17.265625" customWidth="1"/>
    <col min="9202" max="9202" width="28.3984375" customWidth="1"/>
    <col min="9203" max="9214" width="12.3984375" customWidth="1"/>
    <col min="9215" max="9215" width="20.3984375" customWidth="1"/>
    <col min="9216" max="9216" width="17.265625" customWidth="1"/>
    <col min="9458" max="9458" width="28.3984375" customWidth="1"/>
    <col min="9459" max="9470" width="12.3984375" customWidth="1"/>
    <col min="9471" max="9471" width="20.3984375" customWidth="1"/>
    <col min="9472" max="9472" width="17.265625" customWidth="1"/>
    <col min="9714" max="9714" width="28.3984375" customWidth="1"/>
    <col min="9715" max="9726" width="12.3984375" customWidth="1"/>
    <col min="9727" max="9727" width="20.3984375" customWidth="1"/>
    <col min="9728" max="9728" width="17.265625" customWidth="1"/>
    <col min="9970" max="9970" width="28.3984375" customWidth="1"/>
    <col min="9971" max="9982" width="12.3984375" customWidth="1"/>
    <col min="9983" max="9983" width="20.3984375" customWidth="1"/>
    <col min="9984" max="9984" width="17.265625" customWidth="1"/>
    <col min="10226" max="10226" width="28.3984375" customWidth="1"/>
    <col min="10227" max="10238" width="12.3984375" customWidth="1"/>
    <col min="10239" max="10239" width="20.3984375" customWidth="1"/>
    <col min="10240" max="10240" width="17.265625" customWidth="1"/>
    <col min="10482" max="10482" width="28.3984375" customWidth="1"/>
    <col min="10483" max="10494" width="12.3984375" customWidth="1"/>
    <col min="10495" max="10495" width="20.3984375" customWidth="1"/>
    <col min="10496" max="10496" width="17.265625" customWidth="1"/>
    <col min="10738" max="10738" width="28.3984375" customWidth="1"/>
    <col min="10739" max="10750" width="12.3984375" customWidth="1"/>
    <col min="10751" max="10751" width="20.3984375" customWidth="1"/>
    <col min="10752" max="10752" width="17.265625" customWidth="1"/>
    <col min="10994" max="10994" width="28.3984375" customWidth="1"/>
    <col min="10995" max="11006" width="12.3984375" customWidth="1"/>
    <col min="11007" max="11007" width="20.3984375" customWidth="1"/>
    <col min="11008" max="11008" width="17.265625" customWidth="1"/>
    <col min="11250" max="11250" width="28.3984375" customWidth="1"/>
    <col min="11251" max="11262" width="12.3984375" customWidth="1"/>
    <col min="11263" max="11263" width="20.3984375" customWidth="1"/>
    <col min="11264" max="11264" width="17.265625" customWidth="1"/>
    <col min="11506" max="11506" width="28.3984375" customWidth="1"/>
    <col min="11507" max="11518" width="12.3984375" customWidth="1"/>
    <col min="11519" max="11519" width="20.3984375" customWidth="1"/>
    <col min="11520" max="11520" width="17.265625" customWidth="1"/>
    <col min="11762" max="11762" width="28.3984375" customWidth="1"/>
    <col min="11763" max="11774" width="12.3984375" customWidth="1"/>
    <col min="11775" max="11775" width="20.3984375" customWidth="1"/>
    <col min="11776" max="11776" width="17.265625" customWidth="1"/>
    <col min="12018" max="12018" width="28.3984375" customWidth="1"/>
    <col min="12019" max="12030" width="12.3984375" customWidth="1"/>
    <col min="12031" max="12031" width="20.3984375" customWidth="1"/>
    <col min="12032" max="12032" width="17.265625" customWidth="1"/>
    <col min="12274" max="12274" width="28.3984375" customWidth="1"/>
    <col min="12275" max="12286" width="12.3984375" customWidth="1"/>
    <col min="12287" max="12287" width="20.3984375" customWidth="1"/>
    <col min="12288" max="12288" width="17.265625" customWidth="1"/>
    <col min="12530" max="12530" width="28.3984375" customWidth="1"/>
    <col min="12531" max="12542" width="12.3984375" customWidth="1"/>
    <col min="12543" max="12543" width="20.3984375" customWidth="1"/>
    <col min="12544" max="12544" width="17.265625" customWidth="1"/>
    <col min="12786" max="12786" width="28.3984375" customWidth="1"/>
    <col min="12787" max="12798" width="12.3984375" customWidth="1"/>
    <col min="12799" max="12799" width="20.3984375" customWidth="1"/>
    <col min="12800" max="12800" width="17.265625" customWidth="1"/>
    <col min="13042" max="13042" width="28.3984375" customWidth="1"/>
    <col min="13043" max="13054" width="12.3984375" customWidth="1"/>
    <col min="13055" max="13055" width="20.3984375" customWidth="1"/>
    <col min="13056" max="13056" width="17.265625" customWidth="1"/>
    <col min="13298" max="13298" width="28.3984375" customWidth="1"/>
    <col min="13299" max="13310" width="12.3984375" customWidth="1"/>
    <col min="13311" max="13311" width="20.3984375" customWidth="1"/>
    <col min="13312" max="13312" width="17.265625" customWidth="1"/>
    <col min="13554" max="13554" width="28.3984375" customWidth="1"/>
    <col min="13555" max="13566" width="12.3984375" customWidth="1"/>
    <col min="13567" max="13567" width="20.3984375" customWidth="1"/>
    <col min="13568" max="13568" width="17.265625" customWidth="1"/>
    <col min="13810" max="13810" width="28.3984375" customWidth="1"/>
    <col min="13811" max="13822" width="12.3984375" customWidth="1"/>
    <col min="13823" max="13823" width="20.3984375" customWidth="1"/>
    <col min="13824" max="13824" width="17.265625" customWidth="1"/>
    <col min="14066" max="14066" width="28.3984375" customWidth="1"/>
    <col min="14067" max="14078" width="12.3984375" customWidth="1"/>
    <col min="14079" max="14079" width="20.3984375" customWidth="1"/>
    <col min="14080" max="14080" width="17.265625" customWidth="1"/>
    <col min="14322" max="14322" width="28.3984375" customWidth="1"/>
    <col min="14323" max="14334" width="12.3984375" customWidth="1"/>
    <col min="14335" max="14335" width="20.3984375" customWidth="1"/>
    <col min="14336" max="14336" width="17.265625" customWidth="1"/>
    <col min="14578" max="14578" width="28.3984375" customWidth="1"/>
    <col min="14579" max="14590" width="12.3984375" customWidth="1"/>
    <col min="14591" max="14591" width="20.3984375" customWidth="1"/>
    <col min="14592" max="14592" width="17.265625" customWidth="1"/>
    <col min="14834" max="14834" width="28.3984375" customWidth="1"/>
    <col min="14835" max="14846" width="12.3984375" customWidth="1"/>
    <col min="14847" max="14847" width="20.3984375" customWidth="1"/>
    <col min="14848" max="14848" width="17.265625" customWidth="1"/>
    <col min="15090" max="15090" width="28.3984375" customWidth="1"/>
    <col min="15091" max="15102" width="12.3984375" customWidth="1"/>
    <col min="15103" max="15103" width="20.3984375" customWidth="1"/>
    <col min="15104" max="15104" width="17.265625" customWidth="1"/>
    <col min="15346" max="15346" width="28.3984375" customWidth="1"/>
    <col min="15347" max="15358" width="12.3984375" customWidth="1"/>
    <col min="15359" max="15359" width="20.3984375" customWidth="1"/>
    <col min="15360" max="15360" width="17.265625" customWidth="1"/>
    <col min="15602" max="15602" width="28.3984375" customWidth="1"/>
    <col min="15603" max="15614" width="12.3984375" customWidth="1"/>
    <col min="15615" max="15615" width="20.3984375" customWidth="1"/>
    <col min="15616" max="15616" width="17.265625" customWidth="1"/>
    <col min="15858" max="15858" width="28.3984375" customWidth="1"/>
    <col min="15859" max="15870" width="12.3984375" customWidth="1"/>
    <col min="15871" max="15871" width="20.3984375" customWidth="1"/>
    <col min="15872" max="15872" width="17.265625" customWidth="1"/>
    <col min="16114" max="16114" width="28.3984375" customWidth="1"/>
    <col min="16115" max="16126" width="12.3984375" customWidth="1"/>
    <col min="16127" max="16127" width="20.3984375" customWidth="1"/>
    <col min="16128" max="16128" width="17.265625" customWidth="1"/>
  </cols>
  <sheetData>
    <row r="1" spans="1:8" ht="13.15" customHeight="1" x14ac:dyDescent="0.45">
      <c r="A1" s="109" t="s">
        <v>75</v>
      </c>
      <c r="B1" s="14"/>
      <c r="C1" s="14"/>
      <c r="D1" s="14"/>
      <c r="E1" s="14"/>
      <c r="F1" s="13"/>
    </row>
    <row r="2" spans="1:8" s="114" customFormat="1" ht="32.25" customHeight="1" x14ac:dyDescent="0.45">
      <c r="A2" s="109" t="s">
        <v>60</v>
      </c>
      <c r="B2" s="15" t="s">
        <v>56</v>
      </c>
      <c r="C2" s="15" t="s">
        <v>74</v>
      </c>
      <c r="D2" s="15" t="s">
        <v>10</v>
      </c>
      <c r="E2" s="15" t="s">
        <v>11</v>
      </c>
      <c r="F2" s="15" t="s">
        <v>12</v>
      </c>
      <c r="G2" s="122" t="s">
        <v>13</v>
      </c>
      <c r="H2" s="111" t="s">
        <v>14</v>
      </c>
    </row>
    <row r="3" spans="1:8" ht="13.15" customHeight="1" x14ac:dyDescent="0.45">
      <c r="A3" s="112" t="s">
        <v>76</v>
      </c>
      <c r="B3" s="102">
        <v>1655483</v>
      </c>
      <c r="C3" s="113">
        <v>479644</v>
      </c>
      <c r="D3" s="113">
        <v>3269835</v>
      </c>
      <c r="E3" s="113">
        <v>203.89</v>
      </c>
      <c r="F3" s="104">
        <f t="shared" ref="F3:F24" si="0">B3/$B$25</f>
        <v>1.5589941150659105E-3</v>
      </c>
      <c r="G3" s="140">
        <v>19576380</v>
      </c>
      <c r="H3" s="102">
        <v>15040732</v>
      </c>
    </row>
    <row r="4" spans="1:8" ht="13.15" customHeight="1" x14ac:dyDescent="0.45">
      <c r="A4" s="112" t="s">
        <v>62</v>
      </c>
      <c r="B4" s="102">
        <v>227412</v>
      </c>
      <c r="C4" s="113">
        <v>14661</v>
      </c>
      <c r="D4" s="113">
        <v>3301639</v>
      </c>
      <c r="E4" s="113">
        <v>1498.84</v>
      </c>
      <c r="F4" s="104">
        <f t="shared" si="0"/>
        <v>2.1415742094323462E-4</v>
      </c>
      <c r="G4" s="140">
        <v>15654304</v>
      </c>
      <c r="H4" s="102">
        <v>9668487</v>
      </c>
    </row>
    <row r="5" spans="1:8" ht="13.15" customHeight="1" x14ac:dyDescent="0.45">
      <c r="A5" s="43" t="s">
        <v>63</v>
      </c>
      <c r="B5" s="102">
        <v>83765</v>
      </c>
      <c r="C5" s="113">
        <v>20873</v>
      </c>
      <c r="D5" s="113">
        <v>1276015</v>
      </c>
      <c r="E5" s="113">
        <v>1528.99</v>
      </c>
      <c r="F5" s="104">
        <f t="shared" si="0"/>
        <v>7.8882804624690194E-5</v>
      </c>
      <c r="G5" s="140">
        <v>4833669</v>
      </c>
      <c r="H5" s="102">
        <v>2540132</v>
      </c>
    </row>
    <row r="6" spans="1:8" ht="13.15" customHeight="1" x14ac:dyDescent="0.45">
      <c r="A6" s="112" t="s">
        <v>16</v>
      </c>
      <c r="B6" s="102">
        <v>8234241</v>
      </c>
      <c r="C6" s="113">
        <v>5847985</v>
      </c>
      <c r="D6" s="113">
        <v>5986800</v>
      </c>
      <c r="E6" s="113">
        <v>82.3</v>
      </c>
      <c r="F6" s="104">
        <f t="shared" si="0"/>
        <v>7.7543129473600387E-3</v>
      </c>
      <c r="G6" s="140">
        <v>65046639</v>
      </c>
      <c r="H6" s="102">
        <v>54961347</v>
      </c>
    </row>
    <row r="7" spans="1:8" ht="13.15" customHeight="1" x14ac:dyDescent="0.45">
      <c r="A7" s="112" t="s">
        <v>17</v>
      </c>
      <c r="B7" s="102">
        <v>297598695</v>
      </c>
      <c r="C7" s="113">
        <v>122688370</v>
      </c>
      <c r="D7" s="113">
        <v>50937477</v>
      </c>
      <c r="E7" s="113">
        <v>35.299999999999997</v>
      </c>
      <c r="F7" s="104">
        <f t="shared" si="0"/>
        <v>0.28025332435083589</v>
      </c>
      <c r="G7" s="140">
        <v>616714495</v>
      </c>
      <c r="H7" s="102">
        <v>528947674</v>
      </c>
    </row>
    <row r="8" spans="1:8" ht="13.15" customHeight="1" x14ac:dyDescent="0.45">
      <c r="A8" s="112" t="s">
        <v>40</v>
      </c>
      <c r="B8" s="102">
        <v>0</v>
      </c>
      <c r="C8" s="113"/>
      <c r="D8" s="113"/>
      <c r="E8" s="113"/>
      <c r="F8" s="104">
        <f t="shared" si="0"/>
        <v>0</v>
      </c>
      <c r="G8" s="141"/>
      <c r="H8" s="102"/>
    </row>
    <row r="9" spans="1:8" ht="13.15" customHeight="1" x14ac:dyDescent="0.45">
      <c r="A9" s="112" t="s">
        <v>53</v>
      </c>
      <c r="B9" s="102">
        <v>1264649</v>
      </c>
      <c r="C9" s="113">
        <v>0</v>
      </c>
      <c r="D9" s="113">
        <v>6718733</v>
      </c>
      <c r="E9" s="113">
        <v>620.82000000000005</v>
      </c>
      <c r="F9" s="104">
        <f t="shared" si="0"/>
        <v>1.1909396524301299E-3</v>
      </c>
      <c r="G9" s="140">
        <v>18463137</v>
      </c>
      <c r="H9" s="102">
        <v>11697835</v>
      </c>
    </row>
    <row r="10" spans="1:8" ht="13.15" customHeight="1" x14ac:dyDescent="0.45">
      <c r="A10" s="112" t="s">
        <v>18</v>
      </c>
      <c r="B10" s="102">
        <v>0</v>
      </c>
      <c r="C10" s="113"/>
      <c r="D10" s="113"/>
      <c r="E10" s="113"/>
      <c r="F10" s="104">
        <f t="shared" si="0"/>
        <v>0</v>
      </c>
      <c r="G10" s="141"/>
      <c r="H10" s="102"/>
    </row>
    <row r="11" spans="1:8" ht="13.15" customHeight="1" x14ac:dyDescent="0.45">
      <c r="A11" s="112" t="s">
        <v>19</v>
      </c>
      <c r="B11" s="102">
        <v>9485565</v>
      </c>
      <c r="C11" s="113">
        <v>1700365</v>
      </c>
      <c r="D11" s="113">
        <v>3364129</v>
      </c>
      <c r="E11" s="113">
        <v>73.27</v>
      </c>
      <c r="F11" s="104">
        <f t="shared" si="0"/>
        <v>8.9327042398352468E-3</v>
      </c>
      <c r="G11" s="140">
        <v>22239253</v>
      </c>
      <c r="H11" s="102">
        <v>10289507</v>
      </c>
    </row>
    <row r="12" spans="1:8" ht="13.15" customHeight="1" x14ac:dyDescent="0.45">
      <c r="A12" s="112" t="s">
        <v>20</v>
      </c>
      <c r="B12" s="102">
        <v>95891128</v>
      </c>
      <c r="C12" s="113">
        <v>60597942</v>
      </c>
      <c r="D12" s="113">
        <v>23340310</v>
      </c>
      <c r="E12" s="113">
        <v>32.14</v>
      </c>
      <c r="F12" s="104">
        <f t="shared" si="0"/>
        <v>9.0302168152153764E-2</v>
      </c>
      <c r="G12" s="140">
        <v>304957664</v>
      </c>
      <c r="H12" s="102">
        <v>281707932</v>
      </c>
    </row>
    <row r="13" spans="1:8" ht="13.15" customHeight="1" x14ac:dyDescent="0.45">
      <c r="A13" s="112" t="s">
        <v>47</v>
      </c>
      <c r="B13" s="102">
        <v>15405725</v>
      </c>
      <c r="C13" s="113">
        <v>1034419</v>
      </c>
      <c r="D13" s="113">
        <v>5593482</v>
      </c>
      <c r="E13" s="113">
        <v>51.83</v>
      </c>
      <c r="F13" s="104">
        <f t="shared" si="0"/>
        <v>1.4507811081916139E-2</v>
      </c>
      <c r="G13" s="140">
        <v>38521957</v>
      </c>
      <c r="H13" s="102">
        <v>32245659</v>
      </c>
    </row>
    <row r="14" spans="1:8" ht="13.15" customHeight="1" x14ac:dyDescent="0.45">
      <c r="A14" s="112" t="s">
        <v>21</v>
      </c>
      <c r="B14" s="102">
        <v>39705069</v>
      </c>
      <c r="C14" s="113">
        <v>27404609</v>
      </c>
      <c r="D14" s="113">
        <v>12764646</v>
      </c>
      <c r="E14" s="113">
        <v>47.9</v>
      </c>
      <c r="F14" s="104">
        <f t="shared" si="0"/>
        <v>3.7390881639549255E-2</v>
      </c>
      <c r="G14" s="140">
        <v>149989267</v>
      </c>
      <c r="H14" s="102">
        <v>142219188</v>
      </c>
    </row>
    <row r="15" spans="1:8" ht="13.15" customHeight="1" x14ac:dyDescent="0.45">
      <c r="A15" s="112" t="s">
        <v>22</v>
      </c>
      <c r="B15" s="102">
        <v>55628677</v>
      </c>
      <c r="C15" s="113">
        <v>58778741</v>
      </c>
      <c r="D15" s="113">
        <v>27345878</v>
      </c>
      <c r="E15" s="113">
        <v>57.64</v>
      </c>
      <c r="F15" s="104">
        <f t="shared" si="0"/>
        <v>5.2386391205407952E-2</v>
      </c>
      <c r="G15" s="140">
        <v>188682658</v>
      </c>
      <c r="H15" s="102">
        <v>154978365</v>
      </c>
    </row>
    <row r="16" spans="1:8" ht="13.15" customHeight="1" x14ac:dyDescent="0.45">
      <c r="A16" s="112" t="s">
        <v>23</v>
      </c>
      <c r="B16" s="102">
        <v>13035481</v>
      </c>
      <c r="C16" s="113">
        <v>8966603</v>
      </c>
      <c r="D16" s="113">
        <v>7038550</v>
      </c>
      <c r="E16" s="113">
        <v>65.760000000000005</v>
      </c>
      <c r="F16" s="104">
        <f t="shared" si="0"/>
        <v>1.2275715405143691E-2</v>
      </c>
      <c r="G16" s="140">
        <v>33212581</v>
      </c>
      <c r="H16" s="102">
        <v>23668377</v>
      </c>
    </row>
    <row r="17" spans="1:8" ht="13.15" customHeight="1" x14ac:dyDescent="0.45">
      <c r="A17" s="112" t="s">
        <v>24</v>
      </c>
      <c r="B17" s="102">
        <v>52599824</v>
      </c>
      <c r="C17" s="113">
        <v>10499223</v>
      </c>
      <c r="D17" s="113">
        <v>25462182</v>
      </c>
      <c r="E17" s="113">
        <v>76.75</v>
      </c>
      <c r="F17" s="104">
        <f t="shared" si="0"/>
        <v>4.9534073179551011E-2</v>
      </c>
      <c r="G17" s="140">
        <v>97278166</v>
      </c>
      <c r="H17" s="102">
        <v>77448188</v>
      </c>
    </row>
    <row r="18" spans="1:8" ht="13.15" customHeight="1" x14ac:dyDescent="0.45">
      <c r="A18" s="112" t="s">
        <v>25</v>
      </c>
      <c r="B18" s="102">
        <v>10945033</v>
      </c>
      <c r="C18" s="113">
        <v>8561055</v>
      </c>
      <c r="D18" s="113">
        <v>4256968</v>
      </c>
      <c r="E18" s="113">
        <v>43.9</v>
      </c>
      <c r="F18" s="104">
        <f t="shared" si="0"/>
        <v>1.0307107977673095E-2</v>
      </c>
      <c r="G18" s="140">
        <v>48244257</v>
      </c>
      <c r="H18" s="102">
        <v>43207553</v>
      </c>
    </row>
    <row r="19" spans="1:8" ht="13.15" customHeight="1" x14ac:dyDescent="0.45">
      <c r="A19" s="112" t="s">
        <v>26</v>
      </c>
      <c r="B19" s="102">
        <v>7935265</v>
      </c>
      <c r="C19" s="113">
        <v>1782196</v>
      </c>
      <c r="D19" s="113">
        <v>3895491</v>
      </c>
      <c r="E19" s="113">
        <v>70.12</v>
      </c>
      <c r="F19" s="104">
        <f t="shared" si="0"/>
        <v>7.4727625934476486E-3</v>
      </c>
      <c r="G19" s="140">
        <v>20049905</v>
      </c>
      <c r="H19" s="102">
        <v>17641501</v>
      </c>
    </row>
    <row r="20" spans="1:8" ht="13.15" customHeight="1" x14ac:dyDescent="0.45">
      <c r="A20" s="112" t="s">
        <v>27</v>
      </c>
      <c r="B20" s="102">
        <v>258291035</v>
      </c>
      <c r="C20" s="113">
        <v>175505460</v>
      </c>
      <c r="D20" s="113">
        <v>60432520</v>
      </c>
      <c r="E20" s="113">
        <v>29.26</v>
      </c>
      <c r="F20" s="104">
        <f t="shared" si="0"/>
        <v>0.24323668895378758</v>
      </c>
      <c r="G20" s="140">
        <v>576505271</v>
      </c>
      <c r="H20" s="102">
        <v>524347468</v>
      </c>
    </row>
    <row r="21" spans="1:8" ht="13.15" customHeight="1" x14ac:dyDescent="0.45">
      <c r="A21" s="112" t="s">
        <v>28</v>
      </c>
      <c r="B21" s="102">
        <v>151203557</v>
      </c>
      <c r="C21" s="113">
        <v>60135247</v>
      </c>
      <c r="D21" s="113">
        <v>34580768</v>
      </c>
      <c r="E21" s="113">
        <v>37.4</v>
      </c>
      <c r="F21" s="104">
        <f t="shared" si="0"/>
        <v>0.14239074369234414</v>
      </c>
      <c r="G21" s="140">
        <v>407210465</v>
      </c>
      <c r="H21" s="102">
        <v>370819817</v>
      </c>
    </row>
    <row r="22" spans="1:8" ht="13.15" customHeight="1" x14ac:dyDescent="0.45">
      <c r="A22" s="112" t="s">
        <v>29</v>
      </c>
      <c r="B22" s="102">
        <v>2993097</v>
      </c>
      <c r="C22" s="113">
        <v>3091428</v>
      </c>
      <c r="D22" s="113">
        <v>3788537</v>
      </c>
      <c r="E22" s="113">
        <v>139.36000000000001</v>
      </c>
      <c r="F22" s="104">
        <f t="shared" si="0"/>
        <v>2.8186460439771546E-3</v>
      </c>
      <c r="G22" s="140">
        <v>129641878</v>
      </c>
      <c r="H22" s="102">
        <v>120930400</v>
      </c>
    </row>
    <row r="23" spans="1:8" ht="13.15" customHeight="1" x14ac:dyDescent="0.45">
      <c r="A23" s="112" t="s">
        <v>30</v>
      </c>
      <c r="B23" s="102">
        <v>24178430</v>
      </c>
      <c r="C23" s="113">
        <v>16419991</v>
      </c>
      <c r="D23" s="113">
        <v>16331905</v>
      </c>
      <c r="E23" s="113">
        <v>84.28</v>
      </c>
      <c r="F23" s="104">
        <f t="shared" si="0"/>
        <v>2.2769203961341231E-2</v>
      </c>
      <c r="G23" s="140">
        <v>55306361</v>
      </c>
      <c r="H23" s="102">
        <v>24951911</v>
      </c>
    </row>
    <row r="24" spans="1:8" ht="13.15" customHeight="1" x14ac:dyDescent="0.45">
      <c r="A24" s="112" t="s">
        <v>31</v>
      </c>
      <c r="B24" s="102">
        <v>15529625</v>
      </c>
      <c r="C24" s="113">
        <v>1719139</v>
      </c>
      <c r="D24" s="113">
        <v>6817362</v>
      </c>
      <c r="E24" s="113">
        <v>63.92</v>
      </c>
      <c r="F24" s="104">
        <f t="shared" si="0"/>
        <v>1.4624489640896609E-2</v>
      </c>
      <c r="G24" s="140">
        <v>30363029</v>
      </c>
      <c r="H24" s="102">
        <v>16248271</v>
      </c>
    </row>
    <row r="25" spans="1:8" s="34" customFormat="1" ht="13.15" customHeight="1" x14ac:dyDescent="0.75">
      <c r="A25" s="44" t="s">
        <v>67</v>
      </c>
      <c r="B25" s="119">
        <v>1061891757</v>
      </c>
      <c r="C25" s="118">
        <v>565247951</v>
      </c>
      <c r="D25" s="118">
        <v>306503225</v>
      </c>
      <c r="E25" s="133"/>
      <c r="F25" s="134"/>
      <c r="G25" s="142">
        <v>2842491336</v>
      </c>
      <c r="H25" s="143">
        <v>2463560345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tabColor rgb="FF7030A0"/>
  </sheetPr>
  <dimension ref="A1:J28"/>
  <sheetViews>
    <sheetView workbookViewId="0">
      <selection activeCell="D3" sqref="D3:E27"/>
    </sheetView>
  </sheetViews>
  <sheetFormatPr defaultRowHeight="14.25" x14ac:dyDescent="0.45"/>
  <cols>
    <col min="1" max="1" width="5.3984375" customWidth="1"/>
    <col min="2" max="2" width="41.265625" customWidth="1"/>
    <col min="3" max="3" width="15.265625" bestFit="1" customWidth="1"/>
    <col min="4" max="4" width="17" customWidth="1"/>
    <col min="5" max="5" width="14" customWidth="1"/>
    <col min="6" max="6" width="13.3984375" customWidth="1"/>
    <col min="7" max="7" width="8.73046875" customWidth="1"/>
    <col min="8" max="8" width="9.265625" style="163"/>
    <col min="9" max="9" width="13.73046875" customWidth="1"/>
    <col min="10" max="10" width="14.3984375" customWidth="1"/>
  </cols>
  <sheetData>
    <row r="1" spans="1:10" x14ac:dyDescent="0.45">
      <c r="B1" s="111" t="s">
        <v>77</v>
      </c>
    </row>
    <row r="2" spans="1:10" ht="28.5" x14ac:dyDescent="0.45">
      <c r="A2" s="173"/>
      <c r="B2" s="111" t="s">
        <v>60</v>
      </c>
      <c r="C2" s="164" t="s">
        <v>56</v>
      </c>
      <c r="D2" s="164" t="s">
        <v>74</v>
      </c>
      <c r="E2" s="164" t="s">
        <v>10</v>
      </c>
      <c r="F2" s="164" t="s">
        <v>78</v>
      </c>
      <c r="G2" s="164" t="s">
        <v>11</v>
      </c>
      <c r="H2" s="165" t="s">
        <v>12</v>
      </c>
      <c r="I2" s="164" t="s">
        <v>13</v>
      </c>
      <c r="J2" s="164" t="s">
        <v>79</v>
      </c>
    </row>
    <row r="3" spans="1:10" x14ac:dyDescent="0.45">
      <c r="A3">
        <v>1</v>
      </c>
      <c r="B3" s="166" t="s">
        <v>76</v>
      </c>
      <c r="C3" s="103"/>
      <c r="D3" s="167"/>
      <c r="E3" s="167"/>
      <c r="F3" s="167"/>
      <c r="G3" s="167"/>
      <c r="H3" s="168">
        <f t="shared" ref="H3:H27" si="0">C3/$C$28</f>
        <v>0</v>
      </c>
      <c r="I3" s="167"/>
      <c r="J3" s="167"/>
    </row>
    <row r="4" spans="1:10" x14ac:dyDescent="0.45">
      <c r="A4">
        <v>2</v>
      </c>
      <c r="B4" s="166" t="s">
        <v>80</v>
      </c>
      <c r="C4" s="103"/>
      <c r="D4" s="167"/>
      <c r="E4" s="167"/>
      <c r="F4" s="167"/>
      <c r="G4" s="167"/>
      <c r="H4" s="168">
        <f t="shared" si="0"/>
        <v>0</v>
      </c>
      <c r="I4" s="167"/>
      <c r="J4" s="167"/>
    </row>
    <row r="5" spans="1:10" x14ac:dyDescent="0.45">
      <c r="A5">
        <v>3</v>
      </c>
      <c r="B5" s="166" t="s">
        <v>62</v>
      </c>
      <c r="C5" s="103">
        <v>124615</v>
      </c>
      <c r="D5" s="167">
        <v>0</v>
      </c>
      <c r="E5" s="169">
        <v>912594</v>
      </c>
      <c r="F5" s="169">
        <v>168.79</v>
      </c>
      <c r="G5" s="169">
        <v>862.28</v>
      </c>
      <c r="H5" s="168">
        <f t="shared" si="0"/>
        <v>4.0019464588923764E-4</v>
      </c>
      <c r="I5" s="169">
        <v>15483016</v>
      </c>
      <c r="J5" s="169">
        <v>9668487</v>
      </c>
    </row>
    <row r="6" spans="1:10" x14ac:dyDescent="0.45">
      <c r="A6">
        <v>4</v>
      </c>
      <c r="B6" s="166" t="s">
        <v>81</v>
      </c>
      <c r="C6" s="103"/>
      <c r="D6" s="167"/>
      <c r="E6" s="167"/>
      <c r="F6" s="167"/>
      <c r="G6" s="167"/>
      <c r="H6" s="168">
        <f t="shared" si="0"/>
        <v>0</v>
      </c>
      <c r="I6" s="167"/>
      <c r="J6" s="167"/>
    </row>
    <row r="7" spans="1:10" x14ac:dyDescent="0.45">
      <c r="A7">
        <v>5</v>
      </c>
      <c r="B7" s="166" t="s">
        <v>82</v>
      </c>
      <c r="C7" s="105">
        <v>808915</v>
      </c>
      <c r="D7" s="169">
        <v>726203</v>
      </c>
      <c r="E7" s="169">
        <v>1251976</v>
      </c>
      <c r="F7" s="169">
        <v>2313.36</v>
      </c>
      <c r="G7" s="169">
        <v>163.51</v>
      </c>
      <c r="H7" s="168">
        <f t="shared" si="0"/>
        <v>2.5977888053564393E-3</v>
      </c>
      <c r="I7" s="169">
        <v>244876563</v>
      </c>
      <c r="J7" s="169">
        <v>241108784</v>
      </c>
    </row>
    <row r="8" spans="1:10" x14ac:dyDescent="0.45">
      <c r="A8">
        <v>6</v>
      </c>
      <c r="B8" s="166" t="s">
        <v>16</v>
      </c>
      <c r="C8" s="105">
        <v>2444658</v>
      </c>
      <c r="D8" s="169">
        <v>1691683</v>
      </c>
      <c r="E8" s="169">
        <v>1284874</v>
      </c>
      <c r="F8" s="169">
        <v>143.58000000000001</v>
      </c>
      <c r="G8" s="169">
        <v>57.04</v>
      </c>
      <c r="H8" s="168">
        <f t="shared" si="0"/>
        <v>7.8508930917649718E-3</v>
      </c>
      <c r="I8" s="169">
        <v>64777756</v>
      </c>
      <c r="J8" s="169">
        <v>53580281</v>
      </c>
    </row>
    <row r="9" spans="1:10" x14ac:dyDescent="0.45">
      <c r="A9">
        <v>7</v>
      </c>
      <c r="B9" s="166" t="s">
        <v>17</v>
      </c>
      <c r="C9" s="105">
        <v>82803590</v>
      </c>
      <c r="D9" s="169">
        <v>35317428</v>
      </c>
      <c r="E9" s="169">
        <v>16476486</v>
      </c>
      <c r="F9" s="169">
        <v>135.44999999999999</v>
      </c>
      <c r="G9" s="169">
        <v>38.950000000000003</v>
      </c>
      <c r="H9" s="168">
        <f t="shared" si="0"/>
        <v>0.26591945896086039</v>
      </c>
      <c r="I9" s="169">
        <v>694056816</v>
      </c>
      <c r="J9" s="169">
        <v>584176125</v>
      </c>
    </row>
    <row r="10" spans="1:10" x14ac:dyDescent="0.45">
      <c r="A10">
        <v>8</v>
      </c>
      <c r="B10" s="166" t="s">
        <v>40</v>
      </c>
      <c r="C10" s="103"/>
      <c r="D10" s="167"/>
      <c r="E10" s="167"/>
      <c r="F10" s="167"/>
      <c r="G10" s="167"/>
      <c r="H10" s="168">
        <f t="shared" si="0"/>
        <v>0</v>
      </c>
      <c r="I10" s="167"/>
      <c r="J10" s="167"/>
    </row>
    <row r="11" spans="1:10" x14ac:dyDescent="0.45">
      <c r="A11">
        <v>9</v>
      </c>
      <c r="B11" s="166" t="s">
        <v>53</v>
      </c>
      <c r="C11" s="103">
        <v>353535</v>
      </c>
      <c r="D11" s="169">
        <v>128817</v>
      </c>
      <c r="E11" s="169">
        <v>1858611</v>
      </c>
      <c r="F11" s="169">
        <v>3911.15</v>
      </c>
      <c r="G11" s="169">
        <v>544.19000000000005</v>
      </c>
      <c r="H11" s="168">
        <f t="shared" si="0"/>
        <v>1.1353594200894887E-3</v>
      </c>
      <c r="I11" s="169">
        <v>18095012</v>
      </c>
      <c r="J11" s="169">
        <v>11392621</v>
      </c>
    </row>
    <row r="12" spans="1:10" x14ac:dyDescent="0.45">
      <c r="A12">
        <v>10</v>
      </c>
      <c r="B12" s="166" t="s">
        <v>18</v>
      </c>
      <c r="C12" s="103">
        <v>4715271</v>
      </c>
      <c r="D12" s="169">
        <v>2308292</v>
      </c>
      <c r="E12" s="169">
        <v>1785414</v>
      </c>
      <c r="F12" s="169">
        <v>99.92</v>
      </c>
      <c r="G12" s="169">
        <v>46.81</v>
      </c>
      <c r="H12" s="168">
        <f t="shared" si="0"/>
        <v>1.5142849641831171E-2</v>
      </c>
      <c r="I12" s="169">
        <v>40389177</v>
      </c>
      <c r="J12" s="169">
        <v>23403496</v>
      </c>
    </row>
    <row r="13" spans="1:10" x14ac:dyDescent="0.45">
      <c r="A13">
        <v>11</v>
      </c>
      <c r="B13" s="166" t="s">
        <v>19</v>
      </c>
      <c r="C13" s="105">
        <v>1949586</v>
      </c>
      <c r="D13" s="169">
        <v>705223</v>
      </c>
      <c r="E13" s="169">
        <v>955624</v>
      </c>
      <c r="F13" s="169">
        <v>247.31</v>
      </c>
      <c r="G13" s="169">
        <v>80.290000000000006</v>
      </c>
      <c r="H13" s="168">
        <f t="shared" si="0"/>
        <v>6.2609948954830096E-3</v>
      </c>
      <c r="I13" s="169">
        <v>22297075</v>
      </c>
      <c r="J13" s="169">
        <v>10389658</v>
      </c>
    </row>
    <row r="14" spans="1:10" x14ac:dyDescent="0.45">
      <c r="A14">
        <v>12</v>
      </c>
      <c r="B14" s="166" t="s">
        <v>20</v>
      </c>
      <c r="C14" s="103">
        <v>22885633</v>
      </c>
      <c r="D14" s="169">
        <v>15487542</v>
      </c>
      <c r="E14" s="169">
        <v>5515080</v>
      </c>
      <c r="F14" s="169">
        <v>252.39</v>
      </c>
      <c r="G14" s="169">
        <v>33.24</v>
      </c>
      <c r="H14" s="168">
        <f t="shared" si="0"/>
        <v>7.3496030127882278E-2</v>
      </c>
      <c r="I14" s="169">
        <v>316215942</v>
      </c>
      <c r="J14" s="169">
        <v>295276876</v>
      </c>
    </row>
    <row r="15" spans="1:10" x14ac:dyDescent="0.45">
      <c r="A15">
        <v>13</v>
      </c>
      <c r="B15" s="166" t="s">
        <v>47</v>
      </c>
      <c r="C15" s="103">
        <v>4561151</v>
      </c>
      <c r="D15" s="169">
        <v>210610</v>
      </c>
      <c r="E15" s="169">
        <v>1660773</v>
      </c>
      <c r="F15" s="169">
        <v>395.39</v>
      </c>
      <c r="G15" s="169">
        <v>53.34</v>
      </c>
      <c r="H15" s="168">
        <f t="shared" si="0"/>
        <v>1.4647901210065739E-2</v>
      </c>
      <c r="I15" s="169">
        <v>42703411</v>
      </c>
      <c r="J15" s="169">
        <v>36615718</v>
      </c>
    </row>
    <row r="16" spans="1:10" x14ac:dyDescent="0.45">
      <c r="A16">
        <v>14</v>
      </c>
      <c r="B16" s="166" t="s">
        <v>64</v>
      </c>
      <c r="C16" s="103"/>
      <c r="D16" s="167"/>
      <c r="E16" s="167"/>
      <c r="F16" s="167"/>
      <c r="G16" s="167"/>
      <c r="H16" s="168">
        <f t="shared" si="0"/>
        <v>0</v>
      </c>
      <c r="I16" s="167"/>
      <c r="J16" s="167"/>
    </row>
    <row r="17" spans="1:10" x14ac:dyDescent="0.45">
      <c r="A17">
        <v>15</v>
      </c>
      <c r="B17" s="166" t="s">
        <v>21</v>
      </c>
      <c r="C17" s="105">
        <v>10762514</v>
      </c>
      <c r="D17" s="169">
        <v>6662727</v>
      </c>
      <c r="E17" s="169">
        <v>3285358</v>
      </c>
      <c r="F17" s="169">
        <v>128.94999999999999</v>
      </c>
      <c r="G17" s="169">
        <v>46.29</v>
      </c>
      <c r="H17" s="168">
        <f t="shared" si="0"/>
        <v>3.4563258669565965E-2</v>
      </c>
      <c r="I17" s="169">
        <v>154572493</v>
      </c>
      <c r="J17" s="169">
        <v>144825916</v>
      </c>
    </row>
    <row r="18" spans="1:10" x14ac:dyDescent="0.45">
      <c r="A18">
        <v>16</v>
      </c>
      <c r="B18" s="166" t="s">
        <v>66</v>
      </c>
      <c r="C18" s="103"/>
      <c r="D18" s="167"/>
      <c r="E18" s="167"/>
      <c r="F18" s="167"/>
      <c r="G18" s="167"/>
      <c r="H18" s="168">
        <f t="shared" si="0"/>
        <v>0</v>
      </c>
      <c r="I18" s="167"/>
      <c r="J18" s="167"/>
    </row>
    <row r="19" spans="1:10" x14ac:dyDescent="0.45">
      <c r="A19">
        <v>17</v>
      </c>
      <c r="B19" s="166" t="s">
        <v>22</v>
      </c>
      <c r="C19" s="105">
        <v>15248561</v>
      </c>
      <c r="D19" s="169">
        <v>16885843</v>
      </c>
      <c r="E19" s="169">
        <v>7190222</v>
      </c>
      <c r="F19" s="169">
        <v>146.82</v>
      </c>
      <c r="G19" s="169">
        <v>56.97</v>
      </c>
      <c r="H19" s="168">
        <f t="shared" si="0"/>
        <v>4.8969967256874684E-2</v>
      </c>
      <c r="I19" s="169">
        <v>197915505</v>
      </c>
      <c r="J19" s="169">
        <v>186472446</v>
      </c>
    </row>
    <row r="20" spans="1:10" x14ac:dyDescent="0.45">
      <c r="A20">
        <v>18</v>
      </c>
      <c r="B20" s="166" t="s">
        <v>23</v>
      </c>
      <c r="C20" s="105">
        <v>3904654</v>
      </c>
      <c r="D20" s="169">
        <v>2106071</v>
      </c>
      <c r="E20" s="169">
        <v>1942043</v>
      </c>
      <c r="F20" s="169">
        <v>235.88</v>
      </c>
      <c r="G20" s="169">
        <v>59.37</v>
      </c>
      <c r="H20" s="168">
        <f t="shared" si="0"/>
        <v>1.2539594951249811E-2</v>
      </c>
      <c r="I20" s="169">
        <v>33652927</v>
      </c>
      <c r="J20" s="169">
        <v>25117469</v>
      </c>
    </row>
    <row r="21" spans="1:10" x14ac:dyDescent="0.45">
      <c r="A21">
        <v>19</v>
      </c>
      <c r="B21" s="166" t="s">
        <v>24</v>
      </c>
      <c r="C21" s="105">
        <v>16575117</v>
      </c>
      <c r="D21" s="169">
        <v>3258684</v>
      </c>
      <c r="E21" s="169">
        <v>7349350</v>
      </c>
      <c r="F21" s="169">
        <v>215.14</v>
      </c>
      <c r="G21" s="169">
        <v>74.59</v>
      </c>
      <c r="H21" s="168">
        <f t="shared" si="0"/>
        <v>5.3230133438090778E-2</v>
      </c>
      <c r="I21" s="169">
        <v>98269377</v>
      </c>
      <c r="J21" s="169">
        <v>67894303</v>
      </c>
    </row>
    <row r="22" spans="1:10" x14ac:dyDescent="0.45">
      <c r="A22">
        <v>20</v>
      </c>
      <c r="B22" s="166" t="s">
        <v>25</v>
      </c>
      <c r="C22" s="105">
        <v>3415490</v>
      </c>
      <c r="D22" s="169">
        <v>2374290</v>
      </c>
      <c r="E22" s="169">
        <v>1214082</v>
      </c>
      <c r="F22" s="169">
        <v>140.44999999999999</v>
      </c>
      <c r="G22" s="169">
        <v>39.39</v>
      </c>
      <c r="H22" s="168">
        <f t="shared" si="0"/>
        <v>1.0968669992282087E-2</v>
      </c>
      <c r="I22" s="169">
        <v>51267622</v>
      </c>
      <c r="J22" s="169">
        <v>45906575</v>
      </c>
    </row>
    <row r="23" spans="1:10" x14ac:dyDescent="0.45">
      <c r="A23">
        <v>21</v>
      </c>
      <c r="B23" s="166" t="s">
        <v>26</v>
      </c>
      <c r="C23" s="103">
        <v>2253560</v>
      </c>
      <c r="D23" s="169">
        <v>748619</v>
      </c>
      <c r="E23" s="169">
        <v>1223103</v>
      </c>
      <c r="F23" s="169">
        <v>551.69000000000005</v>
      </c>
      <c r="G23" s="169">
        <v>71.94</v>
      </c>
      <c r="H23" s="168">
        <f t="shared" si="0"/>
        <v>7.237191720018861E-3</v>
      </c>
      <c r="I23" s="169">
        <v>20641894</v>
      </c>
      <c r="J23" s="169">
        <v>17932195</v>
      </c>
    </row>
    <row r="24" spans="1:10" x14ac:dyDescent="0.45">
      <c r="A24">
        <v>22</v>
      </c>
      <c r="B24" s="166" t="s">
        <v>27</v>
      </c>
      <c r="C24" s="103">
        <v>75768921</v>
      </c>
      <c r="D24" s="169">
        <v>50090595</v>
      </c>
      <c r="E24" s="169">
        <v>14123187</v>
      </c>
      <c r="F24" s="169">
        <v>105.25</v>
      </c>
      <c r="G24" s="169">
        <v>25.2</v>
      </c>
      <c r="H24" s="168">
        <f t="shared" si="0"/>
        <v>0.24332798225738972</v>
      </c>
      <c r="I24" s="169">
        <v>601099022</v>
      </c>
      <c r="J24" s="169">
        <v>531571602</v>
      </c>
    </row>
    <row r="25" spans="1:10" x14ac:dyDescent="0.45">
      <c r="A25">
        <v>23</v>
      </c>
      <c r="B25" s="166" t="s">
        <v>28</v>
      </c>
      <c r="C25" s="103">
        <v>47624871</v>
      </c>
      <c r="D25" s="169">
        <v>19870301</v>
      </c>
      <c r="E25" s="169">
        <v>11284141</v>
      </c>
      <c r="F25" s="169">
        <v>125.92</v>
      </c>
      <c r="G25" s="169">
        <v>37.71</v>
      </c>
      <c r="H25" s="168">
        <f t="shared" si="0"/>
        <v>0.15294481711965352</v>
      </c>
      <c r="I25" s="169">
        <v>431267941</v>
      </c>
      <c r="J25" s="169">
        <v>389561624</v>
      </c>
    </row>
    <row r="26" spans="1:10" x14ac:dyDescent="0.45">
      <c r="A26">
        <v>24</v>
      </c>
      <c r="B26" s="166" t="s">
        <v>30</v>
      </c>
      <c r="C26" s="105">
        <v>7005252</v>
      </c>
      <c r="D26" s="169">
        <v>2388304</v>
      </c>
      <c r="E26" s="169">
        <v>4595415</v>
      </c>
      <c r="F26" s="169">
        <v>194.01</v>
      </c>
      <c r="G26" s="169">
        <v>82.33</v>
      </c>
      <c r="H26" s="168">
        <f t="shared" si="0"/>
        <v>2.2497005525056162E-2</v>
      </c>
      <c r="I26" s="169">
        <v>78084701</v>
      </c>
      <c r="J26" s="169">
        <v>26951693</v>
      </c>
    </row>
    <row r="27" spans="1:10" x14ac:dyDescent="0.45">
      <c r="A27">
        <v>25</v>
      </c>
      <c r="B27" s="166" t="s">
        <v>31</v>
      </c>
      <c r="C27" s="105">
        <v>8180081</v>
      </c>
      <c r="D27" s="169">
        <v>1018055</v>
      </c>
      <c r="E27" s="169">
        <v>1533362</v>
      </c>
      <c r="F27" s="169">
        <v>363.37</v>
      </c>
      <c r="G27" s="169">
        <v>40.69</v>
      </c>
      <c r="H27" s="168">
        <f t="shared" si="0"/>
        <v>2.6269908270595683E-2</v>
      </c>
      <c r="I27" s="169">
        <v>30054602</v>
      </c>
      <c r="J27" s="169">
        <v>20285709</v>
      </c>
    </row>
    <row r="28" spans="1:10" ht="16.5" x14ac:dyDescent="0.75">
      <c r="B28" s="166" t="s">
        <v>67</v>
      </c>
      <c r="C28" s="143">
        <f>SUM(C3:C27)</f>
        <v>311385975</v>
      </c>
      <c r="D28" s="170">
        <f>SUM(D3:D27)</f>
        <v>161979287</v>
      </c>
      <c r="E28" s="170">
        <f>SUM(E3:E27)</f>
        <v>85441695</v>
      </c>
      <c r="F28" s="171"/>
      <c r="G28" s="171"/>
      <c r="H28" s="172">
        <f>SUM(H3:H27)</f>
        <v>1</v>
      </c>
      <c r="I28" s="170">
        <f>SUM(I3:I27)</f>
        <v>3155720852</v>
      </c>
      <c r="J28" s="170">
        <f>SUM(J3:J27)</f>
        <v>2722131578</v>
      </c>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tabColor rgb="FF7030A0"/>
  </sheetPr>
  <dimension ref="A1:I28"/>
  <sheetViews>
    <sheetView workbookViewId="0">
      <selection activeCell="C3" sqref="C3:D27"/>
    </sheetView>
  </sheetViews>
  <sheetFormatPr defaultRowHeight="14.25" x14ac:dyDescent="0.45"/>
  <cols>
    <col min="1" max="1" width="42.3984375" bestFit="1" customWidth="1"/>
    <col min="2" max="2" width="15.265625" bestFit="1" customWidth="1"/>
    <col min="3" max="3" width="15.3984375" customWidth="1"/>
    <col min="4" max="5" width="12.73046875" customWidth="1"/>
    <col min="8" max="9" width="16.73046875" bestFit="1" customWidth="1"/>
  </cols>
  <sheetData>
    <row r="1" spans="1:9" x14ac:dyDescent="0.45">
      <c r="A1" s="110" t="s">
        <v>83</v>
      </c>
      <c r="B1" s="13"/>
      <c r="C1" s="13"/>
      <c r="D1" s="13"/>
      <c r="E1" s="13"/>
      <c r="F1" s="13"/>
      <c r="G1" s="13"/>
      <c r="H1" s="13"/>
      <c r="I1" s="13"/>
    </row>
    <row r="2" spans="1:9" ht="28.5" x14ac:dyDescent="0.45">
      <c r="A2" s="110" t="s">
        <v>60</v>
      </c>
      <c r="B2" s="15" t="s">
        <v>56</v>
      </c>
      <c r="C2" s="15" t="s">
        <v>74</v>
      </c>
      <c r="D2" s="15" t="s">
        <v>10</v>
      </c>
      <c r="E2" s="15" t="s">
        <v>78</v>
      </c>
      <c r="F2" s="15" t="s">
        <v>11</v>
      </c>
      <c r="G2" s="174" t="s">
        <v>12</v>
      </c>
      <c r="H2" s="15" t="s">
        <v>13</v>
      </c>
      <c r="I2" s="15" t="s">
        <v>79</v>
      </c>
    </row>
    <row r="3" spans="1:9" x14ac:dyDescent="0.45">
      <c r="A3" s="166" t="s">
        <v>76</v>
      </c>
      <c r="B3" s="175">
        <v>1392142</v>
      </c>
      <c r="C3" s="175">
        <v>1142686</v>
      </c>
      <c r="D3" s="175">
        <v>2297759</v>
      </c>
      <c r="E3" s="176">
        <v>1050.67</v>
      </c>
      <c r="F3" s="176">
        <v>171.37</v>
      </c>
      <c r="G3" s="179">
        <v>2.1762919271364678E-3</v>
      </c>
      <c r="H3" s="175">
        <v>17954153</v>
      </c>
      <c r="I3" s="175">
        <v>15014931</v>
      </c>
    </row>
    <row r="4" spans="1:9" x14ac:dyDescent="0.45">
      <c r="A4" s="166" t="s">
        <v>80</v>
      </c>
      <c r="B4" s="175">
        <v>65479</v>
      </c>
      <c r="C4" s="175">
        <v>0</v>
      </c>
      <c r="D4" s="175">
        <v>4949864</v>
      </c>
      <c r="E4" s="176">
        <v>0</v>
      </c>
      <c r="F4" s="176">
        <v>7633.08</v>
      </c>
      <c r="G4" s="179">
        <v>1.0236126709557557E-4</v>
      </c>
      <c r="H4" s="175">
        <v>24719459</v>
      </c>
      <c r="I4" s="175">
        <v>13027083</v>
      </c>
    </row>
    <row r="5" spans="1:9" x14ac:dyDescent="0.45">
      <c r="A5" s="166" t="s">
        <v>62</v>
      </c>
      <c r="B5" s="175">
        <v>146875</v>
      </c>
      <c r="C5" s="175">
        <v>36654</v>
      </c>
      <c r="D5" s="175">
        <v>4375065</v>
      </c>
      <c r="E5" s="176">
        <v>1565.19</v>
      </c>
      <c r="F5" s="176">
        <v>3013.49</v>
      </c>
      <c r="G5" s="179">
        <v>2.2960508108955027E-4</v>
      </c>
      <c r="H5" s="175">
        <v>15045382</v>
      </c>
      <c r="I5" s="175">
        <v>9407774</v>
      </c>
    </row>
    <row r="6" spans="1:9" x14ac:dyDescent="0.45">
      <c r="A6" s="166" t="s">
        <v>63</v>
      </c>
      <c r="B6" s="175">
        <v>0</v>
      </c>
      <c r="C6" s="175"/>
      <c r="D6" s="175"/>
      <c r="E6" s="176"/>
      <c r="F6" s="176"/>
      <c r="G6" s="179">
        <v>0</v>
      </c>
      <c r="H6" s="175"/>
      <c r="I6" s="175"/>
    </row>
    <row r="7" spans="1:9" x14ac:dyDescent="0.45">
      <c r="A7" s="166" t="s">
        <v>16</v>
      </c>
      <c r="B7" s="175">
        <v>5290201</v>
      </c>
      <c r="C7" s="175">
        <v>3277163</v>
      </c>
      <c r="D7" s="175">
        <v>4679541</v>
      </c>
      <c r="E7" s="176">
        <v>196.81</v>
      </c>
      <c r="F7" s="176">
        <v>94.18</v>
      </c>
      <c r="G7" s="179">
        <v>8.2700053078129023E-3</v>
      </c>
      <c r="H7" s="175">
        <v>85753284</v>
      </c>
      <c r="I7" s="175">
        <v>75302155</v>
      </c>
    </row>
    <row r="8" spans="1:9" x14ac:dyDescent="0.45">
      <c r="A8" s="166" t="s">
        <v>17</v>
      </c>
      <c r="B8" s="175">
        <v>168797546</v>
      </c>
      <c r="C8" s="175">
        <v>81641119</v>
      </c>
      <c r="D8" s="175">
        <v>30552904</v>
      </c>
      <c r="E8" s="176">
        <v>137.6</v>
      </c>
      <c r="F8" s="176">
        <v>35.99</v>
      </c>
      <c r="G8" s="179">
        <v>0.26387590969904406</v>
      </c>
      <c r="H8" s="175">
        <v>683295750</v>
      </c>
      <c r="I8" s="175">
        <v>578233841</v>
      </c>
    </row>
    <row r="9" spans="1:9" x14ac:dyDescent="0.45">
      <c r="A9" s="166" t="s">
        <v>40</v>
      </c>
      <c r="B9" s="175">
        <v>0</v>
      </c>
      <c r="C9" s="175"/>
      <c r="D9" s="175"/>
      <c r="E9" s="176"/>
      <c r="F9" s="176"/>
      <c r="G9" s="179">
        <v>0</v>
      </c>
      <c r="H9" s="175"/>
      <c r="I9" s="175"/>
    </row>
    <row r="10" spans="1:9" x14ac:dyDescent="0.45">
      <c r="A10" s="166" t="s">
        <v>53</v>
      </c>
      <c r="B10" s="175">
        <v>838933</v>
      </c>
      <c r="C10" s="175">
        <v>10000</v>
      </c>
      <c r="D10" s="175">
        <v>3924156</v>
      </c>
      <c r="E10" s="176">
        <v>2605.31</v>
      </c>
      <c r="F10" s="176">
        <v>532.6</v>
      </c>
      <c r="G10" s="179">
        <v>1.3114776476166787E-3</v>
      </c>
      <c r="H10" s="175">
        <v>17969768</v>
      </c>
      <c r="I10" s="175">
        <v>11499425</v>
      </c>
    </row>
    <row r="11" spans="1:9" x14ac:dyDescent="0.45">
      <c r="A11" s="166" t="s">
        <v>18</v>
      </c>
      <c r="B11" s="175">
        <v>10633041</v>
      </c>
      <c r="C11" s="175">
        <v>5236211</v>
      </c>
      <c r="D11" s="175">
        <v>3594023</v>
      </c>
      <c r="E11" s="176">
        <v>99.99</v>
      </c>
      <c r="F11" s="176">
        <v>42.1</v>
      </c>
      <c r="G11" s="179">
        <v>1.6622299513419661E-2</v>
      </c>
      <c r="H11" s="175">
        <v>41684630</v>
      </c>
      <c r="I11" s="175">
        <v>22974424</v>
      </c>
    </row>
    <row r="12" spans="1:9" x14ac:dyDescent="0.45">
      <c r="A12" s="166" t="s">
        <v>19</v>
      </c>
      <c r="B12" s="175">
        <v>5055222</v>
      </c>
      <c r="C12" s="175">
        <v>1135285</v>
      </c>
      <c r="D12" s="175">
        <v>2052975</v>
      </c>
      <c r="E12" s="176">
        <v>198.45</v>
      </c>
      <c r="F12" s="176">
        <v>66.86</v>
      </c>
      <c r="G12" s="179">
        <v>7.9026700067110021E-3</v>
      </c>
      <c r="H12" s="175">
        <v>29640994</v>
      </c>
      <c r="I12" s="175">
        <v>6240607</v>
      </c>
    </row>
    <row r="13" spans="1:9" x14ac:dyDescent="0.45">
      <c r="A13" s="166" t="s">
        <v>20</v>
      </c>
      <c r="B13" s="175">
        <v>52639609</v>
      </c>
      <c r="C13" s="175">
        <v>30204861</v>
      </c>
      <c r="D13" s="175">
        <v>12105374</v>
      </c>
      <c r="E13" s="176">
        <v>192.02</v>
      </c>
      <c r="F13" s="176">
        <v>32.270000000000003</v>
      </c>
      <c r="G13" s="179">
        <v>8.2289849824457667E-2</v>
      </c>
      <c r="H13" s="175">
        <v>291701186</v>
      </c>
      <c r="I13" s="175">
        <v>266234405</v>
      </c>
    </row>
    <row r="14" spans="1:9" x14ac:dyDescent="0.45">
      <c r="A14" s="166" t="s">
        <v>47</v>
      </c>
      <c r="B14" s="175">
        <v>9775373</v>
      </c>
      <c r="C14" s="175">
        <v>598802</v>
      </c>
      <c r="D14" s="175">
        <v>3632696</v>
      </c>
      <c r="E14" s="176">
        <v>341.56</v>
      </c>
      <c r="F14" s="176">
        <v>55.62</v>
      </c>
      <c r="G14" s="179">
        <v>1.5281534027884939E-2</v>
      </c>
      <c r="H14" s="175">
        <v>45684625</v>
      </c>
      <c r="I14" s="175">
        <v>39339734</v>
      </c>
    </row>
    <row r="15" spans="1:9" x14ac:dyDescent="0.45">
      <c r="A15" s="166" t="s">
        <v>64</v>
      </c>
      <c r="B15" s="175">
        <v>0</v>
      </c>
      <c r="C15" s="175"/>
      <c r="D15" s="175"/>
      <c r="E15" s="176"/>
      <c r="F15" s="176"/>
      <c r="G15" s="179">
        <v>0</v>
      </c>
      <c r="H15" s="175"/>
      <c r="I15" s="175"/>
    </row>
    <row r="16" spans="1:9" x14ac:dyDescent="0.45">
      <c r="A16" s="166" t="s">
        <v>21</v>
      </c>
      <c r="B16" s="175">
        <v>22114716</v>
      </c>
      <c r="C16" s="175">
        <v>14749061</v>
      </c>
      <c r="D16" s="175">
        <v>5528303</v>
      </c>
      <c r="E16" s="176">
        <v>132.31</v>
      </c>
      <c r="F16" s="176">
        <v>43.35</v>
      </c>
      <c r="G16" s="179">
        <v>3.4571241943505533E-2</v>
      </c>
      <c r="H16" s="175">
        <v>155350625</v>
      </c>
      <c r="I16" s="175">
        <v>142011523</v>
      </c>
    </row>
    <row r="17" spans="1:9" x14ac:dyDescent="0.45">
      <c r="A17" s="166" t="s">
        <v>66</v>
      </c>
      <c r="B17" s="175">
        <v>0</v>
      </c>
      <c r="C17" s="175"/>
      <c r="D17" s="175"/>
      <c r="E17" s="176"/>
      <c r="F17" s="176"/>
      <c r="G17" s="179">
        <v>0</v>
      </c>
      <c r="H17" s="175"/>
      <c r="I17" s="175"/>
    </row>
    <row r="18" spans="1:9" x14ac:dyDescent="0.45">
      <c r="A18" s="166" t="s">
        <v>22</v>
      </c>
      <c r="B18" s="175">
        <v>31941347</v>
      </c>
      <c r="C18" s="175">
        <v>33872352</v>
      </c>
      <c r="D18" s="175">
        <v>13951900</v>
      </c>
      <c r="E18" s="176">
        <v>142.44999999999999</v>
      </c>
      <c r="F18" s="176">
        <v>54.02</v>
      </c>
      <c r="G18" s="179">
        <v>4.9932905995196349E-2</v>
      </c>
      <c r="H18" s="175">
        <v>206061089</v>
      </c>
      <c r="I18" s="175">
        <v>194853538</v>
      </c>
    </row>
    <row r="19" spans="1:9" x14ac:dyDescent="0.45">
      <c r="A19" s="166" t="s">
        <v>23</v>
      </c>
      <c r="B19" s="175">
        <v>7575976</v>
      </c>
      <c r="C19" s="175">
        <v>4007916</v>
      </c>
      <c r="D19" s="175">
        <v>3762803</v>
      </c>
      <c r="E19" s="176">
        <v>225.82</v>
      </c>
      <c r="F19" s="176">
        <v>60.49</v>
      </c>
      <c r="G19" s="179">
        <v>1.1843285677021186E-2</v>
      </c>
      <c r="H19" s="175">
        <v>34623246</v>
      </c>
      <c r="I19" s="175">
        <v>25241326</v>
      </c>
    </row>
    <row r="20" spans="1:9" x14ac:dyDescent="0.45">
      <c r="A20" s="166" t="s">
        <v>24</v>
      </c>
      <c r="B20" s="175">
        <v>35471510</v>
      </c>
      <c r="C20" s="175">
        <v>7057816</v>
      </c>
      <c r="D20" s="175">
        <v>15183765</v>
      </c>
      <c r="E20" s="176">
        <v>196.98</v>
      </c>
      <c r="F20" s="176">
        <v>71.12</v>
      </c>
      <c r="G20" s="179">
        <v>5.5451499097319445E-2</v>
      </c>
      <c r="H20" s="175">
        <v>103638479</v>
      </c>
      <c r="I20" s="175">
        <v>81853225</v>
      </c>
    </row>
    <row r="21" spans="1:9" x14ac:dyDescent="0.45">
      <c r="A21" s="166" t="s">
        <v>25</v>
      </c>
      <c r="B21" s="175">
        <v>6881477</v>
      </c>
      <c r="C21" s="175">
        <v>5014044</v>
      </c>
      <c r="D21" s="175">
        <v>2643990</v>
      </c>
      <c r="E21" s="176">
        <v>140.19</v>
      </c>
      <c r="F21" s="176">
        <v>43.25</v>
      </c>
      <c r="G21" s="179">
        <v>1.0757597171750639E-2</v>
      </c>
      <c r="H21" s="175">
        <v>52459452</v>
      </c>
      <c r="I21" s="175">
        <v>47215908</v>
      </c>
    </row>
    <row r="22" spans="1:9" x14ac:dyDescent="0.45">
      <c r="A22" s="166" t="s">
        <v>26</v>
      </c>
      <c r="B22" s="175">
        <v>4832302</v>
      </c>
      <c r="C22" s="175">
        <v>1374688</v>
      </c>
      <c r="D22" s="175">
        <v>2405789</v>
      </c>
      <c r="E22" s="176">
        <v>497.28</v>
      </c>
      <c r="F22" s="176">
        <v>70.48</v>
      </c>
      <c r="G22" s="179">
        <v>7.5541861621051644E-3</v>
      </c>
      <c r="H22" s="175">
        <v>21215002</v>
      </c>
      <c r="I22" s="175">
        <v>18332667</v>
      </c>
    </row>
    <row r="23" spans="1:9" x14ac:dyDescent="0.45">
      <c r="A23" s="166" t="s">
        <v>27</v>
      </c>
      <c r="B23" s="175">
        <v>149897550</v>
      </c>
      <c r="C23" s="175">
        <v>100413594</v>
      </c>
      <c r="D23" s="175">
        <v>29899580</v>
      </c>
      <c r="E23" s="176">
        <v>103.95</v>
      </c>
      <c r="F23" s="176">
        <v>26.03</v>
      </c>
      <c r="G23" s="179">
        <v>0.2343301387089356</v>
      </c>
      <c r="H23" s="175">
        <v>623025119</v>
      </c>
      <c r="I23" s="175">
        <v>529297237</v>
      </c>
    </row>
    <row r="24" spans="1:9" x14ac:dyDescent="0.45">
      <c r="A24" s="166" t="s">
        <v>28</v>
      </c>
      <c r="B24" s="175">
        <v>99261920</v>
      </c>
      <c r="C24" s="175">
        <v>42054726</v>
      </c>
      <c r="D24" s="175">
        <v>21199522</v>
      </c>
      <c r="E24" s="176">
        <v>124.22</v>
      </c>
      <c r="F24" s="176">
        <v>35.409999999999997</v>
      </c>
      <c r="G24" s="179">
        <v>0.15517304640479626</v>
      </c>
      <c r="H24" s="175">
        <v>458019237</v>
      </c>
      <c r="I24" s="175">
        <v>416011650</v>
      </c>
    </row>
    <row r="25" spans="1:9" x14ac:dyDescent="0.45">
      <c r="A25" s="166" t="s">
        <v>82</v>
      </c>
      <c r="B25" s="175">
        <v>0</v>
      </c>
      <c r="C25" s="175"/>
      <c r="D25" s="175"/>
      <c r="E25" s="176"/>
      <c r="F25" s="176"/>
      <c r="G25" s="179">
        <v>0</v>
      </c>
      <c r="H25" s="175"/>
      <c r="I25" s="175"/>
    </row>
    <row r="26" spans="1:9" x14ac:dyDescent="0.45">
      <c r="A26" s="166" t="s">
        <v>30</v>
      </c>
      <c r="B26" s="175">
        <v>15059468</v>
      </c>
      <c r="C26" s="175">
        <v>6178060</v>
      </c>
      <c r="D26" s="175">
        <v>9574495</v>
      </c>
      <c r="E26" s="176">
        <v>180.11</v>
      </c>
      <c r="F26" s="176">
        <v>79.319999999999993</v>
      </c>
      <c r="G26" s="179">
        <v>2.3541994017399065E-2</v>
      </c>
      <c r="H26" s="175">
        <v>76808716</v>
      </c>
      <c r="I26" s="175">
        <v>53592226</v>
      </c>
    </row>
    <row r="27" spans="1:9" x14ac:dyDescent="0.45">
      <c r="A27" s="166" t="s">
        <v>31</v>
      </c>
      <c r="B27" s="175">
        <v>12014634</v>
      </c>
      <c r="C27" s="175">
        <v>3566511</v>
      </c>
      <c r="D27" s="175">
        <v>2934098</v>
      </c>
      <c r="E27" s="176">
        <v>369.91</v>
      </c>
      <c r="F27" s="176">
        <v>48.62</v>
      </c>
      <c r="G27" s="179">
        <v>1.8782100519702249E-2</v>
      </c>
      <c r="H27" s="175">
        <v>29802245</v>
      </c>
      <c r="I27" s="175">
        <v>20497967</v>
      </c>
    </row>
    <row r="28" spans="1:9" ht="16.5" x14ac:dyDescent="0.75">
      <c r="A28" s="166" t="s">
        <v>67</v>
      </c>
      <c r="B28" s="177">
        <v>639685321</v>
      </c>
      <c r="C28" s="177">
        <v>341571549</v>
      </c>
      <c r="D28" s="177">
        <v>170498472</v>
      </c>
      <c r="E28" s="178"/>
      <c r="F28" s="178"/>
      <c r="G28" s="178"/>
      <c r="H28" s="177">
        <v>3014452441</v>
      </c>
      <c r="I28" s="177">
        <v>2566181646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tabColor rgb="FF7030A0"/>
  </sheetPr>
  <dimension ref="A1:T37"/>
  <sheetViews>
    <sheetView workbookViewId="0">
      <selection activeCell="C3" sqref="C3:D26"/>
    </sheetView>
  </sheetViews>
  <sheetFormatPr defaultRowHeight="14.25" x14ac:dyDescent="0.45"/>
  <cols>
    <col min="1" max="1" width="42.73046875" bestFit="1" customWidth="1"/>
    <col min="2" max="2" width="12.3984375" bestFit="1" customWidth="1"/>
    <col min="3" max="3" width="17.3984375" customWidth="1"/>
    <col min="4" max="4" width="14.3984375" customWidth="1"/>
    <col min="5" max="5" width="12.73046875" customWidth="1"/>
    <col min="8" max="9" width="14.265625" bestFit="1" customWidth="1"/>
  </cols>
  <sheetData>
    <row r="1" spans="1:20" x14ac:dyDescent="0.45">
      <c r="A1" s="110" t="s">
        <v>84</v>
      </c>
      <c r="B1" s="13"/>
      <c r="C1" s="13"/>
      <c r="D1" s="13"/>
      <c r="E1" s="13"/>
      <c r="F1" s="13"/>
      <c r="G1" s="13"/>
      <c r="H1" s="13"/>
      <c r="I1" s="13"/>
    </row>
    <row r="2" spans="1:20" ht="28.5" x14ac:dyDescent="0.45">
      <c r="A2" s="110" t="s">
        <v>60</v>
      </c>
      <c r="B2" s="15" t="s">
        <v>56</v>
      </c>
      <c r="C2" s="15" t="s">
        <v>74</v>
      </c>
      <c r="D2" s="15" t="s">
        <v>10</v>
      </c>
      <c r="E2" s="15" t="s">
        <v>78</v>
      </c>
      <c r="F2" s="15" t="s">
        <v>11</v>
      </c>
      <c r="G2" s="174" t="s">
        <v>12</v>
      </c>
      <c r="H2" s="15" t="s">
        <v>13</v>
      </c>
      <c r="I2" s="15" t="s">
        <v>79</v>
      </c>
    </row>
    <row r="3" spans="1:20" x14ac:dyDescent="0.45">
      <c r="A3" s="166" t="s">
        <v>76</v>
      </c>
      <c r="B3" s="175"/>
      <c r="C3" s="175"/>
      <c r="D3" s="175"/>
      <c r="E3" s="176"/>
      <c r="F3" s="176"/>
      <c r="G3" s="186">
        <f>B3/$B$27</f>
        <v>0</v>
      </c>
      <c r="H3" s="175"/>
      <c r="I3" s="175"/>
    </row>
    <row r="4" spans="1:20" x14ac:dyDescent="0.45">
      <c r="A4" s="166" t="s">
        <v>80</v>
      </c>
      <c r="B4" s="175">
        <v>481301</v>
      </c>
      <c r="C4" s="181">
        <v>0</v>
      </c>
      <c r="D4" s="182">
        <v>7977440</v>
      </c>
      <c r="E4" s="183">
        <v>6911.81</v>
      </c>
      <c r="F4" s="183">
        <v>1706.92</v>
      </c>
      <c r="G4" s="186">
        <f t="shared" ref="G4:G26" si="0">B4/$B$27</f>
        <v>5.0464954743708733E-4</v>
      </c>
      <c r="H4" s="182">
        <v>22340888</v>
      </c>
      <c r="I4" s="182">
        <v>13432268</v>
      </c>
    </row>
    <row r="5" spans="1:20" x14ac:dyDescent="0.45">
      <c r="A5" s="166" t="s">
        <v>62</v>
      </c>
      <c r="B5" s="175"/>
      <c r="C5" s="175"/>
      <c r="D5" s="175"/>
      <c r="E5" s="176"/>
      <c r="F5" s="176"/>
      <c r="G5" s="186">
        <f t="shared" si="0"/>
        <v>0</v>
      </c>
      <c r="H5" s="175"/>
      <c r="I5" s="175"/>
    </row>
    <row r="6" spans="1:20" x14ac:dyDescent="0.45">
      <c r="A6" s="166" t="s">
        <v>82</v>
      </c>
      <c r="B6" s="175"/>
      <c r="C6" s="175"/>
      <c r="D6" s="175"/>
      <c r="E6" s="176"/>
      <c r="F6" s="176"/>
      <c r="G6" s="186">
        <f t="shared" si="0"/>
        <v>0</v>
      </c>
      <c r="H6" s="175"/>
      <c r="I6" s="175"/>
    </row>
    <row r="7" spans="1:20" x14ac:dyDescent="0.45">
      <c r="A7" s="166" t="s">
        <v>15</v>
      </c>
      <c r="B7" s="175"/>
      <c r="C7" s="175"/>
      <c r="D7" s="175"/>
      <c r="E7" s="176"/>
      <c r="F7" s="176"/>
      <c r="G7" s="186">
        <f t="shared" si="0"/>
        <v>0</v>
      </c>
      <c r="H7" s="175"/>
      <c r="I7" s="175"/>
    </row>
    <row r="8" spans="1:20" x14ac:dyDescent="0.45">
      <c r="A8" s="166" t="s">
        <v>16</v>
      </c>
      <c r="B8" s="175">
        <v>8497560</v>
      </c>
      <c r="C8" s="182">
        <v>4791425</v>
      </c>
      <c r="D8" s="182">
        <v>12324640</v>
      </c>
      <c r="E8" s="178">
        <v>177.59</v>
      </c>
      <c r="F8" s="178">
        <v>152.24</v>
      </c>
      <c r="G8" s="186">
        <f t="shared" si="0"/>
        <v>8.9097878631448843E-3</v>
      </c>
      <c r="H8" s="182">
        <v>79963603</v>
      </c>
      <c r="I8" s="182">
        <v>69569555</v>
      </c>
    </row>
    <row r="9" spans="1:20" x14ac:dyDescent="0.45">
      <c r="A9" s="166" t="s">
        <v>17</v>
      </c>
      <c r="B9" s="175">
        <v>258442165</v>
      </c>
      <c r="C9" s="182">
        <v>130129412</v>
      </c>
      <c r="D9" s="182">
        <v>46018794</v>
      </c>
      <c r="E9" s="178">
        <v>141.56</v>
      </c>
      <c r="F9" s="178">
        <v>35.79</v>
      </c>
      <c r="G9" s="186">
        <f t="shared" si="0"/>
        <v>0.27097953589523199</v>
      </c>
      <c r="H9" s="182">
        <v>710699393</v>
      </c>
      <c r="I9" s="182">
        <v>594672575</v>
      </c>
    </row>
    <row r="10" spans="1:20" x14ac:dyDescent="0.45">
      <c r="A10" s="166" t="s">
        <v>40</v>
      </c>
      <c r="B10" s="175"/>
      <c r="C10" s="175"/>
      <c r="D10" s="175"/>
      <c r="E10" s="176"/>
      <c r="F10" s="176"/>
      <c r="G10" s="186">
        <f t="shared" si="0"/>
        <v>0</v>
      </c>
      <c r="H10" s="175"/>
      <c r="I10" s="175"/>
    </row>
    <row r="11" spans="1:20" x14ac:dyDescent="0.45">
      <c r="A11" s="166" t="s">
        <v>53</v>
      </c>
      <c r="B11" s="175">
        <v>1405519</v>
      </c>
      <c r="C11" s="182">
        <v>10000</v>
      </c>
      <c r="D11" s="182">
        <v>5850891</v>
      </c>
      <c r="E11" s="183">
        <v>1934</v>
      </c>
      <c r="F11" s="178">
        <v>492.66</v>
      </c>
      <c r="G11" s="186">
        <f t="shared" si="0"/>
        <v>1.4737025837557528E-3</v>
      </c>
      <c r="H11" s="182">
        <v>17763524</v>
      </c>
      <c r="I11" s="182">
        <v>11503884</v>
      </c>
    </row>
    <row r="12" spans="1:20" x14ac:dyDescent="0.45">
      <c r="A12" s="166" t="s">
        <v>18</v>
      </c>
      <c r="B12" s="175">
        <v>15429024</v>
      </c>
      <c r="C12" s="182">
        <v>8408364</v>
      </c>
      <c r="D12" s="182">
        <v>5319080</v>
      </c>
      <c r="E12" s="178">
        <v>104.52</v>
      </c>
      <c r="F12" s="178">
        <v>43.99</v>
      </c>
      <c r="G12" s="186">
        <f t="shared" si="0"/>
        <v>1.617750634009894E-2</v>
      </c>
      <c r="H12" s="182">
        <v>42950065</v>
      </c>
      <c r="I12" s="182">
        <v>24677708</v>
      </c>
    </row>
    <row r="13" spans="1:20" x14ac:dyDescent="0.45">
      <c r="A13" s="166" t="s">
        <v>19</v>
      </c>
      <c r="B13" s="175">
        <v>6547875</v>
      </c>
      <c r="C13" s="182">
        <v>1265665</v>
      </c>
      <c r="D13" s="182">
        <v>2664028</v>
      </c>
      <c r="E13" s="178">
        <v>453.29</v>
      </c>
      <c r="F13" s="178">
        <v>79.5</v>
      </c>
      <c r="G13" s="186">
        <f t="shared" si="0"/>
        <v>6.8655210677405999E-3</v>
      </c>
      <c r="H13" s="182">
        <v>28573381</v>
      </c>
      <c r="I13" s="182">
        <v>18987318</v>
      </c>
      <c r="S13" t="s">
        <v>85</v>
      </c>
    </row>
    <row r="14" spans="1:20" x14ac:dyDescent="0.45">
      <c r="A14" s="166" t="s">
        <v>20</v>
      </c>
      <c r="B14" s="175">
        <v>81718056</v>
      </c>
      <c r="C14" s="182">
        <v>48667145</v>
      </c>
      <c r="D14" s="182">
        <v>17454806</v>
      </c>
      <c r="E14" s="178">
        <v>180.05</v>
      </c>
      <c r="F14" s="178">
        <v>30.02</v>
      </c>
      <c r="G14" s="186">
        <f t="shared" si="0"/>
        <v>8.5682306867923733E-2</v>
      </c>
      <c r="H14" s="182">
        <v>296660146</v>
      </c>
      <c r="I14" s="182">
        <v>265950031</v>
      </c>
      <c r="S14" t="s">
        <v>76</v>
      </c>
    </row>
    <row r="15" spans="1:20" x14ac:dyDescent="0.45">
      <c r="A15" s="166" t="s">
        <v>47</v>
      </c>
      <c r="B15" s="175"/>
      <c r="C15" s="175"/>
      <c r="D15" s="175"/>
      <c r="E15" s="176"/>
      <c r="F15" s="176"/>
      <c r="G15" s="186">
        <f t="shared" si="0"/>
        <v>0</v>
      </c>
      <c r="H15" s="175"/>
      <c r="I15" s="175"/>
      <c r="S15" t="s">
        <v>80</v>
      </c>
      <c r="T15">
        <v>481301</v>
      </c>
    </row>
    <row r="16" spans="1:20" x14ac:dyDescent="0.45">
      <c r="A16" s="166" t="s">
        <v>64</v>
      </c>
      <c r="B16" s="175"/>
      <c r="C16" s="175"/>
      <c r="D16" s="175"/>
      <c r="E16" s="176"/>
      <c r="F16" s="176"/>
      <c r="G16" s="186">
        <f t="shared" si="0"/>
        <v>0</v>
      </c>
      <c r="H16" s="175"/>
      <c r="I16" s="175"/>
      <c r="S16" t="s">
        <v>62</v>
      </c>
    </row>
    <row r="17" spans="1:20" x14ac:dyDescent="0.45">
      <c r="A17" s="166" t="s">
        <v>21</v>
      </c>
      <c r="B17" s="175">
        <v>34263611</v>
      </c>
      <c r="C17" s="182">
        <v>24651013</v>
      </c>
      <c r="D17" s="182">
        <v>8458744</v>
      </c>
      <c r="E17" s="178">
        <v>136.27000000000001</v>
      </c>
      <c r="F17" s="178">
        <v>48.2</v>
      </c>
      <c r="G17" s="186">
        <f t="shared" si="0"/>
        <v>3.5925784040985592E-2</v>
      </c>
      <c r="H17" s="182">
        <v>164514047</v>
      </c>
      <c r="I17" s="182">
        <v>151058143</v>
      </c>
      <c r="S17" t="s">
        <v>15</v>
      </c>
    </row>
    <row r="18" spans="1:20" x14ac:dyDescent="0.45">
      <c r="A18" s="166" t="s">
        <v>22</v>
      </c>
      <c r="B18" s="175">
        <v>45547966</v>
      </c>
      <c r="C18" s="182">
        <v>30786527</v>
      </c>
      <c r="D18" s="182">
        <v>22675322</v>
      </c>
      <c r="E18" s="178">
        <v>143</v>
      </c>
      <c r="F18" s="178">
        <v>60.09</v>
      </c>
      <c r="G18" s="186">
        <f t="shared" si="0"/>
        <v>4.7757558011680509E-2</v>
      </c>
      <c r="H18" s="182">
        <v>215114242</v>
      </c>
      <c r="I18" s="182">
        <v>204536183</v>
      </c>
      <c r="S18" t="s">
        <v>17</v>
      </c>
      <c r="T18">
        <v>258442165</v>
      </c>
    </row>
    <row r="19" spans="1:20" x14ac:dyDescent="0.45">
      <c r="A19" s="166" t="s">
        <v>23</v>
      </c>
      <c r="B19" s="175">
        <v>11202605</v>
      </c>
      <c r="C19" s="182">
        <v>6336438</v>
      </c>
      <c r="D19" s="182">
        <v>5658437</v>
      </c>
      <c r="E19" s="178">
        <v>230.26</v>
      </c>
      <c r="F19" s="178">
        <v>61.17</v>
      </c>
      <c r="G19" s="186">
        <f t="shared" si="0"/>
        <v>1.1746058170181345E-2</v>
      </c>
      <c r="H19" s="182">
        <v>34400328</v>
      </c>
      <c r="I19" s="182">
        <v>22899034</v>
      </c>
      <c r="S19" t="s">
        <v>40</v>
      </c>
    </row>
    <row r="20" spans="1:20" x14ac:dyDescent="0.45">
      <c r="A20" s="166" t="s">
        <v>24</v>
      </c>
      <c r="B20" s="175">
        <v>57170188</v>
      </c>
      <c r="C20" s="182">
        <v>11101917</v>
      </c>
      <c r="D20" s="182">
        <v>23642548</v>
      </c>
      <c r="E20" s="178">
        <v>188.52</v>
      </c>
      <c r="F20" s="178">
        <v>68.83</v>
      </c>
      <c r="G20" s="186">
        <f t="shared" si="0"/>
        <v>5.9943589356957913E-2</v>
      </c>
      <c r="H20" s="182">
        <v>111702072</v>
      </c>
      <c r="I20" s="182">
        <v>89495044</v>
      </c>
      <c r="S20" t="s">
        <v>53</v>
      </c>
      <c r="T20">
        <v>1405519</v>
      </c>
    </row>
    <row r="21" spans="1:20" x14ac:dyDescent="0.45">
      <c r="A21" s="166" t="s">
        <v>25</v>
      </c>
      <c r="B21" s="175">
        <v>10310483</v>
      </c>
      <c r="C21" s="182">
        <v>7909348</v>
      </c>
      <c r="D21" s="182">
        <v>3999030</v>
      </c>
      <c r="E21" s="178">
        <v>143.4</v>
      </c>
      <c r="F21" s="178">
        <v>43.65</v>
      </c>
      <c r="G21" s="186">
        <f t="shared" si="0"/>
        <v>1.0810658153230063E-2</v>
      </c>
      <c r="H21" s="182">
        <v>55543751</v>
      </c>
      <c r="I21" s="182">
        <v>49659166</v>
      </c>
      <c r="S21" t="s">
        <v>18</v>
      </c>
      <c r="T21">
        <v>15429024</v>
      </c>
    </row>
    <row r="22" spans="1:20" x14ac:dyDescent="0.45">
      <c r="A22" s="166" t="s">
        <v>26</v>
      </c>
      <c r="B22" s="175">
        <v>8252527</v>
      </c>
      <c r="C22" s="182">
        <v>2220137</v>
      </c>
      <c r="D22" s="182">
        <v>3960598</v>
      </c>
      <c r="E22" s="178">
        <v>451</v>
      </c>
      <c r="F22" s="178">
        <v>72.680000000000007</v>
      </c>
      <c r="G22" s="186">
        <f t="shared" si="0"/>
        <v>8.6528679885608875E-3</v>
      </c>
      <c r="H22" s="182">
        <v>21694398</v>
      </c>
      <c r="I22" s="182">
        <v>18797824</v>
      </c>
      <c r="S22" t="s">
        <v>19</v>
      </c>
      <c r="T22">
        <v>6547875</v>
      </c>
    </row>
    <row r="23" spans="1:20" x14ac:dyDescent="0.45">
      <c r="A23" s="166" t="s">
        <v>27</v>
      </c>
      <c r="B23" s="175">
        <v>223271322</v>
      </c>
      <c r="C23" s="182">
        <v>160552305</v>
      </c>
      <c r="D23" s="182">
        <v>40823061</v>
      </c>
      <c r="E23" s="178">
        <v>83.85</v>
      </c>
      <c r="F23" s="178">
        <v>23.68</v>
      </c>
      <c r="G23" s="186">
        <f t="shared" si="0"/>
        <v>0.23410250883123077</v>
      </c>
      <c r="H23" s="182">
        <v>497912979</v>
      </c>
      <c r="I23" s="182">
        <v>424831117</v>
      </c>
      <c r="S23" t="s">
        <v>20</v>
      </c>
      <c r="T23">
        <v>81718056</v>
      </c>
    </row>
    <row r="24" spans="1:20" x14ac:dyDescent="0.45">
      <c r="A24" s="166" t="s">
        <v>28</v>
      </c>
      <c r="B24" s="175">
        <v>152961121</v>
      </c>
      <c r="C24" s="182">
        <v>69450066</v>
      </c>
      <c r="D24" s="182">
        <v>31603472</v>
      </c>
      <c r="E24" s="178">
        <v>124.6</v>
      </c>
      <c r="F24" s="178">
        <v>35.19</v>
      </c>
      <c r="G24" s="186">
        <f t="shared" si="0"/>
        <v>0.16038146708217843</v>
      </c>
      <c r="H24" s="182">
        <v>484577936</v>
      </c>
      <c r="I24" s="182">
        <v>432264262</v>
      </c>
      <c r="S24" t="s">
        <v>47</v>
      </c>
    </row>
    <row r="25" spans="1:20" x14ac:dyDescent="0.45">
      <c r="A25" s="166" t="s">
        <v>30</v>
      </c>
      <c r="B25" s="180">
        <v>23704835</v>
      </c>
      <c r="C25" s="184">
        <v>10560192</v>
      </c>
      <c r="D25" s="184">
        <v>14681023</v>
      </c>
      <c r="E25" s="185">
        <v>168.59</v>
      </c>
      <c r="F25" s="185">
        <v>79.39</v>
      </c>
      <c r="G25" s="187">
        <f t="shared" si="0"/>
        <v>2.4854787866264206E-2</v>
      </c>
      <c r="H25" s="184">
        <v>77374555</v>
      </c>
      <c r="I25" s="184">
        <v>53644755</v>
      </c>
      <c r="S25" t="s">
        <v>64</v>
      </c>
    </row>
    <row r="26" spans="1:20" x14ac:dyDescent="0.45">
      <c r="A26" s="166" t="s">
        <v>31</v>
      </c>
      <c r="B26" s="178">
        <v>14526987</v>
      </c>
      <c r="C26" s="188">
        <v>5123886</v>
      </c>
      <c r="D26" s="188">
        <v>4532151</v>
      </c>
      <c r="E26" s="178">
        <v>328.54</v>
      </c>
      <c r="F26" s="178">
        <v>54.48</v>
      </c>
      <c r="G26" s="186">
        <f t="shared" si="0"/>
        <v>1.5231710333397295E-2</v>
      </c>
      <c r="H26" s="188">
        <v>29722438</v>
      </c>
      <c r="I26" s="188">
        <v>21493766</v>
      </c>
      <c r="S26" t="s">
        <v>65</v>
      </c>
    </row>
    <row r="27" spans="1:20" ht="16.5" x14ac:dyDescent="0.75">
      <c r="A27" s="166" t="s">
        <v>67</v>
      </c>
      <c r="B27" s="189">
        <f>SUM(B3:B26)</f>
        <v>953733145</v>
      </c>
      <c r="C27" s="189">
        <f>SUM(C3:C26)</f>
        <v>521963840</v>
      </c>
      <c r="D27" s="189">
        <f>SUM(D3:D26)</f>
        <v>257644065</v>
      </c>
      <c r="E27" s="190"/>
      <c r="F27" s="190"/>
      <c r="G27" s="191">
        <f>SUM(G3:G26)</f>
        <v>0.99999999999999989</v>
      </c>
      <c r="H27" s="189">
        <f>SUM(H3:H26)</f>
        <v>2891507746</v>
      </c>
      <c r="I27" s="189">
        <f>SUM(I3:I26)</f>
        <v>2467472633</v>
      </c>
      <c r="S27" t="s">
        <v>21</v>
      </c>
      <c r="T27">
        <v>34263611</v>
      </c>
    </row>
    <row r="28" spans="1:20" x14ac:dyDescent="0.45">
      <c r="S28" t="s">
        <v>66</v>
      </c>
    </row>
    <row r="29" spans="1:20" x14ac:dyDescent="0.45">
      <c r="S29" t="s">
        <v>22</v>
      </c>
      <c r="T29">
        <v>45547966</v>
      </c>
    </row>
    <row r="30" spans="1:20" x14ac:dyDescent="0.45">
      <c r="S30" t="s">
        <v>23</v>
      </c>
      <c r="T30">
        <v>11202605</v>
      </c>
    </row>
    <row r="31" spans="1:20" x14ac:dyDescent="0.45">
      <c r="S31" t="s">
        <v>24</v>
      </c>
      <c r="T31">
        <v>57170188</v>
      </c>
    </row>
    <row r="32" spans="1:20" x14ac:dyDescent="0.45">
      <c r="S32" t="s">
        <v>25</v>
      </c>
      <c r="T32">
        <v>10310483</v>
      </c>
    </row>
    <row r="33" spans="19:20" x14ac:dyDescent="0.45">
      <c r="S33" t="s">
        <v>26</v>
      </c>
      <c r="T33">
        <v>8252527</v>
      </c>
    </row>
    <row r="34" spans="19:20" x14ac:dyDescent="0.45">
      <c r="S34" t="s">
        <v>27</v>
      </c>
      <c r="T34">
        <v>223271322</v>
      </c>
    </row>
    <row r="35" spans="19:20" x14ac:dyDescent="0.45">
      <c r="S35" t="s">
        <v>28</v>
      </c>
      <c r="T35">
        <v>152961121</v>
      </c>
    </row>
    <row r="36" spans="19:20" x14ac:dyDescent="0.45">
      <c r="S36" t="s">
        <v>30</v>
      </c>
      <c r="T36">
        <v>23704835</v>
      </c>
    </row>
    <row r="37" spans="19:20" x14ac:dyDescent="0.45">
      <c r="S37" t="s">
        <v>31</v>
      </c>
      <c r="T37">
        <v>14526987</v>
      </c>
    </row>
  </sheetData>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tabColor rgb="FF7030A0"/>
  </sheetPr>
  <dimension ref="A1:J27"/>
  <sheetViews>
    <sheetView workbookViewId="0">
      <selection activeCell="B3" sqref="B3:B26"/>
    </sheetView>
  </sheetViews>
  <sheetFormatPr defaultRowHeight="14.25" x14ac:dyDescent="0.45"/>
  <cols>
    <col min="2" max="2" width="42.73046875" bestFit="1" customWidth="1"/>
    <col min="3" max="3" width="14.265625" bestFit="1" customWidth="1"/>
    <col min="4" max="4" width="19.265625" customWidth="1"/>
    <col min="5" max="5" width="15.73046875" customWidth="1"/>
    <col min="6" max="6" width="13.265625" customWidth="1"/>
    <col min="7" max="7" width="8.3984375" bestFit="1" customWidth="1"/>
    <col min="9" max="10" width="12.73046875" bestFit="1" customWidth="1"/>
  </cols>
  <sheetData>
    <row r="1" spans="1:10" x14ac:dyDescent="0.45">
      <c r="B1" s="110" t="s">
        <v>86</v>
      </c>
      <c r="C1" s="13"/>
      <c r="D1" s="13"/>
      <c r="E1" s="13"/>
      <c r="F1" s="13"/>
      <c r="G1" s="13"/>
      <c r="H1" s="13"/>
      <c r="I1" s="13"/>
      <c r="J1" s="13"/>
    </row>
    <row r="2" spans="1:10" ht="28.5" x14ac:dyDescent="0.45">
      <c r="B2" s="110" t="s">
        <v>60</v>
      </c>
      <c r="C2" s="15" t="s">
        <v>56</v>
      </c>
      <c r="D2" s="15" t="s">
        <v>74</v>
      </c>
      <c r="E2" s="15" t="s">
        <v>10</v>
      </c>
      <c r="F2" s="15" t="s">
        <v>78</v>
      </c>
      <c r="G2" s="15" t="s">
        <v>11</v>
      </c>
      <c r="H2" s="174" t="s">
        <v>12</v>
      </c>
      <c r="I2" s="15" t="s">
        <v>13</v>
      </c>
      <c r="J2" s="15" t="s">
        <v>79</v>
      </c>
    </row>
    <row r="3" spans="1:10" x14ac:dyDescent="0.45">
      <c r="A3">
        <v>1</v>
      </c>
      <c r="B3" s="166" t="s">
        <v>76</v>
      </c>
      <c r="C3" s="175"/>
      <c r="D3" s="181"/>
      <c r="E3" s="182"/>
      <c r="F3" s="188"/>
      <c r="G3" s="188"/>
      <c r="H3" s="186">
        <f>C3/$C$27</f>
        <v>0</v>
      </c>
      <c r="I3" s="182"/>
      <c r="J3" s="182"/>
    </row>
    <row r="4" spans="1:10" x14ac:dyDescent="0.45">
      <c r="A4">
        <v>2</v>
      </c>
      <c r="B4" s="166" t="s">
        <v>80</v>
      </c>
      <c r="C4" s="175">
        <v>1291096</v>
      </c>
      <c r="D4" s="182">
        <v>10217</v>
      </c>
      <c r="E4" s="182">
        <v>13002545</v>
      </c>
      <c r="F4" s="188">
        <v>2072.59</v>
      </c>
      <c r="G4" s="188">
        <v>1052.1099999999999</v>
      </c>
      <c r="H4" s="186">
        <f t="shared" ref="H4:H26" si="0">C4/$C$27</f>
        <v>9.6662983786340549E-4</v>
      </c>
      <c r="I4" s="182">
        <v>18979917</v>
      </c>
      <c r="J4" s="182">
        <v>10972569</v>
      </c>
    </row>
    <row r="5" spans="1:10" x14ac:dyDescent="0.45">
      <c r="A5">
        <v>3</v>
      </c>
      <c r="B5" s="166" t="s">
        <v>72</v>
      </c>
      <c r="C5" s="175"/>
      <c r="D5" s="182"/>
      <c r="E5" s="182"/>
      <c r="F5" s="188"/>
      <c r="G5" s="188"/>
      <c r="H5" s="186">
        <f t="shared" si="0"/>
        <v>0</v>
      </c>
      <c r="I5" s="182"/>
      <c r="J5" s="182"/>
    </row>
    <row r="6" spans="1:10" x14ac:dyDescent="0.45">
      <c r="A6">
        <v>4</v>
      </c>
      <c r="B6" s="166" t="s">
        <v>82</v>
      </c>
      <c r="C6" s="175">
        <v>3121058</v>
      </c>
      <c r="D6" s="182">
        <v>2510822</v>
      </c>
      <c r="E6" s="182">
        <v>4499380</v>
      </c>
      <c r="F6" s="188">
        <v>56.88</v>
      </c>
      <c r="G6" s="188">
        <v>153.53</v>
      </c>
      <c r="H6" s="186">
        <f t="shared" si="0"/>
        <v>2.3367029163612035E-3</v>
      </c>
      <c r="I6" s="182">
        <v>55149484</v>
      </c>
      <c r="J6" s="182">
        <v>6133541</v>
      </c>
    </row>
    <row r="7" spans="1:10" x14ac:dyDescent="0.45">
      <c r="A7">
        <v>5</v>
      </c>
      <c r="B7" s="166" t="s">
        <v>16</v>
      </c>
      <c r="C7" s="175">
        <v>12316591</v>
      </c>
      <c r="D7" s="182">
        <v>6526998</v>
      </c>
      <c r="E7" s="182">
        <v>16464776</v>
      </c>
      <c r="F7" s="188">
        <v>199.45</v>
      </c>
      <c r="G7" s="188">
        <v>141.6</v>
      </c>
      <c r="H7" s="186">
        <f t="shared" si="0"/>
        <v>9.2213006324548125E-3</v>
      </c>
      <c r="I7" s="182">
        <v>90359144</v>
      </c>
      <c r="J7" s="182">
        <v>80175384</v>
      </c>
    </row>
    <row r="8" spans="1:10" x14ac:dyDescent="0.45">
      <c r="A8">
        <v>6</v>
      </c>
      <c r="B8" s="166" t="s">
        <v>17</v>
      </c>
      <c r="C8" s="175">
        <v>355474023</v>
      </c>
      <c r="D8" s="182">
        <v>170951679</v>
      </c>
      <c r="E8" s="182">
        <v>60787365</v>
      </c>
      <c r="F8" s="188">
        <v>140.15</v>
      </c>
      <c r="G8" s="188">
        <v>34.67</v>
      </c>
      <c r="H8" s="186">
        <f t="shared" si="0"/>
        <v>0.26613961875580316</v>
      </c>
      <c r="I8" s="182">
        <v>714466426</v>
      </c>
      <c r="J8" s="182">
        <v>596948278</v>
      </c>
    </row>
    <row r="9" spans="1:10" x14ac:dyDescent="0.45">
      <c r="A9">
        <v>7</v>
      </c>
      <c r="B9" s="166" t="s">
        <v>40</v>
      </c>
      <c r="C9" s="175"/>
      <c r="D9" s="182"/>
      <c r="E9" s="182"/>
      <c r="F9" s="188"/>
      <c r="G9" s="188"/>
      <c r="H9" s="186">
        <f t="shared" si="0"/>
        <v>0</v>
      </c>
      <c r="I9" s="182"/>
      <c r="J9" s="182"/>
    </row>
    <row r="10" spans="1:10" x14ac:dyDescent="0.45">
      <c r="A10">
        <v>8</v>
      </c>
      <c r="B10" s="166" t="s">
        <v>87</v>
      </c>
      <c r="C10" s="175">
        <v>758518</v>
      </c>
      <c r="D10" s="182">
        <v>149809</v>
      </c>
      <c r="E10" s="182">
        <v>3943507</v>
      </c>
      <c r="F10" s="188">
        <v>1558.96</v>
      </c>
      <c r="G10" s="188">
        <v>561.82000000000005</v>
      </c>
      <c r="H10" s="186">
        <f t="shared" si="0"/>
        <v>5.6789435592432679E-4</v>
      </c>
      <c r="I10" s="182">
        <v>15079478</v>
      </c>
      <c r="J10" s="182">
        <v>8668487</v>
      </c>
    </row>
    <row r="11" spans="1:10" x14ac:dyDescent="0.45">
      <c r="A11">
        <v>9</v>
      </c>
      <c r="B11" s="166" t="s">
        <v>53</v>
      </c>
      <c r="C11" s="175">
        <v>2245452</v>
      </c>
      <c r="D11" s="182">
        <v>10000</v>
      </c>
      <c r="E11" s="182">
        <v>8090993</v>
      </c>
      <c r="F11" s="188">
        <v>1372.6</v>
      </c>
      <c r="G11" s="188">
        <v>429.61</v>
      </c>
      <c r="H11" s="186">
        <f t="shared" si="0"/>
        <v>1.6811460206600124E-3</v>
      </c>
      <c r="I11" s="182">
        <v>17895984</v>
      </c>
      <c r="J11" s="182">
        <v>11710896</v>
      </c>
    </row>
    <row r="12" spans="1:10" x14ac:dyDescent="0.45">
      <c r="A12">
        <v>10</v>
      </c>
      <c r="B12" s="166" t="s">
        <v>18</v>
      </c>
      <c r="C12" s="175">
        <v>21319242</v>
      </c>
      <c r="D12" s="182">
        <v>11574112</v>
      </c>
      <c r="E12" s="182">
        <v>7268798</v>
      </c>
      <c r="F12" s="188">
        <v>111.48</v>
      </c>
      <c r="G12" s="188">
        <v>45.85</v>
      </c>
      <c r="H12" s="186">
        <f t="shared" si="0"/>
        <v>1.5961489647424131E-2</v>
      </c>
      <c r="I12" s="182">
        <v>46060615</v>
      </c>
      <c r="J12" s="182">
        <v>28224766</v>
      </c>
    </row>
    <row r="13" spans="1:10" x14ac:dyDescent="0.45">
      <c r="A13">
        <v>11</v>
      </c>
      <c r="B13" s="166" t="s">
        <v>19</v>
      </c>
      <c r="C13" s="175">
        <v>9191713</v>
      </c>
      <c r="D13" s="182">
        <v>2343745</v>
      </c>
      <c r="E13" s="182">
        <v>4066814</v>
      </c>
      <c r="F13" s="188">
        <v>298.64999999999998</v>
      </c>
      <c r="G13" s="188">
        <v>84.07</v>
      </c>
      <c r="H13" s="186">
        <f t="shared" si="0"/>
        <v>6.8817377227386317E-3</v>
      </c>
      <c r="I13" s="182">
        <v>22157356</v>
      </c>
      <c r="J13" s="182">
        <v>12843389</v>
      </c>
    </row>
    <row r="14" spans="1:10" x14ac:dyDescent="0.45">
      <c r="A14">
        <v>12</v>
      </c>
      <c r="B14" s="166" t="s">
        <v>20</v>
      </c>
      <c r="C14" s="175">
        <v>109017523</v>
      </c>
      <c r="D14" s="182">
        <v>64765388</v>
      </c>
      <c r="E14" s="182">
        <v>25305374</v>
      </c>
      <c r="F14" s="188">
        <v>205.53</v>
      </c>
      <c r="G14" s="188">
        <v>31.15</v>
      </c>
      <c r="H14" s="186">
        <f t="shared" si="0"/>
        <v>8.1620259517309376E-2</v>
      </c>
      <c r="I14" s="182">
        <v>343719902</v>
      </c>
      <c r="J14" s="182">
        <v>322341967</v>
      </c>
    </row>
    <row r="15" spans="1:10" x14ac:dyDescent="0.45">
      <c r="A15">
        <v>13</v>
      </c>
      <c r="B15" s="166" t="s">
        <v>47</v>
      </c>
      <c r="C15" s="175">
        <v>22098734</v>
      </c>
      <c r="D15" s="175">
        <v>1679731</v>
      </c>
      <c r="E15" s="175">
        <v>7606688.6899999995</v>
      </c>
      <c r="F15" s="188">
        <v>279</v>
      </c>
      <c r="G15" s="188">
        <v>50</v>
      </c>
      <c r="H15" s="186">
        <f t="shared" si="0"/>
        <v>1.6545087013983877E-2</v>
      </c>
      <c r="I15" s="175">
        <v>55422325.920000002</v>
      </c>
      <c r="J15" s="175">
        <v>44446130.719999999</v>
      </c>
    </row>
    <row r="16" spans="1:10" x14ac:dyDescent="0.45">
      <c r="A16">
        <v>14</v>
      </c>
      <c r="B16" s="166" t="s">
        <v>64</v>
      </c>
      <c r="C16" s="175">
        <v>394264</v>
      </c>
      <c r="D16" s="182">
        <v>9352</v>
      </c>
      <c r="E16" s="182">
        <v>4505564</v>
      </c>
      <c r="F16" s="188">
        <v>104553.8</v>
      </c>
      <c r="G16" s="188">
        <v>2065.81</v>
      </c>
      <c r="H16" s="186">
        <f t="shared" si="0"/>
        <v>2.9518126180808996E-4</v>
      </c>
      <c r="I16" s="182">
        <v>21547234</v>
      </c>
      <c r="J16" s="182">
        <v>13836974</v>
      </c>
    </row>
    <row r="17" spans="1:10" x14ac:dyDescent="0.45">
      <c r="A17">
        <v>15</v>
      </c>
      <c r="B17" s="166" t="s">
        <v>21</v>
      </c>
      <c r="C17" s="175">
        <v>43837123</v>
      </c>
      <c r="D17" s="182">
        <v>32473557</v>
      </c>
      <c r="E17" s="182">
        <v>14313358</v>
      </c>
      <c r="F17" s="188">
        <v>131.76</v>
      </c>
      <c r="G17" s="188">
        <v>48.59</v>
      </c>
      <c r="H17" s="186">
        <f t="shared" si="0"/>
        <v>3.2820387560559529E-2</v>
      </c>
      <c r="I17" s="182">
        <v>154024575</v>
      </c>
      <c r="J17" s="182">
        <v>140138804</v>
      </c>
    </row>
    <row r="18" spans="1:10" x14ac:dyDescent="0.45">
      <c r="A18">
        <v>16</v>
      </c>
      <c r="B18" s="166" t="s">
        <v>22</v>
      </c>
      <c r="C18" s="175">
        <v>68055396</v>
      </c>
      <c r="D18" s="182">
        <v>47681525</v>
      </c>
      <c r="E18" s="182">
        <v>30896002</v>
      </c>
      <c r="F18" s="188">
        <v>135.41999999999999</v>
      </c>
      <c r="G18" s="188">
        <v>54.04</v>
      </c>
      <c r="H18" s="186">
        <f t="shared" si="0"/>
        <v>5.0952350871825064E-2</v>
      </c>
      <c r="I18" s="182">
        <v>224283322</v>
      </c>
      <c r="J18" s="182">
        <v>189342617</v>
      </c>
    </row>
    <row r="19" spans="1:10" x14ac:dyDescent="0.45">
      <c r="A19">
        <v>17</v>
      </c>
      <c r="B19" s="166" t="s">
        <v>23</v>
      </c>
      <c r="C19" s="175">
        <v>15072678</v>
      </c>
      <c r="D19" s="182">
        <v>8315271</v>
      </c>
      <c r="E19" s="182">
        <v>7788190</v>
      </c>
      <c r="F19" s="188">
        <v>236.51</v>
      </c>
      <c r="G19" s="188">
        <v>63.35</v>
      </c>
      <c r="H19" s="186">
        <f t="shared" si="0"/>
        <v>1.1284753644428701E-2</v>
      </c>
      <c r="I19" s="182">
        <v>35854861</v>
      </c>
      <c r="J19" s="182">
        <v>23762577</v>
      </c>
    </row>
    <row r="20" spans="1:10" x14ac:dyDescent="0.45">
      <c r="A20">
        <v>18</v>
      </c>
      <c r="B20" s="166" t="s">
        <v>24</v>
      </c>
      <c r="C20" s="175">
        <v>81589589</v>
      </c>
      <c r="D20" s="182">
        <v>16631196</v>
      </c>
      <c r="E20" s="182">
        <v>33299474</v>
      </c>
      <c r="F20" s="188">
        <v>176.58</v>
      </c>
      <c r="G20" s="188">
        <v>68.040000000000006</v>
      </c>
      <c r="H20" s="186">
        <f t="shared" si="0"/>
        <v>6.1085257166323723E-2</v>
      </c>
      <c r="I20" s="182">
        <v>118342049</v>
      </c>
      <c r="J20" s="182">
        <v>98716947</v>
      </c>
    </row>
    <row r="21" spans="1:10" x14ac:dyDescent="0.45">
      <c r="A21">
        <v>19</v>
      </c>
      <c r="B21" s="166" t="s">
        <v>25</v>
      </c>
      <c r="C21" s="175">
        <v>13807797</v>
      </c>
      <c r="D21" s="182">
        <v>10350289</v>
      </c>
      <c r="E21" s="182">
        <v>5594941</v>
      </c>
      <c r="F21" s="188">
        <v>137.57</v>
      </c>
      <c r="G21" s="188">
        <v>45.44</v>
      </c>
      <c r="H21" s="186">
        <f t="shared" si="0"/>
        <v>1.033775069813617E-2</v>
      </c>
      <c r="I21" s="182">
        <v>55624004</v>
      </c>
      <c r="J21" s="182">
        <v>50727942</v>
      </c>
    </row>
    <row r="22" spans="1:10" x14ac:dyDescent="0.45">
      <c r="A22">
        <v>20</v>
      </c>
      <c r="B22" s="166" t="s">
        <v>26</v>
      </c>
      <c r="C22" s="180">
        <v>12247715</v>
      </c>
      <c r="D22" s="184">
        <v>3397289</v>
      </c>
      <c r="E22" s="184">
        <v>4926295</v>
      </c>
      <c r="F22" s="196">
        <v>455.64</v>
      </c>
      <c r="G22" s="196">
        <v>70.010000000000005</v>
      </c>
      <c r="H22" s="186">
        <f t="shared" si="0"/>
        <v>9.1697339040994613E-3</v>
      </c>
      <c r="I22" s="184">
        <v>22957525</v>
      </c>
      <c r="J22" s="184">
        <v>19450722</v>
      </c>
    </row>
    <row r="23" spans="1:10" x14ac:dyDescent="0.45">
      <c r="A23">
        <v>21</v>
      </c>
      <c r="B23" s="166" t="s">
        <v>27</v>
      </c>
      <c r="C23" s="178">
        <v>304522055</v>
      </c>
      <c r="D23" s="188">
        <v>211594070</v>
      </c>
      <c r="E23" s="188">
        <v>60785446</v>
      </c>
      <c r="F23" s="188">
        <v>88.95</v>
      </c>
      <c r="G23" s="188">
        <v>26.11</v>
      </c>
      <c r="H23" s="186">
        <f t="shared" si="0"/>
        <v>0.22799242244610859</v>
      </c>
      <c r="I23" s="188">
        <v>505902602</v>
      </c>
      <c r="J23" s="188">
        <v>422281984</v>
      </c>
    </row>
    <row r="24" spans="1:10" x14ac:dyDescent="0.45">
      <c r="A24">
        <v>22</v>
      </c>
      <c r="B24" s="166" t="s">
        <v>28</v>
      </c>
      <c r="C24" s="192">
        <v>209297103</v>
      </c>
      <c r="D24" s="188">
        <v>91820829</v>
      </c>
      <c r="E24" s="188">
        <v>43260594</v>
      </c>
      <c r="F24" s="188">
        <v>126.25</v>
      </c>
      <c r="G24" s="188">
        <v>34.67</v>
      </c>
      <c r="H24" s="186">
        <f t="shared" si="0"/>
        <v>0.15669851408274091</v>
      </c>
      <c r="I24" s="188">
        <v>530272377</v>
      </c>
      <c r="J24" s="188">
        <v>475669091</v>
      </c>
    </row>
    <row r="25" spans="1:10" x14ac:dyDescent="0.45">
      <c r="A25">
        <v>23</v>
      </c>
      <c r="B25" s="166" t="s">
        <v>30</v>
      </c>
      <c r="C25" s="178">
        <v>32194673</v>
      </c>
      <c r="D25" s="188">
        <v>15622717</v>
      </c>
      <c r="E25" s="188">
        <v>20162428</v>
      </c>
      <c r="F25" s="188">
        <v>157.38</v>
      </c>
      <c r="G25" s="188">
        <v>80.349999999999994</v>
      </c>
      <c r="H25" s="186">
        <f>C25/$C$27</f>
        <v>2.4103809121905233E-2</v>
      </c>
      <c r="I25" s="188">
        <v>76442917</v>
      </c>
      <c r="J25" s="188">
        <v>51388274</v>
      </c>
    </row>
    <row r="26" spans="1:10" x14ac:dyDescent="0.45">
      <c r="A26">
        <v>24</v>
      </c>
      <c r="B26" s="166" t="s">
        <v>31</v>
      </c>
      <c r="C26" s="178">
        <v>17815096</v>
      </c>
      <c r="D26" s="188">
        <v>7786229</v>
      </c>
      <c r="E26" s="188">
        <v>6411185</v>
      </c>
      <c r="F26" s="188">
        <v>361.47</v>
      </c>
      <c r="G26" s="188">
        <v>64.84</v>
      </c>
      <c r="H26" s="186">
        <f t="shared" si="0"/>
        <v>1.3337972821541545E-2</v>
      </c>
      <c r="I26" s="188">
        <v>30866283</v>
      </c>
      <c r="J26" s="188">
        <v>22644442</v>
      </c>
    </row>
    <row r="27" spans="1:10" x14ac:dyDescent="0.45">
      <c r="B27" s="166" t="s">
        <v>88</v>
      </c>
      <c r="C27" s="193">
        <f>SUM(C3:C26)</f>
        <v>1335667439</v>
      </c>
      <c r="D27" s="193">
        <f>SUM(D3:D26)</f>
        <v>706204825</v>
      </c>
      <c r="E27" s="193">
        <f>SUM(E3:E26)</f>
        <v>382979717.69</v>
      </c>
      <c r="F27" s="194"/>
      <c r="G27" s="194"/>
      <c r="H27" s="197">
        <f>C27/$C$27</f>
        <v>1</v>
      </c>
      <c r="I27" s="195">
        <f>SUM(I3:I26)</f>
        <v>3155408380.9200001</v>
      </c>
      <c r="J27" s="195">
        <f>SUM(J3:J26)</f>
        <v>2630425781.7200003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tabColor rgb="FF7030A0"/>
  </sheetPr>
  <dimension ref="A1:M23"/>
  <sheetViews>
    <sheetView workbookViewId="0">
      <selection activeCell="A3" sqref="A3"/>
    </sheetView>
  </sheetViews>
  <sheetFormatPr defaultRowHeight="14.25" x14ac:dyDescent="0.45"/>
  <cols>
    <col min="1" max="1" width="3" bestFit="1" customWidth="1"/>
    <col min="2" max="2" width="42.3984375" bestFit="1" customWidth="1"/>
    <col min="3" max="3" width="12.3984375" bestFit="1" customWidth="1"/>
    <col min="4" max="4" width="19" customWidth="1"/>
    <col min="5" max="5" width="13.3984375" customWidth="1"/>
    <col min="6" max="7" width="14.265625" bestFit="1" customWidth="1"/>
    <col min="8" max="8" width="13.265625" customWidth="1"/>
    <col min="9" max="10" width="9.265625" bestFit="1" customWidth="1"/>
    <col min="12" max="12" width="12" bestFit="1" customWidth="1"/>
  </cols>
  <sheetData>
    <row r="1" spans="1:12" x14ac:dyDescent="0.45">
      <c r="B1" s="110" t="s">
        <v>89</v>
      </c>
      <c r="C1" s="13"/>
      <c r="D1" s="13"/>
      <c r="E1" s="13"/>
      <c r="F1" s="13"/>
      <c r="G1" s="13"/>
      <c r="H1" s="13"/>
      <c r="I1" s="13"/>
      <c r="J1" s="13"/>
    </row>
    <row r="2" spans="1:12" ht="28.5" x14ac:dyDescent="0.45">
      <c r="B2" s="110" t="s">
        <v>60</v>
      </c>
      <c r="C2" s="15" t="s">
        <v>56</v>
      </c>
      <c r="D2" s="15" t="s">
        <v>74</v>
      </c>
      <c r="E2" s="15" t="s">
        <v>10</v>
      </c>
      <c r="F2" s="15" t="s">
        <v>13</v>
      </c>
      <c r="G2" s="15" t="s">
        <v>79</v>
      </c>
      <c r="H2" s="15" t="s">
        <v>78</v>
      </c>
      <c r="I2" s="15" t="s">
        <v>11</v>
      </c>
      <c r="J2" s="174" t="s">
        <v>12</v>
      </c>
    </row>
    <row r="3" spans="1:12" x14ac:dyDescent="0.45">
      <c r="A3" s="13">
        <v>1</v>
      </c>
      <c r="B3" s="198" t="s">
        <v>80</v>
      </c>
      <c r="C3" s="200">
        <v>2702754</v>
      </c>
      <c r="D3" s="200">
        <v>404844</v>
      </c>
      <c r="E3" s="200">
        <v>4037611</v>
      </c>
      <c r="F3" s="200">
        <v>16471692</v>
      </c>
      <c r="G3" s="200">
        <v>8320062</v>
      </c>
      <c r="H3" s="200">
        <v>820.86</v>
      </c>
      <c r="I3" s="200">
        <v>217.24</v>
      </c>
      <c r="J3" s="201">
        <f t="shared" ref="J3:J23" si="0">C3/$C$23</f>
        <v>7.1199914357384514E-3</v>
      </c>
    </row>
    <row r="4" spans="1:12" x14ac:dyDescent="0.45">
      <c r="A4" s="13">
        <v>3</v>
      </c>
      <c r="B4" s="198" t="s">
        <v>16</v>
      </c>
      <c r="C4" s="200">
        <v>3720138</v>
      </c>
      <c r="D4" s="200">
        <v>1326992</v>
      </c>
      <c r="E4" s="200">
        <v>1847602</v>
      </c>
      <c r="F4" s="200">
        <v>90585092</v>
      </c>
      <c r="G4" s="200">
        <v>80226626</v>
      </c>
      <c r="H4" s="200">
        <v>163.33000000000001</v>
      </c>
      <c r="I4" s="200">
        <v>58.06</v>
      </c>
      <c r="J4" s="201">
        <f t="shared" si="0"/>
        <v>9.8001337523744934E-3</v>
      </c>
    </row>
    <row r="5" spans="1:12" x14ac:dyDescent="0.45">
      <c r="A5" s="13">
        <v>4</v>
      </c>
      <c r="B5" s="198" t="s">
        <v>17</v>
      </c>
      <c r="C5" s="200">
        <v>101545859</v>
      </c>
      <c r="D5" s="200">
        <v>40490190</v>
      </c>
      <c r="E5" s="200">
        <v>17857243</v>
      </c>
      <c r="F5" s="200">
        <v>744900584</v>
      </c>
      <c r="G5" s="200">
        <v>616668400</v>
      </c>
      <c r="H5" s="200">
        <v>136.96</v>
      </c>
      <c r="I5" s="200">
        <v>33.61</v>
      </c>
      <c r="J5" s="201">
        <f t="shared" si="0"/>
        <v>0.26750701189035492</v>
      </c>
    </row>
    <row r="6" spans="1:12" x14ac:dyDescent="0.45">
      <c r="A6" s="13">
        <v>2</v>
      </c>
      <c r="B6" s="198" t="s">
        <v>90</v>
      </c>
      <c r="C6" s="200">
        <v>267427</v>
      </c>
      <c r="D6" s="200">
        <v>100629</v>
      </c>
      <c r="E6" s="200">
        <v>945094</v>
      </c>
      <c r="F6" s="200">
        <v>14799766</v>
      </c>
      <c r="G6" s="200">
        <v>9525725</v>
      </c>
      <c r="H6" s="200">
        <v>606.79999999999995</v>
      </c>
      <c r="I6" s="200">
        <v>372.07</v>
      </c>
      <c r="J6" s="201">
        <f t="shared" si="0"/>
        <v>7.0449547005951223E-4</v>
      </c>
    </row>
    <row r="7" spans="1:12" x14ac:dyDescent="0.45">
      <c r="A7" s="13">
        <v>5</v>
      </c>
      <c r="B7" s="198" t="s">
        <v>53</v>
      </c>
      <c r="C7" s="200">
        <v>619146</v>
      </c>
      <c r="D7" s="200">
        <v>0</v>
      </c>
      <c r="E7" s="200">
        <v>1671874</v>
      </c>
      <c r="F7" s="200">
        <v>17675598</v>
      </c>
      <c r="G7" s="200">
        <v>11805994</v>
      </c>
      <c r="H7" s="200">
        <v>579.01</v>
      </c>
      <c r="I7" s="200">
        <v>303.89</v>
      </c>
      <c r="J7" s="201">
        <f t="shared" si="0"/>
        <v>1.6310453032246808E-3</v>
      </c>
    </row>
    <row r="8" spans="1:12" x14ac:dyDescent="0.45">
      <c r="A8" s="13">
        <v>6</v>
      </c>
      <c r="B8" s="198" t="s">
        <v>18</v>
      </c>
      <c r="C8" s="200">
        <v>5479439</v>
      </c>
      <c r="D8" s="200">
        <v>3198084</v>
      </c>
      <c r="E8" s="200">
        <v>1575012</v>
      </c>
      <c r="F8" s="200">
        <v>50957351</v>
      </c>
      <c r="G8" s="200">
        <v>30733011</v>
      </c>
      <c r="H8" s="200">
        <v>117.8</v>
      </c>
      <c r="I8" s="200">
        <v>41.26</v>
      </c>
      <c r="J8" s="201">
        <f t="shared" si="0"/>
        <v>1.4434742767063248E-2</v>
      </c>
    </row>
    <row r="9" spans="1:12" x14ac:dyDescent="0.45">
      <c r="A9" s="13">
        <v>7</v>
      </c>
      <c r="B9" s="198" t="s">
        <v>19</v>
      </c>
      <c r="C9" s="200">
        <v>2103755</v>
      </c>
      <c r="D9" s="200">
        <v>596532</v>
      </c>
      <c r="E9" s="200">
        <v>1211972</v>
      </c>
      <c r="F9" s="200">
        <v>20808050</v>
      </c>
      <c r="G9" s="200">
        <v>13402037</v>
      </c>
      <c r="H9" s="200">
        <v>266.23</v>
      </c>
      <c r="I9" s="200">
        <v>100.75</v>
      </c>
      <c r="J9" s="201">
        <f t="shared" si="0"/>
        <v>5.5420203181243818E-3</v>
      </c>
    </row>
    <row r="10" spans="1:12" x14ac:dyDescent="0.45">
      <c r="A10" s="13">
        <v>8</v>
      </c>
      <c r="B10" s="198" t="s">
        <v>20</v>
      </c>
      <c r="C10" s="200">
        <v>23012411.500000004</v>
      </c>
      <c r="D10" s="200">
        <v>19553543.579999998</v>
      </c>
      <c r="E10" s="200">
        <v>6176229.6564999996</v>
      </c>
      <c r="F10" s="202">
        <v>342517797.92000002</v>
      </c>
      <c r="G10" s="202">
        <v>311989946.99000001</v>
      </c>
      <c r="H10" s="200">
        <v>236</v>
      </c>
      <c r="I10" s="200">
        <v>35</v>
      </c>
      <c r="J10" s="201">
        <f t="shared" si="0"/>
        <v>6.0622673316065419E-2</v>
      </c>
      <c r="L10" s="163"/>
    </row>
    <row r="11" spans="1:12" x14ac:dyDescent="0.45">
      <c r="A11" s="13">
        <v>9</v>
      </c>
      <c r="B11" s="198" t="s">
        <v>47</v>
      </c>
      <c r="C11" s="200">
        <v>3928762</v>
      </c>
      <c r="D11" s="200">
        <v>520590</v>
      </c>
      <c r="E11" s="200">
        <v>1598646</v>
      </c>
      <c r="F11" s="200">
        <v>59427401</v>
      </c>
      <c r="G11" s="200">
        <v>45838462</v>
      </c>
      <c r="H11" s="200">
        <v>333</v>
      </c>
      <c r="I11" s="200">
        <v>51</v>
      </c>
      <c r="J11" s="201">
        <f t="shared" si="0"/>
        <v>1.0349721725711874E-2</v>
      </c>
    </row>
    <row r="12" spans="1:12" x14ac:dyDescent="0.45">
      <c r="A12" s="13">
        <v>10</v>
      </c>
      <c r="B12" s="198" t="s">
        <v>64</v>
      </c>
      <c r="C12" s="200">
        <v>940251</v>
      </c>
      <c r="D12" s="200">
        <v>76503</v>
      </c>
      <c r="E12" s="200">
        <v>1719463</v>
      </c>
      <c r="F12" s="200">
        <v>23100728</v>
      </c>
      <c r="G12" s="200">
        <v>14238634</v>
      </c>
      <c r="H12" s="200">
        <v>6686.6</v>
      </c>
      <c r="I12" s="200">
        <v>655.03</v>
      </c>
      <c r="J12" s="201">
        <f t="shared" si="0"/>
        <v>2.4769472424958079E-3</v>
      </c>
    </row>
    <row r="13" spans="1:12" x14ac:dyDescent="0.45">
      <c r="A13" s="13">
        <v>11</v>
      </c>
      <c r="B13" s="198" t="s">
        <v>21</v>
      </c>
      <c r="C13" s="200">
        <v>14184089</v>
      </c>
      <c r="D13" s="200">
        <v>6271615.6999999993</v>
      </c>
      <c r="E13" s="200">
        <v>4100995.7300000163</v>
      </c>
      <c r="F13" s="200">
        <v>167743749.11000001</v>
      </c>
      <c r="G13" s="200">
        <v>151289935.07565027</v>
      </c>
      <c r="H13" s="200">
        <v>141</v>
      </c>
      <c r="I13" s="200">
        <v>56</v>
      </c>
      <c r="J13" s="201">
        <f t="shared" si="0"/>
        <v>3.7365809912316097E-2</v>
      </c>
    </row>
    <row r="14" spans="1:12" x14ac:dyDescent="0.45">
      <c r="A14" s="13">
        <v>19</v>
      </c>
      <c r="B14" s="198" t="s">
        <v>91</v>
      </c>
      <c r="C14" s="200">
        <v>10744775</v>
      </c>
      <c r="D14" s="200">
        <v>4495481.93</v>
      </c>
      <c r="E14" s="200">
        <v>4956253.3900000006</v>
      </c>
      <c r="F14" s="200">
        <v>80355022.230000004</v>
      </c>
      <c r="G14" s="200">
        <v>51371998.119999997</v>
      </c>
      <c r="H14" s="200">
        <v>160</v>
      </c>
      <c r="I14" s="200">
        <v>65</v>
      </c>
      <c r="J14" s="201">
        <f t="shared" si="0"/>
        <v>2.8305463974500313E-2</v>
      </c>
    </row>
    <row r="15" spans="1:12" x14ac:dyDescent="0.45">
      <c r="A15" s="13">
        <v>12</v>
      </c>
      <c r="B15" s="198" t="s">
        <v>22</v>
      </c>
      <c r="C15" s="200">
        <v>21530023</v>
      </c>
      <c r="D15" s="200">
        <v>23001524</v>
      </c>
      <c r="E15" s="200">
        <v>7479942</v>
      </c>
      <c r="F15" s="200">
        <v>237099818</v>
      </c>
      <c r="G15" s="200">
        <v>211772462</v>
      </c>
      <c r="H15" s="200">
        <v>131.26</v>
      </c>
      <c r="I15" s="200">
        <v>45.4</v>
      </c>
      <c r="J15" s="201">
        <f t="shared" si="0"/>
        <v>5.6717547868304657E-2</v>
      </c>
    </row>
    <row r="16" spans="1:12" x14ac:dyDescent="0.45">
      <c r="A16" s="13">
        <v>13</v>
      </c>
      <c r="B16" s="198" t="s">
        <v>23</v>
      </c>
      <c r="C16" s="200">
        <v>3761120</v>
      </c>
      <c r="D16" s="200">
        <v>1173932</v>
      </c>
      <c r="E16" s="200">
        <v>1859511</v>
      </c>
      <c r="F16" s="200">
        <v>38077030</v>
      </c>
      <c r="G16" s="200">
        <v>25833355</v>
      </c>
      <c r="H16" s="200">
        <v>248.06</v>
      </c>
      <c r="I16" s="200">
        <v>59.37</v>
      </c>
      <c r="J16" s="201">
        <f t="shared" si="0"/>
        <v>9.9080945542156639E-3</v>
      </c>
    </row>
    <row r="17" spans="1:13" x14ac:dyDescent="0.45">
      <c r="A17" s="13">
        <v>14</v>
      </c>
      <c r="B17" s="198" t="s">
        <v>24</v>
      </c>
      <c r="C17" s="200">
        <v>24473081</v>
      </c>
      <c r="D17" s="200">
        <v>5623376</v>
      </c>
      <c r="E17" s="200">
        <v>9736921</v>
      </c>
      <c r="F17" s="200">
        <v>121303828</v>
      </c>
      <c r="G17" s="200">
        <v>102204411</v>
      </c>
      <c r="H17" s="200">
        <v>162.35</v>
      </c>
      <c r="I17" s="200">
        <v>66.3</v>
      </c>
      <c r="J17" s="201">
        <f t="shared" si="0"/>
        <v>6.4470583384996713E-2</v>
      </c>
      <c r="M17" s="163"/>
    </row>
    <row r="18" spans="1:13" x14ac:dyDescent="0.45">
      <c r="A18" s="13">
        <v>15</v>
      </c>
      <c r="B18" s="198" t="s">
        <v>25</v>
      </c>
      <c r="C18" s="200">
        <v>3824341</v>
      </c>
      <c r="D18" s="200">
        <v>2401183</v>
      </c>
      <c r="E18" s="200">
        <v>1333352</v>
      </c>
      <c r="F18" s="200">
        <v>58218804</v>
      </c>
      <c r="G18" s="200">
        <v>52733336</v>
      </c>
      <c r="H18" s="200">
        <v>139.41999999999999</v>
      </c>
      <c r="I18" s="200">
        <v>40.479999999999997</v>
      </c>
      <c r="J18" s="201">
        <f t="shared" si="0"/>
        <v>1.007464059523857E-2</v>
      </c>
    </row>
    <row r="19" spans="1:13" x14ac:dyDescent="0.45">
      <c r="A19" s="13">
        <v>16</v>
      </c>
      <c r="B19" s="198" t="s">
        <v>26</v>
      </c>
      <c r="C19" s="200">
        <v>3605083</v>
      </c>
      <c r="D19" s="200">
        <v>973833</v>
      </c>
      <c r="E19" s="200">
        <v>1197790</v>
      </c>
      <c r="F19" s="200">
        <v>22469043</v>
      </c>
      <c r="G19" s="200">
        <v>20198263</v>
      </c>
      <c r="H19" s="200">
        <v>444.72</v>
      </c>
      <c r="I19" s="200">
        <v>64.14</v>
      </c>
      <c r="J19" s="201">
        <f t="shared" si="0"/>
        <v>9.4970389776969279E-3</v>
      </c>
    </row>
    <row r="20" spans="1:13" x14ac:dyDescent="0.45">
      <c r="A20" s="13">
        <v>17</v>
      </c>
      <c r="B20" s="198" t="s">
        <v>27</v>
      </c>
      <c r="C20" s="200">
        <v>84320703</v>
      </c>
      <c r="D20" s="200">
        <v>58987624</v>
      </c>
      <c r="E20" s="200">
        <v>15472232</v>
      </c>
      <c r="F20" s="200">
        <v>524855511</v>
      </c>
      <c r="G20" s="200">
        <v>452127180</v>
      </c>
      <c r="H20" s="200">
        <v>88.97</v>
      </c>
      <c r="I20" s="200">
        <v>24.21</v>
      </c>
      <c r="J20" s="201">
        <f t="shared" si="0"/>
        <v>0.22212997676275589</v>
      </c>
    </row>
    <row r="21" spans="1:13" x14ac:dyDescent="0.45">
      <c r="A21" s="13">
        <v>18</v>
      </c>
      <c r="B21" s="198" t="s">
        <v>28</v>
      </c>
      <c r="C21" s="200">
        <v>60732226</v>
      </c>
      <c r="D21" s="200">
        <v>25128116</v>
      </c>
      <c r="E21" s="200">
        <v>10918158</v>
      </c>
      <c r="F21" s="200">
        <v>563935370</v>
      </c>
      <c r="G21" s="200">
        <v>504643546</v>
      </c>
      <c r="H21" s="200">
        <v>126.96</v>
      </c>
      <c r="I21" s="200">
        <v>30.39</v>
      </c>
      <c r="J21" s="201">
        <f t="shared" si="0"/>
        <v>0.15998974712213251</v>
      </c>
    </row>
    <row r="22" spans="1:13" x14ac:dyDescent="0.45">
      <c r="A22" s="13">
        <v>20</v>
      </c>
      <c r="B22" s="198" t="s">
        <v>31</v>
      </c>
      <c r="C22" s="200">
        <v>8105354</v>
      </c>
      <c r="D22" s="200">
        <v>1440959</v>
      </c>
      <c r="E22" s="200">
        <v>1639687.18</v>
      </c>
      <c r="F22" s="200">
        <v>28992096</v>
      </c>
      <c r="G22" s="200">
        <v>20464736</v>
      </c>
      <c r="H22" s="200">
        <v>306</v>
      </c>
      <c r="I22" s="200">
        <v>38</v>
      </c>
      <c r="J22" s="201">
        <f t="shared" si="0"/>
        <v>2.1352313626629874E-2</v>
      </c>
    </row>
    <row r="23" spans="1:13" x14ac:dyDescent="0.45">
      <c r="A23" s="13"/>
      <c r="B23" s="199" t="s">
        <v>92</v>
      </c>
      <c r="C23" s="203">
        <f>SUM(C3:C22)</f>
        <v>379600737.5</v>
      </c>
      <c r="D23" s="203">
        <f>SUM(D3:D22)</f>
        <v>195765552.21000001</v>
      </c>
      <c r="E23" s="203">
        <f>SUM(E3:E22)</f>
        <v>97335588.956500024</v>
      </c>
      <c r="F23" s="203">
        <f>SUM(F3:F22)</f>
        <v>3224294331.2600002</v>
      </c>
      <c r="G23" s="203">
        <f>SUM(G3:G22)</f>
        <v>2735388120.1856499</v>
      </c>
      <c r="H23" s="203"/>
      <c r="I23" s="203"/>
      <c r="J23" s="204">
        <f t="shared" si="0"/>
        <v>1</v>
      </c>
    </row>
  </sheetData>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tabColor rgb="FF7030A0"/>
  </sheetPr>
  <dimension ref="A1:N23"/>
  <sheetViews>
    <sheetView topLeftCell="A4" workbookViewId="0">
      <selection activeCell="D3" sqref="D3:E22"/>
    </sheetView>
  </sheetViews>
  <sheetFormatPr defaultRowHeight="14.25" x14ac:dyDescent="0.45"/>
  <cols>
    <col min="1" max="1" width="3.73046875" customWidth="1"/>
    <col min="2" max="2" width="42.73046875" bestFit="1" customWidth="1"/>
    <col min="3" max="3" width="12.3984375" customWidth="1"/>
    <col min="4" max="4" width="17.265625" customWidth="1"/>
    <col min="5" max="5" width="14.73046875" customWidth="1"/>
    <col min="6" max="6" width="14.3984375" customWidth="1"/>
    <col min="7" max="7" width="13.73046875" customWidth="1"/>
    <col min="8" max="8" width="15" customWidth="1"/>
    <col min="9" max="9" width="11.3984375" customWidth="1"/>
    <col min="10" max="10" width="13.265625" customWidth="1"/>
  </cols>
  <sheetData>
    <row r="1" spans="1:10" ht="15" customHeight="1" x14ac:dyDescent="0.45">
      <c r="B1" s="206" t="s">
        <v>93</v>
      </c>
    </row>
    <row r="2" spans="1:10" ht="47.25" customHeight="1" x14ac:dyDescent="0.45">
      <c r="B2" s="205" t="s">
        <v>60</v>
      </c>
      <c r="C2" s="15" t="s">
        <v>56</v>
      </c>
      <c r="D2" s="15" t="s">
        <v>74</v>
      </c>
      <c r="E2" s="15" t="s">
        <v>10</v>
      </c>
      <c r="F2" s="15" t="s">
        <v>13</v>
      </c>
      <c r="G2" s="15" t="s">
        <v>79</v>
      </c>
      <c r="H2" s="15" t="s">
        <v>78</v>
      </c>
      <c r="I2" s="15" t="s">
        <v>11</v>
      </c>
      <c r="J2" s="174" t="s">
        <v>12</v>
      </c>
    </row>
    <row r="3" spans="1:10" x14ac:dyDescent="0.45">
      <c r="A3">
        <v>1</v>
      </c>
      <c r="B3" s="166" t="s">
        <v>80</v>
      </c>
      <c r="C3" s="102">
        <v>6283220</v>
      </c>
      <c r="D3" s="102">
        <v>1677660</v>
      </c>
      <c r="E3" s="102">
        <v>8438777</v>
      </c>
      <c r="F3" s="102">
        <v>15779984</v>
      </c>
      <c r="G3" s="102">
        <v>4848000</v>
      </c>
      <c r="H3" s="102">
        <v>315.89</v>
      </c>
      <c r="I3" s="102">
        <v>163.49</v>
      </c>
      <c r="J3" s="201">
        <f t="shared" ref="J3:J22" si="0">C3/$C$23</f>
        <v>8.01514760810749E-3</v>
      </c>
    </row>
    <row r="4" spans="1:10" x14ac:dyDescent="0.45">
      <c r="A4">
        <v>2</v>
      </c>
      <c r="B4" s="166" t="s">
        <v>16</v>
      </c>
      <c r="C4" s="102">
        <v>7699236</v>
      </c>
      <c r="D4" s="102">
        <v>3001045</v>
      </c>
      <c r="E4" s="102">
        <v>3772597</v>
      </c>
      <c r="F4" s="102">
        <v>91206913</v>
      </c>
      <c r="G4" s="102">
        <v>81169393</v>
      </c>
      <c r="H4" s="102">
        <v>160.63</v>
      </c>
      <c r="I4" s="115">
        <v>57.13</v>
      </c>
      <c r="J4" s="201">
        <f t="shared" si="0"/>
        <v>9.8214789565947199E-3</v>
      </c>
    </row>
    <row r="5" spans="1:10" x14ac:dyDescent="0.45">
      <c r="A5">
        <v>3</v>
      </c>
      <c r="B5" s="166" t="s">
        <v>17</v>
      </c>
      <c r="C5" s="102">
        <v>205998290</v>
      </c>
      <c r="D5" s="102">
        <v>86965692</v>
      </c>
      <c r="E5" s="102">
        <v>35232643</v>
      </c>
      <c r="F5" s="102">
        <v>760180475</v>
      </c>
      <c r="G5" s="102">
        <v>634786934</v>
      </c>
      <c r="H5" s="102">
        <v>134.93</v>
      </c>
      <c r="I5" s="115">
        <v>33.92</v>
      </c>
      <c r="J5" s="201">
        <f t="shared" si="0"/>
        <v>0.26278034214427204</v>
      </c>
    </row>
    <row r="6" spans="1:10" x14ac:dyDescent="0.45">
      <c r="A6">
        <v>4</v>
      </c>
      <c r="B6" s="166" t="s">
        <v>94</v>
      </c>
      <c r="C6" s="102">
        <v>445882</v>
      </c>
      <c r="D6" s="102">
        <v>104375</v>
      </c>
      <c r="E6" s="102">
        <v>952298</v>
      </c>
      <c r="F6" s="102">
        <v>14375124</v>
      </c>
      <c r="G6" s="102">
        <v>9282810</v>
      </c>
      <c r="H6" s="102">
        <v>579.97</v>
      </c>
      <c r="I6" s="102">
        <v>236.53</v>
      </c>
      <c r="J6" s="201">
        <f t="shared" si="0"/>
        <v>5.6878639388692161E-4</v>
      </c>
    </row>
    <row r="7" spans="1:10" x14ac:dyDescent="0.45">
      <c r="A7">
        <v>5</v>
      </c>
      <c r="B7" s="166" t="s">
        <v>53</v>
      </c>
      <c r="C7" s="102">
        <v>1371447</v>
      </c>
      <c r="D7" s="102">
        <v>228750</v>
      </c>
      <c r="E7" s="102">
        <v>3317052</v>
      </c>
      <c r="F7" s="102">
        <v>18028839</v>
      </c>
      <c r="G7" s="102">
        <v>12009958</v>
      </c>
      <c r="H7" s="102">
        <v>533.12</v>
      </c>
      <c r="I7" s="115">
        <v>272.70999999999998</v>
      </c>
      <c r="J7" s="201">
        <f t="shared" si="0"/>
        <v>1.7494772014502423E-3</v>
      </c>
    </row>
    <row r="8" spans="1:10" x14ac:dyDescent="0.45">
      <c r="A8">
        <v>6</v>
      </c>
      <c r="B8" s="166" t="s">
        <v>18</v>
      </c>
      <c r="C8" s="102">
        <v>10906937</v>
      </c>
      <c r="D8" s="102">
        <v>6386994</v>
      </c>
      <c r="E8" s="102">
        <v>3242694</v>
      </c>
      <c r="F8" s="102">
        <v>51029238</v>
      </c>
      <c r="G8" s="102">
        <v>30688472</v>
      </c>
      <c r="H8" s="102">
        <v>116.6</v>
      </c>
      <c r="I8" s="115">
        <v>40.68</v>
      </c>
      <c r="J8" s="201">
        <f t="shared" si="0"/>
        <v>1.3913361303174021E-2</v>
      </c>
    </row>
    <row r="9" spans="1:10" x14ac:dyDescent="0.45">
      <c r="A9">
        <v>7</v>
      </c>
      <c r="B9" s="166" t="s">
        <v>19</v>
      </c>
      <c r="C9" s="102">
        <v>5803818</v>
      </c>
      <c r="D9" s="102">
        <v>719236</v>
      </c>
      <c r="E9" s="102">
        <v>2192328</v>
      </c>
      <c r="F9" s="102">
        <v>22212852</v>
      </c>
      <c r="G9" s="102">
        <v>12500448</v>
      </c>
      <c r="H9" s="102">
        <v>283.56</v>
      </c>
      <c r="I9" s="115">
        <v>74.11</v>
      </c>
      <c r="J9" s="201">
        <f t="shared" si="0"/>
        <v>7.4036016502034294E-3</v>
      </c>
    </row>
    <row r="10" spans="1:10" x14ac:dyDescent="0.45">
      <c r="A10">
        <v>8</v>
      </c>
      <c r="B10" s="166" t="s">
        <v>20</v>
      </c>
      <c r="C10" s="102">
        <v>58099002</v>
      </c>
      <c r="D10" s="102">
        <v>40169396</v>
      </c>
      <c r="E10" s="102">
        <v>12741358</v>
      </c>
      <c r="F10" s="102">
        <v>351790842</v>
      </c>
      <c r="G10" s="102">
        <v>314607712</v>
      </c>
      <c r="H10" s="102">
        <v>218.66</v>
      </c>
      <c r="I10" s="115">
        <v>27.81</v>
      </c>
      <c r="J10" s="201">
        <f t="shared" si="0"/>
        <v>7.4113603679917664E-2</v>
      </c>
    </row>
    <row r="11" spans="1:10" x14ac:dyDescent="0.45">
      <c r="A11">
        <v>9</v>
      </c>
      <c r="B11" s="166" t="s">
        <v>47</v>
      </c>
      <c r="C11" s="102">
        <v>6284600.4500000002</v>
      </c>
      <c r="D11" s="102">
        <v>901298.18</v>
      </c>
      <c r="E11" s="102">
        <v>2573050.09</v>
      </c>
      <c r="F11" s="102">
        <v>60162441.130000003</v>
      </c>
      <c r="G11" s="102">
        <v>42946786.201715156</v>
      </c>
      <c r="H11" s="207">
        <v>296</v>
      </c>
      <c r="I11" s="208">
        <v>50.85</v>
      </c>
      <c r="J11" s="201">
        <f t="shared" si="0"/>
        <v>8.0169085699257313E-3</v>
      </c>
    </row>
    <row r="12" spans="1:10" x14ac:dyDescent="0.45">
      <c r="A12">
        <v>10</v>
      </c>
      <c r="B12" s="166" t="s">
        <v>64</v>
      </c>
      <c r="C12" s="102">
        <v>2777706.86</v>
      </c>
      <c r="D12" s="102">
        <v>185226.85</v>
      </c>
      <c r="E12" s="102">
        <v>3526246.2199999997</v>
      </c>
      <c r="F12" s="102">
        <v>20928432.949999999</v>
      </c>
      <c r="G12" s="102">
        <v>12297092.955616437</v>
      </c>
      <c r="H12" s="102">
        <v>2876</v>
      </c>
      <c r="I12" s="102">
        <v>269</v>
      </c>
      <c r="J12" s="201">
        <f t="shared" si="0"/>
        <v>3.5433631951376464E-3</v>
      </c>
    </row>
    <row r="13" spans="1:10" x14ac:dyDescent="0.45">
      <c r="A13">
        <v>11</v>
      </c>
      <c r="B13" s="166" t="s">
        <v>21</v>
      </c>
      <c r="C13" s="102">
        <v>27457715</v>
      </c>
      <c r="D13" s="102">
        <v>13945931</v>
      </c>
      <c r="E13" s="102">
        <v>6358856</v>
      </c>
      <c r="F13" s="102">
        <v>172983450</v>
      </c>
      <c r="G13" s="102">
        <v>154365155</v>
      </c>
      <c r="H13" s="102">
        <v>135.28</v>
      </c>
      <c r="I13" s="115">
        <v>48.94</v>
      </c>
      <c r="J13" s="201">
        <f t="shared" si="0"/>
        <v>3.502625066547839E-2</v>
      </c>
    </row>
    <row r="14" spans="1:10" x14ac:dyDescent="0.45">
      <c r="A14">
        <v>12</v>
      </c>
      <c r="B14" s="166" t="s">
        <v>91</v>
      </c>
      <c r="C14" s="102">
        <v>21373688</v>
      </c>
      <c r="D14" s="102">
        <v>8022564</v>
      </c>
      <c r="E14" s="102">
        <v>10048467</v>
      </c>
      <c r="F14" s="102">
        <v>82304926</v>
      </c>
      <c r="G14" s="102">
        <v>51395061</v>
      </c>
      <c r="H14" s="102">
        <v>154.38999999999999</v>
      </c>
      <c r="I14" s="102">
        <v>61.97</v>
      </c>
      <c r="J14" s="201">
        <f t="shared" si="0"/>
        <v>2.7265202276800071E-2</v>
      </c>
    </row>
    <row r="15" spans="1:10" x14ac:dyDescent="0.45">
      <c r="A15">
        <v>13</v>
      </c>
      <c r="B15" s="166" t="s">
        <v>22</v>
      </c>
      <c r="C15" s="102">
        <v>44985655</v>
      </c>
      <c r="D15" s="102">
        <v>45788766</v>
      </c>
      <c r="E15" s="102">
        <v>14263666</v>
      </c>
      <c r="F15" s="102">
        <v>244921390</v>
      </c>
      <c r="G15" s="102">
        <v>221342040</v>
      </c>
      <c r="H15" s="102">
        <v>126.67</v>
      </c>
      <c r="I15" s="115">
        <v>39.67</v>
      </c>
      <c r="J15" s="201">
        <f t="shared" si="0"/>
        <v>5.7385650203621505E-2</v>
      </c>
    </row>
    <row r="16" spans="1:10" x14ac:dyDescent="0.45">
      <c r="A16">
        <v>14</v>
      </c>
      <c r="B16" s="166" t="s">
        <v>23</v>
      </c>
      <c r="C16" s="102">
        <v>8349875</v>
      </c>
      <c r="D16" s="102">
        <v>3339974</v>
      </c>
      <c r="E16" s="102">
        <v>4140415</v>
      </c>
      <c r="F16" s="102">
        <v>39476194</v>
      </c>
      <c r="G16" s="102">
        <v>26298564</v>
      </c>
      <c r="H16" s="102">
        <v>248.67</v>
      </c>
      <c r="I16" s="115">
        <v>60.55</v>
      </c>
      <c r="J16" s="201">
        <f t="shared" si="0"/>
        <v>1.0651462249331795E-2</v>
      </c>
    </row>
    <row r="17" spans="1:14" x14ac:dyDescent="0.45">
      <c r="A17">
        <v>15</v>
      </c>
      <c r="B17" s="166" t="s">
        <v>24</v>
      </c>
      <c r="C17" s="102">
        <v>51672239</v>
      </c>
      <c r="D17" s="102">
        <v>11970922</v>
      </c>
      <c r="E17" s="102">
        <v>196330767</v>
      </c>
      <c r="F17" s="102">
        <v>130008741</v>
      </c>
      <c r="G17" s="102">
        <v>111506726</v>
      </c>
      <c r="H17" s="102">
        <v>154.04</v>
      </c>
      <c r="I17" s="115">
        <v>64.23</v>
      </c>
      <c r="J17" s="201">
        <f t="shared" si="0"/>
        <v>6.5915346403024017E-2</v>
      </c>
    </row>
    <row r="18" spans="1:14" x14ac:dyDescent="0.45">
      <c r="A18">
        <v>16</v>
      </c>
      <c r="B18" s="166" t="s">
        <v>25</v>
      </c>
      <c r="C18" s="102">
        <v>8249109</v>
      </c>
      <c r="D18" s="102">
        <v>5216486</v>
      </c>
      <c r="E18" s="102">
        <v>3013916</v>
      </c>
      <c r="F18" s="102">
        <v>58315725</v>
      </c>
      <c r="G18" s="102">
        <v>52281509</v>
      </c>
      <c r="H18" s="102">
        <v>133.58000000000001</v>
      </c>
      <c r="I18" s="115">
        <v>40.58</v>
      </c>
      <c r="J18" s="201">
        <f t="shared" si="0"/>
        <v>1.0522920774756887E-2</v>
      </c>
    </row>
    <row r="19" spans="1:14" x14ac:dyDescent="0.45">
      <c r="A19">
        <v>17</v>
      </c>
      <c r="B19" s="166" t="s">
        <v>26</v>
      </c>
      <c r="C19" s="102">
        <v>8876278</v>
      </c>
      <c r="D19" s="102">
        <v>2328034</v>
      </c>
      <c r="E19" s="102">
        <v>2699289</v>
      </c>
      <c r="F19" s="102">
        <v>22592373</v>
      </c>
      <c r="G19" s="102">
        <v>19558544</v>
      </c>
      <c r="H19" s="102">
        <v>408.77</v>
      </c>
      <c r="I19" s="115">
        <v>71.87</v>
      </c>
      <c r="J19" s="201">
        <f t="shared" si="0"/>
        <v>1.1322964718822057E-2</v>
      </c>
      <c r="N19" t="s">
        <v>95</v>
      </c>
    </row>
    <row r="20" spans="1:14" x14ac:dyDescent="0.45">
      <c r="A20">
        <v>18</v>
      </c>
      <c r="B20" s="166" t="s">
        <v>27</v>
      </c>
      <c r="C20" s="102">
        <v>171479895</v>
      </c>
      <c r="D20" s="102">
        <v>114281557</v>
      </c>
      <c r="E20" s="102">
        <v>31687315</v>
      </c>
      <c r="F20" s="102">
        <v>701866121</v>
      </c>
      <c r="G20" s="102">
        <v>584590681</v>
      </c>
      <c r="H20" s="102">
        <v>114.63</v>
      </c>
      <c r="I20" s="115">
        <v>24.89</v>
      </c>
      <c r="J20" s="201">
        <f t="shared" si="0"/>
        <v>0.2187471822167254</v>
      </c>
    </row>
    <row r="21" spans="1:14" x14ac:dyDescent="0.45">
      <c r="A21">
        <v>19</v>
      </c>
      <c r="B21" s="166" t="s">
        <v>28</v>
      </c>
      <c r="C21" s="102">
        <v>123675341</v>
      </c>
      <c r="D21" s="102">
        <v>47430769</v>
      </c>
      <c r="E21" s="102">
        <v>22074082</v>
      </c>
      <c r="F21" s="102">
        <v>595367794</v>
      </c>
      <c r="G21" s="102">
        <v>531253922</v>
      </c>
      <c r="H21" s="102">
        <v>125.86</v>
      </c>
      <c r="I21" s="115">
        <v>30.8</v>
      </c>
      <c r="J21" s="201">
        <f t="shared" si="0"/>
        <v>0.15776562233982386</v>
      </c>
    </row>
    <row r="22" spans="1:14" x14ac:dyDescent="0.45">
      <c r="A22">
        <v>20</v>
      </c>
      <c r="B22" s="166" t="s">
        <v>31</v>
      </c>
      <c r="C22" s="102">
        <v>12128255</v>
      </c>
      <c r="D22" s="102">
        <v>3502983</v>
      </c>
      <c r="E22" s="102">
        <v>3128799</v>
      </c>
      <c r="F22" s="102">
        <v>29030947</v>
      </c>
      <c r="G22" s="102">
        <v>20522226</v>
      </c>
      <c r="H22" s="102">
        <v>283.63</v>
      </c>
      <c r="I22" s="102">
        <v>47.76</v>
      </c>
      <c r="J22" s="201">
        <f t="shared" si="0"/>
        <v>1.5471327448946193E-2</v>
      </c>
    </row>
    <row r="23" spans="1:14" x14ac:dyDescent="0.45">
      <c r="B23" s="166" t="s">
        <v>92</v>
      </c>
      <c r="C23" s="209">
        <f>SUM(C3:C22)</f>
        <v>783918189.30999994</v>
      </c>
      <c r="D23" s="209">
        <f>SUM(D3:D22)</f>
        <v>396167659.02999997</v>
      </c>
      <c r="E23" s="209">
        <f>SUM(E3:E22)</f>
        <v>369734615.31</v>
      </c>
      <c r="F23" s="209">
        <f>SUM(F3:F22)</f>
        <v>3482562802.0799999</v>
      </c>
      <c r="G23" s="209">
        <f>SUM(G3:G22)</f>
        <v>2928252034.1573315</v>
      </c>
      <c r="H23" s="115"/>
      <c r="I23" s="115"/>
      <c r="J23" s="115"/>
    </row>
  </sheetData>
  <sortState xmlns:xlrd2="http://schemas.microsoft.com/office/spreadsheetml/2017/richdata2" ref="B4:J23">
    <sortCondition ref="B4:B23"/>
  </sortState>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tabColor rgb="FF7030A0"/>
  </sheetPr>
  <dimension ref="A1:N23"/>
  <sheetViews>
    <sheetView workbookViewId="0">
      <selection activeCell="E3" sqref="E3:E22"/>
    </sheetView>
  </sheetViews>
  <sheetFormatPr defaultRowHeight="14.25" x14ac:dyDescent="0.45"/>
  <cols>
    <col min="1" max="1" width="3.73046875" customWidth="1"/>
    <col min="2" max="2" width="42.73046875" bestFit="1" customWidth="1"/>
    <col min="3" max="3" width="14.265625" bestFit="1" customWidth="1"/>
    <col min="4" max="4" width="17.265625" customWidth="1"/>
    <col min="5" max="5" width="14.73046875" customWidth="1"/>
    <col min="6" max="6" width="14.3984375" customWidth="1"/>
    <col min="7" max="7" width="13.73046875" customWidth="1"/>
    <col min="8" max="8" width="15" customWidth="1"/>
    <col min="9" max="9" width="11.3984375" customWidth="1"/>
    <col min="10" max="10" width="13.265625" customWidth="1"/>
  </cols>
  <sheetData>
    <row r="1" spans="1:10" ht="15" customHeight="1" x14ac:dyDescent="0.45">
      <c r="B1" s="211" t="s">
        <v>96</v>
      </c>
    </row>
    <row r="2" spans="1:10" ht="47.25" customHeight="1" x14ac:dyDescent="0.45">
      <c r="B2" s="205" t="s">
        <v>60</v>
      </c>
      <c r="C2" s="15" t="s">
        <v>56</v>
      </c>
      <c r="D2" s="15" t="s">
        <v>74</v>
      </c>
      <c r="E2" s="15" t="s">
        <v>10</v>
      </c>
      <c r="F2" s="15" t="s">
        <v>13</v>
      </c>
      <c r="G2" s="15" t="s">
        <v>79</v>
      </c>
      <c r="H2" s="15" t="s">
        <v>78</v>
      </c>
      <c r="I2" s="15" t="s">
        <v>11</v>
      </c>
      <c r="J2" s="174" t="s">
        <v>12</v>
      </c>
    </row>
    <row r="3" spans="1:10" x14ac:dyDescent="0.45">
      <c r="A3">
        <v>1</v>
      </c>
      <c r="B3" s="166" t="s">
        <v>80</v>
      </c>
      <c r="C3" s="102">
        <v>13015242</v>
      </c>
      <c r="D3" s="210">
        <v>3659290</v>
      </c>
      <c r="E3" s="210">
        <v>12443277</v>
      </c>
      <c r="F3" s="210">
        <v>16337766</v>
      </c>
      <c r="G3" s="210">
        <v>5714626</v>
      </c>
      <c r="H3" s="200">
        <v>180.85</v>
      </c>
      <c r="I3" s="212">
        <v>113.9</v>
      </c>
      <c r="J3" s="201">
        <f t="shared" ref="J3:J22" si="0">C3/$C$23</f>
        <v>1.0868236152799174E-2</v>
      </c>
    </row>
    <row r="4" spans="1:10" x14ac:dyDescent="0.45">
      <c r="A4">
        <v>2</v>
      </c>
      <c r="B4" s="166" t="s">
        <v>16</v>
      </c>
      <c r="C4" s="102">
        <v>11860118</v>
      </c>
      <c r="D4" s="210">
        <v>4406234</v>
      </c>
      <c r="E4" s="210">
        <v>5993261</v>
      </c>
      <c r="F4" s="210">
        <v>92397628</v>
      </c>
      <c r="G4" s="210">
        <v>82250813</v>
      </c>
      <c r="H4" s="200">
        <v>159.37</v>
      </c>
      <c r="I4" s="213">
        <v>59.35</v>
      </c>
      <c r="J4" s="201">
        <f t="shared" si="0"/>
        <v>9.9036624308686885E-3</v>
      </c>
    </row>
    <row r="5" spans="1:10" x14ac:dyDescent="0.45">
      <c r="A5">
        <v>3</v>
      </c>
      <c r="B5" s="166" t="s">
        <v>17</v>
      </c>
      <c r="C5" s="102">
        <v>316524604</v>
      </c>
      <c r="D5" s="210">
        <v>145407635</v>
      </c>
      <c r="E5" s="210">
        <v>52557955</v>
      </c>
      <c r="F5" s="210">
        <v>780384506</v>
      </c>
      <c r="G5" s="210">
        <v>651567904</v>
      </c>
      <c r="H5" s="200">
        <v>137.61000000000001</v>
      </c>
      <c r="I5" s="213">
        <v>33.24</v>
      </c>
      <c r="J5" s="201">
        <f t="shared" si="0"/>
        <v>0.26431042499580432</v>
      </c>
    </row>
    <row r="6" spans="1:10" x14ac:dyDescent="0.45">
      <c r="A6">
        <v>4</v>
      </c>
      <c r="B6" s="166" t="s">
        <v>97</v>
      </c>
      <c r="C6" s="102">
        <v>529730</v>
      </c>
      <c r="D6" s="210">
        <v>247611</v>
      </c>
      <c r="E6" s="210">
        <v>1066371</v>
      </c>
      <c r="F6" s="210">
        <v>14003065</v>
      </c>
      <c r="G6" s="210">
        <v>9305580</v>
      </c>
      <c r="H6" s="200">
        <v>573.63</v>
      </c>
      <c r="I6" s="212">
        <v>212.67</v>
      </c>
      <c r="J6" s="201">
        <f t="shared" si="0"/>
        <v>4.4234527004740341E-4</v>
      </c>
    </row>
    <row r="7" spans="1:10" x14ac:dyDescent="0.45">
      <c r="A7">
        <v>5</v>
      </c>
      <c r="B7" s="166" t="s">
        <v>53</v>
      </c>
      <c r="C7" s="102">
        <v>2081297</v>
      </c>
      <c r="D7" s="210">
        <v>298750</v>
      </c>
      <c r="E7" s="210">
        <v>5240219</v>
      </c>
      <c r="F7" s="210">
        <v>18053819</v>
      </c>
      <c r="G7" s="210">
        <v>12405613</v>
      </c>
      <c r="H7" s="200">
        <v>504.25</v>
      </c>
      <c r="I7" s="213">
        <v>304.06</v>
      </c>
      <c r="J7" s="201">
        <f t="shared" si="0"/>
        <v>1.7379644035902264E-3</v>
      </c>
    </row>
    <row r="8" spans="1:10" x14ac:dyDescent="0.45">
      <c r="A8">
        <v>6</v>
      </c>
      <c r="B8" s="166" t="s">
        <v>18</v>
      </c>
      <c r="C8" s="102">
        <v>15593151</v>
      </c>
      <c r="D8" s="210">
        <v>10263456</v>
      </c>
      <c r="E8" s="210">
        <v>5425913</v>
      </c>
      <c r="F8" s="210">
        <v>50575189</v>
      </c>
      <c r="G8" s="210">
        <v>30282822</v>
      </c>
      <c r="H8" s="200">
        <v>114.77</v>
      </c>
      <c r="I8" s="213">
        <v>46.2</v>
      </c>
      <c r="J8" s="201">
        <f t="shared" si="0"/>
        <v>1.3020891001047587E-2</v>
      </c>
    </row>
    <row r="9" spans="1:10" x14ac:dyDescent="0.45">
      <c r="A9">
        <v>7</v>
      </c>
      <c r="B9" s="166" t="s">
        <v>19</v>
      </c>
      <c r="C9" s="102">
        <v>7343274</v>
      </c>
      <c r="D9" s="210">
        <v>950250</v>
      </c>
      <c r="E9" s="210">
        <v>3263835</v>
      </c>
      <c r="F9" s="210">
        <v>19607345</v>
      </c>
      <c r="G9" s="210">
        <v>12046032</v>
      </c>
      <c r="H9" s="200">
        <v>289.27999999999997</v>
      </c>
      <c r="I9" s="213">
        <v>99.94</v>
      </c>
      <c r="J9" s="201">
        <f t="shared" si="0"/>
        <v>6.1319210174278901E-3</v>
      </c>
    </row>
    <row r="10" spans="1:10" x14ac:dyDescent="0.45">
      <c r="A10">
        <v>8</v>
      </c>
      <c r="B10" s="166" t="s">
        <v>20</v>
      </c>
      <c r="C10" s="102">
        <v>84216326</v>
      </c>
      <c r="D10" s="210">
        <v>62193823</v>
      </c>
      <c r="E10" s="210">
        <v>20954976</v>
      </c>
      <c r="F10" s="210">
        <v>354705357</v>
      </c>
      <c r="G10" s="210">
        <v>316864196</v>
      </c>
      <c r="H10" s="200">
        <v>215.88</v>
      </c>
      <c r="I10" s="213">
        <v>32.22</v>
      </c>
      <c r="J10" s="201">
        <f t="shared" si="0"/>
        <v>7.0323926277292503E-2</v>
      </c>
    </row>
    <row r="11" spans="1:10" x14ac:dyDescent="0.45">
      <c r="A11">
        <v>9</v>
      </c>
      <c r="B11" s="166" t="s">
        <v>47</v>
      </c>
      <c r="C11" s="102">
        <v>8864363</v>
      </c>
      <c r="D11" s="210">
        <v>1146136</v>
      </c>
      <c r="E11" s="210">
        <v>4467962</v>
      </c>
      <c r="F11" s="210">
        <v>60701468</v>
      </c>
      <c r="G11" s="210">
        <v>42999088</v>
      </c>
      <c r="H11" s="200">
        <v>303.14</v>
      </c>
      <c r="I11" s="212">
        <v>58.22</v>
      </c>
      <c r="J11" s="201">
        <f t="shared" si="0"/>
        <v>7.4020898288433938E-3</v>
      </c>
    </row>
    <row r="12" spans="1:10" x14ac:dyDescent="0.45">
      <c r="A12">
        <v>10</v>
      </c>
      <c r="B12" s="166" t="s">
        <v>64</v>
      </c>
      <c r="C12" s="102">
        <v>4626880</v>
      </c>
      <c r="D12" s="210">
        <v>721124</v>
      </c>
      <c r="E12" s="210">
        <v>5526041</v>
      </c>
      <c r="F12" s="210">
        <v>18708106</v>
      </c>
      <c r="G12" s="210">
        <v>10844278</v>
      </c>
      <c r="H12" s="200">
        <v>1187.33</v>
      </c>
      <c r="I12" s="212">
        <v>252.47</v>
      </c>
      <c r="J12" s="201">
        <f t="shared" si="0"/>
        <v>3.8636257774279912E-3</v>
      </c>
    </row>
    <row r="13" spans="1:10" x14ac:dyDescent="0.45">
      <c r="A13">
        <v>11</v>
      </c>
      <c r="B13" s="166" t="s">
        <v>21</v>
      </c>
      <c r="C13" s="102">
        <v>49243356</v>
      </c>
      <c r="D13" s="210">
        <v>23329450</v>
      </c>
      <c r="E13" s="210">
        <v>11011862</v>
      </c>
      <c r="F13" s="210">
        <v>174984680</v>
      </c>
      <c r="G13" s="210">
        <v>158816878</v>
      </c>
      <c r="H13" s="200">
        <v>137.91999999999999</v>
      </c>
      <c r="I13" s="213">
        <v>48.99</v>
      </c>
      <c r="J13" s="201">
        <f t="shared" si="0"/>
        <v>4.1120128382119994E-2</v>
      </c>
    </row>
    <row r="14" spans="1:10" x14ac:dyDescent="0.45">
      <c r="A14">
        <v>12</v>
      </c>
      <c r="B14" s="166" t="s">
        <v>98</v>
      </c>
      <c r="C14" s="102">
        <v>35102519</v>
      </c>
      <c r="D14" s="210">
        <v>13618180</v>
      </c>
      <c r="E14" s="210">
        <v>16007214</v>
      </c>
      <c r="F14" s="210">
        <v>82586801</v>
      </c>
      <c r="G14" s="210">
        <v>49232514</v>
      </c>
      <c r="H14" s="200">
        <v>145.1</v>
      </c>
      <c r="I14" s="212">
        <v>60.27</v>
      </c>
      <c r="J14" s="201">
        <f t="shared" si="0"/>
        <v>2.9311976377398127E-2</v>
      </c>
    </row>
    <row r="15" spans="1:10" x14ac:dyDescent="0.45">
      <c r="A15">
        <v>13</v>
      </c>
      <c r="B15" s="166" t="s">
        <v>22</v>
      </c>
      <c r="C15" s="102">
        <v>62773085</v>
      </c>
      <c r="D15" s="210">
        <v>65651000</v>
      </c>
      <c r="E15" s="210">
        <v>20184742</v>
      </c>
      <c r="F15" s="210">
        <v>250842870</v>
      </c>
      <c r="G15" s="210">
        <v>226747506</v>
      </c>
      <c r="H15" s="200">
        <v>126.41</v>
      </c>
      <c r="I15" s="213">
        <v>41.45</v>
      </c>
      <c r="J15" s="201">
        <f t="shared" si="0"/>
        <v>5.2417981303746454E-2</v>
      </c>
    </row>
    <row r="16" spans="1:10" x14ac:dyDescent="0.45">
      <c r="A16">
        <v>14</v>
      </c>
      <c r="B16" s="166" t="s">
        <v>23</v>
      </c>
      <c r="C16" s="102">
        <v>13889833</v>
      </c>
      <c r="D16" s="210">
        <v>5645632</v>
      </c>
      <c r="E16" s="210">
        <v>6111452</v>
      </c>
      <c r="F16" s="210">
        <v>41163827</v>
      </c>
      <c r="G16" s="210">
        <v>28615286</v>
      </c>
      <c r="H16" s="200">
        <v>218.45</v>
      </c>
      <c r="I16" s="213">
        <v>53.47</v>
      </c>
      <c r="J16" s="201">
        <f t="shared" si="0"/>
        <v>1.1598553846862241E-2</v>
      </c>
    </row>
    <row r="17" spans="1:14" x14ac:dyDescent="0.45">
      <c r="A17">
        <v>15</v>
      </c>
      <c r="B17" s="166" t="s">
        <v>24</v>
      </c>
      <c r="C17" s="102">
        <v>82090513</v>
      </c>
      <c r="D17" s="210">
        <v>19245615</v>
      </c>
      <c r="E17" s="210">
        <v>30634491</v>
      </c>
      <c r="F17" s="210">
        <v>144708614</v>
      </c>
      <c r="G17" s="210">
        <v>118636851</v>
      </c>
      <c r="H17" s="200">
        <v>148.05000000000001</v>
      </c>
      <c r="I17" s="213">
        <v>63.16</v>
      </c>
      <c r="J17" s="201">
        <f t="shared" si="0"/>
        <v>6.8548789272487642E-2</v>
      </c>
    </row>
    <row r="18" spans="1:14" x14ac:dyDescent="0.45">
      <c r="A18">
        <v>16</v>
      </c>
      <c r="B18" s="166" t="s">
        <v>25</v>
      </c>
      <c r="C18" s="102">
        <v>12485035</v>
      </c>
      <c r="D18" s="210">
        <v>8371905</v>
      </c>
      <c r="E18" s="210">
        <v>4575376</v>
      </c>
      <c r="F18" s="210">
        <v>60355669</v>
      </c>
      <c r="G18" s="210">
        <v>53831365</v>
      </c>
      <c r="H18" s="200">
        <v>132.12</v>
      </c>
      <c r="I18" s="213">
        <v>41.04</v>
      </c>
      <c r="J18" s="201">
        <f t="shared" si="0"/>
        <v>1.0425492569094225E-2</v>
      </c>
    </row>
    <row r="19" spans="1:14" x14ac:dyDescent="0.45">
      <c r="A19">
        <v>17</v>
      </c>
      <c r="B19" s="166" t="s">
        <v>26</v>
      </c>
      <c r="C19" s="102">
        <v>13845081</v>
      </c>
      <c r="D19" s="210">
        <v>3192176</v>
      </c>
      <c r="E19" s="210">
        <v>4370820</v>
      </c>
      <c r="F19" s="210">
        <v>22696015</v>
      </c>
      <c r="G19" s="210">
        <v>19946246</v>
      </c>
      <c r="H19" s="200">
        <v>431.71</v>
      </c>
      <c r="I19" s="213">
        <v>74.599999999999994</v>
      </c>
      <c r="J19" s="201">
        <f t="shared" si="0"/>
        <v>1.1561184176416616E-2</v>
      </c>
      <c r="N19" t="s">
        <v>95</v>
      </c>
    </row>
    <row r="20" spans="1:14" x14ac:dyDescent="0.45">
      <c r="A20">
        <v>18</v>
      </c>
      <c r="B20" s="166" t="s">
        <v>27</v>
      </c>
      <c r="C20" s="102">
        <v>257573432</v>
      </c>
      <c r="D20" s="210">
        <v>181707672</v>
      </c>
      <c r="E20" s="210">
        <v>47962344</v>
      </c>
      <c r="F20" s="210">
        <v>706555241</v>
      </c>
      <c r="G20" s="210">
        <v>609147445</v>
      </c>
      <c r="H20" s="200">
        <v>114.19</v>
      </c>
      <c r="I20" s="213">
        <v>24.39</v>
      </c>
      <c r="J20" s="201">
        <f t="shared" si="0"/>
        <v>0.21508389053872068</v>
      </c>
    </row>
    <row r="21" spans="1:14" x14ac:dyDescent="0.45">
      <c r="A21">
        <v>19</v>
      </c>
      <c r="B21" s="166" t="s">
        <v>28</v>
      </c>
      <c r="C21" s="102">
        <v>191773516</v>
      </c>
      <c r="D21" s="210">
        <v>74504360</v>
      </c>
      <c r="E21" s="210">
        <v>33140429</v>
      </c>
      <c r="F21" s="210">
        <v>624400449</v>
      </c>
      <c r="G21" s="210">
        <v>554711845</v>
      </c>
      <c r="H21" s="200">
        <v>122.41</v>
      </c>
      <c r="I21" s="213">
        <v>30.08</v>
      </c>
      <c r="J21" s="201">
        <f t="shared" si="0"/>
        <v>0.16013838695743121</v>
      </c>
    </row>
    <row r="22" spans="1:14" x14ac:dyDescent="0.45">
      <c r="A22">
        <v>20</v>
      </c>
      <c r="B22" s="166" t="s">
        <v>31</v>
      </c>
      <c r="C22" s="102">
        <v>14117338</v>
      </c>
      <c r="D22" s="210">
        <v>6255494</v>
      </c>
      <c r="E22" s="210">
        <v>5063744</v>
      </c>
      <c r="F22" s="210">
        <v>26427871</v>
      </c>
      <c r="G22" s="210">
        <v>20522226</v>
      </c>
      <c r="H22" s="200">
        <v>265.06</v>
      </c>
      <c r="I22" s="212">
        <v>58.11</v>
      </c>
      <c r="J22" s="201">
        <f t="shared" si="0"/>
        <v>1.1788529420573632E-2</v>
      </c>
    </row>
    <row r="23" spans="1:14" x14ac:dyDescent="0.45">
      <c r="B23" s="166" t="s">
        <v>92</v>
      </c>
      <c r="C23" s="209">
        <f>SUM(C3:C22)</f>
        <v>1197548693</v>
      </c>
      <c r="D23" s="209">
        <f>SUM(D3:D22)</f>
        <v>630815793</v>
      </c>
      <c r="E23" s="209">
        <f>SUM(E3:E22)</f>
        <v>296002284</v>
      </c>
      <c r="F23" s="209">
        <f>SUM(F3:F22)</f>
        <v>3560196286</v>
      </c>
      <c r="G23" s="209">
        <f>SUM(G3:G22)</f>
        <v>3014489114</v>
      </c>
      <c r="H23" s="115"/>
      <c r="I23" s="115"/>
      <c r="J23" s="115"/>
    </row>
  </sheetData>
  <pageMargins left="0.7" right="0.7" top="0.75" bottom="0.75" header="0.3" footer="0.3"/>
  <pageSetup paperSize="9" orientation="portrait" r:id="rId1"/>
  <customProperties>
    <customPr name="LastActive" r:id="rId2"/>
  </customPropertie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tabColor rgb="FF7030A0"/>
  </sheetPr>
  <dimension ref="A1:M26"/>
  <sheetViews>
    <sheetView topLeftCell="C8" workbookViewId="0">
      <selection activeCell="B6" sqref="B6:J25"/>
    </sheetView>
  </sheetViews>
  <sheetFormatPr defaultRowHeight="14.25" x14ac:dyDescent="0.45"/>
  <cols>
    <col min="1" max="1" width="41.265625" customWidth="1"/>
    <col min="2" max="2" width="19.73046875" bestFit="1" customWidth="1"/>
    <col min="3" max="4" width="17.3984375" bestFit="1" customWidth="1"/>
    <col min="5" max="5" width="19.73046875" bestFit="1" customWidth="1"/>
    <col min="6" max="6" width="17.3984375" bestFit="1" customWidth="1"/>
    <col min="7" max="7" width="19.73046875" bestFit="1" customWidth="1"/>
    <col min="8" max="8" width="14.3984375" bestFit="1" customWidth="1"/>
    <col min="9" max="9" width="17.3984375" bestFit="1" customWidth="1"/>
    <col min="10" max="10" width="13.265625" customWidth="1"/>
    <col min="11" max="11" width="13.73046875" customWidth="1"/>
    <col min="12" max="12" width="8.73046875" customWidth="1"/>
    <col min="13" max="13" width="12.73046875" style="163" bestFit="1" customWidth="1"/>
  </cols>
  <sheetData>
    <row r="1" spans="1:13" ht="22.9" x14ac:dyDescent="1.2">
      <c r="A1" s="390" t="s">
        <v>99</v>
      </c>
      <c r="B1" s="390"/>
      <c r="C1" s="390"/>
      <c r="D1" s="390"/>
      <c r="E1" s="390"/>
      <c r="F1" s="390"/>
      <c r="G1" s="390"/>
      <c r="H1" s="390"/>
      <c r="I1" s="390"/>
      <c r="J1" s="390"/>
      <c r="K1" s="390"/>
      <c r="L1" s="390"/>
      <c r="M1" s="390"/>
    </row>
    <row r="2" spans="1:13" ht="21.75" x14ac:dyDescent="0.45">
      <c r="A2" s="214" t="s">
        <v>60</v>
      </c>
      <c r="B2" s="215" t="s">
        <v>13</v>
      </c>
      <c r="C2" s="215" t="s">
        <v>79</v>
      </c>
      <c r="D2" s="215" t="s">
        <v>56</v>
      </c>
      <c r="E2" s="215" t="s">
        <v>100</v>
      </c>
      <c r="F2" s="215" t="s">
        <v>101</v>
      </c>
      <c r="G2" s="215" t="s">
        <v>74</v>
      </c>
      <c r="H2" s="216" t="s">
        <v>10</v>
      </c>
      <c r="I2" s="215" t="s">
        <v>102</v>
      </c>
      <c r="J2" s="215" t="s">
        <v>103</v>
      </c>
      <c r="K2" s="215" t="s">
        <v>78</v>
      </c>
      <c r="L2" s="215" t="s">
        <v>11</v>
      </c>
      <c r="M2" s="226" t="s">
        <v>12</v>
      </c>
    </row>
    <row r="3" spans="1:13" x14ac:dyDescent="0.45">
      <c r="A3" s="220" t="s">
        <v>64</v>
      </c>
      <c r="B3" s="221">
        <f t="shared" ref="B3:M3" si="0">INDEX(B6:B25,MATCH($A$3,$A$6:$A$25,0))</f>
        <v>33115419</v>
      </c>
      <c r="C3" s="221">
        <f t="shared" si="0"/>
        <v>15387872</v>
      </c>
      <c r="D3" s="221">
        <f t="shared" si="0"/>
        <v>6850700.8499999996</v>
      </c>
      <c r="E3" s="221">
        <f t="shared" si="0"/>
        <v>4840330</v>
      </c>
      <c r="F3" s="221">
        <f t="shared" si="0"/>
        <v>1365216</v>
      </c>
      <c r="G3" s="221">
        <f t="shared" si="0"/>
        <v>1365216</v>
      </c>
      <c r="H3" s="221">
        <f t="shared" si="0"/>
        <v>9881631</v>
      </c>
      <c r="I3" s="221">
        <f t="shared" si="0"/>
        <v>1545615</v>
      </c>
      <c r="J3" s="228">
        <f t="shared" si="0"/>
        <v>0</v>
      </c>
      <c r="K3" s="222">
        <f t="shared" si="0"/>
        <v>22.989066206762939</v>
      </c>
      <c r="L3" s="222">
        <f t="shared" si="0"/>
        <v>2.3607999999999998</v>
      </c>
      <c r="M3" s="222">
        <f t="shared" si="0"/>
        <v>5.2931488374251779E-3</v>
      </c>
    </row>
    <row r="4" spans="1:13" x14ac:dyDescent="0.45">
      <c r="A4" s="111" t="s">
        <v>104</v>
      </c>
      <c r="E4" s="163"/>
      <c r="F4" s="223"/>
    </row>
    <row r="5" spans="1:13" ht="28.5" x14ac:dyDescent="0.45">
      <c r="A5" s="205" t="s">
        <v>60</v>
      </c>
      <c r="B5" s="15" t="s">
        <v>13</v>
      </c>
      <c r="C5" s="15" t="s">
        <v>79</v>
      </c>
      <c r="D5" s="15" t="s">
        <v>56</v>
      </c>
      <c r="E5" s="15" t="s">
        <v>100</v>
      </c>
      <c r="F5" s="15" t="s">
        <v>101</v>
      </c>
      <c r="G5" s="15" t="s">
        <v>74</v>
      </c>
      <c r="H5" s="15" t="s">
        <v>10</v>
      </c>
      <c r="I5" s="15" t="s">
        <v>102</v>
      </c>
      <c r="J5" s="15" t="s">
        <v>103</v>
      </c>
      <c r="K5" s="15" t="s">
        <v>78</v>
      </c>
      <c r="L5" s="174" t="s">
        <v>11</v>
      </c>
      <c r="M5" s="233" t="s">
        <v>12</v>
      </c>
    </row>
    <row r="6" spans="1:13" ht="15.75" x14ac:dyDescent="0.5">
      <c r="A6" s="237" t="s">
        <v>80</v>
      </c>
      <c r="B6" s="234">
        <v>32919417</v>
      </c>
      <c r="C6" s="227">
        <v>18025867</v>
      </c>
      <c r="D6" s="227">
        <v>18557383.000000004</v>
      </c>
      <c r="E6" s="227">
        <v>17734783</v>
      </c>
      <c r="F6" s="227">
        <v>2368667</v>
      </c>
      <c r="G6" s="227">
        <v>2368667</v>
      </c>
      <c r="H6" s="227">
        <v>12865337</v>
      </c>
      <c r="I6" s="227">
        <v>5046938</v>
      </c>
      <c r="J6" s="227">
        <v>110153</v>
      </c>
      <c r="K6" s="219">
        <v>3.4987611130997589</v>
      </c>
      <c r="L6" s="218">
        <v>1.0547</v>
      </c>
      <c r="M6" s="218">
        <v>1.4338239605383409E-2</v>
      </c>
    </row>
    <row r="7" spans="1:13" ht="15.75" x14ac:dyDescent="0.5">
      <c r="A7" s="237" t="s">
        <v>16</v>
      </c>
      <c r="B7" s="234">
        <v>105569734</v>
      </c>
      <c r="C7" s="227">
        <v>95805478</v>
      </c>
      <c r="D7" s="227">
        <v>16155332</v>
      </c>
      <c r="E7" s="227">
        <v>-81644</v>
      </c>
      <c r="F7" s="227">
        <v>6846425</v>
      </c>
      <c r="G7" s="227">
        <v>6846425</v>
      </c>
      <c r="H7" s="227">
        <v>8828012</v>
      </c>
      <c r="I7" s="227">
        <v>1495082</v>
      </c>
      <c r="J7" s="227">
        <v>24271</v>
      </c>
      <c r="K7" s="219">
        <v>1.8088737446956158</v>
      </c>
      <c r="L7" s="218">
        <v>0.64219999999999999</v>
      </c>
      <c r="M7" s="218">
        <v>1.2482310739640278E-2</v>
      </c>
    </row>
    <row r="8" spans="1:13" ht="15.75" x14ac:dyDescent="0.5">
      <c r="A8" s="237" t="s">
        <v>17</v>
      </c>
      <c r="B8" s="234">
        <v>837415961.52999997</v>
      </c>
      <c r="C8" s="227">
        <v>689884331.1336</v>
      </c>
      <c r="D8" s="227">
        <v>436673957.44505835</v>
      </c>
      <c r="E8" s="227">
        <v>187188934</v>
      </c>
      <c r="F8" s="227">
        <v>195415088</v>
      </c>
      <c r="G8" s="227">
        <v>196625659</v>
      </c>
      <c r="H8" s="227">
        <v>69529964.382200003</v>
      </c>
      <c r="I8" s="227">
        <v>67739520</v>
      </c>
      <c r="J8" s="227"/>
      <c r="K8" s="218">
        <v>1.4246683375685494</v>
      </c>
      <c r="L8" s="218">
        <v>0.32257550226101439</v>
      </c>
      <c r="M8" s="218">
        <v>0.33739325374047857</v>
      </c>
    </row>
    <row r="9" spans="1:13" ht="15.75" x14ac:dyDescent="0.5">
      <c r="A9" s="237" t="s">
        <v>97</v>
      </c>
      <c r="B9" s="234">
        <v>13645694</v>
      </c>
      <c r="C9" s="227">
        <v>8859737</v>
      </c>
      <c r="D9" s="227">
        <v>663491</v>
      </c>
      <c r="E9" s="227">
        <v>663491</v>
      </c>
      <c r="F9" s="227">
        <v>331023</v>
      </c>
      <c r="G9" s="227">
        <v>331023</v>
      </c>
      <c r="H9" s="227">
        <v>1058132</v>
      </c>
      <c r="I9" s="227">
        <v>69129</v>
      </c>
      <c r="J9" s="227"/>
      <c r="K9" s="219">
        <v>5.5034163744833542</v>
      </c>
      <c r="L9" s="218">
        <v>1.6990000000000001</v>
      </c>
      <c r="M9" s="218">
        <v>5.126419460122929E-4</v>
      </c>
    </row>
    <row r="10" spans="1:13" ht="15.75" x14ac:dyDescent="0.5">
      <c r="A10" s="237" t="s">
        <v>53</v>
      </c>
      <c r="B10" s="234">
        <v>17930933</v>
      </c>
      <c r="C10" s="227">
        <v>12242741</v>
      </c>
      <c r="D10" s="227">
        <v>3118829.86</v>
      </c>
      <c r="E10" s="227">
        <v>2713474</v>
      </c>
      <c r="F10" s="227">
        <v>298750</v>
      </c>
      <c r="G10" s="227">
        <v>298750</v>
      </c>
      <c r="H10" s="227">
        <v>7513006</v>
      </c>
      <c r="I10" s="227">
        <v>468454</v>
      </c>
      <c r="J10" s="227"/>
      <c r="K10" s="219">
        <v>4.4108645153412214</v>
      </c>
      <c r="L10" s="218">
        <v>3.0482</v>
      </c>
      <c r="M10" s="218">
        <v>2.4097433253980035E-3</v>
      </c>
    </row>
    <row r="11" spans="1:13" ht="15.75" x14ac:dyDescent="0.5">
      <c r="A11" s="237" t="s">
        <v>18</v>
      </c>
      <c r="B11" s="234">
        <v>52323370</v>
      </c>
      <c r="C11" s="227">
        <v>29787053</v>
      </c>
      <c r="D11" s="227">
        <v>21597603</v>
      </c>
      <c r="E11" s="227">
        <v>21470453</v>
      </c>
      <c r="F11" s="227">
        <v>15291839</v>
      </c>
      <c r="G11" s="227">
        <v>15291839</v>
      </c>
      <c r="H11" s="227">
        <v>7900660</v>
      </c>
      <c r="I11" s="227">
        <v>2600667</v>
      </c>
      <c r="J11" s="227"/>
      <c r="K11" s="219">
        <v>1.047646776503264</v>
      </c>
      <c r="L11" s="218">
        <v>0.48909999999999998</v>
      </c>
      <c r="M11" s="218">
        <v>1.6687245540815073E-2</v>
      </c>
    </row>
    <row r="12" spans="1:13" ht="15.75" x14ac:dyDescent="0.5">
      <c r="A12" s="237" t="s">
        <v>19</v>
      </c>
      <c r="B12" s="234">
        <v>18977933</v>
      </c>
      <c r="C12" s="227">
        <v>10743258</v>
      </c>
      <c r="D12" s="227">
        <v>10607889</v>
      </c>
      <c r="E12" s="227">
        <v>8394013</v>
      </c>
      <c r="F12" s="227">
        <v>1969940</v>
      </c>
      <c r="G12" s="227">
        <v>1969940</v>
      </c>
      <c r="H12" s="227">
        <v>4731997</v>
      </c>
      <c r="I12" s="227">
        <v>1412744</v>
      </c>
      <c r="J12" s="227"/>
      <c r="K12" s="219">
        <v>4.3560179663280767</v>
      </c>
      <c r="L12" s="218">
        <v>1.0148999999999999</v>
      </c>
      <c r="M12" s="218">
        <v>8.1961154861820203E-3</v>
      </c>
    </row>
    <row r="13" spans="1:13" ht="15.75" x14ac:dyDescent="0.5">
      <c r="A13" s="237" t="s">
        <v>20</v>
      </c>
      <c r="B13" s="234">
        <v>391220429</v>
      </c>
      <c r="C13" s="227">
        <v>343333384</v>
      </c>
      <c r="D13" s="227">
        <v>120982254.64</v>
      </c>
      <c r="E13" s="227">
        <v>119690357</v>
      </c>
      <c r="F13" s="227">
        <v>81122729</v>
      </c>
      <c r="G13" s="227">
        <v>81122729</v>
      </c>
      <c r="H13" s="227">
        <v>28910630</v>
      </c>
      <c r="I13" s="227">
        <v>8561152</v>
      </c>
      <c r="J13" s="227"/>
      <c r="K13" s="219">
        <v>2.2589224744443324</v>
      </c>
      <c r="L13" s="218">
        <v>0.31309999999999999</v>
      </c>
      <c r="M13" s="218">
        <v>9.3476141276376545E-2</v>
      </c>
    </row>
    <row r="14" spans="1:13" ht="15.75" x14ac:dyDescent="0.5">
      <c r="A14" s="237" t="s">
        <v>47</v>
      </c>
      <c r="B14" s="234">
        <v>61798653.509999998</v>
      </c>
      <c r="C14" s="227">
        <v>43134222.32</v>
      </c>
      <c r="D14" s="227">
        <v>9715567.2300000004</v>
      </c>
      <c r="E14" s="227">
        <v>9689563.1900000013</v>
      </c>
      <c r="F14" s="227">
        <v>1227336</v>
      </c>
      <c r="G14" s="227">
        <v>1227335.8</v>
      </c>
      <c r="H14" s="227">
        <v>773925.86</v>
      </c>
      <c r="I14" s="227">
        <v>773925.86</v>
      </c>
      <c r="J14" s="227">
        <v>7460.16</v>
      </c>
      <c r="K14" s="218">
        <v>2.8074254638393228</v>
      </c>
      <c r="L14" s="218">
        <v>0.66727646161312659</v>
      </c>
      <c r="M14" s="218">
        <v>7.5066689546662456E-3</v>
      </c>
    </row>
    <row r="15" spans="1:13" ht="15.75" x14ac:dyDescent="0.5">
      <c r="A15" s="237" t="s">
        <v>64</v>
      </c>
      <c r="B15" s="234">
        <v>33115419</v>
      </c>
      <c r="C15" s="227">
        <v>15387872</v>
      </c>
      <c r="D15" s="227">
        <v>6850700.8499999996</v>
      </c>
      <c r="E15" s="227">
        <v>4840330</v>
      </c>
      <c r="F15" s="227">
        <v>1365216</v>
      </c>
      <c r="G15" s="227">
        <v>1365216</v>
      </c>
      <c r="H15" s="227">
        <v>9881631</v>
      </c>
      <c r="I15" s="227">
        <v>1545615</v>
      </c>
      <c r="J15" s="227"/>
      <c r="K15" s="219">
        <v>22.989066206762939</v>
      </c>
      <c r="L15" s="218">
        <v>2.3607999999999998</v>
      </c>
      <c r="M15" s="218">
        <v>5.2931488374251779E-3</v>
      </c>
    </row>
    <row r="16" spans="1:13" ht="15.75" x14ac:dyDescent="0.5">
      <c r="A16" s="237" t="s">
        <v>21</v>
      </c>
      <c r="B16" s="234">
        <v>182143685</v>
      </c>
      <c r="C16" s="227">
        <v>162969827</v>
      </c>
      <c r="D16" s="227">
        <v>68756642</v>
      </c>
      <c r="E16" s="227">
        <v>32667739</v>
      </c>
      <c r="F16" s="227">
        <v>34037036</v>
      </c>
      <c r="G16" s="227">
        <v>33733434</v>
      </c>
      <c r="H16" s="227">
        <v>14513283</v>
      </c>
      <c r="I16" s="227">
        <v>24337165</v>
      </c>
      <c r="J16" s="227"/>
      <c r="K16" s="219">
        <v>1.463721564450881</v>
      </c>
      <c r="L16" s="218">
        <v>0.58650000000000002</v>
      </c>
      <c r="M16" s="218">
        <v>5.3124366051914111E-2</v>
      </c>
    </row>
    <row r="17" spans="1:13" ht="15.75" x14ac:dyDescent="0.5">
      <c r="A17" s="237" t="s">
        <v>98</v>
      </c>
      <c r="B17" s="234">
        <v>85728801</v>
      </c>
      <c r="C17" s="227">
        <v>51784739</v>
      </c>
      <c r="D17" s="227">
        <v>48504135.599999994</v>
      </c>
      <c r="E17" s="227">
        <v>35570665</v>
      </c>
      <c r="F17" s="227">
        <v>18339530</v>
      </c>
      <c r="G17" s="227">
        <v>18143364</v>
      </c>
      <c r="H17" s="227">
        <v>21900704</v>
      </c>
      <c r="I17" s="227">
        <v>6530037</v>
      </c>
      <c r="J17" s="227">
        <v>335888.41</v>
      </c>
      <c r="K17" s="219">
        <v>1.4496719230742292</v>
      </c>
      <c r="L17" s="218">
        <v>0.60740000000000005</v>
      </c>
      <c r="M17" s="218">
        <v>3.7476400529363817E-2</v>
      </c>
    </row>
    <row r="18" spans="1:13" ht="15.75" x14ac:dyDescent="0.5">
      <c r="A18" s="237" t="s">
        <v>22</v>
      </c>
      <c r="B18" s="234">
        <v>259926315.25</v>
      </c>
      <c r="C18" s="227">
        <v>229526729.62300304</v>
      </c>
      <c r="D18" s="227">
        <v>81022660.839999989</v>
      </c>
      <c r="E18" s="227">
        <v>15528273.129999997</v>
      </c>
      <c r="F18" s="227">
        <v>45318045.569999993</v>
      </c>
      <c r="G18" s="227">
        <v>45318045.569999993</v>
      </c>
      <c r="H18" s="227">
        <v>25965646</v>
      </c>
      <c r="I18" s="227">
        <v>6179527.1099999985</v>
      </c>
      <c r="J18" s="227">
        <v>61041</v>
      </c>
      <c r="K18" s="218">
        <v>1.25796464107643</v>
      </c>
      <c r="L18" s="218">
        <v>0.40468390121423853</v>
      </c>
      <c r="M18" s="218">
        <v>6.2601624625068894E-2</v>
      </c>
    </row>
    <row r="19" spans="1:13" ht="15.75" x14ac:dyDescent="0.5">
      <c r="A19" s="237" t="s">
        <v>23</v>
      </c>
      <c r="B19" s="234">
        <v>43638556</v>
      </c>
      <c r="C19" s="227">
        <v>29581864</v>
      </c>
      <c r="D19" s="227">
        <v>19599712</v>
      </c>
      <c r="E19" s="227">
        <v>1652692</v>
      </c>
      <c r="F19" s="227">
        <v>9405064</v>
      </c>
      <c r="G19" s="227">
        <v>9206090</v>
      </c>
      <c r="H19" s="227">
        <v>8000238</v>
      </c>
      <c r="I19" s="227">
        <v>1644337</v>
      </c>
      <c r="J19" s="227"/>
      <c r="K19" s="219">
        <v>2.0168169617727107</v>
      </c>
      <c r="L19" s="218">
        <v>0.50039999999999996</v>
      </c>
      <c r="M19" s="218">
        <v>1.5143588233993361E-2</v>
      </c>
    </row>
    <row r="20" spans="1:13" ht="15.75" x14ac:dyDescent="0.5">
      <c r="A20" s="237" t="s">
        <v>24</v>
      </c>
      <c r="B20" s="234">
        <v>161423825</v>
      </c>
      <c r="C20" s="227">
        <v>130594235</v>
      </c>
      <c r="D20" s="227">
        <v>115395681.40999998</v>
      </c>
      <c r="E20" s="227">
        <v>114093884</v>
      </c>
      <c r="F20" s="227">
        <v>25784760</v>
      </c>
      <c r="G20" s="227">
        <v>25784760</v>
      </c>
      <c r="H20" s="227">
        <v>41038004</v>
      </c>
      <c r="I20" s="227">
        <v>29270145</v>
      </c>
      <c r="J20" s="227"/>
      <c r="K20" s="219">
        <v>1.4970236852546084</v>
      </c>
      <c r="L20" s="218">
        <v>0.61619999999999997</v>
      </c>
      <c r="M20" s="218">
        <v>8.9159712308738107E-2</v>
      </c>
    </row>
    <row r="21" spans="1:13" ht="15.75" x14ac:dyDescent="0.5">
      <c r="A21" s="237" t="s">
        <v>25</v>
      </c>
      <c r="B21" s="234">
        <v>59619815</v>
      </c>
      <c r="C21" s="227">
        <v>52844418</v>
      </c>
      <c r="D21" s="227">
        <v>17936279</v>
      </c>
      <c r="E21" s="227">
        <v>6577857</v>
      </c>
      <c r="F21" s="227">
        <v>11216373</v>
      </c>
      <c r="G21" s="227">
        <v>11216373</v>
      </c>
      <c r="H21" s="227">
        <v>6718861</v>
      </c>
      <c r="I21" s="227">
        <v>722995</v>
      </c>
      <c r="J21" s="227"/>
      <c r="K21" s="219">
        <v>1.2251708890790582</v>
      </c>
      <c r="L21" s="218">
        <v>0.42009999999999997</v>
      </c>
      <c r="M21" s="218">
        <v>1.3858347695416249E-2</v>
      </c>
    </row>
    <row r="22" spans="1:13" ht="15.75" x14ac:dyDescent="0.5">
      <c r="A22" s="237" t="s">
        <v>26</v>
      </c>
      <c r="B22" s="234">
        <v>23574660</v>
      </c>
      <c r="C22" s="227">
        <v>19784736</v>
      </c>
      <c r="D22" s="227">
        <v>19849550</v>
      </c>
      <c r="E22" s="227">
        <v>12806603</v>
      </c>
      <c r="F22" s="227">
        <v>4978604</v>
      </c>
      <c r="G22" s="227">
        <v>4978604</v>
      </c>
      <c r="H22" s="227">
        <v>6061518</v>
      </c>
      <c r="I22" s="227">
        <v>3727177</v>
      </c>
      <c r="J22" s="227"/>
      <c r="K22" s="219">
        <v>4.3937540373797068</v>
      </c>
      <c r="L22" s="218">
        <v>0.76429999999999998</v>
      </c>
      <c r="M22" s="218">
        <v>1.5336623917232197E-2</v>
      </c>
    </row>
    <row r="23" spans="1:13" ht="15.75" x14ac:dyDescent="0.5">
      <c r="A23" s="237" t="s">
        <v>27</v>
      </c>
      <c r="B23" s="234">
        <v>716940455.46000004</v>
      </c>
      <c r="C23" s="227">
        <v>622787372.36147702</v>
      </c>
      <c r="D23" s="227">
        <v>354582824.22000003</v>
      </c>
      <c r="E23" s="227">
        <v>353973287.16000003</v>
      </c>
      <c r="F23" s="227">
        <v>245049273.68999997</v>
      </c>
      <c r="G23" s="227">
        <v>244732596.87999997</v>
      </c>
      <c r="H23" s="227">
        <v>68806707.159999996</v>
      </c>
      <c r="I23" s="227">
        <v>20260308.190000001</v>
      </c>
      <c r="J23" s="227">
        <v>171142.18</v>
      </c>
      <c r="K23" s="219"/>
      <c r="L23" s="218"/>
      <c r="M23" s="218"/>
    </row>
    <row r="24" spans="1:13" ht="15.75" x14ac:dyDescent="0.5">
      <c r="A24" s="237" t="s">
        <v>28</v>
      </c>
      <c r="B24" s="234">
        <v>692442150</v>
      </c>
      <c r="C24" s="227">
        <v>605835193</v>
      </c>
      <c r="D24" s="227">
        <v>260811891</v>
      </c>
      <c r="E24" s="227">
        <v>257367833</v>
      </c>
      <c r="F24" s="227">
        <v>99470744</v>
      </c>
      <c r="G24" s="227">
        <v>99470744</v>
      </c>
      <c r="H24" s="227">
        <v>46302771</v>
      </c>
      <c r="I24" s="227">
        <v>32539416</v>
      </c>
      <c r="J24" s="227">
        <v>940614</v>
      </c>
      <c r="K24" s="219">
        <v>1.289566871307406</v>
      </c>
      <c r="L24" s="218">
        <v>0.30630000000000002</v>
      </c>
      <c r="M24" s="218">
        <v>0.20151458775685882</v>
      </c>
    </row>
    <row r="25" spans="1:13" x14ac:dyDescent="0.45">
      <c r="A25" s="237" t="s">
        <v>31</v>
      </c>
      <c r="B25" s="227">
        <v>31438595</v>
      </c>
      <c r="C25" s="227">
        <v>20645670</v>
      </c>
      <c r="D25" s="227">
        <v>17458557.630000003</v>
      </c>
      <c r="E25" s="227">
        <v>15066304</v>
      </c>
      <c r="F25" s="227">
        <v>9269777</v>
      </c>
      <c r="G25" s="227">
        <v>8231879</v>
      </c>
      <c r="H25" s="227">
        <v>7388043</v>
      </c>
      <c r="I25" s="227">
        <v>2354395</v>
      </c>
      <c r="J25" s="227">
        <v>707515</v>
      </c>
      <c r="K25" s="219">
        <v>2.9622250331522251</v>
      </c>
      <c r="L25" s="218">
        <v>0.64659999999999995</v>
      </c>
      <c r="M25" s="218">
        <v>1.3489239429036664E-2</v>
      </c>
    </row>
    <row r="26" spans="1:13" ht="20.25" x14ac:dyDescent="0.7">
      <c r="A26" s="224" t="s">
        <v>92</v>
      </c>
      <c r="B26" s="235">
        <f>SUM(B6:B25)</f>
        <v>3821794401.75</v>
      </c>
      <c r="C26" s="235">
        <f t="shared" ref="C26:J26" si="1">SUM(C6:C25)</f>
        <v>3193558727.4380798</v>
      </c>
      <c r="D26" s="235">
        <f t="shared" si="1"/>
        <v>1648840941.7250586</v>
      </c>
      <c r="E26" s="235">
        <f t="shared" si="1"/>
        <v>1217608891.48</v>
      </c>
      <c r="F26" s="235">
        <f t="shared" si="1"/>
        <v>809106220.25999999</v>
      </c>
      <c r="G26" s="235">
        <f t="shared" si="1"/>
        <v>808263474.25</v>
      </c>
      <c r="H26" s="235">
        <f t="shared" si="1"/>
        <v>398689070.40219998</v>
      </c>
      <c r="I26" s="235">
        <f t="shared" si="1"/>
        <v>217278729.16</v>
      </c>
      <c r="J26" s="235">
        <f t="shared" si="1"/>
        <v>2358084.75</v>
      </c>
      <c r="K26" s="225"/>
      <c r="L26" s="225"/>
    </row>
  </sheetData>
  <mergeCells count="1">
    <mergeCell ref="A1:M1"/>
  </mergeCells>
  <dataValidations count="1">
    <dataValidation type="list" allowBlank="1" showInputMessage="1" showErrorMessage="1" sqref="A3" xr:uid="{00000000-0002-0000-1E00-000000000000}">
      <formula1>$A$6:$A$25</formula1>
    </dataValidation>
  </dataValidations>
  <pageMargins left="0.7" right="0.7" top="0.75" bottom="0.75" header="0.3" footer="0.3"/>
  <pageSetup paperSize="9" orientation="portrait" r:id="rId1"/>
  <customProperties>
    <customPr name="LastActive" r:id="rId2"/>
  </customProperties>
  <legacyDrawing r:id="rId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tabColor rgb="FF7030A0"/>
  </sheetPr>
  <dimension ref="A1:M27"/>
  <sheetViews>
    <sheetView workbookViewId="0">
      <selection sqref="A1:M1"/>
    </sheetView>
  </sheetViews>
  <sheetFormatPr defaultRowHeight="14.25" x14ac:dyDescent="0.45"/>
  <cols>
    <col min="1" max="1" width="42.3984375" bestFit="1" customWidth="1"/>
    <col min="2" max="3" width="14.265625" bestFit="1" customWidth="1"/>
    <col min="4" max="6" width="12.3984375" bestFit="1" customWidth="1"/>
    <col min="7" max="7" width="18.73046875" customWidth="1"/>
    <col min="8" max="8" width="12.3984375" bestFit="1" customWidth="1"/>
    <col min="9" max="9" width="11.3984375" bestFit="1" customWidth="1"/>
    <col min="10" max="10" width="12" customWidth="1"/>
    <col min="11" max="11" width="16.3984375" customWidth="1"/>
    <col min="12" max="12" width="8.3984375" bestFit="1" customWidth="1"/>
    <col min="13" max="13" width="12.73046875" bestFit="1" customWidth="1"/>
  </cols>
  <sheetData>
    <row r="1" spans="1:13" ht="22.9" x14ac:dyDescent="1.2">
      <c r="A1" s="390" t="s">
        <v>99</v>
      </c>
      <c r="B1" s="390"/>
      <c r="C1" s="390"/>
      <c r="D1" s="390"/>
      <c r="E1" s="390"/>
      <c r="F1" s="390"/>
      <c r="G1" s="390"/>
      <c r="H1" s="390"/>
      <c r="I1" s="390"/>
      <c r="J1" s="390"/>
      <c r="K1" s="390"/>
      <c r="L1" s="390"/>
      <c r="M1" s="390"/>
    </row>
    <row r="2" spans="1:13" ht="21.75" x14ac:dyDescent="0.45">
      <c r="A2" s="214" t="s">
        <v>60</v>
      </c>
      <c r="B2" s="215" t="s">
        <v>13</v>
      </c>
      <c r="C2" s="215" t="s">
        <v>79</v>
      </c>
      <c r="D2" s="215" t="s">
        <v>56</v>
      </c>
      <c r="E2" s="215" t="s">
        <v>100</v>
      </c>
      <c r="F2" s="215" t="s">
        <v>101</v>
      </c>
      <c r="G2" s="215" t="s">
        <v>74</v>
      </c>
      <c r="H2" s="230" t="s">
        <v>10</v>
      </c>
      <c r="I2" s="215" t="s">
        <v>102</v>
      </c>
      <c r="J2" s="215" t="s">
        <v>103</v>
      </c>
      <c r="K2" s="215" t="s">
        <v>78</v>
      </c>
      <c r="L2" s="215" t="s">
        <v>11</v>
      </c>
      <c r="M2" s="231" t="s">
        <v>12</v>
      </c>
    </row>
    <row r="3" spans="1:13" x14ac:dyDescent="0.45">
      <c r="A3" s="248" t="s">
        <v>97</v>
      </c>
      <c r="B3" s="246">
        <f t="shared" ref="B3:M3" si="0">INDEX(B6:B24,MATCH($A$3,$A$6:$A$24,0))</f>
        <v>13306625</v>
      </c>
      <c r="C3" s="246">
        <f t="shared" si="0"/>
        <v>8940033</v>
      </c>
      <c r="D3" s="246">
        <f t="shared" si="0"/>
        <v>700735</v>
      </c>
      <c r="E3" s="246">
        <f t="shared" si="0"/>
        <v>700735</v>
      </c>
      <c r="F3" s="246">
        <f t="shared" si="0"/>
        <v>347794</v>
      </c>
      <c r="G3" s="246">
        <f t="shared" si="0"/>
        <v>347794</v>
      </c>
      <c r="H3" s="246">
        <f t="shared" si="0"/>
        <v>1109476</v>
      </c>
      <c r="I3" s="246">
        <f t="shared" si="0"/>
        <v>74695</v>
      </c>
      <c r="J3" s="246">
        <f t="shared" si="0"/>
        <v>0</v>
      </c>
      <c r="K3" s="247">
        <f t="shared" si="0"/>
        <v>373.39</v>
      </c>
      <c r="L3" s="247">
        <f t="shared" si="0"/>
        <v>158.33032458775429</v>
      </c>
      <c r="M3" s="247">
        <f t="shared" si="0"/>
        <v>0.18795251912232847</v>
      </c>
    </row>
    <row r="6" spans="1:13" ht="42.75" x14ac:dyDescent="0.45">
      <c r="A6" s="205" t="s">
        <v>60</v>
      </c>
      <c r="B6" s="15" t="s">
        <v>13</v>
      </c>
      <c r="C6" s="15" t="s">
        <v>79</v>
      </c>
      <c r="D6" s="15" t="s">
        <v>56</v>
      </c>
      <c r="E6" s="15" t="s">
        <v>100</v>
      </c>
      <c r="F6" s="15" t="s">
        <v>101</v>
      </c>
      <c r="G6" s="15" t="s">
        <v>74</v>
      </c>
      <c r="H6" s="15" t="s">
        <v>10</v>
      </c>
      <c r="I6" s="15" t="s">
        <v>102</v>
      </c>
      <c r="J6" s="15" t="s">
        <v>103</v>
      </c>
      <c r="K6" s="15" t="s">
        <v>78</v>
      </c>
      <c r="L6" s="174" t="s">
        <v>11</v>
      </c>
      <c r="M6" s="229" t="s">
        <v>105</v>
      </c>
    </row>
    <row r="7" spans="1:13" x14ac:dyDescent="0.45">
      <c r="A7" s="248" t="s">
        <v>80</v>
      </c>
      <c r="B7" s="246">
        <v>29623049</v>
      </c>
      <c r="C7" s="246">
        <v>16810432</v>
      </c>
      <c r="D7" s="246">
        <v>7427847</v>
      </c>
      <c r="E7" s="246">
        <v>7143506</v>
      </c>
      <c r="F7" s="246">
        <v>912804</v>
      </c>
      <c r="G7" s="246">
        <v>912804</v>
      </c>
      <c r="H7" s="246">
        <v>6401901</v>
      </c>
      <c r="I7" s="246">
        <v>1050058</v>
      </c>
      <c r="J7" s="246">
        <v>67292</v>
      </c>
      <c r="K7" s="246">
        <v>252.15</v>
      </c>
      <c r="L7" s="246">
        <v>89.618473057907423</v>
      </c>
      <c r="M7" s="246">
        <v>1.9923117231267602</v>
      </c>
    </row>
    <row r="8" spans="1:13" x14ac:dyDescent="0.45">
      <c r="A8" s="248" t="s">
        <v>16</v>
      </c>
      <c r="B8" s="246">
        <v>105697979</v>
      </c>
      <c r="C8" s="246">
        <v>94887541</v>
      </c>
      <c r="D8" s="246">
        <v>4449206</v>
      </c>
      <c r="E8" s="246">
        <v>1030400</v>
      </c>
      <c r="F8" s="246">
        <v>1673898</v>
      </c>
      <c r="G8" s="246">
        <v>1673898</v>
      </c>
      <c r="H8" s="246">
        <v>2593681</v>
      </c>
      <c r="I8" s="246">
        <v>357122</v>
      </c>
      <c r="J8" s="246">
        <v>0</v>
      </c>
      <c r="K8" s="246">
        <v>177.16</v>
      </c>
      <c r="L8" s="246">
        <v>58.43063583684809</v>
      </c>
      <c r="M8" s="246">
        <v>1.1933747790451148</v>
      </c>
    </row>
    <row r="9" spans="1:13" x14ac:dyDescent="0.45">
      <c r="A9" s="248" t="s">
        <v>17</v>
      </c>
      <c r="B9" s="246">
        <v>879351058</v>
      </c>
      <c r="C9" s="246">
        <v>697281529</v>
      </c>
      <c r="D9" s="246">
        <v>127803019</v>
      </c>
      <c r="E9" s="246">
        <v>56864824</v>
      </c>
      <c r="F9" s="246">
        <v>45636528</v>
      </c>
      <c r="G9" s="246">
        <v>45636528</v>
      </c>
      <c r="H9" s="246">
        <v>40671028</v>
      </c>
      <c r="I9" s="246">
        <v>21185000</v>
      </c>
      <c r="J9" s="246"/>
      <c r="K9" s="246">
        <v>138.97</v>
      </c>
      <c r="L9" s="246">
        <v>32.78405165442949</v>
      </c>
      <c r="M9" s="246">
        <v>34.279576976301755</v>
      </c>
    </row>
    <row r="10" spans="1:13" x14ac:dyDescent="0.45">
      <c r="A10" s="248" t="s">
        <v>97</v>
      </c>
      <c r="B10" s="246">
        <v>13306625</v>
      </c>
      <c r="C10" s="246">
        <v>8940033</v>
      </c>
      <c r="D10" s="246">
        <v>700735</v>
      </c>
      <c r="E10" s="246">
        <v>700735</v>
      </c>
      <c r="F10" s="246">
        <v>347794</v>
      </c>
      <c r="G10" s="246">
        <v>347794</v>
      </c>
      <c r="H10" s="246">
        <v>1109476</v>
      </c>
      <c r="I10" s="246">
        <v>74695</v>
      </c>
      <c r="J10" s="246"/>
      <c r="K10" s="246">
        <v>373.39</v>
      </c>
      <c r="L10" s="246">
        <v>158.33032458775429</v>
      </c>
      <c r="M10" s="246">
        <v>0.18795251912232847</v>
      </c>
    </row>
    <row r="11" spans="1:13" x14ac:dyDescent="0.45">
      <c r="A11" s="248" t="s">
        <v>53</v>
      </c>
      <c r="B11" s="246">
        <v>19763157</v>
      </c>
      <c r="C11" s="246">
        <v>12538449</v>
      </c>
      <c r="D11" s="246">
        <v>864664</v>
      </c>
      <c r="E11" s="246">
        <v>790465</v>
      </c>
      <c r="F11" s="246"/>
      <c r="G11" s="246">
        <v>0</v>
      </c>
      <c r="H11" s="246">
        <v>1755231</v>
      </c>
      <c r="I11" s="246">
        <v>43405</v>
      </c>
      <c r="J11" s="246"/>
      <c r="K11" s="246">
        <v>399.47</v>
      </c>
      <c r="L11" s="246">
        <v>222.05043866584856</v>
      </c>
      <c r="M11" s="246">
        <v>0.23192187773464867</v>
      </c>
    </row>
    <row r="12" spans="1:13" x14ac:dyDescent="0.45">
      <c r="A12" s="248" t="s">
        <v>18</v>
      </c>
      <c r="B12" s="246">
        <v>52966500</v>
      </c>
      <c r="C12" s="246">
        <v>31063118</v>
      </c>
      <c r="D12" s="246">
        <v>5175211</v>
      </c>
      <c r="E12" s="246">
        <v>5147648</v>
      </c>
      <c r="F12" s="246">
        <v>4282845</v>
      </c>
      <c r="G12" s="246">
        <v>4282845</v>
      </c>
      <c r="H12" s="246">
        <v>2092371.64</v>
      </c>
      <c r="I12" s="246">
        <v>249845</v>
      </c>
      <c r="J12" s="246"/>
      <c r="K12" s="246">
        <v>105.55268586033306</v>
      </c>
      <c r="L12" s="246">
        <v>40.647139042918241</v>
      </c>
      <c r="M12" s="246">
        <v>1.3881052672402332</v>
      </c>
    </row>
    <row r="13" spans="1:13" x14ac:dyDescent="0.45">
      <c r="A13" s="248" t="s">
        <v>19</v>
      </c>
      <c r="B13" s="246">
        <v>20118305</v>
      </c>
      <c r="C13" s="246">
        <v>12643674</v>
      </c>
      <c r="D13" s="246">
        <v>2721951</v>
      </c>
      <c r="E13" s="246">
        <v>2319878</v>
      </c>
      <c r="F13" s="246">
        <v>212464</v>
      </c>
      <c r="G13" s="246">
        <v>212464</v>
      </c>
      <c r="H13" s="246">
        <v>1597190</v>
      </c>
      <c r="I13" s="246">
        <v>171681</v>
      </c>
      <c r="J13" s="246">
        <v>30</v>
      </c>
      <c r="K13" s="246">
        <v>295.99710582791982</v>
      </c>
      <c r="L13" s="246">
        <v>64.162162726740263</v>
      </c>
      <c r="M13" s="246">
        <v>0.73008704771067678</v>
      </c>
    </row>
    <row r="14" spans="1:13" x14ac:dyDescent="0.45">
      <c r="A14" s="248" t="s">
        <v>20</v>
      </c>
      <c r="B14" s="246">
        <v>394949004</v>
      </c>
      <c r="C14" s="246">
        <v>343448763</v>
      </c>
      <c r="D14" s="246">
        <v>34277305</v>
      </c>
      <c r="E14" s="246">
        <v>33962859</v>
      </c>
      <c r="F14" s="246">
        <v>21703006</v>
      </c>
      <c r="G14" s="246">
        <v>21703006</v>
      </c>
      <c r="H14" s="246">
        <v>10591507</v>
      </c>
      <c r="I14" s="246">
        <v>2008434</v>
      </c>
      <c r="J14" s="246">
        <v>0</v>
      </c>
      <c r="K14" s="246">
        <v>256.35000000000002</v>
      </c>
      <c r="L14" s="246">
        <v>31.185557729400813</v>
      </c>
      <c r="M14" s="246">
        <v>9.1939261253888933</v>
      </c>
    </row>
    <row r="15" spans="1:13" x14ac:dyDescent="0.45">
      <c r="A15" s="248" t="s">
        <v>47</v>
      </c>
      <c r="B15" s="246">
        <v>66118740</v>
      </c>
      <c r="C15" s="246">
        <v>49025304</v>
      </c>
      <c r="D15" s="246">
        <v>682596</v>
      </c>
      <c r="E15" s="246">
        <v>681045</v>
      </c>
      <c r="F15" s="246">
        <v>146796</v>
      </c>
      <c r="G15" s="246">
        <v>146796</v>
      </c>
      <c r="H15" s="246">
        <v>994138</v>
      </c>
      <c r="I15" s="246">
        <v>25127</v>
      </c>
      <c r="J15" s="246"/>
      <c r="K15" s="246">
        <v>340.99601524290063</v>
      </c>
      <c r="L15" s="246">
        <v>145.97243941296097</v>
      </c>
      <c r="M15" s="246">
        <v>0.18308724088681874</v>
      </c>
    </row>
    <row r="16" spans="1:13" x14ac:dyDescent="0.45">
      <c r="A16" s="248" t="s">
        <v>64</v>
      </c>
      <c r="B16" s="246">
        <v>29903404</v>
      </c>
      <c r="C16" s="246">
        <v>14408688</v>
      </c>
      <c r="D16" s="246">
        <v>2258858</v>
      </c>
      <c r="E16" s="246">
        <v>1526991</v>
      </c>
      <c r="F16" s="246">
        <v>147716</v>
      </c>
      <c r="G16" s="246">
        <v>147716</v>
      </c>
      <c r="H16" s="246">
        <v>4644675</v>
      </c>
      <c r="I16" s="246">
        <v>540417</v>
      </c>
      <c r="J16" s="246"/>
      <c r="K16" s="246">
        <v>1626.46</v>
      </c>
      <c r="L16" s="246">
        <v>277.34204727982757</v>
      </c>
      <c r="M16" s="246">
        <v>0.6058753329570018</v>
      </c>
    </row>
    <row r="17" spans="1:13" x14ac:dyDescent="0.45">
      <c r="A17" s="248" t="s">
        <v>21</v>
      </c>
      <c r="B17" s="246">
        <v>189355876</v>
      </c>
      <c r="C17" s="246">
        <v>169640768</v>
      </c>
      <c r="D17" s="246">
        <v>22004824</v>
      </c>
      <c r="E17" s="246">
        <v>12038154</v>
      </c>
      <c r="F17" s="246">
        <v>6844288</v>
      </c>
      <c r="G17" s="246">
        <v>6814283</v>
      </c>
      <c r="H17" s="246">
        <v>11242733</v>
      </c>
      <c r="I17" s="246">
        <v>7784739</v>
      </c>
      <c r="J17" s="246"/>
      <c r="K17" s="246">
        <v>140.19</v>
      </c>
      <c r="L17" s="246">
        <v>51.44954045312182</v>
      </c>
      <c r="M17" s="246">
        <v>5.9021771477712299</v>
      </c>
    </row>
    <row r="18" spans="1:13" x14ac:dyDescent="0.45">
      <c r="A18" s="248" t="s">
        <v>98</v>
      </c>
      <c r="B18" s="246">
        <v>90575892</v>
      </c>
      <c r="C18" s="246">
        <v>49414159</v>
      </c>
      <c r="D18" s="246">
        <v>16035316</v>
      </c>
      <c r="E18" s="246">
        <v>15806789</v>
      </c>
      <c r="F18" s="246">
        <v>6003080</v>
      </c>
      <c r="G18" s="246">
        <v>6003080</v>
      </c>
      <c r="H18" s="246">
        <v>8279449</v>
      </c>
      <c r="I18" s="246">
        <v>1730776</v>
      </c>
      <c r="J18" s="246">
        <v>21544</v>
      </c>
      <c r="K18" s="246">
        <v>167.11</v>
      </c>
      <c r="L18" s="246">
        <v>52.379069525126198</v>
      </c>
      <c r="M18" s="246">
        <v>4.3010239778555084</v>
      </c>
    </row>
    <row r="19" spans="1:13" x14ac:dyDescent="0.45">
      <c r="A19" s="248" t="s">
        <v>22</v>
      </c>
      <c r="B19" s="246">
        <v>271745958</v>
      </c>
      <c r="C19" s="246">
        <v>240277670</v>
      </c>
      <c r="D19" s="246">
        <v>22941272</v>
      </c>
      <c r="E19" s="246">
        <v>10134449</v>
      </c>
      <c r="F19" s="246">
        <v>24948648</v>
      </c>
      <c r="G19" s="246">
        <v>24948648</v>
      </c>
      <c r="H19" s="246">
        <v>8047232</v>
      </c>
      <c r="I19" s="246">
        <v>1328716</v>
      </c>
      <c r="J19" s="246"/>
      <c r="K19" s="246">
        <v>124.53</v>
      </c>
      <c r="L19" s="246">
        <v>36.061794519751139</v>
      </c>
      <c r="M19" s="246">
        <v>6.153353071090411</v>
      </c>
    </row>
    <row r="20" spans="1:13" x14ac:dyDescent="0.45">
      <c r="A20" s="248" t="s">
        <v>23</v>
      </c>
      <c r="B20" s="246">
        <v>42772648</v>
      </c>
      <c r="C20" s="246">
        <v>30271674</v>
      </c>
      <c r="D20" s="246">
        <v>6046645</v>
      </c>
      <c r="E20" s="246">
        <v>440804</v>
      </c>
      <c r="F20" s="246">
        <v>2795212</v>
      </c>
      <c r="G20" s="246">
        <v>2775781</v>
      </c>
      <c r="H20" s="246">
        <v>2743126</v>
      </c>
      <c r="I20" s="246">
        <v>442869</v>
      </c>
      <c r="J20" s="246">
        <v>12000</v>
      </c>
      <c r="K20" s="246">
        <v>208.05</v>
      </c>
      <c r="L20" s="246">
        <v>46.117568338877106</v>
      </c>
      <c r="M20" s="246">
        <v>1.6218430076825503</v>
      </c>
    </row>
    <row r="21" spans="1:13" x14ac:dyDescent="0.45">
      <c r="A21" s="248" t="s">
        <v>24</v>
      </c>
      <c r="B21" s="246">
        <v>190693375</v>
      </c>
      <c r="C21" s="246">
        <v>141544844</v>
      </c>
      <c r="D21" s="246">
        <v>34994162</v>
      </c>
      <c r="E21" s="246">
        <v>22205373</v>
      </c>
      <c r="F21" s="246">
        <v>7939665</v>
      </c>
      <c r="G21" s="246">
        <v>7939665</v>
      </c>
      <c r="H21" s="246">
        <v>20271298</v>
      </c>
      <c r="I21" s="246">
        <v>8002595</v>
      </c>
      <c r="J21" s="246">
        <v>559687</v>
      </c>
      <c r="K21" s="246">
        <v>142.68</v>
      </c>
      <c r="L21" s="246">
        <v>59.255381473528224</v>
      </c>
      <c r="M21" s="246">
        <v>9.3862029190419491</v>
      </c>
    </row>
    <row r="22" spans="1:13" x14ac:dyDescent="0.45">
      <c r="A22" s="248" t="s">
        <v>25</v>
      </c>
      <c r="B22" s="246">
        <v>61573604</v>
      </c>
      <c r="C22" s="246">
        <v>54083412</v>
      </c>
      <c r="D22" s="246">
        <v>5401725</v>
      </c>
      <c r="E22" s="246">
        <v>2461669</v>
      </c>
      <c r="F22" s="246">
        <v>2968491</v>
      </c>
      <c r="G22" s="246">
        <v>2968491</v>
      </c>
      <c r="H22" s="246">
        <v>1729156</v>
      </c>
      <c r="I22" s="246">
        <v>124686</v>
      </c>
      <c r="J22" s="246"/>
      <c r="K22" s="246">
        <v>120.97599620185173</v>
      </c>
      <c r="L22" s="246">
        <v>32.219557687183588</v>
      </c>
      <c r="M22" s="246">
        <v>1.4488612975747748</v>
      </c>
    </row>
    <row r="23" spans="1:13" x14ac:dyDescent="0.45">
      <c r="A23" s="248" t="s">
        <v>26</v>
      </c>
      <c r="B23" s="246">
        <v>23160287</v>
      </c>
      <c r="C23" s="246">
        <v>20240004</v>
      </c>
      <c r="D23" s="246">
        <v>5951825</v>
      </c>
      <c r="E23" s="246">
        <v>4013584</v>
      </c>
      <c r="F23" s="246">
        <v>1412018</v>
      </c>
      <c r="G23" s="246">
        <v>1412018</v>
      </c>
      <c r="H23" s="246">
        <v>2377304</v>
      </c>
      <c r="I23" s="246">
        <v>1000805</v>
      </c>
      <c r="J23" s="246"/>
      <c r="K23" s="246">
        <v>428.97</v>
      </c>
      <c r="L23" s="246">
        <v>59.231449995814209</v>
      </c>
      <c r="M23" s="246">
        <v>1.5964102008965624</v>
      </c>
    </row>
    <row r="24" spans="1:13" x14ac:dyDescent="0.45">
      <c r="A24" s="248" t="s">
        <v>27</v>
      </c>
      <c r="B24" s="246"/>
      <c r="C24" s="246"/>
      <c r="D24" s="246">
        <v>0</v>
      </c>
      <c r="E24" s="246"/>
      <c r="F24" s="246"/>
      <c r="G24" s="246"/>
      <c r="H24" s="246"/>
      <c r="I24" s="246"/>
      <c r="J24" s="246"/>
      <c r="K24" s="246"/>
      <c r="L24" s="246"/>
      <c r="M24" s="246">
        <v>0</v>
      </c>
    </row>
    <row r="25" spans="1:13" x14ac:dyDescent="0.45">
      <c r="A25" s="248" t="s">
        <v>28</v>
      </c>
      <c r="B25" s="246">
        <v>717218439</v>
      </c>
      <c r="C25" s="246">
        <v>624207261</v>
      </c>
      <c r="D25" s="246">
        <v>73088382</v>
      </c>
      <c r="E25" s="246">
        <v>72169151</v>
      </c>
      <c r="F25" s="246">
        <v>25591053</v>
      </c>
      <c r="G25" s="246">
        <v>25591053</v>
      </c>
      <c r="H25" s="246">
        <v>22376052</v>
      </c>
      <c r="I25" s="246">
        <v>8718402</v>
      </c>
      <c r="J25" s="246">
        <v>241556</v>
      </c>
      <c r="K25" s="246">
        <v>123.85</v>
      </c>
      <c r="L25" s="246">
        <v>31.005009328708883</v>
      </c>
      <c r="M25" s="246">
        <v>19.603909488572782</v>
      </c>
    </row>
    <row r="26" spans="1:13" x14ac:dyDescent="0.45">
      <c r="A26" s="248" t="s">
        <v>31</v>
      </c>
      <c r="B26" s="246"/>
      <c r="C26" s="246"/>
      <c r="D26" s="246"/>
      <c r="E26" s="246"/>
      <c r="F26" s="246"/>
      <c r="G26" s="246"/>
      <c r="H26" s="246"/>
      <c r="I26" s="246"/>
      <c r="J26" s="246"/>
      <c r="K26" s="246"/>
      <c r="L26" s="246"/>
      <c r="M26" s="246">
        <v>0</v>
      </c>
    </row>
    <row r="27" spans="1:13" ht="19.899999999999999" x14ac:dyDescent="0.8">
      <c r="A27" s="224" t="s">
        <v>92</v>
      </c>
      <c r="B27" s="241">
        <f t="shared" ref="B27:J27" si="1">SUM(B7:B26)</f>
        <v>3198893900</v>
      </c>
      <c r="C27" s="241">
        <f t="shared" si="1"/>
        <v>2610727323</v>
      </c>
      <c r="D27" s="241">
        <f t="shared" si="1"/>
        <v>372825543</v>
      </c>
      <c r="E27" s="241">
        <f t="shared" si="1"/>
        <v>249438324</v>
      </c>
      <c r="F27" s="241">
        <f t="shared" si="1"/>
        <v>153566306</v>
      </c>
      <c r="G27" s="241">
        <f t="shared" si="1"/>
        <v>153516870</v>
      </c>
      <c r="H27" s="241">
        <f t="shared" si="1"/>
        <v>149517548.63999999</v>
      </c>
      <c r="I27" s="241">
        <f t="shared" si="1"/>
        <v>54839372</v>
      </c>
      <c r="J27" s="241">
        <f t="shared" si="1"/>
        <v>902109</v>
      </c>
      <c r="K27" s="232"/>
      <c r="L27" s="232"/>
      <c r="M27" s="232">
        <f>D27/$D$27*100</f>
        <v>100</v>
      </c>
    </row>
  </sheetData>
  <mergeCells count="1">
    <mergeCell ref="A1:M1"/>
  </mergeCells>
  <dataValidations count="1">
    <dataValidation type="list" allowBlank="1" showInputMessage="1" showErrorMessage="1" sqref="A3" xr:uid="{00000000-0002-0000-1F00-000000000000}">
      <formula1>$A$7:$A$26</formula1>
    </dataValidation>
  </dataValidations>
  <pageMargins left="0.7" right="0.7" top="0.75" bottom="0.75" header="0.3" footer="0.3"/>
  <customProperties>
    <customPr name="LastActive" r:id="rId1"/>
  </customProperties>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tabColor rgb="FF7030A0"/>
  </sheetPr>
  <dimension ref="A1:P32"/>
  <sheetViews>
    <sheetView topLeftCell="A5" workbookViewId="0">
      <pane ySplit="1" topLeftCell="A6" activePane="bottomLeft" state="frozen"/>
      <selection activeCell="H5" sqref="H5"/>
      <selection pane="bottomLeft" activeCell="A5" sqref="A1:XFD1048576"/>
    </sheetView>
  </sheetViews>
  <sheetFormatPr defaultRowHeight="14.25" x14ac:dyDescent="0.45"/>
  <cols>
    <col min="1" max="1" width="45.3984375" bestFit="1" customWidth="1"/>
    <col min="2" max="2" width="14.265625" bestFit="1" customWidth="1"/>
    <col min="3" max="3" width="16" customWidth="1"/>
    <col min="4" max="4" width="14.73046875" customWidth="1"/>
    <col min="5" max="5" width="15.265625" customWidth="1"/>
    <col min="6" max="6" width="13.265625" bestFit="1" customWidth="1"/>
    <col min="7" max="7" width="12.73046875" bestFit="1" customWidth="1"/>
    <col min="8" max="9" width="12.3984375" bestFit="1" customWidth="1"/>
    <col min="10" max="10" width="12.265625" bestFit="1" customWidth="1"/>
    <col min="11" max="11" width="12" bestFit="1" customWidth="1"/>
    <col min="12" max="12" width="11.265625" bestFit="1" customWidth="1"/>
    <col min="13" max="13" width="10.265625" customWidth="1"/>
  </cols>
  <sheetData>
    <row r="1" spans="1:16" ht="22.9" x14ac:dyDescent="1.2">
      <c r="A1" s="390" t="s">
        <v>99</v>
      </c>
      <c r="B1" s="390"/>
      <c r="C1" s="390"/>
      <c r="D1" s="390"/>
      <c r="E1" s="390"/>
      <c r="F1" s="390"/>
      <c r="G1" s="390"/>
      <c r="H1" s="390"/>
      <c r="I1" s="390"/>
      <c r="J1" s="390"/>
      <c r="K1" s="390"/>
      <c r="L1" s="390"/>
      <c r="M1" s="390"/>
    </row>
    <row r="2" spans="1:16" ht="21.75" x14ac:dyDescent="0.45">
      <c r="A2" s="239" t="s">
        <v>60</v>
      </c>
      <c r="B2" s="215" t="s">
        <v>13</v>
      </c>
      <c r="C2" s="215" t="s">
        <v>79</v>
      </c>
      <c r="D2" s="215" t="s">
        <v>56</v>
      </c>
      <c r="E2" s="215" t="s">
        <v>100</v>
      </c>
      <c r="F2" s="215" t="s">
        <v>101</v>
      </c>
      <c r="G2" s="215" t="s">
        <v>74</v>
      </c>
      <c r="H2" s="230" t="s">
        <v>10</v>
      </c>
      <c r="I2" s="215" t="s">
        <v>102</v>
      </c>
      <c r="J2" s="215" t="s">
        <v>103</v>
      </c>
      <c r="K2" s="215" t="s">
        <v>78</v>
      </c>
      <c r="L2" s="215" t="s">
        <v>11</v>
      </c>
      <c r="M2" s="231" t="s">
        <v>12</v>
      </c>
    </row>
    <row r="3" spans="1:16" x14ac:dyDescent="0.45">
      <c r="A3" s="240" t="s">
        <v>19</v>
      </c>
      <c r="B3" s="246">
        <f t="shared" ref="B3:M3" si="0">INDEX(B6:B25,MATCH($A$3,$A$6:$A$25,0))</f>
        <v>18490816</v>
      </c>
      <c r="C3" s="246">
        <f t="shared" si="0"/>
        <v>11292174</v>
      </c>
      <c r="D3" s="246">
        <f>INDEX(D6:D25,MATCH($A$3,$A$6:$A$25,0))</f>
        <v>7073842</v>
      </c>
      <c r="E3" s="246">
        <f t="shared" si="0"/>
        <v>6112983</v>
      </c>
      <c r="F3" s="246">
        <f t="shared" si="0"/>
        <v>603186</v>
      </c>
      <c r="G3" s="246">
        <f t="shared" si="0"/>
        <v>603186</v>
      </c>
      <c r="H3" s="246">
        <f t="shared" si="0"/>
        <v>4910699</v>
      </c>
      <c r="I3" s="246">
        <f t="shared" si="0"/>
        <v>670451</v>
      </c>
      <c r="J3" s="246">
        <f t="shared" si="0"/>
        <v>0</v>
      </c>
      <c r="K3" s="238">
        <f t="shared" si="0"/>
        <v>387.36</v>
      </c>
      <c r="L3" s="238">
        <f t="shared" si="0"/>
        <v>74.930000000000007</v>
      </c>
      <c r="M3" s="238">
        <f t="shared" si="0"/>
        <v>0.74601035345236122</v>
      </c>
    </row>
    <row r="4" spans="1:16" x14ac:dyDescent="0.45">
      <c r="A4" s="34"/>
    </row>
    <row r="5" spans="1:16" ht="57" x14ac:dyDescent="0.45">
      <c r="A5" s="205" t="s">
        <v>60</v>
      </c>
      <c r="B5" s="15" t="s">
        <v>13</v>
      </c>
      <c r="C5" s="15" t="s">
        <v>79</v>
      </c>
      <c r="D5" s="15" t="s">
        <v>56</v>
      </c>
      <c r="E5" s="15" t="s">
        <v>106</v>
      </c>
      <c r="F5" s="15" t="s">
        <v>101</v>
      </c>
      <c r="G5" s="15" t="s">
        <v>74</v>
      </c>
      <c r="H5" s="15" t="s">
        <v>10</v>
      </c>
      <c r="I5" s="15" t="s">
        <v>102</v>
      </c>
      <c r="J5" s="15" t="s">
        <v>103</v>
      </c>
      <c r="K5" s="15" t="s">
        <v>78</v>
      </c>
      <c r="L5" s="174" t="s">
        <v>11</v>
      </c>
      <c r="M5" s="229" t="s">
        <v>105</v>
      </c>
    </row>
    <row r="6" spans="1:16" x14ac:dyDescent="0.45">
      <c r="A6" s="240" t="s">
        <v>80</v>
      </c>
      <c r="B6" s="243">
        <v>26552898</v>
      </c>
      <c r="C6" s="243">
        <v>15412438</v>
      </c>
      <c r="D6" s="243">
        <v>14820079</v>
      </c>
      <c r="E6" s="243">
        <v>14381539</v>
      </c>
      <c r="F6" s="243">
        <v>3047983</v>
      </c>
      <c r="G6" s="243">
        <v>3047983</v>
      </c>
      <c r="H6" s="243">
        <v>15683366</v>
      </c>
      <c r="I6" s="243">
        <v>2232335</v>
      </c>
      <c r="J6" s="243">
        <v>56860</v>
      </c>
      <c r="K6" s="244">
        <v>173.42</v>
      </c>
      <c r="L6" s="217">
        <v>109.05</v>
      </c>
      <c r="M6" s="251">
        <v>1.5629317664971758</v>
      </c>
      <c r="O6" s="252"/>
      <c r="P6" s="252"/>
    </row>
    <row r="7" spans="1:16" x14ac:dyDescent="0.45">
      <c r="A7" s="240" t="s">
        <v>16</v>
      </c>
      <c r="B7" s="243">
        <v>107377620</v>
      </c>
      <c r="C7" s="243">
        <v>98051222</v>
      </c>
      <c r="D7" s="243">
        <v>9729452</v>
      </c>
      <c r="E7" s="243">
        <v>2546518</v>
      </c>
      <c r="F7" s="243">
        <v>3344626</v>
      </c>
      <c r="G7" s="243">
        <v>3344626</v>
      </c>
      <c r="H7" s="243">
        <v>5341559</v>
      </c>
      <c r="I7" s="243">
        <v>866981</v>
      </c>
      <c r="J7" s="243">
        <v>28099</v>
      </c>
      <c r="K7" s="244">
        <v>175.6</v>
      </c>
      <c r="L7" s="217">
        <v>55.43</v>
      </c>
      <c r="M7" s="251">
        <v>1.0260721013301941</v>
      </c>
      <c r="N7" s="236"/>
      <c r="O7" s="252"/>
      <c r="P7" s="252"/>
    </row>
    <row r="8" spans="1:16" x14ac:dyDescent="0.45">
      <c r="A8" s="240" t="s">
        <v>17</v>
      </c>
      <c r="B8" s="243">
        <v>906008551</v>
      </c>
      <c r="C8" s="243">
        <v>719806791</v>
      </c>
      <c r="D8" s="243">
        <v>250205480</v>
      </c>
      <c r="E8" s="243">
        <v>105650056</v>
      </c>
      <c r="F8" s="243">
        <v>109262524</v>
      </c>
      <c r="G8" s="243">
        <v>108244501</v>
      </c>
      <c r="H8" s="243">
        <v>77323482</v>
      </c>
      <c r="I8" s="243">
        <v>39795016</v>
      </c>
      <c r="J8" s="217"/>
      <c r="K8" s="217">
        <v>143.69</v>
      </c>
      <c r="L8" s="217">
        <v>31.77</v>
      </c>
      <c r="M8" s="251">
        <v>26.38677518815344</v>
      </c>
      <c r="N8" s="236"/>
      <c r="O8" s="252"/>
      <c r="P8" s="252"/>
    </row>
    <row r="9" spans="1:16" x14ac:dyDescent="0.45">
      <c r="A9" s="240" t="s">
        <v>97</v>
      </c>
      <c r="B9" s="243">
        <v>18211872</v>
      </c>
      <c r="C9" s="243">
        <v>9146132</v>
      </c>
      <c r="D9" s="243">
        <v>1433668</v>
      </c>
      <c r="E9" s="243">
        <v>1426128</v>
      </c>
      <c r="F9" s="243">
        <v>784402</v>
      </c>
      <c r="G9" s="243">
        <v>784402</v>
      </c>
      <c r="H9" s="243">
        <v>2012495</v>
      </c>
      <c r="I9" s="243">
        <v>145799</v>
      </c>
      <c r="J9" s="217"/>
      <c r="K9" s="217">
        <v>587.59</v>
      </c>
      <c r="L9" s="217">
        <v>141.12</v>
      </c>
      <c r="M9" s="251">
        <v>0.15119523045798022</v>
      </c>
      <c r="N9" s="236"/>
      <c r="O9" s="252"/>
      <c r="P9" s="252"/>
    </row>
    <row r="10" spans="1:16" x14ac:dyDescent="0.45">
      <c r="A10" s="240" t="s">
        <v>53</v>
      </c>
      <c r="B10" s="243">
        <v>21165164</v>
      </c>
      <c r="C10" s="243">
        <v>13766165</v>
      </c>
      <c r="D10" s="243">
        <v>2029516</v>
      </c>
      <c r="E10" s="243">
        <v>1678473</v>
      </c>
      <c r="F10" s="217">
        <v>0</v>
      </c>
      <c r="G10" s="217">
        <v>0</v>
      </c>
      <c r="H10" s="243">
        <v>3560726</v>
      </c>
      <c r="I10" s="243">
        <v>103329</v>
      </c>
      <c r="J10" s="217"/>
      <c r="K10" s="217">
        <v>422.53</v>
      </c>
      <c r="L10" s="217">
        <v>212.14</v>
      </c>
      <c r="M10" s="251">
        <v>0.21403361122530337</v>
      </c>
      <c r="N10" s="236"/>
      <c r="O10" s="252"/>
      <c r="P10" s="252"/>
    </row>
    <row r="11" spans="1:16" x14ac:dyDescent="0.45">
      <c r="A11" s="240" t="s">
        <v>18</v>
      </c>
      <c r="B11" s="243">
        <v>53169660</v>
      </c>
      <c r="C11" s="243">
        <v>31673915</v>
      </c>
      <c r="D11" s="243">
        <v>9050394</v>
      </c>
      <c r="E11" s="243">
        <v>9017710</v>
      </c>
      <c r="F11" s="243">
        <v>7057001</v>
      </c>
      <c r="G11" s="243">
        <v>7057001</v>
      </c>
      <c r="H11" s="243">
        <v>4808196</v>
      </c>
      <c r="I11" s="243">
        <v>1051154</v>
      </c>
      <c r="J11" s="217"/>
      <c r="K11" s="217">
        <v>105.86</v>
      </c>
      <c r="L11" s="217">
        <v>53.32</v>
      </c>
      <c r="M11" s="251">
        <v>0.9544583589544593</v>
      </c>
      <c r="N11" s="236"/>
      <c r="O11" s="252"/>
      <c r="P11" s="252"/>
    </row>
    <row r="12" spans="1:16" x14ac:dyDescent="0.45">
      <c r="A12" s="240" t="s">
        <v>19</v>
      </c>
      <c r="B12" s="243">
        <v>18490816</v>
      </c>
      <c r="C12" s="243">
        <v>11292174</v>
      </c>
      <c r="D12" s="243">
        <v>7073842</v>
      </c>
      <c r="E12" s="243">
        <v>6112983</v>
      </c>
      <c r="F12" s="243">
        <v>603186</v>
      </c>
      <c r="G12" s="243">
        <v>603186</v>
      </c>
      <c r="H12" s="243">
        <v>4910699</v>
      </c>
      <c r="I12" s="243">
        <v>670451</v>
      </c>
      <c r="J12" s="217"/>
      <c r="K12" s="217">
        <v>387.36</v>
      </c>
      <c r="L12" s="217">
        <v>74.930000000000007</v>
      </c>
      <c r="M12" s="251">
        <v>0.74601035345236122</v>
      </c>
      <c r="N12" s="236"/>
      <c r="O12" s="252"/>
      <c r="P12" s="252"/>
    </row>
    <row r="13" spans="1:16" x14ac:dyDescent="0.45">
      <c r="A13" s="240" t="s">
        <v>20</v>
      </c>
      <c r="B13" s="243">
        <v>398094967</v>
      </c>
      <c r="C13" s="243">
        <v>342629736</v>
      </c>
      <c r="D13" s="243">
        <v>63008405</v>
      </c>
      <c r="E13" s="243">
        <v>61921332</v>
      </c>
      <c r="F13" s="243">
        <v>38471373</v>
      </c>
      <c r="G13" s="243">
        <v>38471373</v>
      </c>
      <c r="H13" s="243">
        <v>19251646</v>
      </c>
      <c r="I13" s="243">
        <v>3899436</v>
      </c>
      <c r="J13" s="243">
        <v>642763</v>
      </c>
      <c r="K13" s="217">
        <v>215.08</v>
      </c>
      <c r="L13" s="217">
        <v>31.09</v>
      </c>
      <c r="M13" s="251">
        <v>6.6448929004237769</v>
      </c>
      <c r="N13" s="236"/>
      <c r="O13" s="252"/>
      <c r="P13" s="252"/>
    </row>
    <row r="14" spans="1:16" x14ac:dyDescent="0.45">
      <c r="A14" s="240" t="s">
        <v>47</v>
      </c>
      <c r="B14" s="243">
        <v>65663018</v>
      </c>
      <c r="C14" s="243">
        <v>49119879</v>
      </c>
      <c r="D14" s="243">
        <v>1330132</v>
      </c>
      <c r="E14" s="243">
        <v>910177</v>
      </c>
      <c r="F14" s="243">
        <v>346923</v>
      </c>
      <c r="G14" s="243">
        <v>346923</v>
      </c>
      <c r="H14" s="243">
        <v>1978646</v>
      </c>
      <c r="I14" s="243">
        <v>65629</v>
      </c>
      <c r="J14" s="217">
        <v>30</v>
      </c>
      <c r="K14" s="217">
        <v>335.01</v>
      </c>
      <c r="L14" s="217">
        <v>151.80000000000001</v>
      </c>
      <c r="M14" s="251">
        <v>0.14027628033794029</v>
      </c>
      <c r="N14" s="236"/>
      <c r="O14" s="252"/>
      <c r="P14" s="252"/>
    </row>
    <row r="15" spans="1:16" x14ac:dyDescent="0.45">
      <c r="A15" s="240" t="s">
        <v>64</v>
      </c>
      <c r="B15" s="243">
        <v>28942325</v>
      </c>
      <c r="C15" s="243">
        <v>14898198</v>
      </c>
      <c r="D15" s="243">
        <v>5665182</v>
      </c>
      <c r="E15" s="243">
        <v>3592327</v>
      </c>
      <c r="F15" s="243">
        <v>929673</v>
      </c>
      <c r="G15" s="243">
        <v>929673</v>
      </c>
      <c r="H15" s="243">
        <v>8797330</v>
      </c>
      <c r="I15" s="243">
        <v>1251631</v>
      </c>
      <c r="J15" s="217"/>
      <c r="K15" s="245">
        <v>1486.88</v>
      </c>
      <c r="L15" s="217">
        <v>214.77</v>
      </c>
      <c r="M15" s="251">
        <v>0.59745247719583716</v>
      </c>
      <c r="N15" s="236"/>
      <c r="O15" s="252"/>
      <c r="P15" s="252"/>
    </row>
    <row r="16" spans="1:16" x14ac:dyDescent="0.45">
      <c r="A16" s="240" t="s">
        <v>21</v>
      </c>
      <c r="B16" s="243">
        <v>199896531</v>
      </c>
      <c r="C16" s="243">
        <v>178813389</v>
      </c>
      <c r="D16" s="243">
        <v>43160620</v>
      </c>
      <c r="E16" s="243">
        <v>24390327</v>
      </c>
      <c r="F16" s="243">
        <v>12457154</v>
      </c>
      <c r="G16" s="243">
        <v>12427148</v>
      </c>
      <c r="H16" s="243">
        <v>23155248</v>
      </c>
      <c r="I16" s="243">
        <v>14525360</v>
      </c>
      <c r="J16" s="217">
        <v>0</v>
      </c>
      <c r="K16" s="217">
        <v>145.02000000000001</v>
      </c>
      <c r="L16" s="217">
        <v>54.07</v>
      </c>
      <c r="M16" s="251">
        <v>4.5517371438919687</v>
      </c>
      <c r="N16" s="236"/>
      <c r="O16" s="252"/>
      <c r="P16" s="252"/>
    </row>
    <row r="17" spans="1:16" x14ac:dyDescent="0.45">
      <c r="A17" s="240" t="s">
        <v>98</v>
      </c>
      <c r="B17" s="243">
        <v>97304891</v>
      </c>
      <c r="C17" s="243">
        <v>60818871</v>
      </c>
      <c r="D17" s="243">
        <v>34607509</v>
      </c>
      <c r="E17" s="243">
        <v>34322304</v>
      </c>
      <c r="F17" s="243">
        <v>11773207</v>
      </c>
      <c r="G17" s="243">
        <v>11579454</v>
      </c>
      <c r="H17" s="243">
        <v>16324446</v>
      </c>
      <c r="I17" s="243">
        <v>3812244</v>
      </c>
      <c r="J17" s="243">
        <v>54589</v>
      </c>
      <c r="K17" s="217">
        <v>175.3</v>
      </c>
      <c r="L17" s="217">
        <v>47.56</v>
      </c>
      <c r="M17" s="251">
        <v>3.6497224593362096</v>
      </c>
      <c r="N17" s="236"/>
      <c r="O17" s="252"/>
      <c r="P17" s="252"/>
    </row>
    <row r="18" spans="1:16" x14ac:dyDescent="0.45">
      <c r="A18" s="240" t="s">
        <v>22</v>
      </c>
      <c r="B18" s="243">
        <v>280081387</v>
      </c>
      <c r="C18" s="243">
        <v>248971465</v>
      </c>
      <c r="D18" s="243">
        <v>42860830</v>
      </c>
      <c r="E18" s="243">
        <v>9691518</v>
      </c>
      <c r="F18" s="243">
        <v>28132687</v>
      </c>
      <c r="G18" s="243">
        <v>28132687</v>
      </c>
      <c r="H18" s="243">
        <v>15445940</v>
      </c>
      <c r="I18" s="243">
        <v>3318698</v>
      </c>
      <c r="J18" s="243">
        <v>2810000</v>
      </c>
      <c r="K18" s="217">
        <v>124.89</v>
      </c>
      <c r="L18" s="217">
        <v>37.68</v>
      </c>
      <c r="M18" s="251">
        <v>4.5201211643632364</v>
      </c>
      <c r="N18" s="236"/>
      <c r="O18" s="252"/>
      <c r="P18" s="252"/>
    </row>
    <row r="19" spans="1:16" x14ac:dyDescent="0.45">
      <c r="A19" s="240" t="s">
        <v>23</v>
      </c>
      <c r="B19" s="243">
        <v>41131497</v>
      </c>
      <c r="C19" s="243">
        <v>29685523</v>
      </c>
      <c r="D19" s="243">
        <v>12791444</v>
      </c>
      <c r="E19" s="243">
        <v>857572</v>
      </c>
      <c r="F19" s="243">
        <v>7824951</v>
      </c>
      <c r="G19" s="243">
        <v>7724875</v>
      </c>
      <c r="H19" s="243">
        <v>5283035</v>
      </c>
      <c r="I19" s="243">
        <v>746958</v>
      </c>
      <c r="J19" s="217">
        <v>0</v>
      </c>
      <c r="K19" s="217">
        <v>207.97</v>
      </c>
      <c r="L19" s="217">
        <v>42.13</v>
      </c>
      <c r="M19" s="251">
        <v>1.3489910659025302</v>
      </c>
      <c r="N19" s="236"/>
      <c r="O19" s="252"/>
      <c r="P19" s="252"/>
    </row>
    <row r="20" spans="1:16" x14ac:dyDescent="0.45">
      <c r="A20" s="240" t="s">
        <v>24</v>
      </c>
      <c r="B20" s="243">
        <v>218847223</v>
      </c>
      <c r="C20" s="243">
        <v>152769364</v>
      </c>
      <c r="D20" s="243">
        <v>72947804</v>
      </c>
      <c r="E20" s="243">
        <v>50444553</v>
      </c>
      <c r="F20" s="243">
        <v>14265676</v>
      </c>
      <c r="G20" s="243">
        <v>14265676</v>
      </c>
      <c r="H20" s="243">
        <v>41359377</v>
      </c>
      <c r="I20" s="243">
        <v>17388693</v>
      </c>
      <c r="J20" s="243">
        <v>559687</v>
      </c>
      <c r="K20" s="217">
        <v>139.38</v>
      </c>
      <c r="L20" s="217">
        <v>57.99</v>
      </c>
      <c r="M20" s="251">
        <v>7.6931061007036314</v>
      </c>
      <c r="N20" s="236"/>
      <c r="O20" s="252"/>
      <c r="P20" s="252"/>
    </row>
    <row r="21" spans="1:16" x14ac:dyDescent="0.45">
      <c r="A21" s="240" t="s">
        <v>25</v>
      </c>
      <c r="B21" s="243">
        <v>64685127</v>
      </c>
      <c r="C21" s="243">
        <v>57225911</v>
      </c>
      <c r="D21" s="243">
        <v>11308701</v>
      </c>
      <c r="E21" s="243">
        <v>4318419</v>
      </c>
      <c r="F21" s="243">
        <v>5712824</v>
      </c>
      <c r="G21" s="243">
        <v>5712824</v>
      </c>
      <c r="H21" s="243">
        <v>4011260</v>
      </c>
      <c r="I21" s="243">
        <v>274538</v>
      </c>
      <c r="J21" s="217"/>
      <c r="K21" s="217">
        <v>123.75</v>
      </c>
      <c r="L21" s="217">
        <v>35.71</v>
      </c>
      <c r="M21" s="251">
        <v>1.1926203652975385</v>
      </c>
      <c r="N21" s="236"/>
      <c r="O21" s="252"/>
      <c r="P21" s="252"/>
    </row>
    <row r="22" spans="1:16" x14ac:dyDescent="0.45">
      <c r="A22" s="240" t="s">
        <v>26</v>
      </c>
      <c r="B22" s="243">
        <v>24129592</v>
      </c>
      <c r="C22" s="243">
        <v>20753115</v>
      </c>
      <c r="D22" s="243">
        <v>11669314</v>
      </c>
      <c r="E22" s="243">
        <v>7253651</v>
      </c>
      <c r="F22" s="243">
        <v>2239276</v>
      </c>
      <c r="G22" s="243">
        <v>2239276</v>
      </c>
      <c r="H22" s="243">
        <v>4997699</v>
      </c>
      <c r="I22" s="243">
        <v>2023268</v>
      </c>
      <c r="J22" s="217"/>
      <c r="K22" s="217">
        <v>416.89</v>
      </c>
      <c r="L22" s="217">
        <v>68.900000000000006</v>
      </c>
      <c r="M22" s="251">
        <v>1.2306507639959428</v>
      </c>
      <c r="N22" s="236"/>
      <c r="O22" s="252"/>
      <c r="P22" s="252"/>
    </row>
    <row r="23" spans="1:16" x14ac:dyDescent="0.45">
      <c r="A23" s="240" t="s">
        <v>27</v>
      </c>
      <c r="B23" s="243">
        <v>783991435</v>
      </c>
      <c r="C23" s="243">
        <v>670311317</v>
      </c>
      <c r="D23" s="243">
        <v>190241315</v>
      </c>
      <c r="E23" s="243">
        <v>188820553</v>
      </c>
      <c r="F23" s="243">
        <v>121966944</v>
      </c>
      <c r="G23" s="243">
        <v>121881681</v>
      </c>
      <c r="H23" s="243">
        <v>45695809</v>
      </c>
      <c r="I23" s="243">
        <v>11145296</v>
      </c>
      <c r="J23" s="243">
        <v>204951</v>
      </c>
      <c r="K23" s="244">
        <v>112.96</v>
      </c>
      <c r="L23" s="244">
        <v>24.2</v>
      </c>
      <c r="M23" s="251">
        <v>20.062929118913313</v>
      </c>
      <c r="N23" s="236"/>
      <c r="O23" s="252"/>
      <c r="P23" s="252"/>
    </row>
    <row r="24" spans="1:16" x14ac:dyDescent="0.45">
      <c r="A24" s="240" t="s">
        <v>28</v>
      </c>
      <c r="B24" s="243">
        <v>765231127</v>
      </c>
      <c r="C24" s="243">
        <v>673347386</v>
      </c>
      <c r="D24" s="243">
        <v>151632909</v>
      </c>
      <c r="E24" s="243">
        <v>149671450</v>
      </c>
      <c r="F24" s="243">
        <v>56959874</v>
      </c>
      <c r="G24" s="243">
        <v>56959874</v>
      </c>
      <c r="H24" s="243">
        <v>41840733</v>
      </c>
      <c r="I24" s="243">
        <v>18234275</v>
      </c>
      <c r="J24" s="243">
        <v>518622</v>
      </c>
      <c r="K24" s="217">
        <v>126.67</v>
      </c>
      <c r="L24" s="217">
        <v>27.96</v>
      </c>
      <c r="M24" s="251">
        <v>15.991270378685266</v>
      </c>
      <c r="N24" s="236"/>
      <c r="O24" s="252"/>
      <c r="P24" s="252"/>
    </row>
    <row r="25" spans="1:16" x14ac:dyDescent="0.45">
      <c r="A25" s="240" t="s">
        <v>31</v>
      </c>
      <c r="B25" s="243">
        <v>30230183</v>
      </c>
      <c r="C25" s="243">
        <v>20926681</v>
      </c>
      <c r="D25" s="243">
        <v>12656437</v>
      </c>
      <c r="E25" s="243">
        <v>2975091</v>
      </c>
      <c r="F25" s="243">
        <v>3753903</v>
      </c>
      <c r="G25" s="243">
        <v>3746170</v>
      </c>
      <c r="H25" s="243">
        <v>4473780</v>
      </c>
      <c r="I25" s="243">
        <v>1193290</v>
      </c>
      <c r="J25" s="243">
        <v>2500966</v>
      </c>
      <c r="K25" s="217">
        <v>225.51</v>
      </c>
      <c r="L25" s="217">
        <v>91.8</v>
      </c>
      <c r="M25" s="251">
        <v>1.3347531708818974</v>
      </c>
      <c r="N25" s="236"/>
      <c r="O25" s="252"/>
      <c r="P25" s="252"/>
    </row>
    <row r="26" spans="1:16" x14ac:dyDescent="0.45">
      <c r="A26" s="249" t="s">
        <v>92</v>
      </c>
      <c r="B26" s="242">
        <f>SUM(B6:B25)</f>
        <v>4149205884</v>
      </c>
      <c r="C26" s="242">
        <f t="shared" ref="C26:J26" si="1">SUM(C6:C25)</f>
        <v>3419419672</v>
      </c>
      <c r="D26" s="242">
        <f>SUM(D6:D25)</f>
        <v>948223033</v>
      </c>
      <c r="E26" s="242">
        <f t="shared" si="1"/>
        <v>679982681</v>
      </c>
      <c r="F26" s="242">
        <f t="shared" si="1"/>
        <v>428934187</v>
      </c>
      <c r="G26" s="242">
        <f t="shared" si="1"/>
        <v>427499333</v>
      </c>
      <c r="H26" s="242">
        <f t="shared" si="1"/>
        <v>346255472</v>
      </c>
      <c r="I26" s="242">
        <f t="shared" si="1"/>
        <v>122744381</v>
      </c>
      <c r="J26" s="242">
        <f t="shared" si="1"/>
        <v>7376567</v>
      </c>
    </row>
    <row r="32" spans="1:16" x14ac:dyDescent="0.45">
      <c r="B32" s="250">
        <v>14820079</v>
      </c>
    </row>
  </sheetData>
  <mergeCells count="1">
    <mergeCell ref="A1:M1"/>
  </mergeCells>
  <dataValidations count="1">
    <dataValidation type="list" allowBlank="1" showInputMessage="1" showErrorMessage="1" sqref="A3" xr:uid="{00000000-0002-0000-2000-000000000000}">
      <formula1>$A$6:$A$25</formula1>
    </dataValidation>
  </dataValidations>
  <pageMargins left="0.7" right="0.7" top="0.75" bottom="0.75" header="0.3" footer="0.3"/>
  <pageSetup paperSize="9" orientation="portrait" r:id="rId1"/>
  <customProperties>
    <customPr name="LastActive" r:id="rId2"/>
  </customProperties>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tabColor rgb="FF7030A0"/>
  </sheetPr>
  <dimension ref="A1:P32"/>
  <sheetViews>
    <sheetView workbookViewId="0">
      <selection sqref="A1:XFD1048576"/>
    </sheetView>
  </sheetViews>
  <sheetFormatPr defaultRowHeight="14.25" x14ac:dyDescent="0.45"/>
  <cols>
    <col min="1" max="1" width="45.3984375" bestFit="1" customWidth="1"/>
    <col min="2" max="2" width="14.265625" bestFit="1" customWidth="1"/>
    <col min="3" max="3" width="16" customWidth="1"/>
    <col min="4" max="4" width="14.73046875" customWidth="1"/>
    <col min="5" max="5" width="15.265625" customWidth="1"/>
    <col min="6" max="6" width="13.265625" bestFit="1" customWidth="1"/>
    <col min="7" max="7" width="12.73046875" bestFit="1" customWidth="1"/>
    <col min="8" max="9" width="12.3984375" bestFit="1" customWidth="1"/>
    <col min="10" max="10" width="12.265625" bestFit="1" customWidth="1"/>
    <col min="11" max="11" width="12" bestFit="1" customWidth="1"/>
    <col min="12" max="12" width="11.265625" bestFit="1" customWidth="1"/>
    <col min="13" max="13" width="10.265625" customWidth="1"/>
  </cols>
  <sheetData>
    <row r="1" spans="1:16" ht="22.9" x14ac:dyDescent="1.2">
      <c r="A1" s="390" t="s">
        <v>99</v>
      </c>
      <c r="B1" s="390"/>
      <c r="C1" s="390"/>
      <c r="D1" s="390"/>
      <c r="E1" s="390"/>
      <c r="F1" s="390"/>
      <c r="G1" s="390"/>
      <c r="H1" s="390"/>
      <c r="I1" s="390"/>
      <c r="J1" s="390"/>
      <c r="K1" s="390"/>
      <c r="L1" s="390"/>
      <c r="M1" s="390"/>
    </row>
    <row r="2" spans="1:16" ht="21.75" x14ac:dyDescent="0.45">
      <c r="A2" s="239" t="s">
        <v>60</v>
      </c>
      <c r="B2" s="215" t="s">
        <v>13</v>
      </c>
      <c r="C2" s="215" t="s">
        <v>79</v>
      </c>
      <c r="D2" s="215" t="s">
        <v>56</v>
      </c>
      <c r="E2" s="215" t="s">
        <v>100</v>
      </c>
      <c r="F2" s="215" t="s">
        <v>101</v>
      </c>
      <c r="G2" s="215" t="s">
        <v>74</v>
      </c>
      <c r="H2" s="230" t="s">
        <v>10</v>
      </c>
      <c r="I2" s="215" t="s">
        <v>102</v>
      </c>
      <c r="J2" s="215" t="s">
        <v>103</v>
      </c>
      <c r="K2" s="215" t="s">
        <v>78</v>
      </c>
      <c r="L2" s="215" t="s">
        <v>11</v>
      </c>
      <c r="M2" s="231" t="s">
        <v>12</v>
      </c>
    </row>
    <row r="3" spans="1:16" x14ac:dyDescent="0.45">
      <c r="A3" s="240" t="s">
        <v>64</v>
      </c>
      <c r="B3" s="246">
        <f t="shared" ref="B3:M3" si="0">INDEX(B6:B25,MATCH($A$3,$A$6:$A$25,0))</f>
        <v>25535982</v>
      </c>
      <c r="C3" s="246">
        <f t="shared" si="0"/>
        <v>16307282</v>
      </c>
      <c r="D3" s="246">
        <f>INDEX(D6:D25,MATCH($A$3,$A$6:$A$25,0))</f>
        <v>7926298</v>
      </c>
      <c r="E3" s="246">
        <f t="shared" si="0"/>
        <v>5900935</v>
      </c>
      <c r="F3" s="246">
        <f t="shared" si="0"/>
        <v>1948498</v>
      </c>
      <c r="G3" s="246">
        <f t="shared" si="0"/>
        <v>1948498</v>
      </c>
      <c r="H3" s="246">
        <f t="shared" si="0"/>
        <v>12756077</v>
      </c>
      <c r="I3" s="246">
        <f t="shared" si="0"/>
        <v>1922441</v>
      </c>
      <c r="J3" s="246">
        <f t="shared" si="0"/>
        <v>0</v>
      </c>
      <c r="K3" s="238">
        <f t="shared" si="0"/>
        <v>872.81</v>
      </c>
      <c r="L3" s="238">
        <f t="shared" si="0"/>
        <v>185.57</v>
      </c>
      <c r="M3" s="254">
        <f t="shared" si="0"/>
        <v>5.3952277527770359E-3</v>
      </c>
    </row>
    <row r="4" spans="1:16" x14ac:dyDescent="0.45">
      <c r="A4" s="34"/>
    </row>
    <row r="5" spans="1:16" ht="57" x14ac:dyDescent="0.45">
      <c r="A5" s="205" t="s">
        <v>60</v>
      </c>
      <c r="B5" s="15" t="s">
        <v>13</v>
      </c>
      <c r="C5" s="15" t="s">
        <v>79</v>
      </c>
      <c r="D5" s="15" t="s">
        <v>56</v>
      </c>
      <c r="E5" s="15" t="s">
        <v>106</v>
      </c>
      <c r="F5" s="15" t="s">
        <v>101</v>
      </c>
      <c r="G5" s="15" t="s">
        <v>74</v>
      </c>
      <c r="H5" s="15" t="s">
        <v>10</v>
      </c>
      <c r="I5" s="15" t="s">
        <v>102</v>
      </c>
      <c r="J5" s="15" t="s">
        <v>103</v>
      </c>
      <c r="K5" s="15" t="s">
        <v>78</v>
      </c>
      <c r="L5" s="174" t="s">
        <v>11</v>
      </c>
      <c r="M5" s="229" t="s">
        <v>105</v>
      </c>
    </row>
    <row r="6" spans="1:16" x14ac:dyDescent="0.45">
      <c r="A6" s="217" t="s">
        <v>80</v>
      </c>
      <c r="B6" s="253">
        <v>53231952</v>
      </c>
      <c r="C6" s="253">
        <v>41907690</v>
      </c>
      <c r="D6" s="253">
        <v>20121740</v>
      </c>
      <c r="E6" s="253">
        <v>19128715</v>
      </c>
      <c r="F6" s="253">
        <v>5393130</v>
      </c>
      <c r="G6" s="253">
        <v>5393130</v>
      </c>
      <c r="H6" s="253">
        <v>21558914</v>
      </c>
      <c r="I6" s="253">
        <v>2854906</v>
      </c>
      <c r="J6" s="253">
        <v>97993</v>
      </c>
      <c r="K6" s="247">
        <v>337.93</v>
      </c>
      <c r="L6" s="247">
        <v>112.7</v>
      </c>
      <c r="M6" s="254">
        <f t="shared" ref="M6:M26" si="1">D6/$D$26</f>
        <v>1.369635233020053E-2</v>
      </c>
      <c r="O6" s="252"/>
      <c r="P6" s="252"/>
    </row>
    <row r="7" spans="1:16" x14ac:dyDescent="0.45">
      <c r="A7" s="217" t="s">
        <v>16</v>
      </c>
      <c r="B7" s="253">
        <v>108470068</v>
      </c>
      <c r="C7" s="253">
        <v>99392469</v>
      </c>
      <c r="D7" s="253">
        <v>15030798</v>
      </c>
      <c r="E7" s="253">
        <v>3858475</v>
      </c>
      <c r="F7" s="253">
        <v>5330214</v>
      </c>
      <c r="G7" s="253">
        <v>5295344</v>
      </c>
      <c r="H7" s="253">
        <v>8239494</v>
      </c>
      <c r="I7" s="253">
        <v>1374814</v>
      </c>
      <c r="J7" s="253">
        <v>31904</v>
      </c>
      <c r="K7" s="247">
        <v>174.74</v>
      </c>
      <c r="L7" s="247">
        <v>55.24</v>
      </c>
      <c r="M7" s="254">
        <f t="shared" si="1"/>
        <v>1.0231078684650207E-2</v>
      </c>
      <c r="N7" s="236"/>
      <c r="O7" s="252"/>
      <c r="P7" s="252"/>
    </row>
    <row r="8" spans="1:16" x14ac:dyDescent="0.45">
      <c r="A8" s="217" t="s">
        <v>17</v>
      </c>
      <c r="B8" s="253">
        <v>964678187</v>
      </c>
      <c r="C8" s="253">
        <v>761324790</v>
      </c>
      <c r="D8" s="253">
        <v>381887669</v>
      </c>
      <c r="E8" s="253">
        <v>146649930</v>
      </c>
      <c r="F8" s="253">
        <v>162994443</v>
      </c>
      <c r="G8" s="253">
        <v>161184791</v>
      </c>
      <c r="H8" s="253">
        <v>119196828</v>
      </c>
      <c r="I8" s="253">
        <v>62958671</v>
      </c>
      <c r="J8" s="253"/>
      <c r="K8" s="247">
        <v>147.31</v>
      </c>
      <c r="L8" s="247">
        <v>32.119999999999997</v>
      </c>
      <c r="M8" s="254">
        <f t="shared" si="1"/>
        <v>0.25994114153065284</v>
      </c>
      <c r="N8" s="236"/>
      <c r="O8" s="252"/>
      <c r="P8" s="252"/>
    </row>
    <row r="9" spans="1:16" x14ac:dyDescent="0.45">
      <c r="A9" s="217" t="s">
        <v>97</v>
      </c>
      <c r="B9" s="253">
        <v>18216306.07</v>
      </c>
      <c r="C9" s="253">
        <v>24500</v>
      </c>
      <c r="D9" s="253">
        <v>2207946</v>
      </c>
      <c r="E9" s="253">
        <v>2207946</v>
      </c>
      <c r="F9" s="253">
        <v>1286390</v>
      </c>
      <c r="G9" s="255">
        <v>1286390</v>
      </c>
      <c r="H9" s="253">
        <v>2968686</v>
      </c>
      <c r="I9" s="256">
        <v>202110</v>
      </c>
      <c r="J9" s="253">
        <v>0</v>
      </c>
      <c r="K9" s="247"/>
      <c r="L9" s="247"/>
      <c r="M9" s="254">
        <f t="shared" si="1"/>
        <v>1.5028922122071421E-3</v>
      </c>
      <c r="N9" s="236"/>
      <c r="O9" s="252"/>
      <c r="P9" s="252"/>
    </row>
    <row r="10" spans="1:16" x14ac:dyDescent="0.45">
      <c r="A10" s="217" t="s">
        <v>53</v>
      </c>
      <c r="B10" s="253">
        <v>25015925</v>
      </c>
      <c r="C10" s="253">
        <v>15643397</v>
      </c>
      <c r="D10" s="253">
        <v>3433269</v>
      </c>
      <c r="E10" s="253">
        <v>2983087</v>
      </c>
      <c r="F10" s="253"/>
      <c r="G10" s="253">
        <v>0</v>
      </c>
      <c r="H10" s="253">
        <v>5270017</v>
      </c>
      <c r="I10" s="253">
        <v>153958</v>
      </c>
      <c r="J10" s="253"/>
      <c r="K10" s="247">
        <v>437.47</v>
      </c>
      <c r="L10" s="247">
        <v>176.66</v>
      </c>
      <c r="M10" s="254">
        <f t="shared" si="1"/>
        <v>2.3369381508932746E-3</v>
      </c>
      <c r="N10" s="236"/>
      <c r="O10" s="252"/>
      <c r="P10" s="252"/>
    </row>
    <row r="11" spans="1:16" x14ac:dyDescent="0.45">
      <c r="A11" s="217" t="s">
        <v>18</v>
      </c>
      <c r="B11" s="253">
        <v>52623301</v>
      </c>
      <c r="C11" s="253">
        <v>30719195</v>
      </c>
      <c r="D11" s="253">
        <v>13592733</v>
      </c>
      <c r="E11" s="253">
        <v>13560049</v>
      </c>
      <c r="F11" s="253">
        <v>11064963</v>
      </c>
      <c r="G11" s="253">
        <v>11064963</v>
      </c>
      <c r="H11" s="253">
        <v>6792750</v>
      </c>
      <c r="I11" s="253">
        <v>1455111</v>
      </c>
      <c r="J11" s="253"/>
      <c r="K11" s="247">
        <v>104.54</v>
      </c>
      <c r="L11" s="247">
        <v>50.09</v>
      </c>
      <c r="M11" s="254">
        <f t="shared" si="1"/>
        <v>9.2522247230281095E-3</v>
      </c>
      <c r="N11" s="236"/>
      <c r="O11" s="252"/>
      <c r="P11" s="252"/>
    </row>
    <row r="12" spans="1:16" x14ac:dyDescent="0.45">
      <c r="A12" s="217" t="s">
        <v>19</v>
      </c>
      <c r="B12" s="253">
        <v>19991327</v>
      </c>
      <c r="C12" s="253">
        <v>12550817</v>
      </c>
      <c r="D12" s="253">
        <v>9251235</v>
      </c>
      <c r="E12" s="253">
        <v>7590111</v>
      </c>
      <c r="F12" s="253">
        <v>750796</v>
      </c>
      <c r="G12" s="253">
        <v>750796</v>
      </c>
      <c r="H12" s="253">
        <v>6487526</v>
      </c>
      <c r="I12" s="253">
        <v>878291</v>
      </c>
      <c r="J12" s="253"/>
      <c r="K12" s="247">
        <v>388.92</v>
      </c>
      <c r="L12" s="247">
        <v>79.45</v>
      </c>
      <c r="M12" s="254">
        <f t="shared" si="1"/>
        <v>6.2970783863365047E-3</v>
      </c>
      <c r="N12" s="236"/>
      <c r="O12" s="252"/>
      <c r="P12" s="252"/>
    </row>
    <row r="13" spans="1:16" x14ac:dyDescent="0.45">
      <c r="A13" s="217" t="s">
        <v>20</v>
      </c>
      <c r="B13" s="253">
        <v>402549395</v>
      </c>
      <c r="C13" s="253">
        <v>344303067</v>
      </c>
      <c r="D13" s="253">
        <v>109999560</v>
      </c>
      <c r="E13" s="253">
        <v>39147856</v>
      </c>
      <c r="F13" s="253">
        <v>60648091</v>
      </c>
      <c r="G13" s="253">
        <v>60648091</v>
      </c>
      <c r="H13" s="253">
        <v>31160224</v>
      </c>
      <c r="I13" s="253">
        <v>7328758</v>
      </c>
      <c r="J13" s="253">
        <v>0</v>
      </c>
      <c r="K13" s="247">
        <v>213.49</v>
      </c>
      <c r="L13" s="247">
        <v>28.84</v>
      </c>
      <c r="M13" s="254">
        <f t="shared" si="1"/>
        <v>7.4873879193699602E-2</v>
      </c>
      <c r="N13" s="236"/>
      <c r="O13" s="252"/>
      <c r="P13" s="252"/>
    </row>
    <row r="14" spans="1:16" x14ac:dyDescent="0.45">
      <c r="A14" s="217" t="s">
        <v>47</v>
      </c>
      <c r="B14" s="253">
        <v>65472233</v>
      </c>
      <c r="C14" s="253">
        <v>47882692</v>
      </c>
      <c r="D14" s="253">
        <v>1819363</v>
      </c>
      <c r="E14" s="253">
        <v>663350</v>
      </c>
      <c r="F14" s="253">
        <v>585996</v>
      </c>
      <c r="G14" s="253">
        <v>585996</v>
      </c>
      <c r="H14" s="253">
        <v>2968348</v>
      </c>
      <c r="I14" s="253">
        <v>271400</v>
      </c>
      <c r="J14" s="253">
        <v>108</v>
      </c>
      <c r="K14" s="247">
        <v>332.58</v>
      </c>
      <c r="L14" s="247">
        <v>169.14</v>
      </c>
      <c r="M14" s="254">
        <f t="shared" si="1"/>
        <v>1.2383937305884395E-3</v>
      </c>
      <c r="N14" s="236"/>
      <c r="O14" s="252"/>
      <c r="P14" s="252"/>
    </row>
    <row r="15" spans="1:16" x14ac:dyDescent="0.45">
      <c r="A15" s="217" t="s">
        <v>64</v>
      </c>
      <c r="B15" s="253">
        <v>25535982</v>
      </c>
      <c r="C15" s="253">
        <v>16307282</v>
      </c>
      <c r="D15" s="253">
        <v>7926298</v>
      </c>
      <c r="E15" s="253">
        <v>5900935</v>
      </c>
      <c r="F15" s="253">
        <v>1948498</v>
      </c>
      <c r="G15" s="253">
        <v>1948498</v>
      </c>
      <c r="H15" s="253">
        <v>12756077</v>
      </c>
      <c r="I15" s="253">
        <v>1922441</v>
      </c>
      <c r="J15" s="253"/>
      <c r="K15" s="247">
        <v>872.81</v>
      </c>
      <c r="L15" s="247">
        <v>185.57</v>
      </c>
      <c r="M15" s="254">
        <f t="shared" si="1"/>
        <v>5.3952277527770359E-3</v>
      </c>
      <c r="N15" s="236"/>
      <c r="O15" s="252"/>
      <c r="P15" s="252"/>
    </row>
    <row r="16" spans="1:16" x14ac:dyDescent="0.45">
      <c r="A16" s="217" t="s">
        <v>21</v>
      </c>
      <c r="B16" s="253">
        <v>208270040</v>
      </c>
      <c r="C16" s="253">
        <v>191457084</v>
      </c>
      <c r="D16" s="253">
        <v>69178634</v>
      </c>
      <c r="E16" s="253">
        <v>37573980</v>
      </c>
      <c r="F16" s="253">
        <v>24227957</v>
      </c>
      <c r="G16" s="253">
        <v>23142952</v>
      </c>
      <c r="H16" s="253">
        <v>35291207</v>
      </c>
      <c r="I16" s="253">
        <v>22334417</v>
      </c>
      <c r="J16" s="253"/>
      <c r="K16" s="247">
        <v>144.88999999999999</v>
      </c>
      <c r="L16" s="247">
        <v>52.65</v>
      </c>
      <c r="M16" s="254">
        <f t="shared" si="1"/>
        <v>4.7088121851588859E-2</v>
      </c>
      <c r="N16" s="236"/>
      <c r="O16" s="252"/>
      <c r="P16" s="252"/>
    </row>
    <row r="17" spans="1:16" x14ac:dyDescent="0.45">
      <c r="A17" s="217" t="s">
        <v>98</v>
      </c>
      <c r="B17" s="253">
        <v>104864096</v>
      </c>
      <c r="C17" s="253">
        <v>67556682</v>
      </c>
      <c r="D17" s="253">
        <v>56620259</v>
      </c>
      <c r="E17" s="253">
        <v>55866725</v>
      </c>
      <c r="F17" s="253">
        <v>18770776</v>
      </c>
      <c r="G17" s="253">
        <v>18488197</v>
      </c>
      <c r="H17" s="253">
        <v>25772316</v>
      </c>
      <c r="I17" s="253">
        <v>6987278</v>
      </c>
      <c r="J17" s="253">
        <v>41489</v>
      </c>
      <c r="K17" s="247">
        <v>169.4</v>
      </c>
      <c r="L17" s="247">
        <v>46.13</v>
      </c>
      <c r="M17" s="254">
        <f t="shared" si="1"/>
        <v>3.8539958089668563E-2</v>
      </c>
      <c r="N17" s="236"/>
      <c r="O17" s="252"/>
      <c r="P17" s="252"/>
    </row>
    <row r="18" spans="1:16" x14ac:dyDescent="0.45">
      <c r="A18" s="217" t="s">
        <v>22</v>
      </c>
      <c r="B18" s="253">
        <v>293021138</v>
      </c>
      <c r="C18" s="253">
        <v>251799980</v>
      </c>
      <c r="D18" s="253">
        <v>63378879</v>
      </c>
      <c r="E18" s="253">
        <v>61443575</v>
      </c>
      <c r="F18" s="253">
        <v>43516665</v>
      </c>
      <c r="G18" s="253">
        <v>43016982</v>
      </c>
      <c r="H18" s="253">
        <v>21689948</v>
      </c>
      <c r="I18" s="253">
        <v>4631757</v>
      </c>
      <c r="J18" s="253">
        <v>9880</v>
      </c>
      <c r="K18" s="247">
        <v>121.59</v>
      </c>
      <c r="L18" s="247">
        <v>35.299999999999997</v>
      </c>
      <c r="M18" s="254">
        <f t="shared" si="1"/>
        <v>4.3140377376765002E-2</v>
      </c>
      <c r="N18" s="236"/>
      <c r="O18" s="252"/>
      <c r="P18" s="252"/>
    </row>
    <row r="19" spans="1:16" x14ac:dyDescent="0.45">
      <c r="A19" s="217" t="s">
        <v>23</v>
      </c>
      <c r="B19" s="253">
        <v>41847124</v>
      </c>
      <c r="C19" s="253">
        <v>29292445</v>
      </c>
      <c r="D19" s="253">
        <v>20752384</v>
      </c>
      <c r="E19" s="253">
        <v>941831</v>
      </c>
      <c r="F19" s="253">
        <v>12703712</v>
      </c>
      <c r="G19" s="253">
        <v>12603636</v>
      </c>
      <c r="H19" s="253">
        <v>7495871</v>
      </c>
      <c r="I19" s="253">
        <v>1221680</v>
      </c>
      <c r="J19" s="253">
        <v>0</v>
      </c>
      <c r="K19" s="247">
        <v>192.01</v>
      </c>
      <c r="L19" s="247">
        <v>36.770000000000003</v>
      </c>
      <c r="M19" s="254">
        <f t="shared" si="1"/>
        <v>1.4125615526073599E-2</v>
      </c>
      <c r="N19" s="236"/>
      <c r="O19" s="252"/>
      <c r="P19" s="252"/>
    </row>
    <row r="20" spans="1:16" x14ac:dyDescent="0.45">
      <c r="A20" s="217" t="s">
        <v>24</v>
      </c>
      <c r="B20" s="253">
        <v>236689422</v>
      </c>
      <c r="C20" s="253">
        <v>174980192</v>
      </c>
      <c r="D20" s="253">
        <v>114864935</v>
      </c>
      <c r="E20" s="253">
        <v>79598224</v>
      </c>
      <c r="F20" s="253">
        <v>23822866</v>
      </c>
      <c r="G20" s="253">
        <v>23822866</v>
      </c>
      <c r="H20" s="253">
        <v>63526568</v>
      </c>
      <c r="I20" s="253">
        <v>26799359</v>
      </c>
      <c r="J20" s="253">
        <v>559687</v>
      </c>
      <c r="K20" s="247">
        <v>138.19</v>
      </c>
      <c r="L20" s="247">
        <v>56.51</v>
      </c>
      <c r="M20" s="254">
        <f t="shared" si="1"/>
        <v>7.8185615167753006E-2</v>
      </c>
      <c r="N20" s="236"/>
      <c r="O20" s="252"/>
      <c r="P20" s="252"/>
    </row>
    <row r="21" spans="1:16" x14ac:dyDescent="0.45">
      <c r="A21" s="217" t="s">
        <v>25</v>
      </c>
      <c r="B21" s="253">
        <v>66911361</v>
      </c>
      <c r="C21" s="253">
        <v>60114374</v>
      </c>
      <c r="D21" s="253">
        <v>16744672</v>
      </c>
      <c r="E21" s="253">
        <v>7322142</v>
      </c>
      <c r="F21" s="253">
        <v>9750467</v>
      </c>
      <c r="G21" s="253">
        <v>9750467</v>
      </c>
      <c r="H21" s="253">
        <v>6261004</v>
      </c>
      <c r="I21" s="253">
        <v>475204</v>
      </c>
      <c r="J21" s="253"/>
      <c r="K21" s="247">
        <v>120.98</v>
      </c>
      <c r="L21" s="247">
        <v>37.56</v>
      </c>
      <c r="M21" s="254">
        <f t="shared" si="1"/>
        <v>1.1397668758548892E-2</v>
      </c>
      <c r="N21" s="236"/>
      <c r="O21" s="252"/>
      <c r="P21" s="252"/>
    </row>
    <row r="22" spans="1:16" x14ac:dyDescent="0.45">
      <c r="A22" s="217" t="s">
        <v>26</v>
      </c>
      <c r="B22" s="253">
        <v>23129842</v>
      </c>
      <c r="C22" s="253">
        <v>19724966</v>
      </c>
      <c r="D22" s="253">
        <v>19310421</v>
      </c>
      <c r="E22" s="253">
        <v>9384993</v>
      </c>
      <c r="F22" s="253">
        <v>4163674</v>
      </c>
      <c r="G22" s="253">
        <v>4163674</v>
      </c>
      <c r="H22" s="253">
        <v>7952038</v>
      </c>
      <c r="I22" s="253">
        <v>3614490</v>
      </c>
      <c r="J22" s="253"/>
      <c r="K22" s="247">
        <v>389.96</v>
      </c>
      <c r="L22" s="247">
        <v>70.819999999999993</v>
      </c>
      <c r="M22" s="254">
        <f t="shared" si="1"/>
        <v>1.3144108295828455E-2</v>
      </c>
      <c r="N22" s="236"/>
      <c r="O22" s="252"/>
      <c r="P22" s="252"/>
    </row>
    <row r="23" spans="1:16" x14ac:dyDescent="0.45">
      <c r="A23" s="217" t="s">
        <v>27</v>
      </c>
      <c r="B23" s="255">
        <v>806966463.83000004</v>
      </c>
      <c r="C23" s="255">
        <v>52390938.678999998</v>
      </c>
      <c r="D23" s="253">
        <v>293257162</v>
      </c>
      <c r="E23" s="255">
        <v>291694677.30020058</v>
      </c>
      <c r="F23" s="257">
        <v>195887016.28999999</v>
      </c>
      <c r="G23" s="253">
        <v>195449585</v>
      </c>
      <c r="H23" s="253">
        <v>69629539</v>
      </c>
      <c r="I23" s="253">
        <v>16701661</v>
      </c>
      <c r="J23" s="253">
        <v>325430</v>
      </c>
      <c r="K23" s="247">
        <v>112.13</v>
      </c>
      <c r="L23" s="247">
        <v>23.87</v>
      </c>
      <c r="M23" s="254">
        <f t="shared" si="1"/>
        <v>0.19961262863483448</v>
      </c>
      <c r="N23" s="236"/>
      <c r="O23" s="252"/>
      <c r="P23" s="252"/>
    </row>
    <row r="24" spans="1:16" x14ac:dyDescent="0.45">
      <c r="A24" s="217" t="s">
        <v>28</v>
      </c>
      <c r="B24" s="253">
        <v>803399049</v>
      </c>
      <c r="C24" s="253">
        <v>714033988</v>
      </c>
      <c r="D24" s="253">
        <v>233798414</v>
      </c>
      <c r="E24" s="253">
        <v>230618359</v>
      </c>
      <c r="F24" s="253">
        <v>93431583</v>
      </c>
      <c r="G24" s="253">
        <v>93431583</v>
      </c>
      <c r="H24" s="253">
        <v>63109345</v>
      </c>
      <c r="I24" s="253">
        <v>28310651</v>
      </c>
      <c r="J24" s="253">
        <v>826718</v>
      </c>
      <c r="K24" s="247">
        <v>126.52</v>
      </c>
      <c r="L24" s="247">
        <v>27.37</v>
      </c>
      <c r="M24" s="254">
        <f t="shared" si="1"/>
        <v>0.15914058388519522</v>
      </c>
      <c r="N24" s="236"/>
      <c r="O24" s="252"/>
      <c r="P24" s="252"/>
    </row>
    <row r="25" spans="1:16" x14ac:dyDescent="0.45">
      <c r="A25" s="217" t="s">
        <v>31</v>
      </c>
      <c r="B25" s="253">
        <v>32069653</v>
      </c>
      <c r="C25" s="253">
        <v>21329030</v>
      </c>
      <c r="D25" s="253">
        <v>15954936</v>
      </c>
      <c r="E25" s="253">
        <v>3214846</v>
      </c>
      <c r="F25" s="253">
        <v>6115000</v>
      </c>
      <c r="G25" s="253">
        <v>6052264</v>
      </c>
      <c r="H25" s="253">
        <v>5814205</v>
      </c>
      <c r="I25" s="253">
        <v>1470757</v>
      </c>
      <c r="J25" s="253">
        <v>2545239</v>
      </c>
      <c r="K25" s="247">
        <v>242.42</v>
      </c>
      <c r="L25" s="247">
        <v>72.67</v>
      </c>
      <c r="M25" s="254">
        <f t="shared" si="1"/>
        <v>1.0860115718710227E-2</v>
      </c>
      <c r="N25" s="236"/>
      <c r="O25" s="252"/>
      <c r="P25" s="252"/>
    </row>
    <row r="26" spans="1:16" x14ac:dyDescent="0.45">
      <c r="A26" s="249" t="s">
        <v>92</v>
      </c>
      <c r="B26" s="242">
        <f>SUM(B6:B25)</f>
        <v>4352952864.8999996</v>
      </c>
      <c r="C26" s="242">
        <f t="shared" ref="C26:J26" si="2">SUM(C6:C25)</f>
        <v>2952735578.6789999</v>
      </c>
      <c r="D26" s="242">
        <f>SUM(D6:D25)</f>
        <v>1469131307</v>
      </c>
      <c r="E26" s="242">
        <f t="shared" si="2"/>
        <v>1019349806.3002006</v>
      </c>
      <c r="F26" s="242">
        <f t="shared" si="2"/>
        <v>682392237.28999996</v>
      </c>
      <c r="G26" s="242">
        <f t="shared" si="2"/>
        <v>678080205</v>
      </c>
      <c r="H26" s="242">
        <f t="shared" si="2"/>
        <v>523940905</v>
      </c>
      <c r="I26" s="242">
        <f t="shared" si="2"/>
        <v>191947714</v>
      </c>
      <c r="J26" s="242">
        <f t="shared" si="2"/>
        <v>4438448</v>
      </c>
      <c r="M26">
        <f t="shared" si="1"/>
        <v>1</v>
      </c>
    </row>
    <row r="32" spans="1:16" x14ac:dyDescent="0.45">
      <c r="B32" s="250"/>
    </row>
  </sheetData>
  <mergeCells count="1">
    <mergeCell ref="A1:M1"/>
  </mergeCells>
  <dataValidations count="1">
    <dataValidation type="list" allowBlank="1" showInputMessage="1" showErrorMessage="1" sqref="A3" xr:uid="{00000000-0002-0000-2100-000000000000}">
      <formula1>$A$6:$A$25</formula1>
    </dataValidation>
  </dataValidations>
  <pageMargins left="0.7" right="0.7" top="0.75" bottom="0.75" header="0.3" footer="0.3"/>
  <customProperties>
    <customPr name="LastActive" r:id="rId1"/>
  </customProperties>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tabColor rgb="FF7030A0"/>
  </sheetPr>
  <dimension ref="A1:O32"/>
  <sheetViews>
    <sheetView workbookViewId="0">
      <selection activeCell="D2" sqref="D1:D1048576"/>
    </sheetView>
  </sheetViews>
  <sheetFormatPr defaultRowHeight="14.25" x14ac:dyDescent="0.45"/>
  <cols>
    <col min="1" max="1" width="45.3984375" bestFit="1" customWidth="1"/>
    <col min="2" max="2" width="14.265625" bestFit="1" customWidth="1"/>
    <col min="3" max="3" width="16" customWidth="1"/>
    <col min="4" max="4" width="14.73046875" customWidth="1"/>
    <col min="5" max="5" width="15.265625" customWidth="1"/>
    <col min="6" max="6" width="13.265625" bestFit="1" customWidth="1"/>
    <col min="7" max="7" width="12.73046875" bestFit="1" customWidth="1"/>
    <col min="8" max="9" width="12.3984375" bestFit="1" customWidth="1"/>
    <col min="10" max="10" width="12.265625" bestFit="1" customWidth="1"/>
    <col min="11" max="11" width="12" bestFit="1" customWidth="1"/>
    <col min="12" max="12" width="11.265625" bestFit="1" customWidth="1"/>
    <col min="13" max="13" width="10.265625" customWidth="1"/>
  </cols>
  <sheetData>
    <row r="1" spans="1:15" ht="22.9" x14ac:dyDescent="1.2">
      <c r="A1" s="390" t="s">
        <v>99</v>
      </c>
      <c r="B1" s="390"/>
      <c r="C1" s="390"/>
      <c r="D1" s="390"/>
      <c r="E1" s="390"/>
      <c r="F1" s="390"/>
      <c r="G1" s="390"/>
      <c r="H1" s="390"/>
      <c r="I1" s="390"/>
      <c r="J1" s="390"/>
      <c r="K1" s="390"/>
      <c r="L1" s="390"/>
      <c r="M1" s="390"/>
    </row>
    <row r="2" spans="1:15" ht="21.75" x14ac:dyDescent="0.45">
      <c r="A2" s="239" t="s">
        <v>60</v>
      </c>
      <c r="B2" s="215" t="s">
        <v>13</v>
      </c>
      <c r="C2" s="215" t="s">
        <v>79</v>
      </c>
      <c r="D2" s="215" t="s">
        <v>56</v>
      </c>
      <c r="E2" s="215" t="s">
        <v>100</v>
      </c>
      <c r="F2" s="215" t="s">
        <v>101</v>
      </c>
      <c r="G2" s="215" t="s">
        <v>74</v>
      </c>
      <c r="H2" s="230" t="s">
        <v>10</v>
      </c>
      <c r="I2" s="215" t="s">
        <v>102</v>
      </c>
      <c r="J2" s="215" t="s">
        <v>103</v>
      </c>
      <c r="K2" s="215" t="s">
        <v>78</v>
      </c>
      <c r="L2" s="215" t="s">
        <v>11</v>
      </c>
      <c r="M2" s="231" t="s">
        <v>12</v>
      </c>
    </row>
    <row r="3" spans="1:15" x14ac:dyDescent="0.45">
      <c r="A3" s="240" t="s">
        <v>23</v>
      </c>
      <c r="B3" s="246">
        <f t="shared" ref="B3:L3" si="0">INDEX(B6:B25,MATCH($A$3,$A$6:$A$25,0))</f>
        <v>42892865</v>
      </c>
      <c r="C3" s="246">
        <f t="shared" si="0"/>
        <v>32649556</v>
      </c>
      <c r="D3" s="246">
        <f>INDEX(D6:D25,MATCH($A$3,$A$6:$A$25,0))</f>
        <v>30184806</v>
      </c>
      <c r="E3" s="246">
        <f t="shared" si="0"/>
        <v>1079324.8500000001</v>
      </c>
      <c r="F3" s="246">
        <f t="shared" si="0"/>
        <v>17784327</v>
      </c>
      <c r="G3" s="246">
        <f t="shared" si="0"/>
        <v>17588727.32</v>
      </c>
      <c r="H3" s="246">
        <f t="shared" si="0"/>
        <v>11128886</v>
      </c>
      <c r="I3" s="246">
        <f t="shared" si="0"/>
        <v>2067806</v>
      </c>
      <c r="J3" s="246">
        <f t="shared" si="0"/>
        <v>0</v>
      </c>
      <c r="K3" s="238">
        <f t="shared" si="0"/>
        <v>222.69</v>
      </c>
      <c r="L3" s="238">
        <f t="shared" si="0"/>
        <v>37.340000000000003</v>
      </c>
      <c r="M3" s="254">
        <f>INDEX(M6:M25,MATCH($A$3,$A$6:$A$25,0))/100</f>
        <v>1.510153243088274E-2</v>
      </c>
    </row>
    <row r="4" spans="1:15" x14ac:dyDescent="0.45">
      <c r="A4" s="34"/>
    </row>
    <row r="5" spans="1:15" ht="57" x14ac:dyDescent="0.45">
      <c r="A5" s="205" t="s">
        <v>60</v>
      </c>
      <c r="B5" s="15" t="s">
        <v>13</v>
      </c>
      <c r="C5" s="15" t="s">
        <v>79</v>
      </c>
      <c r="D5" s="15" t="s">
        <v>56</v>
      </c>
      <c r="E5" s="15" t="s">
        <v>106</v>
      </c>
      <c r="F5" s="15" t="s">
        <v>101</v>
      </c>
      <c r="G5" s="15" t="s">
        <v>74</v>
      </c>
      <c r="H5" s="15" t="s">
        <v>10</v>
      </c>
      <c r="I5" s="15" t="s">
        <v>102</v>
      </c>
      <c r="J5" s="15" t="s">
        <v>103</v>
      </c>
      <c r="K5" s="15" t="s">
        <v>78</v>
      </c>
      <c r="L5" s="174" t="s">
        <v>11</v>
      </c>
      <c r="M5" s="229" t="s">
        <v>105</v>
      </c>
    </row>
    <row r="6" spans="1:15" x14ac:dyDescent="0.45">
      <c r="A6" s="217" t="s">
        <v>80</v>
      </c>
      <c r="B6" s="253">
        <v>52178200.359999999</v>
      </c>
      <c r="C6" s="253">
        <v>41807688.778543957</v>
      </c>
      <c r="D6" s="253">
        <v>31661974</v>
      </c>
      <c r="E6" s="253">
        <v>30420715</v>
      </c>
      <c r="F6" s="253">
        <v>7911625</v>
      </c>
      <c r="G6" s="253">
        <v>7911625</v>
      </c>
      <c r="H6" s="253">
        <v>33007193.119999997</v>
      </c>
      <c r="I6" s="253">
        <v>3772233</v>
      </c>
      <c r="J6" s="253">
        <v>0</v>
      </c>
      <c r="K6" s="247">
        <v>256.24</v>
      </c>
      <c r="L6" s="247">
        <v>108.5</v>
      </c>
      <c r="M6" s="258">
        <v>1.5840563202121163</v>
      </c>
      <c r="O6" s="252"/>
    </row>
    <row r="7" spans="1:15" x14ac:dyDescent="0.45">
      <c r="A7" s="217" t="s">
        <v>16</v>
      </c>
      <c r="B7" s="253">
        <v>122372583</v>
      </c>
      <c r="C7" s="253">
        <v>111785101</v>
      </c>
      <c r="D7" s="253">
        <v>19778490</v>
      </c>
      <c r="E7" s="253">
        <v>5156747</v>
      </c>
      <c r="F7" s="253">
        <v>8491453</v>
      </c>
      <c r="G7" s="253">
        <v>8452432</v>
      </c>
      <c r="H7" s="253">
        <v>12158965</v>
      </c>
      <c r="I7" s="253">
        <v>1812825</v>
      </c>
      <c r="J7" s="253">
        <v>31867</v>
      </c>
      <c r="K7" s="247">
        <v>193.12</v>
      </c>
      <c r="L7" s="247">
        <v>61.85</v>
      </c>
      <c r="M7" s="258">
        <v>0.9895227028091218</v>
      </c>
      <c r="N7" s="236"/>
      <c r="O7" s="252"/>
    </row>
    <row r="8" spans="1:15" x14ac:dyDescent="0.45">
      <c r="A8" s="217" t="s">
        <v>17</v>
      </c>
      <c r="B8" s="253">
        <v>1011702095</v>
      </c>
      <c r="C8" s="253">
        <v>820241137</v>
      </c>
      <c r="D8" s="253">
        <v>521269920</v>
      </c>
      <c r="E8" s="253">
        <v>219416221</v>
      </c>
      <c r="F8" s="253">
        <v>198593175</v>
      </c>
      <c r="G8" s="253">
        <v>194433798</v>
      </c>
      <c r="H8" s="253">
        <v>157445847</v>
      </c>
      <c r="I8" s="253">
        <v>84560303</v>
      </c>
      <c r="J8" s="253"/>
      <c r="K8" s="247">
        <v>147.61000000000001</v>
      </c>
      <c r="L8" s="247">
        <v>31.03</v>
      </c>
      <c r="M8" s="258">
        <v>26.079261871431775</v>
      </c>
      <c r="N8" s="236"/>
      <c r="O8" s="252"/>
    </row>
    <row r="9" spans="1:15" x14ac:dyDescent="0.45">
      <c r="A9" s="217" t="s">
        <v>97</v>
      </c>
      <c r="B9" s="253">
        <v>18310366</v>
      </c>
      <c r="C9" s="253">
        <v>8974861</v>
      </c>
      <c r="D9" s="253">
        <v>3299178</v>
      </c>
      <c r="E9" s="253">
        <v>3292018</v>
      </c>
      <c r="F9" s="253">
        <v>1975484</v>
      </c>
      <c r="G9" s="255">
        <v>1975484</v>
      </c>
      <c r="H9" s="253"/>
      <c r="I9" s="256">
        <v>257065</v>
      </c>
      <c r="J9" s="253"/>
      <c r="K9" s="247">
        <v>558.71</v>
      </c>
      <c r="L9" s="247">
        <v>114.43</v>
      </c>
      <c r="M9" s="258">
        <v>0.16505868403545432</v>
      </c>
      <c r="N9" s="236"/>
      <c r="O9" s="252"/>
    </row>
    <row r="10" spans="1:15" x14ac:dyDescent="0.45">
      <c r="A10" s="217" t="s">
        <v>53</v>
      </c>
      <c r="B10" s="253">
        <v>25342214</v>
      </c>
      <c r="C10" s="253">
        <v>15391294</v>
      </c>
      <c r="D10" s="253">
        <v>5068220</v>
      </c>
      <c r="E10" s="253">
        <v>4287631</v>
      </c>
      <c r="F10" s="253">
        <v>0</v>
      </c>
      <c r="G10" s="253">
        <v>0</v>
      </c>
      <c r="H10" s="253">
        <v>7528266</v>
      </c>
      <c r="I10" s="253">
        <v>183558</v>
      </c>
      <c r="J10" s="253"/>
      <c r="K10" s="247">
        <v>385.78</v>
      </c>
      <c r="L10" s="247">
        <v>175.58</v>
      </c>
      <c r="M10" s="258">
        <v>0.253564288923535</v>
      </c>
      <c r="N10" s="236"/>
      <c r="O10" s="252"/>
    </row>
    <row r="11" spans="1:15" x14ac:dyDescent="0.45">
      <c r="A11" s="217" t="s">
        <v>18</v>
      </c>
      <c r="B11" s="253"/>
      <c r="C11" s="253"/>
      <c r="D11" s="253">
        <v>0</v>
      </c>
      <c r="E11" s="253"/>
      <c r="F11" s="253"/>
      <c r="G11" s="253"/>
      <c r="H11" s="253"/>
      <c r="I11" s="253"/>
      <c r="J11" s="253"/>
      <c r="K11" s="247"/>
      <c r="L11" s="247"/>
      <c r="M11" s="258">
        <v>0</v>
      </c>
      <c r="N11" s="236"/>
      <c r="O11" s="252"/>
    </row>
    <row r="12" spans="1:15" x14ac:dyDescent="0.45">
      <c r="A12" s="217" t="s">
        <v>19</v>
      </c>
      <c r="B12" s="253">
        <v>17377462</v>
      </c>
      <c r="C12" s="253">
        <v>10175632</v>
      </c>
      <c r="D12" s="253">
        <v>11762259</v>
      </c>
      <c r="E12" s="253">
        <v>504926</v>
      </c>
      <c r="F12" s="253">
        <v>1236843</v>
      </c>
      <c r="G12" s="253">
        <v>1236843</v>
      </c>
      <c r="H12" s="253">
        <v>10613989</v>
      </c>
      <c r="I12" s="253">
        <v>2371498</v>
      </c>
      <c r="J12" s="253"/>
      <c r="K12" s="247">
        <v>316.69</v>
      </c>
      <c r="L12" s="247">
        <v>108.33</v>
      </c>
      <c r="M12" s="258">
        <v>0.58846870093828796</v>
      </c>
      <c r="N12" s="236"/>
      <c r="O12" s="252"/>
    </row>
    <row r="13" spans="1:15" x14ac:dyDescent="0.45">
      <c r="A13" s="217" t="s">
        <v>20</v>
      </c>
      <c r="B13" s="253">
        <v>407233543</v>
      </c>
      <c r="C13" s="253">
        <v>345255533</v>
      </c>
      <c r="D13" s="253">
        <v>148933613</v>
      </c>
      <c r="E13" s="253">
        <v>54265343</v>
      </c>
      <c r="F13" s="253">
        <v>83516849</v>
      </c>
      <c r="G13" s="253">
        <v>83516849</v>
      </c>
      <c r="H13" s="253">
        <v>44958745</v>
      </c>
      <c r="I13" s="253">
        <v>10178260</v>
      </c>
      <c r="J13" s="253"/>
      <c r="K13" s="247">
        <v>207.17</v>
      </c>
      <c r="L13" s="247">
        <v>30.7</v>
      </c>
      <c r="M13" s="258">
        <v>7.4511851650397869</v>
      </c>
      <c r="N13" s="236"/>
      <c r="O13" s="252"/>
    </row>
    <row r="14" spans="1:15" x14ac:dyDescent="0.45">
      <c r="A14" s="217" t="s">
        <v>47</v>
      </c>
      <c r="B14" s="253">
        <v>78272918.790000007</v>
      </c>
      <c r="C14" s="253">
        <v>48500365.589999996</v>
      </c>
      <c r="D14" s="253">
        <v>2986526</v>
      </c>
      <c r="E14" s="253">
        <v>992511.12</v>
      </c>
      <c r="F14" s="253">
        <v>1293645.8</v>
      </c>
      <c r="G14" s="253">
        <v>1293645.8</v>
      </c>
      <c r="H14" s="253">
        <v>3987975.19</v>
      </c>
      <c r="I14" s="253">
        <v>359890.19</v>
      </c>
      <c r="J14" s="253">
        <v>58954.54</v>
      </c>
      <c r="K14" s="247">
        <v>335.05</v>
      </c>
      <c r="L14" s="247">
        <v>140.22</v>
      </c>
      <c r="M14" s="258">
        <v>0.14941662783810672</v>
      </c>
      <c r="N14" s="236"/>
      <c r="O14" s="252"/>
    </row>
    <row r="15" spans="1:15" x14ac:dyDescent="0.45">
      <c r="A15" s="217" t="s">
        <v>64</v>
      </c>
      <c r="B15" s="253">
        <v>37298479</v>
      </c>
      <c r="C15" s="253">
        <v>13410201</v>
      </c>
      <c r="D15" s="253">
        <v>14326831</v>
      </c>
      <c r="E15" s="253">
        <v>8537748</v>
      </c>
      <c r="F15" s="253">
        <v>4103243</v>
      </c>
      <c r="G15" s="253">
        <v>4103243</v>
      </c>
      <c r="H15" s="253">
        <v>18362444</v>
      </c>
      <c r="I15" s="253">
        <v>2684399</v>
      </c>
      <c r="J15" s="253"/>
      <c r="K15" s="247">
        <v>834.78</v>
      </c>
      <c r="L15" s="247">
        <v>181.17</v>
      </c>
      <c r="M15" s="258">
        <v>0.7167748667269096</v>
      </c>
      <c r="N15" s="236"/>
      <c r="O15" s="252"/>
    </row>
    <row r="16" spans="1:15" x14ac:dyDescent="0.45">
      <c r="A16" s="217" t="s">
        <v>21</v>
      </c>
      <c r="B16" s="253">
        <v>222365833</v>
      </c>
      <c r="C16" s="253">
        <v>202340096</v>
      </c>
      <c r="D16" s="253">
        <v>99330285</v>
      </c>
      <c r="E16" s="253">
        <v>56320526</v>
      </c>
      <c r="F16" s="253">
        <v>33084081</v>
      </c>
      <c r="G16" s="253">
        <v>31431252</v>
      </c>
      <c r="H16" s="253">
        <v>52708413</v>
      </c>
      <c r="I16" s="253">
        <v>35645624</v>
      </c>
      <c r="J16" s="253"/>
      <c r="K16" s="247">
        <v>142.46</v>
      </c>
      <c r="L16" s="247">
        <v>54.53</v>
      </c>
      <c r="M16" s="258">
        <v>4.9695185064178489</v>
      </c>
      <c r="N16" s="236"/>
      <c r="O16" s="252"/>
    </row>
    <row r="17" spans="1:15" x14ac:dyDescent="0.45">
      <c r="A17" s="217" t="s">
        <v>98</v>
      </c>
      <c r="B17" s="253">
        <v>117321576</v>
      </c>
      <c r="C17" s="253">
        <v>72913859</v>
      </c>
      <c r="D17" s="253">
        <v>80703173</v>
      </c>
      <c r="E17" s="253">
        <v>59429627</v>
      </c>
      <c r="F17" s="253">
        <v>24875594</v>
      </c>
      <c r="G17" s="253">
        <v>24370684</v>
      </c>
      <c r="H17" s="253">
        <v>36105027</v>
      </c>
      <c r="I17" s="253">
        <v>10891019</v>
      </c>
      <c r="J17" s="253">
        <v>171664</v>
      </c>
      <c r="K17" s="247">
        <v>166.56</v>
      </c>
      <c r="L17" s="247">
        <v>45.37</v>
      </c>
      <c r="M17" s="258">
        <v>4.0375995271748319</v>
      </c>
      <c r="N17" s="236"/>
      <c r="O17" s="252"/>
    </row>
    <row r="18" spans="1:15" x14ac:dyDescent="0.45">
      <c r="A18" s="217" t="s">
        <v>22</v>
      </c>
      <c r="B18" s="253">
        <v>307121107</v>
      </c>
      <c r="C18" s="253">
        <v>269633766</v>
      </c>
      <c r="D18" s="253">
        <v>83184178</v>
      </c>
      <c r="E18" s="253">
        <v>16649742</v>
      </c>
      <c r="F18" s="253">
        <v>53712232</v>
      </c>
      <c r="G18" s="253">
        <v>53380628</v>
      </c>
      <c r="H18" s="253">
        <v>31664403</v>
      </c>
      <c r="I18" s="253">
        <v>6971123</v>
      </c>
      <c r="J18" s="253">
        <v>0</v>
      </c>
      <c r="K18" s="247">
        <v>126.12</v>
      </c>
      <c r="L18" s="247">
        <v>39.36</v>
      </c>
      <c r="M18" s="258">
        <v>4.1617248154694861</v>
      </c>
      <c r="N18" s="236"/>
      <c r="O18" s="252"/>
    </row>
    <row r="19" spans="1:15" x14ac:dyDescent="0.45">
      <c r="A19" s="217" t="s">
        <v>23</v>
      </c>
      <c r="B19" s="253">
        <v>42892865</v>
      </c>
      <c r="C19" s="253">
        <v>32649556</v>
      </c>
      <c r="D19" s="253">
        <v>30184806</v>
      </c>
      <c r="E19" s="253">
        <v>1079324.8500000001</v>
      </c>
      <c r="F19" s="253">
        <v>17784327</v>
      </c>
      <c r="G19" s="253">
        <v>17588727.32</v>
      </c>
      <c r="H19" s="253">
        <v>11128886</v>
      </c>
      <c r="I19" s="253">
        <v>2067806</v>
      </c>
      <c r="J19" s="253"/>
      <c r="K19" s="247">
        <v>222.69</v>
      </c>
      <c r="L19" s="247">
        <v>37.340000000000003</v>
      </c>
      <c r="M19" s="258">
        <v>1.510153243088274</v>
      </c>
      <c r="N19" s="236"/>
      <c r="O19" s="252"/>
    </row>
    <row r="20" spans="1:15" x14ac:dyDescent="0.45">
      <c r="A20" s="217" t="s">
        <v>24</v>
      </c>
      <c r="B20" s="253">
        <v>257376731</v>
      </c>
      <c r="C20" s="253">
        <v>203314647</v>
      </c>
      <c r="D20" s="253">
        <v>157742893</v>
      </c>
      <c r="E20" s="253">
        <v>100194992</v>
      </c>
      <c r="F20" s="253">
        <v>33135520</v>
      </c>
      <c r="G20" s="253">
        <v>33135520</v>
      </c>
      <c r="H20" s="253">
        <v>80217174</v>
      </c>
      <c r="I20" s="253">
        <v>34461211</v>
      </c>
      <c r="J20" s="253">
        <v>558799</v>
      </c>
      <c r="K20" s="247">
        <v>135.83000000000001</v>
      </c>
      <c r="L20" s="247">
        <v>51.76</v>
      </c>
      <c r="M20" s="258">
        <v>7.8919156027730173</v>
      </c>
      <c r="N20" s="236"/>
      <c r="O20" s="252"/>
    </row>
    <row r="21" spans="1:15" x14ac:dyDescent="0.45">
      <c r="A21" s="217" t="s">
        <v>25</v>
      </c>
      <c r="B21" s="253">
        <v>70385099</v>
      </c>
      <c r="C21" s="253">
        <v>62950062</v>
      </c>
      <c r="D21" s="253">
        <v>24216503</v>
      </c>
      <c r="E21" s="253">
        <v>13457700</v>
      </c>
      <c r="F21" s="253">
        <v>13771135</v>
      </c>
      <c r="G21" s="253">
        <v>13771135</v>
      </c>
      <c r="H21" s="253">
        <v>8458531</v>
      </c>
      <c r="I21" s="253">
        <v>594040</v>
      </c>
      <c r="J21" s="253"/>
      <c r="K21" s="247">
        <v>120.98</v>
      </c>
      <c r="L21" s="247">
        <v>35.049999999999997</v>
      </c>
      <c r="M21" s="258">
        <v>1.2115575810461368</v>
      </c>
      <c r="N21" s="236"/>
      <c r="O21" s="252"/>
    </row>
    <row r="22" spans="1:15" x14ac:dyDescent="0.45">
      <c r="A22" s="217" t="s">
        <v>26</v>
      </c>
      <c r="B22" s="253">
        <v>23195027</v>
      </c>
      <c r="C22" s="253">
        <v>19871079</v>
      </c>
      <c r="D22" s="253">
        <v>24333800</v>
      </c>
      <c r="E22" s="253">
        <v>11929768</v>
      </c>
      <c r="F22" s="253">
        <v>6086550</v>
      </c>
      <c r="G22" s="253">
        <v>6004637</v>
      </c>
      <c r="H22" s="253">
        <v>10389161</v>
      </c>
      <c r="I22" s="253">
        <v>4663090</v>
      </c>
      <c r="J22" s="253"/>
      <c r="K22" s="247">
        <v>418.14</v>
      </c>
      <c r="L22" s="247">
        <v>71.13</v>
      </c>
      <c r="M22" s="258">
        <v>1.2174259787080108</v>
      </c>
      <c r="N22" s="236"/>
      <c r="O22" s="252"/>
    </row>
    <row r="23" spans="1:15" x14ac:dyDescent="0.45">
      <c r="A23" s="217" t="s">
        <v>27</v>
      </c>
      <c r="B23" s="255">
        <v>824081300</v>
      </c>
      <c r="C23" s="255">
        <v>714935287</v>
      </c>
      <c r="D23" s="253">
        <v>401645511.56</v>
      </c>
      <c r="E23" s="255">
        <v>400051243.16000003</v>
      </c>
      <c r="F23" s="257">
        <v>270474899.02000004</v>
      </c>
      <c r="G23" s="253">
        <v>269996430.46000004</v>
      </c>
      <c r="H23" s="253">
        <v>99706041.939999998</v>
      </c>
      <c r="I23" s="253">
        <v>23222024.260000002</v>
      </c>
      <c r="J23" s="253">
        <v>336714.83</v>
      </c>
      <c r="K23" s="247">
        <v>113.59</v>
      </c>
      <c r="L23" s="247">
        <v>24.92</v>
      </c>
      <c r="M23" s="258">
        <v>20.09442339480939</v>
      </c>
      <c r="N23" s="236"/>
      <c r="O23" s="252"/>
    </row>
    <row r="24" spans="1:15" x14ac:dyDescent="0.45">
      <c r="A24" s="217" t="s">
        <v>28</v>
      </c>
      <c r="B24" s="253">
        <v>848430656</v>
      </c>
      <c r="C24" s="253">
        <v>701771880</v>
      </c>
      <c r="D24" s="253">
        <v>321501374</v>
      </c>
      <c r="E24" s="253">
        <v>57931141</v>
      </c>
      <c r="F24" s="253">
        <v>127353200</v>
      </c>
      <c r="G24" s="253">
        <v>127353200</v>
      </c>
      <c r="H24" s="253">
        <v>89847535</v>
      </c>
      <c r="I24" s="253">
        <v>40374428</v>
      </c>
      <c r="J24" s="253">
        <v>933394</v>
      </c>
      <c r="K24" s="247">
        <v>117.65</v>
      </c>
      <c r="L24" s="247">
        <v>28.26</v>
      </c>
      <c r="M24" s="258">
        <v>16.084792547728686</v>
      </c>
      <c r="N24" s="236"/>
      <c r="O24" s="252"/>
    </row>
    <row r="25" spans="1:15" x14ac:dyDescent="0.45">
      <c r="A25" s="217" t="s">
        <v>31</v>
      </c>
      <c r="B25" s="253">
        <v>37737807</v>
      </c>
      <c r="C25" s="253">
        <v>25650292</v>
      </c>
      <c r="D25" s="253">
        <v>16861392</v>
      </c>
      <c r="E25" s="253">
        <v>5439456</v>
      </c>
      <c r="F25" s="253">
        <v>10067772</v>
      </c>
      <c r="G25" s="253">
        <v>9978372</v>
      </c>
      <c r="H25" s="253">
        <v>8259296</v>
      </c>
      <c r="I25" s="253">
        <v>1719075</v>
      </c>
      <c r="J25" s="253">
        <v>2574054</v>
      </c>
      <c r="K25" s="247">
        <v>291.66000000000003</v>
      </c>
      <c r="L25" s="247">
        <v>93.73</v>
      </c>
      <c r="M25" s="258">
        <v>0.8435795748292263</v>
      </c>
      <c r="N25" s="236"/>
      <c r="O25" s="252"/>
    </row>
    <row r="26" spans="1:15" x14ac:dyDescent="0.45">
      <c r="A26" s="249" t="s">
        <v>92</v>
      </c>
      <c r="B26" s="242">
        <f>SUM(B6:B25)</f>
        <v>4520995862.1499996</v>
      </c>
      <c r="C26" s="242">
        <f t="shared" ref="C26:J26" si="1">SUM(C6:C25)</f>
        <v>3721572337.3685436</v>
      </c>
      <c r="D26" s="242">
        <f>SUM(D6:D25)</f>
        <v>1998790926.5599999</v>
      </c>
      <c r="E26" s="242">
        <f t="shared" si="1"/>
        <v>1049357380.1300001</v>
      </c>
      <c r="F26" s="242">
        <f t="shared" si="1"/>
        <v>897467627.82000005</v>
      </c>
      <c r="G26" s="242">
        <f t="shared" si="1"/>
        <v>889934505.58000004</v>
      </c>
      <c r="H26" s="242">
        <f t="shared" si="1"/>
        <v>716547892.25</v>
      </c>
      <c r="I26" s="242">
        <f t="shared" si="1"/>
        <v>266789471.44999999</v>
      </c>
      <c r="J26" s="242">
        <f t="shared" si="1"/>
        <v>4665447.37</v>
      </c>
      <c r="M26" s="259">
        <f>SUM(M6:M25)</f>
        <v>100</v>
      </c>
    </row>
    <row r="32" spans="1:15" x14ac:dyDescent="0.45">
      <c r="B32" s="250"/>
    </row>
  </sheetData>
  <mergeCells count="1">
    <mergeCell ref="A1:M1"/>
  </mergeCells>
  <dataValidations count="1">
    <dataValidation type="list" allowBlank="1" showInputMessage="1" showErrorMessage="1" sqref="A3" xr:uid="{00000000-0002-0000-2200-000000000000}">
      <formula1>$A$6:$A$25</formula1>
    </dataValidation>
  </dataValidations>
  <pageMargins left="0.7" right="0.7" top="0.75" bottom="0.75" header="0.3" footer="0.3"/>
  <customProperties>
    <customPr name="LastActive" r:id="rId1"/>
  </customProperties>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tabColor rgb="FF0070C0"/>
  </sheetPr>
  <dimension ref="A1:AB26"/>
  <sheetViews>
    <sheetView zoomScale="85" zoomScaleNormal="85" workbookViewId="0"/>
  </sheetViews>
  <sheetFormatPr defaultRowHeight="14.25" x14ac:dyDescent="0.45"/>
  <cols>
    <col min="1" max="1" width="48.265625" bestFit="1" customWidth="1"/>
    <col min="2" max="2" width="22" customWidth="1"/>
    <col min="3" max="5" width="13.73046875" bestFit="1" customWidth="1"/>
    <col min="6" max="6" width="14.73046875" customWidth="1"/>
    <col min="7" max="7" width="12.3984375" bestFit="1" customWidth="1"/>
    <col min="8" max="8" width="9.3984375" bestFit="1" customWidth="1"/>
    <col min="9" max="9" width="29.3984375" customWidth="1"/>
    <col min="10" max="10" width="16.265625" bestFit="1" customWidth="1"/>
    <col min="11" max="12" width="15.265625" bestFit="1" customWidth="1"/>
    <col min="13" max="13" width="33.265625" customWidth="1"/>
    <col min="14" max="14" width="15" bestFit="1" customWidth="1"/>
    <col min="15" max="15" width="19.265625" customWidth="1"/>
    <col min="16" max="16" width="17.73046875" customWidth="1"/>
    <col min="17" max="17" width="19.265625" customWidth="1"/>
    <col min="18" max="18" width="13.73046875" customWidth="1"/>
    <col min="19" max="19" width="13.73046875" bestFit="1" customWidth="1"/>
    <col min="20" max="20" width="15.73046875" bestFit="1" customWidth="1"/>
    <col min="21" max="21" width="15" bestFit="1" customWidth="1"/>
    <col min="22" max="22" width="12.3984375" bestFit="1" customWidth="1"/>
    <col min="23" max="23" width="13.73046875" bestFit="1" customWidth="1"/>
    <col min="24" max="25" width="16.73046875" bestFit="1" customWidth="1"/>
    <col min="26" max="26" width="18.3984375" customWidth="1"/>
    <col min="27" max="27" width="15.73046875" customWidth="1"/>
    <col min="28" max="28" width="16.73046875" bestFit="1" customWidth="1"/>
  </cols>
  <sheetData>
    <row r="1" spans="1:28" ht="21" x14ac:dyDescent="0.6">
      <c r="A1" s="267" t="s">
        <v>107</v>
      </c>
      <c r="B1" s="391" t="s">
        <v>99</v>
      </c>
      <c r="C1" s="391"/>
      <c r="D1" s="391"/>
      <c r="E1" s="391"/>
      <c r="F1" s="391"/>
      <c r="G1" s="391"/>
      <c r="H1" s="391"/>
      <c r="I1" s="391"/>
      <c r="J1" s="391"/>
      <c r="K1" s="391"/>
      <c r="L1" s="391"/>
      <c r="M1" s="391"/>
      <c r="N1" s="391"/>
      <c r="O1" s="391"/>
      <c r="P1" s="391"/>
      <c r="Q1" s="391"/>
      <c r="R1" s="391"/>
      <c r="S1" s="391"/>
      <c r="T1" s="391"/>
      <c r="U1" s="391"/>
      <c r="V1" s="391"/>
      <c r="W1" s="391"/>
      <c r="X1" s="391"/>
      <c r="Y1" s="391"/>
      <c r="Z1" s="391"/>
      <c r="AA1" s="391"/>
      <c r="AB1" s="391"/>
    </row>
    <row r="2" spans="1:28" ht="32.65" customHeight="1" x14ac:dyDescent="0.45">
      <c r="A2" s="268"/>
      <c r="B2" s="269" t="s">
        <v>108</v>
      </c>
      <c r="C2" s="269" t="s">
        <v>109</v>
      </c>
      <c r="D2" s="269" t="s">
        <v>110</v>
      </c>
      <c r="E2" s="269" t="s">
        <v>111</v>
      </c>
      <c r="F2" s="269" t="s">
        <v>112</v>
      </c>
      <c r="G2" s="269" t="s">
        <v>113</v>
      </c>
      <c r="H2" s="269" t="s">
        <v>114</v>
      </c>
      <c r="I2" s="269" t="s">
        <v>115</v>
      </c>
      <c r="J2" s="269" t="s">
        <v>116</v>
      </c>
      <c r="K2" s="269" t="s">
        <v>34</v>
      </c>
      <c r="L2" s="269" t="s">
        <v>117</v>
      </c>
      <c r="M2" s="270" t="s">
        <v>118</v>
      </c>
      <c r="N2" s="269" t="s">
        <v>119</v>
      </c>
      <c r="O2" s="269" t="s">
        <v>101</v>
      </c>
      <c r="P2" s="269" t="s">
        <v>74</v>
      </c>
      <c r="Q2" s="269" t="s">
        <v>10</v>
      </c>
      <c r="R2" s="269" t="s">
        <v>102</v>
      </c>
      <c r="S2" s="269" t="s">
        <v>103</v>
      </c>
      <c r="T2" s="269" t="s">
        <v>120</v>
      </c>
      <c r="U2" s="269" t="s">
        <v>121</v>
      </c>
      <c r="V2" s="269" t="s">
        <v>122</v>
      </c>
      <c r="W2" s="269" t="s">
        <v>123</v>
      </c>
      <c r="X2" s="269" t="s">
        <v>79</v>
      </c>
      <c r="Y2" s="270" t="s">
        <v>13</v>
      </c>
      <c r="Z2" s="271" t="s">
        <v>124</v>
      </c>
      <c r="AA2" s="271" t="s">
        <v>125</v>
      </c>
      <c r="AB2" s="271" t="s">
        <v>12</v>
      </c>
    </row>
    <row r="3" spans="1:28" ht="15.4" x14ac:dyDescent="0.45">
      <c r="A3" s="260" t="s">
        <v>80</v>
      </c>
      <c r="B3" s="261">
        <f t="shared" ref="B3:AB3" si="0">INDEX(B6:B26,MATCH($A$3,$A$6:$A$26,0))</f>
        <v>2213325</v>
      </c>
      <c r="C3" s="284">
        <f t="shared" si="0"/>
        <v>3160195</v>
      </c>
      <c r="D3" s="284">
        <f t="shared" si="0"/>
        <v>242339</v>
      </c>
      <c r="E3" s="284">
        <f t="shared" si="0"/>
        <v>567372</v>
      </c>
      <c r="F3" s="284">
        <f t="shared" si="0"/>
        <v>562223</v>
      </c>
      <c r="G3" s="284">
        <f t="shared" si="0"/>
        <v>0</v>
      </c>
      <c r="H3" s="284">
        <f t="shared" si="0"/>
        <v>0</v>
      </c>
      <c r="I3" s="284">
        <f t="shared" si="0"/>
        <v>0</v>
      </c>
      <c r="J3" s="284">
        <f t="shared" si="0"/>
        <v>5121073</v>
      </c>
      <c r="K3" s="284">
        <f t="shared" si="0"/>
        <v>11866527</v>
      </c>
      <c r="L3" s="284">
        <f t="shared" si="0"/>
        <v>10808230</v>
      </c>
      <c r="M3" s="284">
        <f t="shared" si="0"/>
        <v>-4544039</v>
      </c>
      <c r="N3" s="261">
        <f t="shared" si="0"/>
        <v>6264191</v>
      </c>
      <c r="O3" s="284">
        <f t="shared" si="0"/>
        <v>2403327</v>
      </c>
      <c r="P3" s="284">
        <f t="shared" si="0"/>
        <v>2403327</v>
      </c>
      <c r="Q3" s="284">
        <f t="shared" si="0"/>
        <v>5687373</v>
      </c>
      <c r="R3" s="284">
        <f t="shared" si="0"/>
        <v>4784697</v>
      </c>
      <c r="S3" s="284">
        <f t="shared" si="0"/>
        <v>188199</v>
      </c>
      <c r="T3" s="284">
        <f t="shared" si="0"/>
        <v>-6423007</v>
      </c>
      <c r="U3" s="284">
        <f t="shared" si="0"/>
        <v>1699402</v>
      </c>
      <c r="V3" s="284">
        <f t="shared" si="0"/>
        <v>0</v>
      </c>
      <c r="W3" s="284">
        <f t="shared" si="0"/>
        <v>-4723605</v>
      </c>
      <c r="X3" s="284">
        <f t="shared" si="0"/>
        <v>41905400</v>
      </c>
      <c r="Y3" s="284">
        <f t="shared" si="0"/>
        <v>51191349</v>
      </c>
      <c r="Z3" s="261">
        <f t="shared" si="0"/>
        <v>205.87</v>
      </c>
      <c r="AA3" s="284">
        <f t="shared" si="0"/>
        <v>96.89</v>
      </c>
      <c r="AB3" s="284">
        <f t="shared" si="0"/>
        <v>2.4608034500317438E-2</v>
      </c>
    </row>
    <row r="5" spans="1:28" ht="37.9" customHeight="1" x14ac:dyDescent="0.45">
      <c r="A5" s="272" t="s">
        <v>126</v>
      </c>
      <c r="B5" s="273" t="s">
        <v>108</v>
      </c>
      <c r="C5" s="273" t="s">
        <v>109</v>
      </c>
      <c r="D5" s="273" t="s">
        <v>110</v>
      </c>
      <c r="E5" s="273" t="s">
        <v>111</v>
      </c>
      <c r="F5" s="273" t="s">
        <v>112</v>
      </c>
      <c r="G5" s="273" t="s">
        <v>113</v>
      </c>
      <c r="H5" s="273" t="s">
        <v>114</v>
      </c>
      <c r="I5" s="273" t="s">
        <v>115</v>
      </c>
      <c r="J5" s="273" t="s">
        <v>116</v>
      </c>
      <c r="K5" s="273" t="s">
        <v>34</v>
      </c>
      <c r="L5" s="273" t="s">
        <v>117</v>
      </c>
      <c r="M5" s="274" t="s">
        <v>118</v>
      </c>
      <c r="N5" s="273" t="s">
        <v>119</v>
      </c>
      <c r="O5" s="273" t="s">
        <v>101</v>
      </c>
      <c r="P5" s="273" t="s">
        <v>74</v>
      </c>
      <c r="Q5" s="273" t="s">
        <v>10</v>
      </c>
      <c r="R5" s="273" t="s">
        <v>102</v>
      </c>
      <c r="S5" s="273" t="s">
        <v>103</v>
      </c>
      <c r="T5" s="273" t="s">
        <v>120</v>
      </c>
      <c r="U5" s="273" t="s">
        <v>121</v>
      </c>
      <c r="V5" s="273" t="s">
        <v>122</v>
      </c>
      <c r="W5" s="273" t="s">
        <v>123</v>
      </c>
      <c r="X5" s="273" t="s">
        <v>79</v>
      </c>
      <c r="Y5" s="274" t="s">
        <v>13</v>
      </c>
      <c r="Z5" s="275" t="s">
        <v>124</v>
      </c>
      <c r="AA5" s="275" t="s">
        <v>125</v>
      </c>
      <c r="AB5" s="275" t="s">
        <v>12</v>
      </c>
    </row>
    <row r="6" spans="1:28" ht="15.4" x14ac:dyDescent="0.45">
      <c r="A6" s="262" t="s">
        <v>80</v>
      </c>
      <c r="B6" s="263">
        <v>2213325</v>
      </c>
      <c r="C6" s="263">
        <v>3160195</v>
      </c>
      <c r="D6" s="263">
        <v>242339</v>
      </c>
      <c r="E6" s="263">
        <v>567372</v>
      </c>
      <c r="F6" s="263">
        <v>562223</v>
      </c>
      <c r="G6" s="263">
        <v>0</v>
      </c>
      <c r="H6" s="263">
        <v>0</v>
      </c>
      <c r="I6" s="263">
        <v>0</v>
      </c>
      <c r="J6" s="263">
        <v>5121073</v>
      </c>
      <c r="K6" s="263">
        <v>11866527</v>
      </c>
      <c r="L6" s="263">
        <v>10808230</v>
      </c>
      <c r="M6" s="263">
        <v>-4544039</v>
      </c>
      <c r="N6" s="263">
        <v>6264191</v>
      </c>
      <c r="O6" s="263">
        <v>2403327</v>
      </c>
      <c r="P6" s="263">
        <v>2403327</v>
      </c>
      <c r="Q6" s="263">
        <v>5687373</v>
      </c>
      <c r="R6" s="263">
        <v>4784697</v>
      </c>
      <c r="S6" s="263">
        <v>188199</v>
      </c>
      <c r="T6" s="263">
        <v>-6423007</v>
      </c>
      <c r="U6" s="263">
        <v>1699402</v>
      </c>
      <c r="V6" s="263">
        <v>0</v>
      </c>
      <c r="W6" s="263">
        <v>-4723605</v>
      </c>
      <c r="X6" s="263">
        <v>41905400</v>
      </c>
      <c r="Y6" s="263">
        <v>51191349</v>
      </c>
      <c r="Z6" s="265">
        <v>205.87</v>
      </c>
      <c r="AA6" s="265">
        <v>96.89</v>
      </c>
      <c r="AB6" s="283">
        <v>2.4608034500317438E-2</v>
      </c>
    </row>
    <row r="7" spans="1:28" ht="15.4" x14ac:dyDescent="0.45">
      <c r="A7" s="262" t="s">
        <v>16</v>
      </c>
      <c r="B7" s="263">
        <v>4387087</v>
      </c>
      <c r="C7" s="263">
        <v>505885</v>
      </c>
      <c r="D7" s="263">
        <v>8320</v>
      </c>
      <c r="E7" s="263">
        <v>182534</v>
      </c>
      <c r="F7" s="263">
        <v>962842</v>
      </c>
      <c r="G7" s="263">
        <v>0</v>
      </c>
      <c r="H7" s="263">
        <v>0</v>
      </c>
      <c r="I7" s="263">
        <v>0</v>
      </c>
      <c r="J7" s="263"/>
      <c r="K7" s="263">
        <v>6046668</v>
      </c>
      <c r="L7" s="263">
        <v>5897196</v>
      </c>
      <c r="M7" s="263">
        <v>-1814000</v>
      </c>
      <c r="N7" s="263">
        <v>4083196</v>
      </c>
      <c r="O7" s="263">
        <v>2406549</v>
      </c>
      <c r="P7" s="263">
        <v>2400043</v>
      </c>
      <c r="Q7" s="263">
        <v>2082927</v>
      </c>
      <c r="R7" s="263">
        <v>494138</v>
      </c>
      <c r="S7" s="263">
        <v>40459</v>
      </c>
      <c r="T7" s="263">
        <v>-853453</v>
      </c>
      <c r="U7" s="263">
        <v>815911</v>
      </c>
      <c r="V7" s="263">
        <v>548337</v>
      </c>
      <c r="W7" s="263">
        <v>510795</v>
      </c>
      <c r="X7" s="263">
        <v>116767751</v>
      </c>
      <c r="Y7" s="263">
        <v>126026401</v>
      </c>
      <c r="Z7" s="265">
        <v>184.35</v>
      </c>
      <c r="AA7" s="265">
        <v>43.7</v>
      </c>
      <c r="AB7" s="283">
        <v>1.2539188151340778E-2</v>
      </c>
    </row>
    <row r="8" spans="1:28" ht="15.4" x14ac:dyDescent="0.45">
      <c r="A8" s="262" t="s">
        <v>17</v>
      </c>
      <c r="B8" s="263">
        <v>85165752</v>
      </c>
      <c r="C8" s="263">
        <v>5059797</v>
      </c>
      <c r="D8" s="263">
        <v>5381421</v>
      </c>
      <c r="E8" s="263">
        <v>3249069</v>
      </c>
      <c r="F8" s="263">
        <v>38426449</v>
      </c>
      <c r="G8" s="263">
        <v>0</v>
      </c>
      <c r="H8" s="263">
        <v>0</v>
      </c>
      <c r="I8" s="263">
        <v>0</v>
      </c>
      <c r="J8" s="263">
        <v>4663974</v>
      </c>
      <c r="K8" s="263">
        <v>141946462</v>
      </c>
      <c r="L8" s="263">
        <v>137168133</v>
      </c>
      <c r="M8" s="263">
        <v>-37002782</v>
      </c>
      <c r="N8" s="263">
        <v>100165351</v>
      </c>
      <c r="O8" s="263">
        <v>67888021</v>
      </c>
      <c r="P8" s="263">
        <v>66796021</v>
      </c>
      <c r="Q8" s="263">
        <v>20886693</v>
      </c>
      <c r="R8" s="263">
        <v>21357474</v>
      </c>
      <c r="S8" s="263"/>
      <c r="T8" s="263">
        <v>-8874837</v>
      </c>
      <c r="U8" s="263">
        <v>40528324</v>
      </c>
      <c r="V8" s="263">
        <v>343647</v>
      </c>
      <c r="W8" s="263">
        <v>31997134</v>
      </c>
      <c r="X8" s="263">
        <v>889231245</v>
      </c>
      <c r="Y8" s="263">
        <v>1078675984</v>
      </c>
      <c r="Z8" s="265">
        <v>145.6</v>
      </c>
      <c r="AA8" s="265">
        <v>30.8</v>
      </c>
      <c r="AB8" s="283">
        <v>0.2943593718780565</v>
      </c>
    </row>
    <row r="9" spans="1:28" ht="15.4" x14ac:dyDescent="0.45">
      <c r="A9" s="262" t="s">
        <v>97</v>
      </c>
      <c r="B9" s="263">
        <v>31214</v>
      </c>
      <c r="C9" s="263"/>
      <c r="D9" s="263"/>
      <c r="E9" s="263"/>
      <c r="F9" s="263">
        <v>593074</v>
      </c>
      <c r="G9" s="263">
        <v>0</v>
      </c>
      <c r="H9" s="263">
        <v>0</v>
      </c>
      <c r="I9" s="263">
        <v>0</v>
      </c>
      <c r="J9" s="263">
        <v>552570</v>
      </c>
      <c r="K9" s="263">
        <v>1176858</v>
      </c>
      <c r="L9" s="263">
        <v>1173964</v>
      </c>
      <c r="M9" s="263"/>
      <c r="N9" s="263">
        <v>1173964</v>
      </c>
      <c r="O9" s="263">
        <v>524012</v>
      </c>
      <c r="P9" s="263">
        <v>524012</v>
      </c>
      <c r="Q9" s="263">
        <v>1160020</v>
      </c>
      <c r="R9" s="263">
        <v>74664</v>
      </c>
      <c r="S9" s="263"/>
      <c r="T9" s="263">
        <v>-584732</v>
      </c>
      <c r="U9" s="263">
        <v>468741</v>
      </c>
      <c r="V9" s="263">
        <v>0</v>
      </c>
      <c r="W9" s="263">
        <v>-115991</v>
      </c>
      <c r="X9" s="263">
        <v>13562896</v>
      </c>
      <c r="Y9" s="263">
        <v>18187095</v>
      </c>
      <c r="Z9" s="265">
        <v>403.87</v>
      </c>
      <c r="AA9" s="265">
        <v>105.17</v>
      </c>
      <c r="AB9" s="283">
        <v>2.4404918360675012E-3</v>
      </c>
    </row>
    <row r="10" spans="1:28" ht="15.4" x14ac:dyDescent="0.45">
      <c r="A10" s="262" t="s">
        <v>53</v>
      </c>
      <c r="B10" s="263"/>
      <c r="C10" s="263"/>
      <c r="D10" s="263">
        <v>1742016</v>
      </c>
      <c r="E10" s="263"/>
      <c r="F10" s="263"/>
      <c r="G10" s="263">
        <v>0</v>
      </c>
      <c r="H10" s="263">
        <v>0</v>
      </c>
      <c r="I10" s="263">
        <v>0</v>
      </c>
      <c r="J10" s="263"/>
      <c r="K10" s="263">
        <v>1742016</v>
      </c>
      <c r="L10" s="263">
        <v>1484130</v>
      </c>
      <c r="M10" s="263">
        <v>-191672</v>
      </c>
      <c r="N10" s="263">
        <v>1292458</v>
      </c>
      <c r="O10" s="263"/>
      <c r="P10" s="263">
        <v>0</v>
      </c>
      <c r="Q10" s="263">
        <v>1825125</v>
      </c>
      <c r="R10" s="263">
        <v>163799.89000000001</v>
      </c>
      <c r="S10" s="263"/>
      <c r="T10" s="263">
        <v>-696466.89</v>
      </c>
      <c r="U10" s="263">
        <v>433584</v>
      </c>
      <c r="V10" s="263">
        <v>0</v>
      </c>
      <c r="W10" s="263">
        <v>-262882.89</v>
      </c>
      <c r="X10" s="263">
        <v>14730959</v>
      </c>
      <c r="Y10" s="263">
        <v>24767746</v>
      </c>
      <c r="Z10" s="265">
        <v>319.74</v>
      </c>
      <c r="AA10" s="265">
        <v>134.01</v>
      </c>
      <c r="AB10" s="283">
        <v>3.6124798627353212E-3</v>
      </c>
    </row>
    <row r="11" spans="1:28" ht="15.4" x14ac:dyDescent="0.45">
      <c r="A11" s="262" t="s">
        <v>18</v>
      </c>
      <c r="B11" s="263">
        <v>12755</v>
      </c>
      <c r="C11" s="263">
        <v>116629</v>
      </c>
      <c r="D11" s="263">
        <v>0</v>
      </c>
      <c r="E11" s="263">
        <v>71851</v>
      </c>
      <c r="F11" s="263">
        <v>4125090</v>
      </c>
      <c r="G11" s="263">
        <v>0</v>
      </c>
      <c r="H11" s="263">
        <v>0</v>
      </c>
      <c r="I11" s="263">
        <v>0</v>
      </c>
      <c r="J11" s="263">
        <v>138764</v>
      </c>
      <c r="K11" s="263">
        <v>4465089</v>
      </c>
      <c r="L11" s="263">
        <v>4465089</v>
      </c>
      <c r="M11" s="263">
        <v>-426395</v>
      </c>
      <c r="N11" s="263">
        <v>4038694</v>
      </c>
      <c r="O11" s="263">
        <v>3688299</v>
      </c>
      <c r="P11" s="263">
        <v>3688299</v>
      </c>
      <c r="Q11" s="263">
        <v>1534375</v>
      </c>
      <c r="R11" s="263">
        <v>221878</v>
      </c>
      <c r="S11" s="263"/>
      <c r="T11" s="263">
        <v>-1405858</v>
      </c>
      <c r="U11" s="263">
        <v>155388</v>
      </c>
      <c r="V11" s="263">
        <v>0</v>
      </c>
      <c r="W11" s="263">
        <v>-1250470</v>
      </c>
      <c r="X11" s="263">
        <v>32249096</v>
      </c>
      <c r="Y11" s="263">
        <v>54714638</v>
      </c>
      <c r="Z11" s="265">
        <v>104.32</v>
      </c>
      <c r="AA11" s="265">
        <v>39.33</v>
      </c>
      <c r="AB11" s="283">
        <v>9.2594121396250041E-3</v>
      </c>
    </row>
    <row r="12" spans="1:28" ht="15.4" x14ac:dyDescent="0.45">
      <c r="A12" s="262" t="s">
        <v>19</v>
      </c>
      <c r="B12" s="263">
        <v>1123456</v>
      </c>
      <c r="C12" s="263">
        <v>1150640</v>
      </c>
      <c r="D12" s="263">
        <v>6965</v>
      </c>
      <c r="E12" s="263">
        <v>728271</v>
      </c>
      <c r="F12" s="263"/>
      <c r="G12" s="263">
        <v>0</v>
      </c>
      <c r="H12" s="263">
        <v>0</v>
      </c>
      <c r="I12" s="263">
        <v>0</v>
      </c>
      <c r="J12" s="263"/>
      <c r="K12" s="263">
        <v>3009332</v>
      </c>
      <c r="L12" s="263">
        <v>2678992</v>
      </c>
      <c r="M12" s="263"/>
      <c r="N12" s="263">
        <v>2678992</v>
      </c>
      <c r="O12" s="263">
        <v>298453</v>
      </c>
      <c r="P12" s="263">
        <v>298453</v>
      </c>
      <c r="Q12" s="263">
        <v>1621267</v>
      </c>
      <c r="R12" s="263">
        <v>638890</v>
      </c>
      <c r="S12" s="263"/>
      <c r="T12" s="263">
        <v>120382</v>
      </c>
      <c r="U12" s="263">
        <v>304500</v>
      </c>
      <c r="V12" s="263">
        <v>0</v>
      </c>
      <c r="W12" s="263">
        <v>424882</v>
      </c>
      <c r="X12" s="263">
        <v>10527524</v>
      </c>
      <c r="Y12" s="263">
        <v>18190892</v>
      </c>
      <c r="Z12" s="265">
        <v>553.82000000000005</v>
      </c>
      <c r="AA12" s="265">
        <v>84.37</v>
      </c>
      <c r="AB12" s="283">
        <v>6.2405576356847521E-3</v>
      </c>
    </row>
    <row r="13" spans="1:28" ht="15.4" x14ac:dyDescent="0.45">
      <c r="A13" s="262" t="s">
        <v>20</v>
      </c>
      <c r="B13" s="263">
        <v>29199486</v>
      </c>
      <c r="C13" s="263"/>
      <c r="D13" s="263">
        <v>37471</v>
      </c>
      <c r="E13" s="263">
        <v>6561711</v>
      </c>
      <c r="F13" s="263">
        <v>4193260</v>
      </c>
      <c r="G13" s="263">
        <v>293252</v>
      </c>
      <c r="H13" s="263">
        <v>0</v>
      </c>
      <c r="I13" s="263">
        <v>0</v>
      </c>
      <c r="J13" s="263"/>
      <c r="K13" s="263">
        <v>40285180</v>
      </c>
      <c r="L13" s="263">
        <v>39588466</v>
      </c>
      <c r="M13" s="263">
        <v>-6993979</v>
      </c>
      <c r="N13" s="263">
        <v>32594487</v>
      </c>
      <c r="O13" s="263">
        <v>34302676</v>
      </c>
      <c r="P13" s="263">
        <v>34302676</v>
      </c>
      <c r="Q13" s="263">
        <v>7187867</v>
      </c>
      <c r="R13" s="263">
        <v>2739240</v>
      </c>
      <c r="S13" s="263"/>
      <c r="T13" s="263">
        <v>-11635296</v>
      </c>
      <c r="U13" s="263">
        <v>2863601</v>
      </c>
      <c r="V13" s="263">
        <v>449402</v>
      </c>
      <c r="W13" s="263">
        <v>-8322293</v>
      </c>
      <c r="X13" s="263">
        <v>359778033</v>
      </c>
      <c r="Y13" s="263">
        <v>419675651</v>
      </c>
      <c r="Z13" s="265">
        <v>235.68</v>
      </c>
      <c r="AA13" s="265">
        <v>25.08</v>
      </c>
      <c r="AB13" s="283">
        <v>8.3540794985044742E-2</v>
      </c>
    </row>
    <row r="14" spans="1:28" ht="15.4" x14ac:dyDescent="0.45">
      <c r="A14" s="262" t="s">
        <v>47</v>
      </c>
      <c r="B14" s="263">
        <v>353127</v>
      </c>
      <c r="C14" s="263">
        <v>64205</v>
      </c>
      <c r="D14" s="263">
        <v>32102</v>
      </c>
      <c r="E14" s="263"/>
      <c r="F14" s="263">
        <v>192615</v>
      </c>
      <c r="G14" s="263">
        <v>0</v>
      </c>
      <c r="H14" s="263">
        <v>0</v>
      </c>
      <c r="I14" s="263">
        <v>0</v>
      </c>
      <c r="J14" s="263"/>
      <c r="K14" s="263">
        <v>642049</v>
      </c>
      <c r="L14" s="263">
        <v>557581</v>
      </c>
      <c r="M14" s="263">
        <v>-178426</v>
      </c>
      <c r="N14" s="263">
        <v>379155</v>
      </c>
      <c r="O14" s="263">
        <v>245765</v>
      </c>
      <c r="P14" s="263">
        <v>245765</v>
      </c>
      <c r="Q14" s="263">
        <v>832013</v>
      </c>
      <c r="R14" s="263">
        <v>18598</v>
      </c>
      <c r="S14" s="263">
        <v>7481</v>
      </c>
      <c r="T14" s="263">
        <v>-709740</v>
      </c>
      <c r="U14" s="263">
        <v>56164</v>
      </c>
      <c r="V14" s="263">
        <v>62000</v>
      </c>
      <c r="W14" s="263">
        <v>-591576</v>
      </c>
      <c r="X14" s="263">
        <v>47521301</v>
      </c>
      <c r="Y14" s="263">
        <v>78412728</v>
      </c>
      <c r="Z14" s="265">
        <v>323.49</v>
      </c>
      <c r="AA14" s="265">
        <v>152.55000000000001</v>
      </c>
      <c r="AB14" s="283">
        <v>1.3314395983672653E-3</v>
      </c>
    </row>
    <row r="15" spans="1:28" ht="15.4" x14ac:dyDescent="0.45">
      <c r="A15" s="262" t="s">
        <v>64</v>
      </c>
      <c r="B15" s="263"/>
      <c r="C15" s="263">
        <v>1874680</v>
      </c>
      <c r="D15" s="263"/>
      <c r="E15" s="263">
        <v>1095970</v>
      </c>
      <c r="F15" s="263">
        <v>1994789</v>
      </c>
      <c r="G15" s="263">
        <v>0</v>
      </c>
      <c r="H15" s="263">
        <v>0</v>
      </c>
      <c r="I15" s="263">
        <v>0</v>
      </c>
      <c r="J15" s="263"/>
      <c r="K15" s="263">
        <v>4965439</v>
      </c>
      <c r="L15" s="263">
        <v>4143672</v>
      </c>
      <c r="M15" s="263">
        <v>-1142995</v>
      </c>
      <c r="N15" s="263">
        <v>3000677</v>
      </c>
      <c r="O15" s="263">
        <v>1714203</v>
      </c>
      <c r="P15" s="263">
        <v>1714203</v>
      </c>
      <c r="Q15" s="263">
        <v>3799178</v>
      </c>
      <c r="R15" s="263">
        <v>752499</v>
      </c>
      <c r="S15" s="263"/>
      <c r="T15" s="263">
        <v>-3265203</v>
      </c>
      <c r="U15" s="263">
        <v>757703</v>
      </c>
      <c r="V15" s="263">
        <v>0</v>
      </c>
      <c r="W15" s="263">
        <v>-2507500</v>
      </c>
      <c r="X15" s="263">
        <v>25265384</v>
      </c>
      <c r="Y15" s="263">
        <v>39675486</v>
      </c>
      <c r="Z15" s="265">
        <v>720.1</v>
      </c>
      <c r="AA15" s="265">
        <v>109.85</v>
      </c>
      <c r="AB15" s="283">
        <v>1.0297005536769243E-2</v>
      </c>
    </row>
    <row r="16" spans="1:28" ht="15.4" x14ac:dyDescent="0.45">
      <c r="A16" s="262" t="s">
        <v>21</v>
      </c>
      <c r="B16" s="263">
        <v>9532175</v>
      </c>
      <c r="C16" s="263">
        <v>2031979</v>
      </c>
      <c r="D16" s="263"/>
      <c r="E16" s="263">
        <v>2151684</v>
      </c>
      <c r="F16" s="263">
        <v>1798366</v>
      </c>
      <c r="G16" s="263">
        <v>0</v>
      </c>
      <c r="H16" s="263">
        <v>0</v>
      </c>
      <c r="I16" s="263">
        <v>0</v>
      </c>
      <c r="J16" s="263">
        <v>14332272</v>
      </c>
      <c r="K16" s="263">
        <v>29846476</v>
      </c>
      <c r="L16" s="263">
        <v>29262803</v>
      </c>
      <c r="M16" s="263">
        <v>-6301757</v>
      </c>
      <c r="N16" s="263">
        <v>22961046</v>
      </c>
      <c r="O16" s="263">
        <v>8173553</v>
      </c>
      <c r="P16" s="263">
        <v>8165374</v>
      </c>
      <c r="Q16" s="263">
        <v>3085545</v>
      </c>
      <c r="R16" s="263">
        <v>21997009</v>
      </c>
      <c r="S16" s="263"/>
      <c r="T16" s="263">
        <v>-10286882</v>
      </c>
      <c r="U16" s="263">
        <v>11226738</v>
      </c>
      <c r="V16" s="263">
        <v>72656</v>
      </c>
      <c r="W16" s="263">
        <v>1012512</v>
      </c>
      <c r="X16" s="263">
        <v>211221226</v>
      </c>
      <c r="Y16" s="263">
        <v>231747028</v>
      </c>
      <c r="Z16" s="265">
        <v>146.72999999999999</v>
      </c>
      <c r="AA16" s="265">
        <v>85.71</v>
      </c>
      <c r="AB16" s="283">
        <v>6.1893687270158856E-2</v>
      </c>
    </row>
    <row r="17" spans="1:28" ht="15.4" x14ac:dyDescent="0.45">
      <c r="A17" s="262" t="s">
        <v>98</v>
      </c>
      <c r="B17" s="263">
        <v>9925528</v>
      </c>
      <c r="C17" s="263">
        <v>753889</v>
      </c>
      <c r="D17" s="263">
        <v>5843132</v>
      </c>
      <c r="E17" s="263">
        <v>432183</v>
      </c>
      <c r="F17" s="263">
        <v>10539478</v>
      </c>
      <c r="G17" s="263">
        <v>0</v>
      </c>
      <c r="H17" s="263">
        <v>0</v>
      </c>
      <c r="I17" s="263">
        <v>0</v>
      </c>
      <c r="J17" s="263"/>
      <c r="K17" s="263">
        <v>27494210</v>
      </c>
      <c r="L17" s="263">
        <v>26938975</v>
      </c>
      <c r="M17" s="263">
        <v>-7144214</v>
      </c>
      <c r="N17" s="263">
        <v>19794761</v>
      </c>
      <c r="O17" s="263">
        <v>6433028</v>
      </c>
      <c r="P17" s="263">
        <v>6428363</v>
      </c>
      <c r="Q17" s="263">
        <v>6494709</v>
      </c>
      <c r="R17" s="263">
        <v>3569695</v>
      </c>
      <c r="S17" s="263">
        <v>97656</v>
      </c>
      <c r="T17" s="263">
        <v>3399650</v>
      </c>
      <c r="U17" s="263">
        <v>2078675</v>
      </c>
      <c r="V17" s="263">
        <v>0</v>
      </c>
      <c r="W17" s="263">
        <v>5478325</v>
      </c>
      <c r="X17" s="263">
        <v>79913518</v>
      </c>
      <c r="Y17" s="263">
        <v>118604928</v>
      </c>
      <c r="Z17" s="265">
        <v>142.99</v>
      </c>
      <c r="AA17" s="265">
        <v>37.36</v>
      </c>
      <c r="AB17" s="283">
        <v>5.7015710514034368E-2</v>
      </c>
    </row>
    <row r="18" spans="1:28" ht="15.4" x14ac:dyDescent="0.45">
      <c r="A18" s="262" t="s">
        <v>22</v>
      </c>
      <c r="B18" s="263">
        <v>16061451</v>
      </c>
      <c r="C18" s="263">
        <v>8483771</v>
      </c>
      <c r="D18" s="263">
        <v>5874</v>
      </c>
      <c r="E18" s="263">
        <v>438642</v>
      </c>
      <c r="F18" s="263">
        <v>1674346</v>
      </c>
      <c r="G18" s="263">
        <v>0</v>
      </c>
      <c r="H18" s="263">
        <v>0</v>
      </c>
      <c r="I18" s="263">
        <v>67683</v>
      </c>
      <c r="J18" s="263">
        <v>3459989</v>
      </c>
      <c r="K18" s="263">
        <v>30191756</v>
      </c>
      <c r="L18" s="263">
        <v>28189803</v>
      </c>
      <c r="M18" s="263"/>
      <c r="N18" s="263">
        <v>28189803</v>
      </c>
      <c r="O18" s="263">
        <v>36944740</v>
      </c>
      <c r="P18" s="263">
        <v>36944740</v>
      </c>
      <c r="Q18" s="263">
        <v>7169870</v>
      </c>
      <c r="R18" s="263">
        <v>2111729</v>
      </c>
      <c r="S18" s="263"/>
      <c r="T18" s="263">
        <v>-18036536</v>
      </c>
      <c r="U18" s="263">
        <v>14627998</v>
      </c>
      <c r="V18" s="263">
        <v>3879149</v>
      </c>
      <c r="W18" s="263">
        <v>470611</v>
      </c>
      <c r="X18" s="263">
        <v>274023990</v>
      </c>
      <c r="Y18" s="263">
        <v>326485887</v>
      </c>
      <c r="Z18" s="265">
        <v>121.32</v>
      </c>
      <c r="AA18" s="265">
        <v>32.93</v>
      </c>
      <c r="AB18" s="283">
        <v>6.2609706552992805E-2</v>
      </c>
    </row>
    <row r="19" spans="1:28" ht="15.4" x14ac:dyDescent="0.45">
      <c r="A19" s="262" t="s">
        <v>23</v>
      </c>
      <c r="B19" s="263">
        <v>10519470</v>
      </c>
      <c r="C19" s="263">
        <v>244868</v>
      </c>
      <c r="D19" s="263">
        <v>99668</v>
      </c>
      <c r="E19" s="263">
        <v>189341</v>
      </c>
      <c r="F19" s="263"/>
      <c r="G19" s="263">
        <v>0</v>
      </c>
      <c r="H19" s="263">
        <v>0</v>
      </c>
      <c r="I19" s="263">
        <v>0</v>
      </c>
      <c r="J19" s="263"/>
      <c r="K19" s="263">
        <v>11053347</v>
      </c>
      <c r="L19" s="263">
        <v>11031581</v>
      </c>
      <c r="M19" s="263">
        <v>-823141</v>
      </c>
      <c r="N19" s="263">
        <v>10208440</v>
      </c>
      <c r="O19" s="263">
        <v>5996916</v>
      </c>
      <c r="P19" s="263">
        <v>5996916</v>
      </c>
      <c r="Q19" s="263">
        <v>3406894</v>
      </c>
      <c r="R19" s="263">
        <v>501145</v>
      </c>
      <c r="S19" s="263"/>
      <c r="T19" s="263">
        <v>303485</v>
      </c>
      <c r="U19" s="263">
        <v>710069</v>
      </c>
      <c r="V19" s="263">
        <v>0</v>
      </c>
      <c r="W19" s="263">
        <v>1013554</v>
      </c>
      <c r="X19" s="263">
        <v>32967189</v>
      </c>
      <c r="Y19" s="263">
        <v>43951385</v>
      </c>
      <c r="Z19" s="265">
        <v>215.1</v>
      </c>
      <c r="AA19" s="265">
        <v>35.43</v>
      </c>
      <c r="AB19" s="283">
        <v>2.2921714526919313E-2</v>
      </c>
    </row>
    <row r="20" spans="1:28" ht="15.4" x14ac:dyDescent="0.45">
      <c r="A20" s="262" t="s">
        <v>24</v>
      </c>
      <c r="B20" s="263">
        <v>24426855</v>
      </c>
      <c r="C20" s="263">
        <v>5203659</v>
      </c>
      <c r="D20" s="263">
        <v>4666094</v>
      </c>
      <c r="E20" s="263">
        <v>2386383</v>
      </c>
      <c r="F20" s="263">
        <v>13648828</v>
      </c>
      <c r="G20" s="263">
        <v>0</v>
      </c>
      <c r="H20" s="263">
        <v>0</v>
      </c>
      <c r="I20" s="263">
        <v>0</v>
      </c>
      <c r="J20" s="263">
        <v>1203756</v>
      </c>
      <c r="K20" s="263">
        <v>51535575</v>
      </c>
      <c r="L20" s="263">
        <v>50214102</v>
      </c>
      <c r="M20" s="263">
        <v>-20729013</v>
      </c>
      <c r="N20" s="263">
        <v>29485089</v>
      </c>
      <c r="O20" s="263">
        <v>12936741</v>
      </c>
      <c r="P20" s="263">
        <v>12936741</v>
      </c>
      <c r="Q20" s="263">
        <v>15115225</v>
      </c>
      <c r="R20" s="263">
        <v>11223222</v>
      </c>
      <c r="S20" s="263">
        <v>475518</v>
      </c>
      <c r="T20" s="263">
        <v>-9314581</v>
      </c>
      <c r="U20" s="263">
        <v>9485409</v>
      </c>
      <c r="V20" s="263">
        <v>94982</v>
      </c>
      <c r="W20" s="263">
        <v>265810</v>
      </c>
      <c r="X20" s="263">
        <v>228733881</v>
      </c>
      <c r="Y20" s="263">
        <v>275867016</v>
      </c>
      <c r="Z20" s="265">
        <v>130.85</v>
      </c>
      <c r="AA20" s="265">
        <v>52.45</v>
      </c>
      <c r="AB20" s="283">
        <v>0.10687113488164623</v>
      </c>
    </row>
    <row r="21" spans="1:28" ht="15.4" x14ac:dyDescent="0.45">
      <c r="A21" s="262" t="s">
        <v>25</v>
      </c>
      <c r="B21" s="263">
        <v>3305582</v>
      </c>
      <c r="C21" s="263">
        <v>137162</v>
      </c>
      <c r="D21" s="263">
        <v>0</v>
      </c>
      <c r="E21" s="263">
        <v>240477</v>
      </c>
      <c r="F21" s="263">
        <v>349312</v>
      </c>
      <c r="G21" s="263">
        <v>0</v>
      </c>
      <c r="H21" s="263">
        <v>0</v>
      </c>
      <c r="I21" s="263">
        <v>0</v>
      </c>
      <c r="J21" s="263">
        <v>2376929</v>
      </c>
      <c r="K21" s="263">
        <v>6409462</v>
      </c>
      <c r="L21" s="263">
        <v>6320291</v>
      </c>
      <c r="M21" s="263">
        <v>-2528116</v>
      </c>
      <c r="N21" s="263">
        <v>3792175</v>
      </c>
      <c r="O21" s="263">
        <v>4380967</v>
      </c>
      <c r="P21" s="263">
        <v>4380967</v>
      </c>
      <c r="Q21" s="263">
        <v>2043316</v>
      </c>
      <c r="R21" s="263">
        <v>133530</v>
      </c>
      <c r="S21" s="263"/>
      <c r="T21" s="263">
        <v>-2765638</v>
      </c>
      <c r="U21" s="263">
        <v>2255584</v>
      </c>
      <c r="V21" s="263">
        <v>277967</v>
      </c>
      <c r="W21" s="263">
        <v>-232087</v>
      </c>
      <c r="X21" s="263">
        <v>63610327</v>
      </c>
      <c r="Y21" s="263">
        <v>72752795</v>
      </c>
      <c r="Z21" s="265">
        <v>119.55</v>
      </c>
      <c r="AA21" s="265">
        <v>34.44</v>
      </c>
      <c r="AB21" s="283">
        <v>1.3291526832111333E-2</v>
      </c>
    </row>
    <row r="22" spans="1:28" ht="15.4" x14ac:dyDescent="0.45">
      <c r="A22" s="262" t="s">
        <v>26</v>
      </c>
      <c r="B22" s="263">
        <v>620453</v>
      </c>
      <c r="C22" s="263">
        <v>2418698</v>
      </c>
      <c r="D22" s="263">
        <v>53375</v>
      </c>
      <c r="E22" s="263">
        <v>4161494</v>
      </c>
      <c r="F22" s="263">
        <v>633442</v>
      </c>
      <c r="G22" s="263">
        <v>0</v>
      </c>
      <c r="H22" s="263">
        <v>0</v>
      </c>
      <c r="I22" s="263">
        <v>0</v>
      </c>
      <c r="J22" s="263"/>
      <c r="K22" s="263">
        <v>7887462</v>
      </c>
      <c r="L22" s="263">
        <v>5015291</v>
      </c>
      <c r="M22" s="263">
        <v>-635008</v>
      </c>
      <c r="N22" s="263">
        <v>4380283</v>
      </c>
      <c r="O22" s="263">
        <v>2021451</v>
      </c>
      <c r="P22" s="263">
        <v>2021451</v>
      </c>
      <c r="Q22" s="263">
        <v>1383922</v>
      </c>
      <c r="R22" s="263">
        <v>1289866</v>
      </c>
      <c r="S22" s="263"/>
      <c r="T22" s="263">
        <v>-314956</v>
      </c>
      <c r="U22" s="263">
        <v>333799</v>
      </c>
      <c r="V22" s="263">
        <v>65424</v>
      </c>
      <c r="W22" s="263">
        <v>84267</v>
      </c>
      <c r="X22" s="263">
        <v>20577431</v>
      </c>
      <c r="Y22" s="263">
        <v>24705051</v>
      </c>
      <c r="Z22" s="265">
        <v>378.01</v>
      </c>
      <c r="AA22" s="265">
        <v>53.31</v>
      </c>
      <c r="AB22" s="283">
        <v>1.6356507427652822E-2</v>
      </c>
    </row>
    <row r="23" spans="1:28" ht="15.4" x14ac:dyDescent="0.45">
      <c r="A23" s="262" t="s">
        <v>27</v>
      </c>
      <c r="B23" s="263"/>
      <c r="C23" s="263"/>
      <c r="D23" s="263"/>
      <c r="E23" s="263"/>
      <c r="F23" s="263"/>
      <c r="G23" s="263"/>
      <c r="H23" s="263">
        <v>0</v>
      </c>
      <c r="I23" s="263">
        <v>0</v>
      </c>
      <c r="J23" s="263"/>
      <c r="K23" s="263">
        <v>0</v>
      </c>
      <c r="L23" s="263"/>
      <c r="M23" s="263"/>
      <c r="N23" s="263">
        <v>0</v>
      </c>
      <c r="O23" s="263"/>
      <c r="P23" s="263"/>
      <c r="Q23" s="263"/>
      <c r="R23" s="263"/>
      <c r="S23" s="263"/>
      <c r="T23" s="263">
        <v>0</v>
      </c>
      <c r="U23" s="263"/>
      <c r="V23" s="263"/>
      <c r="W23" s="263">
        <v>0</v>
      </c>
      <c r="X23" s="263"/>
      <c r="Y23" s="263"/>
      <c r="Z23" s="265"/>
      <c r="AA23" s="265"/>
      <c r="AB23" s="283">
        <v>0</v>
      </c>
    </row>
    <row r="24" spans="1:28" ht="15.4" x14ac:dyDescent="0.45">
      <c r="A24" s="262" t="s">
        <v>28</v>
      </c>
      <c r="B24" s="263">
        <v>5584409</v>
      </c>
      <c r="C24" s="263">
        <v>1911610</v>
      </c>
      <c r="D24" s="263">
        <v>15458620</v>
      </c>
      <c r="E24" s="263">
        <v>304893</v>
      </c>
      <c r="F24" s="263">
        <v>69422770</v>
      </c>
      <c r="G24" s="263">
        <v>0</v>
      </c>
      <c r="H24" s="263">
        <v>0</v>
      </c>
      <c r="I24" s="263">
        <v>0</v>
      </c>
      <c r="J24" s="263"/>
      <c r="K24" s="263">
        <v>92682302</v>
      </c>
      <c r="L24" s="263">
        <v>92206017</v>
      </c>
      <c r="M24" s="263">
        <v>-37764619</v>
      </c>
      <c r="N24" s="263">
        <v>54441398</v>
      </c>
      <c r="O24" s="263">
        <v>34349328</v>
      </c>
      <c r="P24" s="263">
        <v>34349328</v>
      </c>
      <c r="Q24" s="263">
        <v>13158619</v>
      </c>
      <c r="R24" s="263">
        <v>11222782</v>
      </c>
      <c r="S24" s="263">
        <v>134247</v>
      </c>
      <c r="T24" s="263">
        <v>-4155084</v>
      </c>
      <c r="U24" s="263">
        <v>20246582</v>
      </c>
      <c r="V24" s="263">
        <v>203256</v>
      </c>
      <c r="W24" s="263">
        <v>16294754</v>
      </c>
      <c r="X24" s="263">
        <v>774923210</v>
      </c>
      <c r="Y24" s="263">
        <v>925828651</v>
      </c>
      <c r="Z24" s="265">
        <v>123.28</v>
      </c>
      <c r="AA24" s="265">
        <v>26.44</v>
      </c>
      <c r="AB24" s="283">
        <v>0.19219855018952384</v>
      </c>
    </row>
    <row r="25" spans="1:28" ht="15.4" x14ac:dyDescent="0.45">
      <c r="A25" s="262" t="s">
        <v>31</v>
      </c>
      <c r="B25" s="263">
        <v>385965</v>
      </c>
      <c r="C25" s="263">
        <v>8038100</v>
      </c>
      <c r="D25" s="263">
        <v>117982</v>
      </c>
      <c r="E25" s="263">
        <v>95360</v>
      </c>
      <c r="F25" s="263">
        <v>325671</v>
      </c>
      <c r="G25" s="263"/>
      <c r="H25" s="263">
        <v>0</v>
      </c>
      <c r="I25" s="263">
        <v>0</v>
      </c>
      <c r="J25" s="263">
        <v>12362</v>
      </c>
      <c r="K25" s="263">
        <v>8975440</v>
      </c>
      <c r="L25" s="263">
        <v>4811380</v>
      </c>
      <c r="M25" s="263">
        <v>-234839</v>
      </c>
      <c r="N25" s="263">
        <v>4576541</v>
      </c>
      <c r="O25" s="263">
        <v>2524440</v>
      </c>
      <c r="P25" s="263">
        <v>2045612</v>
      </c>
      <c r="Q25" s="263">
        <v>1547944</v>
      </c>
      <c r="R25" s="263">
        <v>858362</v>
      </c>
      <c r="S25" s="263">
        <v>1038437</v>
      </c>
      <c r="T25" s="263">
        <v>1163060</v>
      </c>
      <c r="U25" s="263">
        <v>190545</v>
      </c>
      <c r="V25" s="263">
        <v>5700</v>
      </c>
      <c r="W25" s="263">
        <v>1359305</v>
      </c>
      <c r="X25" s="263">
        <v>20650097</v>
      </c>
      <c r="Y25" s="263">
        <v>35024119</v>
      </c>
      <c r="Z25" s="265">
        <v>197.54</v>
      </c>
      <c r="AA25" s="265">
        <v>50.01</v>
      </c>
      <c r="AB25" s="283">
        <v>1.8612685680951903E-2</v>
      </c>
    </row>
    <row r="26" spans="1:28" ht="15.4" x14ac:dyDescent="0.45">
      <c r="A26" s="262" t="s">
        <v>67</v>
      </c>
      <c r="B26" s="264">
        <f t="shared" ref="B26:Y26" si="1">SUM(B6:B25)</f>
        <v>202848090</v>
      </c>
      <c r="C26" s="264">
        <f t="shared" si="1"/>
        <v>41155767</v>
      </c>
      <c r="D26" s="264">
        <f t="shared" si="1"/>
        <v>33695379</v>
      </c>
      <c r="E26" s="264">
        <f t="shared" si="1"/>
        <v>22857235</v>
      </c>
      <c r="F26" s="264">
        <f t="shared" si="1"/>
        <v>149442555</v>
      </c>
      <c r="G26" s="264">
        <f t="shared" si="1"/>
        <v>293252</v>
      </c>
      <c r="H26" s="264">
        <f t="shared" si="1"/>
        <v>0</v>
      </c>
      <c r="I26" s="264">
        <f t="shared" si="1"/>
        <v>67683</v>
      </c>
      <c r="J26" s="264">
        <f t="shared" si="1"/>
        <v>31861689</v>
      </c>
      <c r="K26" s="264">
        <f t="shared" si="1"/>
        <v>482221650</v>
      </c>
      <c r="L26" s="264">
        <f t="shared" si="1"/>
        <v>461955696</v>
      </c>
      <c r="M26" s="264">
        <f t="shared" si="1"/>
        <v>-128454995</v>
      </c>
      <c r="N26" s="264">
        <f t="shared" si="1"/>
        <v>333500701</v>
      </c>
      <c r="O26" s="264">
        <f t="shared" si="1"/>
        <v>227232469</v>
      </c>
      <c r="P26" s="264">
        <f t="shared" si="1"/>
        <v>225642291</v>
      </c>
      <c r="Q26" s="264">
        <f t="shared" si="1"/>
        <v>100022882</v>
      </c>
      <c r="R26" s="264">
        <f t="shared" si="1"/>
        <v>84153217.890000001</v>
      </c>
      <c r="S26" s="264">
        <f t="shared" si="1"/>
        <v>1981997</v>
      </c>
      <c r="T26" s="264">
        <f t="shared" si="1"/>
        <v>-74335692.890000001</v>
      </c>
      <c r="U26" s="264">
        <f t="shared" si="1"/>
        <v>109238717</v>
      </c>
      <c r="V26" s="264">
        <f t="shared" si="1"/>
        <v>6002520</v>
      </c>
      <c r="W26" s="264">
        <f t="shared" si="1"/>
        <v>40905544.109999999</v>
      </c>
      <c r="X26" s="264">
        <f t="shared" si="1"/>
        <v>3258160458</v>
      </c>
      <c r="Y26" s="264">
        <f t="shared" si="1"/>
        <v>3964484830</v>
      </c>
      <c r="Z26" s="266">
        <f>AVERAGE(Z6:Z25)</f>
        <v>251.16894736842102</v>
      </c>
      <c r="AA26" s="266">
        <f>AVERAGE(AA6:AA25)</f>
        <v>64.727894736842117</v>
      </c>
      <c r="AB26" s="282">
        <f>SUM(AB6:AB25)</f>
        <v>0.99999999999999989</v>
      </c>
    </row>
  </sheetData>
  <mergeCells count="1">
    <mergeCell ref="B1:AB1"/>
  </mergeCells>
  <dataValidations count="1">
    <dataValidation type="list" allowBlank="1" showInputMessage="1" showErrorMessage="1" sqref="A3" xr:uid="{00000000-0002-0000-2300-000000000000}">
      <formula1>$A$6:$A$26</formula1>
    </dataValidation>
  </dataValidations>
  <pageMargins left="0.7" right="0.7" top="0.75" bottom="0.75" header="0.3" footer="0.3"/>
  <pageSetup orientation="portrait" horizontalDpi="4294967295" verticalDpi="4294967295" r:id="rId1"/>
  <customProperties>
    <customPr name="LastActive" r:id="rId2"/>
  </customProperties>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tabColor rgb="FF0070C0"/>
  </sheetPr>
  <dimension ref="A1:AG28"/>
  <sheetViews>
    <sheetView zoomScale="85" zoomScaleNormal="85" workbookViewId="0"/>
  </sheetViews>
  <sheetFormatPr defaultRowHeight="14.25" x14ac:dyDescent="0.45"/>
  <cols>
    <col min="1" max="1" width="48.265625" bestFit="1" customWidth="1"/>
    <col min="2" max="2" width="22" customWidth="1"/>
    <col min="3" max="5" width="13.73046875" bestFit="1" customWidth="1"/>
    <col min="6" max="6" width="14.73046875" customWidth="1"/>
    <col min="7" max="7" width="12.3984375" bestFit="1" customWidth="1"/>
    <col min="8" max="8" width="9.3984375" bestFit="1" customWidth="1"/>
    <col min="9" max="9" width="29.3984375" customWidth="1"/>
    <col min="10" max="10" width="16.265625" bestFit="1" customWidth="1"/>
    <col min="11" max="12" width="16.73046875" bestFit="1" customWidth="1"/>
    <col min="13" max="13" width="33.265625" customWidth="1"/>
    <col min="14" max="14" width="15" bestFit="1" customWidth="1"/>
    <col min="15" max="15" width="19.265625" customWidth="1"/>
    <col min="16" max="16" width="17.73046875" customWidth="1"/>
    <col min="17" max="17" width="19.265625" customWidth="1"/>
    <col min="18" max="18" width="15.73046875" bestFit="1" customWidth="1"/>
    <col min="19" max="19" width="13.73046875" bestFit="1" customWidth="1"/>
    <col min="20" max="20" width="17" bestFit="1" customWidth="1"/>
    <col min="21" max="21" width="15" bestFit="1" customWidth="1"/>
    <col min="22" max="22" width="12.3984375" bestFit="1" customWidth="1"/>
    <col min="23" max="23" width="13.73046875" bestFit="1" customWidth="1"/>
    <col min="24" max="24" width="15" bestFit="1" customWidth="1"/>
    <col min="25" max="25" width="16.73046875" bestFit="1" customWidth="1"/>
    <col min="26" max="27" width="16.73046875" customWidth="1"/>
    <col min="28" max="28" width="16.73046875" bestFit="1" customWidth="1"/>
    <col min="29" max="30" width="16.73046875" customWidth="1"/>
    <col min="31" max="31" width="18.3984375" customWidth="1"/>
    <col min="32" max="32" width="15.73046875" customWidth="1"/>
    <col min="33" max="33" width="16.73046875" bestFit="1" customWidth="1"/>
  </cols>
  <sheetData>
    <row r="1" spans="1:33" ht="21" x14ac:dyDescent="0.6">
      <c r="A1" s="267" t="s">
        <v>127</v>
      </c>
      <c r="B1" s="391" t="s">
        <v>99</v>
      </c>
      <c r="C1" s="391"/>
      <c r="D1" s="391"/>
      <c r="E1" s="391"/>
      <c r="F1" s="391"/>
      <c r="G1" s="391"/>
      <c r="H1" s="391"/>
      <c r="I1" s="391"/>
      <c r="J1" s="391"/>
      <c r="K1" s="391"/>
      <c r="L1" s="391"/>
      <c r="M1" s="391"/>
      <c r="N1" s="391"/>
      <c r="O1" s="391"/>
      <c r="P1" s="391"/>
      <c r="Q1" s="391"/>
      <c r="R1" s="391"/>
      <c r="S1" s="391"/>
      <c r="T1" s="391"/>
      <c r="U1" s="391"/>
      <c r="V1" s="391"/>
      <c r="W1" s="391"/>
      <c r="X1" s="391"/>
      <c r="Y1" s="391"/>
      <c r="Z1" s="391"/>
      <c r="AA1" s="391"/>
      <c r="AB1" s="391"/>
      <c r="AC1" s="391"/>
      <c r="AD1" s="391"/>
      <c r="AE1" s="391"/>
      <c r="AF1" s="391"/>
      <c r="AG1" s="391"/>
    </row>
    <row r="2" spans="1:33" ht="32.65" customHeight="1" x14ac:dyDescent="0.45">
      <c r="A2" s="268"/>
      <c r="B2" s="269" t="s">
        <v>108</v>
      </c>
      <c r="C2" s="269" t="s">
        <v>109</v>
      </c>
      <c r="D2" s="269" t="s">
        <v>110</v>
      </c>
      <c r="E2" s="269" t="s">
        <v>111</v>
      </c>
      <c r="F2" s="269" t="s">
        <v>112</v>
      </c>
      <c r="G2" s="269" t="s">
        <v>113</v>
      </c>
      <c r="H2" s="269" t="s">
        <v>114</v>
      </c>
      <c r="I2" s="269" t="s">
        <v>115</v>
      </c>
      <c r="J2" s="269" t="s">
        <v>116</v>
      </c>
      <c r="K2" s="269" t="s">
        <v>34</v>
      </c>
      <c r="L2" s="269" t="s">
        <v>117</v>
      </c>
      <c r="M2" s="270" t="s">
        <v>118</v>
      </c>
      <c r="N2" s="269" t="s">
        <v>119</v>
      </c>
      <c r="O2" s="269" t="s">
        <v>101</v>
      </c>
      <c r="P2" s="269" t="s">
        <v>74</v>
      </c>
      <c r="Q2" s="269" t="s">
        <v>10</v>
      </c>
      <c r="R2" s="269" t="s">
        <v>102</v>
      </c>
      <c r="S2" s="269" t="s">
        <v>103</v>
      </c>
      <c r="T2" s="269" t="s">
        <v>120</v>
      </c>
      <c r="U2" s="269" t="s">
        <v>121</v>
      </c>
      <c r="V2" s="269" t="s">
        <v>122</v>
      </c>
      <c r="W2" s="269" t="s">
        <v>123</v>
      </c>
      <c r="X2" s="269" t="s">
        <v>128</v>
      </c>
      <c r="Y2" s="269" t="s">
        <v>79</v>
      </c>
      <c r="Z2" s="269" t="s">
        <v>129</v>
      </c>
      <c r="AA2" s="269" t="s">
        <v>130</v>
      </c>
      <c r="AB2" s="270" t="s">
        <v>13</v>
      </c>
      <c r="AC2" s="270" t="s">
        <v>131</v>
      </c>
      <c r="AD2" s="270" t="s">
        <v>132</v>
      </c>
      <c r="AE2" s="271" t="s">
        <v>124</v>
      </c>
      <c r="AF2" s="271" t="s">
        <v>125</v>
      </c>
      <c r="AG2" s="271" t="s">
        <v>133</v>
      </c>
    </row>
    <row r="3" spans="1:33" ht="15.4" x14ac:dyDescent="0.45">
      <c r="A3" s="260" t="s">
        <v>21</v>
      </c>
      <c r="B3" s="261">
        <f t="shared" ref="B3:AG3" si="0">INDEX(B6:B28,MATCH($A$3,$A$6:$A$28,0))</f>
        <v>19355333</v>
      </c>
      <c r="C3" s="261">
        <f t="shared" si="0"/>
        <v>4415304</v>
      </c>
      <c r="D3" s="261">
        <f t="shared" si="0"/>
        <v>0</v>
      </c>
      <c r="E3" s="261">
        <f t="shared" si="0"/>
        <v>3582086</v>
      </c>
      <c r="F3" s="261">
        <f t="shared" si="0"/>
        <v>3801982</v>
      </c>
      <c r="G3" s="261">
        <f t="shared" si="0"/>
        <v>0</v>
      </c>
      <c r="H3" s="261">
        <f t="shared" si="0"/>
        <v>0</v>
      </c>
      <c r="I3" s="261">
        <f t="shared" si="0"/>
        <v>0</v>
      </c>
      <c r="J3" s="261">
        <f t="shared" si="0"/>
        <v>27810642</v>
      </c>
      <c r="K3" s="261">
        <f t="shared" si="0"/>
        <v>58965347</v>
      </c>
      <c r="L3" s="261">
        <f t="shared" si="0"/>
        <v>57287867</v>
      </c>
      <c r="M3" s="261">
        <f t="shared" si="0"/>
        <v>-21755900</v>
      </c>
      <c r="N3" s="261">
        <f t="shared" si="0"/>
        <v>35531967</v>
      </c>
      <c r="O3" s="261">
        <f t="shared" si="0"/>
        <v>18546330</v>
      </c>
      <c r="P3" s="261">
        <f t="shared" si="0"/>
        <v>18538151</v>
      </c>
      <c r="Q3" s="261">
        <f t="shared" si="0"/>
        <v>7707461</v>
      </c>
      <c r="R3" s="261">
        <f t="shared" si="0"/>
        <v>31332522</v>
      </c>
      <c r="S3" s="261">
        <f t="shared" si="0"/>
        <v>459122</v>
      </c>
      <c r="T3" s="261">
        <f t="shared" si="0"/>
        <v>-23527241</v>
      </c>
      <c r="U3" s="261">
        <f t="shared" si="0"/>
        <v>23879722</v>
      </c>
      <c r="V3" s="261">
        <f t="shared" si="0"/>
        <v>0</v>
      </c>
      <c r="W3" s="261">
        <f t="shared" si="0"/>
        <v>352481</v>
      </c>
      <c r="X3" s="261">
        <f t="shared" si="0"/>
        <v>11264709</v>
      </c>
      <c r="Y3" s="261">
        <f t="shared" si="0"/>
        <v>226683486</v>
      </c>
      <c r="Z3" s="261">
        <f t="shared" si="0"/>
        <v>4882422</v>
      </c>
      <c r="AA3" s="261">
        <f t="shared" si="0"/>
        <v>3955325</v>
      </c>
      <c r="AB3" s="261">
        <f t="shared" si="0"/>
        <v>246895298</v>
      </c>
      <c r="AC3" s="261">
        <f t="shared" si="0"/>
        <v>167382273</v>
      </c>
      <c r="AD3" s="261">
        <f t="shared" si="0"/>
        <v>19104750</v>
      </c>
      <c r="AE3" s="261">
        <f t="shared" si="0"/>
        <v>142.16</v>
      </c>
      <c r="AF3" s="261">
        <f t="shared" si="0"/>
        <v>71.53</v>
      </c>
      <c r="AG3" s="280">
        <f t="shared" si="0"/>
        <v>4.8628767863249882</v>
      </c>
    </row>
    <row r="5" spans="1:33" ht="37.9" customHeight="1" x14ac:dyDescent="0.45">
      <c r="A5" s="272" t="s">
        <v>126</v>
      </c>
      <c r="B5" s="273" t="s">
        <v>108</v>
      </c>
      <c r="C5" s="273" t="s">
        <v>109</v>
      </c>
      <c r="D5" s="273" t="s">
        <v>110</v>
      </c>
      <c r="E5" s="273" t="s">
        <v>111</v>
      </c>
      <c r="F5" s="273" t="s">
        <v>112</v>
      </c>
      <c r="G5" s="273" t="s">
        <v>113</v>
      </c>
      <c r="H5" s="273" t="s">
        <v>114</v>
      </c>
      <c r="I5" s="273" t="s">
        <v>115</v>
      </c>
      <c r="J5" s="273" t="s">
        <v>116</v>
      </c>
      <c r="K5" s="273" t="s">
        <v>34</v>
      </c>
      <c r="L5" s="273" t="s">
        <v>117</v>
      </c>
      <c r="M5" s="274" t="s">
        <v>118</v>
      </c>
      <c r="N5" s="273" t="s">
        <v>119</v>
      </c>
      <c r="O5" s="273" t="s">
        <v>101</v>
      </c>
      <c r="P5" s="273" t="s">
        <v>74</v>
      </c>
      <c r="Q5" s="273" t="s">
        <v>10</v>
      </c>
      <c r="R5" s="273" t="s">
        <v>102</v>
      </c>
      <c r="S5" s="273" t="s">
        <v>103</v>
      </c>
      <c r="T5" s="273" t="s">
        <v>120</v>
      </c>
      <c r="U5" s="273" t="s">
        <v>121</v>
      </c>
      <c r="V5" s="273" t="s">
        <v>122</v>
      </c>
      <c r="W5" s="273" t="s">
        <v>123</v>
      </c>
      <c r="X5" s="273" t="s">
        <v>128</v>
      </c>
      <c r="Y5" s="273" t="s">
        <v>79</v>
      </c>
      <c r="Z5" s="273" t="s">
        <v>129</v>
      </c>
      <c r="AA5" s="273" t="s">
        <v>130</v>
      </c>
      <c r="AB5" s="274" t="s">
        <v>13</v>
      </c>
      <c r="AC5" s="274" t="s">
        <v>131</v>
      </c>
      <c r="AD5" s="274" t="s">
        <v>132</v>
      </c>
      <c r="AE5" s="275" t="s">
        <v>124</v>
      </c>
      <c r="AF5" s="275" t="s">
        <v>125</v>
      </c>
      <c r="AG5" s="275" t="s">
        <v>133</v>
      </c>
    </row>
    <row r="6" spans="1:33" ht="15.4" x14ac:dyDescent="0.45">
      <c r="A6" s="262" t="s">
        <v>26</v>
      </c>
      <c r="B6" s="277">
        <v>1236940</v>
      </c>
      <c r="C6" s="277">
        <v>3913953</v>
      </c>
      <c r="D6" s="277">
        <v>103358</v>
      </c>
      <c r="E6" s="277">
        <v>10984839</v>
      </c>
      <c r="F6" s="277">
        <v>1212944</v>
      </c>
      <c r="G6" s="263"/>
      <c r="H6" s="263"/>
      <c r="I6" s="263"/>
      <c r="J6" s="263"/>
      <c r="K6" s="277">
        <f>SUM(B6:J6)</f>
        <v>17452034</v>
      </c>
      <c r="L6" s="277">
        <v>10628765</v>
      </c>
      <c r="M6" s="277">
        <v>-721665</v>
      </c>
      <c r="N6" s="277">
        <v>9907100</v>
      </c>
      <c r="O6" s="277">
        <v>4104213</v>
      </c>
      <c r="P6" s="277">
        <v>4104213</v>
      </c>
      <c r="Q6" s="277">
        <v>3327551</v>
      </c>
      <c r="R6" s="277">
        <v>2918147</v>
      </c>
      <c r="S6" s="263"/>
      <c r="T6" s="277">
        <v>-442811</v>
      </c>
      <c r="U6" s="277">
        <v>659252</v>
      </c>
      <c r="V6" s="277">
        <v>136317</v>
      </c>
      <c r="W6" s="277">
        <v>352758</v>
      </c>
      <c r="X6" s="277">
        <v>136203</v>
      </c>
      <c r="Y6" s="277">
        <v>21113429</v>
      </c>
      <c r="Z6" s="277">
        <v>262443</v>
      </c>
      <c r="AA6" s="277">
        <v>840031</v>
      </c>
      <c r="AB6" s="277">
        <v>24946076</v>
      </c>
      <c r="AC6" s="277">
        <v>6298285</v>
      </c>
      <c r="AD6" s="277">
        <v>2149101</v>
      </c>
      <c r="AE6" s="278">
        <v>337.39</v>
      </c>
      <c r="AF6" s="278">
        <v>58.76</v>
      </c>
      <c r="AG6" s="281">
        <f>100*(K6/$K$28)</f>
        <v>1.4392706111396991</v>
      </c>
    </row>
    <row r="7" spans="1:33" ht="15.4" x14ac:dyDescent="0.45">
      <c r="A7" s="262" t="s">
        <v>91</v>
      </c>
      <c r="B7" s="277">
        <v>17385042</v>
      </c>
      <c r="C7" s="277">
        <v>1291424</v>
      </c>
      <c r="D7" s="277">
        <v>14462867</v>
      </c>
      <c r="E7" s="277">
        <v>795682</v>
      </c>
      <c r="F7" s="277">
        <v>24557993</v>
      </c>
      <c r="G7" s="263"/>
      <c r="H7" s="263"/>
      <c r="I7" s="263"/>
      <c r="J7" s="263"/>
      <c r="K7" s="277">
        <f t="shared" ref="K7:K27" si="1">SUM(B7:J7)</f>
        <v>58493008</v>
      </c>
      <c r="L7" s="277">
        <v>57807743</v>
      </c>
      <c r="M7" s="277">
        <v>-14718921</v>
      </c>
      <c r="N7" s="277">
        <v>43088822</v>
      </c>
      <c r="O7" s="277">
        <v>16640683</v>
      </c>
      <c r="P7" s="277">
        <v>16630453</v>
      </c>
      <c r="Q7" s="277">
        <v>13806424</v>
      </c>
      <c r="R7" s="277">
        <v>8171394</v>
      </c>
      <c r="S7" s="277">
        <v>116637</v>
      </c>
      <c r="T7" s="277">
        <v>4597187</v>
      </c>
      <c r="U7" s="277">
        <v>4526076</v>
      </c>
      <c r="V7" s="276">
        <v>0</v>
      </c>
      <c r="W7" s="277">
        <v>9123264</v>
      </c>
      <c r="X7" s="277">
        <v>3514140</v>
      </c>
      <c r="Y7" s="277">
        <v>90934653</v>
      </c>
      <c r="Z7" s="277">
        <v>16397119</v>
      </c>
      <c r="AA7" s="277">
        <v>18378768</v>
      </c>
      <c r="AB7" s="277">
        <v>129224679</v>
      </c>
      <c r="AC7" s="277">
        <v>68443838</v>
      </c>
      <c r="AD7" s="277">
        <v>5884929</v>
      </c>
      <c r="AE7" s="278">
        <v>137.99</v>
      </c>
      <c r="AF7" s="278">
        <v>38.020000000000003</v>
      </c>
      <c r="AG7" s="281">
        <f t="shared" ref="AG7:AG27" si="2">100*(K7/$K$28)</f>
        <v>4.8239229519928344</v>
      </c>
    </row>
    <row r="8" spans="1:33" ht="15.4" x14ac:dyDescent="0.45">
      <c r="A8" s="262" t="s">
        <v>16</v>
      </c>
      <c r="B8" s="277">
        <v>8899552</v>
      </c>
      <c r="C8" s="277">
        <v>789006</v>
      </c>
      <c r="D8" s="277">
        <v>8320</v>
      </c>
      <c r="E8" s="277">
        <v>498803</v>
      </c>
      <c r="F8" s="277">
        <v>1917088</v>
      </c>
      <c r="G8" s="263"/>
      <c r="H8" s="263"/>
      <c r="I8" s="263"/>
      <c r="J8" s="263"/>
      <c r="K8" s="277">
        <f t="shared" si="1"/>
        <v>12112769</v>
      </c>
      <c r="L8" s="277">
        <v>11923379</v>
      </c>
      <c r="M8" s="277">
        <v>-3633831</v>
      </c>
      <c r="N8" s="277">
        <v>8289548</v>
      </c>
      <c r="O8" s="277">
        <v>4663759</v>
      </c>
      <c r="P8" s="277">
        <v>4657254</v>
      </c>
      <c r="Q8" s="277">
        <v>4490203</v>
      </c>
      <c r="R8" s="277">
        <v>975949</v>
      </c>
      <c r="S8" s="277">
        <v>49923</v>
      </c>
      <c r="T8" s="277">
        <v>-1783935</v>
      </c>
      <c r="U8" s="277">
        <v>1371413</v>
      </c>
      <c r="V8" s="277">
        <v>607306</v>
      </c>
      <c r="W8" s="277">
        <v>194784</v>
      </c>
      <c r="X8" s="277">
        <v>428502</v>
      </c>
      <c r="Y8" s="277">
        <v>122357113</v>
      </c>
      <c r="Z8" s="277">
        <v>1433353</v>
      </c>
      <c r="AA8" s="277">
        <v>6712558</v>
      </c>
      <c r="AB8" s="277">
        <v>130931526</v>
      </c>
      <c r="AC8" s="277">
        <v>65392898</v>
      </c>
      <c r="AD8" s="277">
        <v>5444391</v>
      </c>
      <c r="AE8" s="278">
        <v>187.77</v>
      </c>
      <c r="AF8" s="278">
        <v>45.84</v>
      </c>
      <c r="AG8" s="281">
        <f t="shared" si="2"/>
        <v>0.99894100832166632</v>
      </c>
    </row>
    <row r="9" spans="1:33" ht="15.4" x14ac:dyDescent="0.45">
      <c r="A9" s="262" t="s">
        <v>24</v>
      </c>
      <c r="B9" s="277">
        <v>51183701</v>
      </c>
      <c r="C9" s="277">
        <v>6685830</v>
      </c>
      <c r="D9" s="277">
        <v>9822710</v>
      </c>
      <c r="E9" s="277">
        <v>4834894</v>
      </c>
      <c r="F9" s="277">
        <v>28785329</v>
      </c>
      <c r="G9" s="263"/>
      <c r="H9" s="263"/>
      <c r="I9" s="263"/>
      <c r="J9" s="277">
        <v>2567257</v>
      </c>
      <c r="K9" s="277">
        <f t="shared" si="1"/>
        <v>103879721</v>
      </c>
      <c r="L9" s="277">
        <v>101777301</v>
      </c>
      <c r="M9" s="277">
        <v>-42742205</v>
      </c>
      <c r="N9" s="277">
        <v>59035096</v>
      </c>
      <c r="O9" s="277">
        <v>28013312</v>
      </c>
      <c r="P9" s="277">
        <v>28013312</v>
      </c>
      <c r="Q9" s="277">
        <v>30307023</v>
      </c>
      <c r="R9" s="277">
        <v>20316720</v>
      </c>
      <c r="S9" s="277">
        <v>475518</v>
      </c>
      <c r="T9" s="277">
        <v>-19126442</v>
      </c>
      <c r="U9" s="277">
        <v>20085240</v>
      </c>
      <c r="V9" s="277">
        <v>223031</v>
      </c>
      <c r="W9" s="277">
        <v>1181829</v>
      </c>
      <c r="X9" s="277">
        <v>20710989</v>
      </c>
      <c r="Y9" s="277">
        <v>249230969</v>
      </c>
      <c r="Z9" s="277">
        <v>3701470</v>
      </c>
      <c r="AA9" s="277">
        <v>14731126</v>
      </c>
      <c r="AB9" s="277">
        <v>306242856</v>
      </c>
      <c r="AC9" s="277">
        <v>208849313</v>
      </c>
      <c r="AD9" s="277">
        <v>25044240</v>
      </c>
      <c r="AE9" s="278">
        <v>129.25</v>
      </c>
      <c r="AF9" s="278">
        <v>49.74</v>
      </c>
      <c r="AG9" s="281">
        <f t="shared" si="2"/>
        <v>8.5669687286130358</v>
      </c>
    </row>
    <row r="10" spans="1:33" ht="15.4" x14ac:dyDescent="0.45">
      <c r="A10" s="262" t="s">
        <v>18</v>
      </c>
      <c r="B10" s="277">
        <v>24837</v>
      </c>
      <c r="C10" s="277">
        <v>116629</v>
      </c>
      <c r="D10" s="276">
        <v>0</v>
      </c>
      <c r="E10" s="277">
        <v>180335</v>
      </c>
      <c r="F10" s="277">
        <v>7895328</v>
      </c>
      <c r="G10" s="276">
        <v>0</v>
      </c>
      <c r="H10" s="263"/>
      <c r="I10" s="276">
        <v>0</v>
      </c>
      <c r="J10" s="277">
        <v>248909</v>
      </c>
      <c r="K10" s="277">
        <f t="shared" si="1"/>
        <v>8466038</v>
      </c>
      <c r="L10" s="277">
        <v>8466038</v>
      </c>
      <c r="M10" s="277">
        <v>-846604</v>
      </c>
      <c r="N10" s="277">
        <v>7619434</v>
      </c>
      <c r="O10" s="277">
        <v>9113658</v>
      </c>
      <c r="P10" s="277">
        <v>9113658</v>
      </c>
      <c r="Q10" s="277">
        <v>3233997</v>
      </c>
      <c r="R10" s="277">
        <v>496363</v>
      </c>
      <c r="S10" s="263"/>
      <c r="T10" s="277">
        <v>-5224584</v>
      </c>
      <c r="U10" s="277">
        <v>340369</v>
      </c>
      <c r="V10" s="276">
        <v>0</v>
      </c>
      <c r="W10" s="277">
        <v>-4884215</v>
      </c>
      <c r="X10" s="277">
        <v>7262627</v>
      </c>
      <c r="Y10" s="277">
        <v>32490758</v>
      </c>
      <c r="Z10" s="277">
        <v>2254348</v>
      </c>
      <c r="AA10" s="277">
        <v>19285024</v>
      </c>
      <c r="AB10" s="277">
        <v>61375361</v>
      </c>
      <c r="AC10" s="277">
        <v>31795838</v>
      </c>
      <c r="AD10" s="277">
        <v>9807357</v>
      </c>
      <c r="AE10" s="278">
        <v>125.03</v>
      </c>
      <c r="AF10" s="278">
        <v>44.06</v>
      </c>
      <c r="AG10" s="281">
        <f t="shared" si="2"/>
        <v>0.69819481707358111</v>
      </c>
    </row>
    <row r="11" spans="1:33" ht="15.4" x14ac:dyDescent="0.45">
      <c r="A11" s="262" t="s">
        <v>19</v>
      </c>
      <c r="B11" s="277">
        <v>173100</v>
      </c>
      <c r="C11" s="277">
        <v>4495847</v>
      </c>
      <c r="D11" s="277">
        <v>79661</v>
      </c>
      <c r="E11" s="277">
        <v>3870917</v>
      </c>
      <c r="F11" s="263"/>
      <c r="G11" s="263"/>
      <c r="H11" s="263"/>
      <c r="I11" s="263"/>
      <c r="J11" s="263"/>
      <c r="K11" s="277">
        <f t="shared" si="1"/>
        <v>8619525</v>
      </c>
      <c r="L11" s="277">
        <v>7966763</v>
      </c>
      <c r="M11" s="263"/>
      <c r="N11" s="277">
        <v>7966763</v>
      </c>
      <c r="O11" s="277">
        <v>1097549</v>
      </c>
      <c r="P11" s="277">
        <v>1097549</v>
      </c>
      <c r="Q11" s="277">
        <v>3378769</v>
      </c>
      <c r="R11" s="277">
        <v>1736684</v>
      </c>
      <c r="S11" s="263"/>
      <c r="T11" s="277">
        <v>431560</v>
      </c>
      <c r="U11" s="277">
        <v>342966</v>
      </c>
      <c r="V11" s="276">
        <v>0</v>
      </c>
      <c r="W11" s="277">
        <v>774526</v>
      </c>
      <c r="X11" s="277">
        <v>5462296</v>
      </c>
      <c r="Y11" s="277">
        <v>9570933</v>
      </c>
      <c r="Z11" s="277">
        <v>364871</v>
      </c>
      <c r="AA11" s="277">
        <v>4184681</v>
      </c>
      <c r="AB11" s="277">
        <v>19582781</v>
      </c>
      <c r="AC11" s="277">
        <v>2925701</v>
      </c>
      <c r="AD11" s="277">
        <v>1550371</v>
      </c>
      <c r="AE11" s="278">
        <v>513.83000000000004</v>
      </c>
      <c r="AF11" s="278">
        <v>80.81</v>
      </c>
      <c r="AG11" s="281">
        <f t="shared" si="2"/>
        <v>0.71085290198746554</v>
      </c>
    </row>
    <row r="12" spans="1:33" ht="15.4" x14ac:dyDescent="0.45">
      <c r="A12" s="262" t="s">
        <v>21</v>
      </c>
      <c r="B12" s="277">
        <v>19355333</v>
      </c>
      <c r="C12" s="277">
        <v>4415304</v>
      </c>
      <c r="D12" s="263"/>
      <c r="E12" s="277">
        <v>3582086</v>
      </c>
      <c r="F12" s="277">
        <v>3801982</v>
      </c>
      <c r="G12" s="263"/>
      <c r="H12" s="263"/>
      <c r="I12" s="263"/>
      <c r="J12" s="277">
        <v>27810642</v>
      </c>
      <c r="K12" s="277">
        <f t="shared" si="1"/>
        <v>58965347</v>
      </c>
      <c r="L12" s="277">
        <v>57287867</v>
      </c>
      <c r="M12" s="277">
        <v>-21755900</v>
      </c>
      <c r="N12" s="277">
        <v>35531967</v>
      </c>
      <c r="O12" s="277">
        <v>18546330</v>
      </c>
      <c r="P12" s="277">
        <v>18538151</v>
      </c>
      <c r="Q12" s="277">
        <v>7707461</v>
      </c>
      <c r="R12" s="277">
        <v>31332522</v>
      </c>
      <c r="S12" s="277">
        <v>459122</v>
      </c>
      <c r="T12" s="277">
        <v>-23527241</v>
      </c>
      <c r="U12" s="277">
        <v>23879722</v>
      </c>
      <c r="V12" s="276">
        <v>0</v>
      </c>
      <c r="W12" s="277">
        <v>352481</v>
      </c>
      <c r="X12" s="277">
        <v>11264709</v>
      </c>
      <c r="Y12" s="277">
        <v>226683486</v>
      </c>
      <c r="Z12" s="277">
        <v>4882422</v>
      </c>
      <c r="AA12" s="277">
        <v>3955325</v>
      </c>
      <c r="AB12" s="277">
        <v>246895298</v>
      </c>
      <c r="AC12" s="277">
        <v>167382273</v>
      </c>
      <c r="AD12" s="277">
        <v>19104750</v>
      </c>
      <c r="AE12" s="278">
        <v>142.16</v>
      </c>
      <c r="AF12" s="278">
        <v>71.53</v>
      </c>
      <c r="AG12" s="281">
        <f t="shared" si="2"/>
        <v>4.8628767863249882</v>
      </c>
    </row>
    <row r="13" spans="1:33" ht="15.4" x14ac:dyDescent="0.45">
      <c r="A13" s="262" t="s">
        <v>23</v>
      </c>
      <c r="B13" s="277">
        <v>20581887</v>
      </c>
      <c r="C13" s="277">
        <v>327748</v>
      </c>
      <c r="D13" s="277">
        <v>296815</v>
      </c>
      <c r="E13" s="277">
        <v>311313</v>
      </c>
      <c r="F13" s="263"/>
      <c r="G13" s="263"/>
      <c r="H13" s="263"/>
      <c r="I13" s="263"/>
      <c r="J13" s="263"/>
      <c r="K13" s="277">
        <f t="shared" si="1"/>
        <v>21517763</v>
      </c>
      <c r="L13" s="277">
        <v>21377526</v>
      </c>
      <c r="M13" s="277">
        <v>-1042989</v>
      </c>
      <c r="N13" s="277">
        <v>20334537</v>
      </c>
      <c r="O13" s="277">
        <v>13477436</v>
      </c>
      <c r="P13" s="277">
        <v>13477436</v>
      </c>
      <c r="Q13" s="277">
        <v>5200710</v>
      </c>
      <c r="R13" s="277">
        <v>1433567</v>
      </c>
      <c r="S13" s="276">
        <v>0</v>
      </c>
      <c r="T13" s="277">
        <v>222824</v>
      </c>
      <c r="U13" s="277">
        <v>1783398</v>
      </c>
      <c r="V13" s="277">
        <v>2220</v>
      </c>
      <c r="W13" s="277">
        <v>2008442</v>
      </c>
      <c r="X13" s="277">
        <v>1600276</v>
      </c>
      <c r="Y13" s="277">
        <v>33045765</v>
      </c>
      <c r="Z13" s="277">
        <v>8305236</v>
      </c>
      <c r="AA13" s="277">
        <v>298121</v>
      </c>
      <c r="AB13" s="277">
        <v>45156095</v>
      </c>
      <c r="AC13" s="277">
        <v>16520624</v>
      </c>
      <c r="AD13" s="277">
        <v>4496091</v>
      </c>
      <c r="AE13" s="278">
        <v>209.71</v>
      </c>
      <c r="AF13" s="278">
        <v>31.03</v>
      </c>
      <c r="AG13" s="281">
        <f t="shared" si="2"/>
        <v>1.7745716002713039</v>
      </c>
    </row>
    <row r="14" spans="1:33" ht="15.4" x14ac:dyDescent="0.45">
      <c r="A14" s="262" t="s">
        <v>22</v>
      </c>
      <c r="B14" s="277">
        <v>30055498</v>
      </c>
      <c r="C14" s="277">
        <v>17145708</v>
      </c>
      <c r="D14" s="277">
        <v>15049</v>
      </c>
      <c r="E14" s="277">
        <v>1172384</v>
      </c>
      <c r="F14" s="277">
        <v>4071141</v>
      </c>
      <c r="G14" s="263"/>
      <c r="H14" s="263"/>
      <c r="I14" s="277">
        <v>133961</v>
      </c>
      <c r="J14" s="277">
        <v>6730351</v>
      </c>
      <c r="K14" s="277">
        <f t="shared" si="1"/>
        <v>59324092</v>
      </c>
      <c r="L14" s="277">
        <v>55042794</v>
      </c>
      <c r="M14" s="263"/>
      <c r="N14" s="277">
        <v>55042794</v>
      </c>
      <c r="O14" s="277">
        <v>74895704</v>
      </c>
      <c r="P14" s="277">
        <v>74895704</v>
      </c>
      <c r="Q14" s="277">
        <v>16585054</v>
      </c>
      <c r="R14" s="277">
        <v>4429242</v>
      </c>
      <c r="S14" s="277">
        <v>9634845</v>
      </c>
      <c r="T14" s="277">
        <v>-31232361</v>
      </c>
      <c r="U14" s="277">
        <v>29601856</v>
      </c>
      <c r="V14" s="277">
        <v>-23238</v>
      </c>
      <c r="W14" s="277">
        <v>-1653743</v>
      </c>
      <c r="X14" s="277">
        <v>33687951</v>
      </c>
      <c r="Y14" s="277">
        <v>298834147</v>
      </c>
      <c r="Z14" s="277">
        <v>8003000</v>
      </c>
      <c r="AA14" s="277">
        <v>3812931</v>
      </c>
      <c r="AB14" s="277">
        <v>344338028</v>
      </c>
      <c r="AC14" s="277">
        <v>279191000</v>
      </c>
      <c r="AD14" s="277">
        <v>23299716</v>
      </c>
      <c r="AE14" s="278">
        <v>119.1</v>
      </c>
      <c r="AF14" s="278">
        <v>38.18</v>
      </c>
      <c r="AG14" s="281">
        <f t="shared" si="2"/>
        <v>4.8924625145784013</v>
      </c>
    </row>
    <row r="15" spans="1:33" ht="15.4" x14ac:dyDescent="0.45">
      <c r="A15" s="262" t="s">
        <v>25</v>
      </c>
      <c r="B15" s="277">
        <v>6813131</v>
      </c>
      <c r="C15" s="277">
        <v>432703</v>
      </c>
      <c r="D15" s="276">
        <v>0</v>
      </c>
      <c r="E15" s="277">
        <v>701757</v>
      </c>
      <c r="F15" s="277">
        <v>513857</v>
      </c>
      <c r="G15" s="276">
        <v>0</v>
      </c>
      <c r="H15" s="263"/>
      <c r="I15" s="276">
        <v>0</v>
      </c>
      <c r="J15" s="277">
        <v>4749086</v>
      </c>
      <c r="K15" s="277">
        <f t="shared" si="1"/>
        <v>13210534</v>
      </c>
      <c r="L15" s="277">
        <v>13165742</v>
      </c>
      <c r="M15" s="277">
        <v>-5266297</v>
      </c>
      <c r="N15" s="277">
        <v>7899445</v>
      </c>
      <c r="O15" s="277">
        <v>8709818</v>
      </c>
      <c r="P15" s="277">
        <v>8709818</v>
      </c>
      <c r="Q15" s="277">
        <v>4024018</v>
      </c>
      <c r="R15" s="277">
        <v>283338</v>
      </c>
      <c r="S15" s="263"/>
      <c r="T15" s="277">
        <v>-5147855</v>
      </c>
      <c r="U15" s="277">
        <v>5171462</v>
      </c>
      <c r="V15" s="277">
        <v>606290</v>
      </c>
      <c r="W15" s="277">
        <v>629897</v>
      </c>
      <c r="X15" s="277">
        <v>2076686</v>
      </c>
      <c r="Y15" s="277">
        <v>65721605</v>
      </c>
      <c r="Z15" s="277">
        <v>3685228</v>
      </c>
      <c r="AA15" s="277">
        <v>4845410</v>
      </c>
      <c r="AB15" s="277">
        <v>76407741</v>
      </c>
      <c r="AC15" s="277">
        <v>56911873</v>
      </c>
      <c r="AD15" s="277">
        <v>1418088</v>
      </c>
      <c r="AE15" s="278">
        <v>119.13</v>
      </c>
      <c r="AF15" s="278">
        <v>32.950000000000003</v>
      </c>
      <c r="AG15" s="281">
        <f t="shared" si="2"/>
        <v>1.0894737738685232</v>
      </c>
    </row>
    <row r="16" spans="1:33" ht="15.4" x14ac:dyDescent="0.45">
      <c r="A16" s="262" t="s">
        <v>27</v>
      </c>
      <c r="B16" s="277">
        <v>203285985</v>
      </c>
      <c r="C16" s="277">
        <v>11266364</v>
      </c>
      <c r="D16" s="277">
        <v>74805</v>
      </c>
      <c r="E16" s="277">
        <v>2454349</v>
      </c>
      <c r="F16" s="277">
        <v>15177867</v>
      </c>
      <c r="G16" s="263"/>
      <c r="H16" s="263"/>
      <c r="I16" s="263"/>
      <c r="J16" s="263"/>
      <c r="K16" s="277">
        <f t="shared" si="1"/>
        <v>232259370</v>
      </c>
      <c r="L16" s="277">
        <v>231444138</v>
      </c>
      <c r="M16" s="277">
        <v>-47080348</v>
      </c>
      <c r="N16" s="277">
        <v>184363790</v>
      </c>
      <c r="O16" s="277">
        <v>161568685</v>
      </c>
      <c r="P16" s="277">
        <v>161523917</v>
      </c>
      <c r="Q16" s="277">
        <v>40060085</v>
      </c>
      <c r="R16" s="277">
        <v>11498730</v>
      </c>
      <c r="S16" s="277">
        <v>202628</v>
      </c>
      <c r="T16" s="277">
        <v>-28516314</v>
      </c>
      <c r="U16" s="277">
        <v>39609676</v>
      </c>
      <c r="V16" s="277">
        <v>2397524</v>
      </c>
      <c r="W16" s="277">
        <v>13490886</v>
      </c>
      <c r="X16" s="277">
        <v>13091669</v>
      </c>
      <c r="Y16" s="277">
        <v>776236744</v>
      </c>
      <c r="Z16" s="277">
        <v>87492506</v>
      </c>
      <c r="AA16" s="277">
        <v>44842588</v>
      </c>
      <c r="AB16" s="277">
        <v>921663507</v>
      </c>
      <c r="AC16" s="277">
        <v>668276145</v>
      </c>
      <c r="AD16" s="277">
        <v>44681134</v>
      </c>
      <c r="AE16" s="278">
        <v>118.11</v>
      </c>
      <c r="AF16" s="278">
        <v>22.28</v>
      </c>
      <c r="AG16" s="281">
        <f t="shared" si="2"/>
        <v>19.154448438664602</v>
      </c>
    </row>
    <row r="17" spans="1:33" ht="15.4" x14ac:dyDescent="0.45">
      <c r="A17" s="262" t="s">
        <v>28</v>
      </c>
      <c r="B17" s="277">
        <v>11162838</v>
      </c>
      <c r="C17" s="277">
        <v>4756435</v>
      </c>
      <c r="D17" s="277">
        <v>32162017</v>
      </c>
      <c r="E17" s="277">
        <v>1769391</v>
      </c>
      <c r="F17" s="277">
        <v>145037585</v>
      </c>
      <c r="G17" s="263"/>
      <c r="H17" s="263"/>
      <c r="I17" s="263"/>
      <c r="J17" s="263"/>
      <c r="K17" s="277">
        <f t="shared" si="1"/>
        <v>194888266</v>
      </c>
      <c r="L17" s="277">
        <v>193186534</v>
      </c>
      <c r="M17" s="277">
        <v>-75161947</v>
      </c>
      <c r="N17" s="277">
        <v>118024587</v>
      </c>
      <c r="O17" s="277">
        <v>80801928</v>
      </c>
      <c r="P17" s="277">
        <v>80801928</v>
      </c>
      <c r="Q17" s="277">
        <v>25330451</v>
      </c>
      <c r="R17" s="277">
        <v>24016489</v>
      </c>
      <c r="S17" s="277">
        <v>472997</v>
      </c>
      <c r="T17" s="277">
        <v>-11651284</v>
      </c>
      <c r="U17" s="277">
        <v>39520157</v>
      </c>
      <c r="V17" s="277">
        <v>489774</v>
      </c>
      <c r="W17" s="277">
        <v>28358647</v>
      </c>
      <c r="X17" s="277">
        <v>19376112</v>
      </c>
      <c r="Y17" s="277">
        <v>843014794</v>
      </c>
      <c r="Z17" s="277">
        <v>77179478</v>
      </c>
      <c r="AA17" s="277">
        <v>60138811</v>
      </c>
      <c r="AB17" s="277">
        <v>1000011114</v>
      </c>
      <c r="AC17" s="277">
        <v>687570707</v>
      </c>
      <c r="AD17" s="277">
        <v>57602356</v>
      </c>
      <c r="AE17" s="278">
        <v>125.43</v>
      </c>
      <c r="AF17" s="278">
        <v>25.54</v>
      </c>
      <c r="AG17" s="281">
        <f t="shared" si="2"/>
        <v>16.072450564202217</v>
      </c>
    </row>
    <row r="18" spans="1:33" ht="15.4" x14ac:dyDescent="0.45">
      <c r="A18" s="262" t="s">
        <v>31</v>
      </c>
      <c r="B18" s="277">
        <v>673932</v>
      </c>
      <c r="C18" s="277">
        <v>10305658</v>
      </c>
      <c r="D18" s="277">
        <v>200410</v>
      </c>
      <c r="E18" s="277">
        <v>139727</v>
      </c>
      <c r="F18" s="277">
        <v>591223</v>
      </c>
      <c r="G18" s="263"/>
      <c r="H18" s="263"/>
      <c r="I18" s="263"/>
      <c r="J18" s="277">
        <v>24891</v>
      </c>
      <c r="K18" s="277">
        <f t="shared" si="1"/>
        <v>11935841</v>
      </c>
      <c r="L18" s="277">
        <v>7104457</v>
      </c>
      <c r="M18" s="277">
        <v>-723855</v>
      </c>
      <c r="N18" s="277">
        <v>6380602</v>
      </c>
      <c r="O18" s="277">
        <v>4453554</v>
      </c>
      <c r="P18" s="277">
        <v>3925814</v>
      </c>
      <c r="Q18" s="277">
        <v>3192944</v>
      </c>
      <c r="R18" s="277">
        <v>1159253</v>
      </c>
      <c r="S18" s="277">
        <v>1096183</v>
      </c>
      <c r="T18" s="277">
        <v>-801226</v>
      </c>
      <c r="U18" s="277">
        <v>223750</v>
      </c>
      <c r="V18" s="277">
        <v>13258</v>
      </c>
      <c r="W18" s="277">
        <v>-564218</v>
      </c>
      <c r="X18" s="277">
        <v>786197</v>
      </c>
      <c r="Y18" s="277">
        <v>21220051</v>
      </c>
      <c r="Z18" s="277">
        <v>10692507</v>
      </c>
      <c r="AA18" s="277">
        <v>2740623</v>
      </c>
      <c r="AB18" s="277">
        <v>35439378</v>
      </c>
      <c r="AC18" s="277">
        <v>11448286</v>
      </c>
      <c r="AD18" s="277">
        <v>3309920</v>
      </c>
      <c r="AE18" s="278">
        <v>192.22</v>
      </c>
      <c r="AF18" s="278">
        <v>61.26</v>
      </c>
      <c r="AG18" s="281">
        <f t="shared" si="2"/>
        <v>0.98434974230145778</v>
      </c>
    </row>
    <row r="19" spans="1:33" ht="15.4" x14ac:dyDescent="0.45">
      <c r="A19" s="262" t="s">
        <v>20</v>
      </c>
      <c r="B19" s="277">
        <v>55673017</v>
      </c>
      <c r="C19" s="277">
        <v>13071029</v>
      </c>
      <c r="D19" s="277">
        <v>128948</v>
      </c>
      <c r="E19" s="277">
        <v>6980209</v>
      </c>
      <c r="F19" s="277">
        <v>4592189</v>
      </c>
      <c r="G19" s="277">
        <v>311741</v>
      </c>
      <c r="H19" s="263"/>
      <c r="I19" s="263"/>
      <c r="J19" s="263"/>
      <c r="K19" s="277">
        <f t="shared" si="1"/>
        <v>80757133</v>
      </c>
      <c r="L19" s="277">
        <v>79065529</v>
      </c>
      <c r="M19" s="277">
        <v>-2910974</v>
      </c>
      <c r="N19" s="277">
        <v>76154555</v>
      </c>
      <c r="O19" s="277">
        <v>58678130</v>
      </c>
      <c r="P19" s="277">
        <v>58678130</v>
      </c>
      <c r="Q19" s="277">
        <v>16889957</v>
      </c>
      <c r="R19" s="277">
        <v>5393367</v>
      </c>
      <c r="S19" s="277">
        <v>199864</v>
      </c>
      <c r="T19" s="277">
        <v>-4607036</v>
      </c>
      <c r="U19" s="277">
        <v>3246993</v>
      </c>
      <c r="V19" s="277">
        <v>803898</v>
      </c>
      <c r="W19" s="277">
        <v>-556144</v>
      </c>
      <c r="X19" s="277">
        <v>16709974</v>
      </c>
      <c r="Y19" s="277">
        <v>386565945</v>
      </c>
      <c r="Z19" s="277">
        <v>36793728</v>
      </c>
      <c r="AA19" s="277">
        <v>6127553</v>
      </c>
      <c r="AB19" s="277">
        <v>446197200</v>
      </c>
      <c r="AC19" s="277">
        <v>175081327</v>
      </c>
      <c r="AD19" s="277">
        <v>68130839</v>
      </c>
      <c r="AE19" s="278">
        <v>230.34</v>
      </c>
      <c r="AF19" s="278">
        <v>28.18</v>
      </c>
      <c r="AG19" s="281">
        <f t="shared" si="2"/>
        <v>6.6600470848727413</v>
      </c>
    </row>
    <row r="20" spans="1:33" ht="15.4" x14ac:dyDescent="0.45">
      <c r="A20" s="262" t="s">
        <v>17</v>
      </c>
      <c r="B20" s="277">
        <v>165220126</v>
      </c>
      <c r="C20" s="277">
        <v>7876762</v>
      </c>
      <c r="D20" s="277">
        <v>10770111</v>
      </c>
      <c r="E20" s="277">
        <v>9233926</v>
      </c>
      <c r="F20" s="277">
        <v>88894723</v>
      </c>
      <c r="G20" s="263"/>
      <c r="H20" s="263"/>
      <c r="I20" s="263"/>
      <c r="J20" s="277">
        <v>12342774</v>
      </c>
      <c r="K20" s="277">
        <f t="shared" si="1"/>
        <v>294338422</v>
      </c>
      <c r="L20" s="277">
        <v>286214662</v>
      </c>
      <c r="M20" s="277">
        <v>-104485713</v>
      </c>
      <c r="N20" s="277">
        <v>181728949</v>
      </c>
      <c r="O20" s="277">
        <v>138580178</v>
      </c>
      <c r="P20" s="277">
        <v>136360976</v>
      </c>
      <c r="Q20" s="277">
        <v>41313256</v>
      </c>
      <c r="R20" s="277">
        <v>43946966</v>
      </c>
      <c r="S20" s="263"/>
      <c r="T20" s="277">
        <v>-39892249</v>
      </c>
      <c r="U20" s="277">
        <v>99640462</v>
      </c>
      <c r="V20" s="277">
        <v>420091</v>
      </c>
      <c r="W20" s="277">
        <v>60168304</v>
      </c>
      <c r="X20" s="277">
        <v>103657749</v>
      </c>
      <c r="Y20" s="277">
        <v>962764296</v>
      </c>
      <c r="Z20" s="277">
        <v>23857093</v>
      </c>
      <c r="AA20" s="277">
        <v>35682603</v>
      </c>
      <c r="AB20" s="277">
        <v>1125961741</v>
      </c>
      <c r="AC20" s="277">
        <v>770543174</v>
      </c>
      <c r="AD20" s="277">
        <v>61560944</v>
      </c>
      <c r="AE20" s="278">
        <v>138.4</v>
      </c>
      <c r="AF20" s="278">
        <v>29.79</v>
      </c>
      <c r="AG20" s="281">
        <f t="shared" si="2"/>
        <v>24.274112720261414</v>
      </c>
    </row>
    <row r="21" spans="1:33" ht="15.4" x14ac:dyDescent="0.45">
      <c r="A21" s="262" t="s">
        <v>40</v>
      </c>
      <c r="B21" s="263"/>
      <c r="C21" s="263"/>
      <c r="D21" s="263"/>
      <c r="E21" s="263"/>
      <c r="F21" s="263"/>
      <c r="G21" s="263"/>
      <c r="H21" s="263"/>
      <c r="I21" s="263"/>
      <c r="J21" s="263"/>
      <c r="K21" s="277">
        <f t="shared" si="1"/>
        <v>0</v>
      </c>
      <c r="L21" s="263"/>
      <c r="M21" s="263"/>
      <c r="N21" s="263"/>
      <c r="O21" s="263"/>
      <c r="P21" s="263"/>
      <c r="Q21" s="263"/>
      <c r="R21" s="263"/>
      <c r="S21" s="263"/>
      <c r="T21" s="263"/>
      <c r="U21" s="263"/>
      <c r="V21" s="263"/>
      <c r="W21" s="263"/>
      <c r="X21" s="263"/>
      <c r="Y21" s="263"/>
      <c r="Z21" s="263"/>
      <c r="AA21" s="263"/>
      <c r="AB21" s="263"/>
      <c r="AC21" s="263"/>
      <c r="AD21" s="263"/>
      <c r="AE21" s="265"/>
      <c r="AF21" s="265"/>
      <c r="AG21" s="281">
        <f t="shared" si="2"/>
        <v>0</v>
      </c>
    </row>
    <row r="22" spans="1:33" ht="15.4" x14ac:dyDescent="0.45">
      <c r="A22" s="262" t="s">
        <v>47</v>
      </c>
      <c r="B22" s="277">
        <v>817757</v>
      </c>
      <c r="C22" s="277">
        <v>35047</v>
      </c>
      <c r="D22" s="277">
        <v>42056</v>
      </c>
      <c r="E22" s="263"/>
      <c r="F22" s="277">
        <v>273365</v>
      </c>
      <c r="G22" s="263"/>
      <c r="H22" s="263"/>
      <c r="I22" s="263"/>
      <c r="J22" s="263"/>
      <c r="K22" s="277">
        <f t="shared" si="1"/>
        <v>1168225</v>
      </c>
      <c r="L22" s="277">
        <v>1065726</v>
      </c>
      <c r="M22" s="277">
        <v>-341032</v>
      </c>
      <c r="N22" s="277">
        <v>724694</v>
      </c>
      <c r="O22" s="277">
        <v>690310</v>
      </c>
      <c r="P22" s="277">
        <v>690310</v>
      </c>
      <c r="Q22" s="277">
        <v>4133361</v>
      </c>
      <c r="R22" s="277">
        <v>33012</v>
      </c>
      <c r="S22" s="277">
        <v>7574</v>
      </c>
      <c r="T22" s="277">
        <v>-4124415</v>
      </c>
      <c r="U22" s="277">
        <v>136853</v>
      </c>
      <c r="V22" s="277">
        <v>65002</v>
      </c>
      <c r="W22" s="277">
        <v>-3922560</v>
      </c>
      <c r="X22" s="277">
        <v>10189789</v>
      </c>
      <c r="Y22" s="277">
        <v>47601991</v>
      </c>
      <c r="Z22" s="277">
        <v>5487657</v>
      </c>
      <c r="AA22" s="277">
        <v>10732976</v>
      </c>
      <c r="AB22" s="277">
        <v>75492583</v>
      </c>
      <c r="AC22" s="277">
        <v>18118177</v>
      </c>
      <c r="AD22" s="277">
        <v>4056508</v>
      </c>
      <c r="AE22" s="278">
        <v>318.97000000000003</v>
      </c>
      <c r="AF22" s="278">
        <v>390.94</v>
      </c>
      <c r="AG22" s="281">
        <f t="shared" si="2"/>
        <v>9.6343607266561312E-2</v>
      </c>
    </row>
    <row r="23" spans="1:33" ht="15.4" x14ac:dyDescent="0.45">
      <c r="A23" s="262" t="s">
        <v>53</v>
      </c>
      <c r="B23" s="263"/>
      <c r="C23" s="263"/>
      <c r="D23" s="277">
        <v>3107650</v>
      </c>
      <c r="E23" s="263"/>
      <c r="F23" s="263"/>
      <c r="G23" s="263"/>
      <c r="H23" s="263"/>
      <c r="I23" s="263"/>
      <c r="J23" s="263"/>
      <c r="K23" s="277">
        <f t="shared" si="1"/>
        <v>3107650</v>
      </c>
      <c r="L23" s="277">
        <v>2586252</v>
      </c>
      <c r="M23" s="277">
        <v>-385718</v>
      </c>
      <c r="N23" s="277">
        <v>2200534</v>
      </c>
      <c r="O23" s="263"/>
      <c r="P23" s="263"/>
      <c r="Q23" s="277">
        <v>3774946</v>
      </c>
      <c r="R23" s="277">
        <v>15844</v>
      </c>
      <c r="S23" s="263"/>
      <c r="T23" s="277">
        <v>-1773271</v>
      </c>
      <c r="U23" s="277">
        <v>887246</v>
      </c>
      <c r="V23" s="263"/>
      <c r="W23" s="277">
        <v>-886025</v>
      </c>
      <c r="X23" s="277">
        <v>513890</v>
      </c>
      <c r="Y23" s="277">
        <v>14301296</v>
      </c>
      <c r="Z23" s="277">
        <v>6217402</v>
      </c>
      <c r="AA23" s="277">
        <v>3335748</v>
      </c>
      <c r="AB23" s="277">
        <v>24368336</v>
      </c>
      <c r="AC23" s="277">
        <v>4888495</v>
      </c>
      <c r="AD23" s="277">
        <v>6492493</v>
      </c>
      <c r="AE23" s="278">
        <v>303.06</v>
      </c>
      <c r="AF23" s="278">
        <v>153.65</v>
      </c>
      <c r="AG23" s="281">
        <f t="shared" si="2"/>
        <v>0.25628813894748809</v>
      </c>
    </row>
    <row r="24" spans="1:33" ht="15.4" x14ac:dyDescent="0.45">
      <c r="A24" s="262" t="s">
        <v>97</v>
      </c>
      <c r="B24" s="263"/>
      <c r="C24" s="263"/>
      <c r="D24" s="263"/>
      <c r="E24" s="263"/>
      <c r="F24" s="263"/>
      <c r="G24" s="263"/>
      <c r="H24" s="263"/>
      <c r="I24" s="263"/>
      <c r="J24" s="263"/>
      <c r="K24" s="277">
        <f t="shared" si="1"/>
        <v>0</v>
      </c>
      <c r="L24" s="263"/>
      <c r="M24" s="263"/>
      <c r="N24" s="263"/>
      <c r="O24" s="263"/>
      <c r="P24" s="263"/>
      <c r="Q24" s="263"/>
      <c r="R24" s="263"/>
      <c r="S24" s="263"/>
      <c r="T24" s="263"/>
      <c r="U24" s="263"/>
      <c r="V24" s="263"/>
      <c r="W24" s="263"/>
      <c r="X24" s="263"/>
      <c r="Y24" s="263"/>
      <c r="Z24" s="263"/>
      <c r="AA24" s="263"/>
      <c r="AB24" s="263"/>
      <c r="AC24" s="263"/>
      <c r="AD24" s="263"/>
      <c r="AE24" s="265"/>
      <c r="AF24" s="265"/>
      <c r="AG24" s="281">
        <f t="shared" si="2"/>
        <v>0</v>
      </c>
    </row>
    <row r="25" spans="1:33" ht="15.4" x14ac:dyDescent="0.45">
      <c r="A25" s="262" t="s">
        <v>64</v>
      </c>
      <c r="B25" s="263"/>
      <c r="C25" s="277">
        <v>3394555</v>
      </c>
      <c r="D25" s="263"/>
      <c r="E25" s="277">
        <v>1275651</v>
      </c>
      <c r="F25" s="277">
        <v>4459471</v>
      </c>
      <c r="G25" s="263"/>
      <c r="H25" s="263"/>
      <c r="I25" s="263"/>
      <c r="J25" s="263"/>
      <c r="K25" s="277">
        <f t="shared" si="1"/>
        <v>9129677</v>
      </c>
      <c r="L25" s="277">
        <v>7624752</v>
      </c>
      <c r="M25" s="277">
        <v>-722003</v>
      </c>
      <c r="N25" s="277">
        <v>6902749</v>
      </c>
      <c r="O25" s="277">
        <v>2325294</v>
      </c>
      <c r="P25" s="277">
        <v>2325294</v>
      </c>
      <c r="Q25" s="277">
        <v>7835672</v>
      </c>
      <c r="R25" s="277">
        <v>1041546</v>
      </c>
      <c r="S25" s="263"/>
      <c r="T25" s="277">
        <v>-4299764</v>
      </c>
      <c r="U25" s="277">
        <v>1426451</v>
      </c>
      <c r="V25" s="277">
        <v>102095</v>
      </c>
      <c r="W25" s="277">
        <v>-2771217</v>
      </c>
      <c r="X25" s="277">
        <v>8082708</v>
      </c>
      <c r="Y25" s="277">
        <v>22348329</v>
      </c>
      <c r="Z25" s="277">
        <v>10991158</v>
      </c>
      <c r="AA25" s="277">
        <v>1296297</v>
      </c>
      <c r="AB25" s="277">
        <v>42718492</v>
      </c>
      <c r="AC25" s="277">
        <v>3855872</v>
      </c>
      <c r="AD25" s="277">
        <v>20685541</v>
      </c>
      <c r="AE25" s="278">
        <v>789.21</v>
      </c>
      <c r="AF25" s="278">
        <v>116.43</v>
      </c>
      <c r="AG25" s="281">
        <f t="shared" si="2"/>
        <v>0.75292517739181897</v>
      </c>
    </row>
    <row r="26" spans="1:33" ht="15.4" x14ac:dyDescent="0.45">
      <c r="A26" s="262" t="s">
        <v>80</v>
      </c>
      <c r="B26" s="277">
        <v>4702814</v>
      </c>
      <c r="C26" s="277">
        <v>5073770</v>
      </c>
      <c r="D26" s="277">
        <v>523329</v>
      </c>
      <c r="E26" s="277">
        <v>910930</v>
      </c>
      <c r="F26" s="277">
        <v>1204826</v>
      </c>
      <c r="G26" s="276">
        <v>0</v>
      </c>
      <c r="H26" s="263"/>
      <c r="I26" s="276">
        <v>0</v>
      </c>
      <c r="J26" s="277">
        <v>10519908</v>
      </c>
      <c r="K26" s="277">
        <f t="shared" si="1"/>
        <v>22935577</v>
      </c>
      <c r="L26" s="277">
        <v>21078372</v>
      </c>
      <c r="M26" s="277">
        <v>-8458218</v>
      </c>
      <c r="N26" s="277">
        <v>12620154</v>
      </c>
      <c r="O26" s="277">
        <v>4795685</v>
      </c>
      <c r="P26" s="277">
        <v>4795685</v>
      </c>
      <c r="Q26" s="277">
        <v>12404239</v>
      </c>
      <c r="R26" s="277">
        <v>3881870</v>
      </c>
      <c r="S26" s="277">
        <v>310984</v>
      </c>
      <c r="T26" s="277">
        <v>-8527649</v>
      </c>
      <c r="U26" s="277">
        <v>4800862</v>
      </c>
      <c r="V26" s="276">
        <v>0</v>
      </c>
      <c r="W26" s="277">
        <v>-3726786</v>
      </c>
      <c r="X26" s="277">
        <v>25523185</v>
      </c>
      <c r="Y26" s="277">
        <v>55070650</v>
      </c>
      <c r="Z26" s="277">
        <v>10518443</v>
      </c>
      <c r="AA26" s="277">
        <v>3362041</v>
      </c>
      <c r="AB26" s="277">
        <v>94474319</v>
      </c>
      <c r="AC26" s="277">
        <v>25829267</v>
      </c>
      <c r="AD26" s="277">
        <v>11540292</v>
      </c>
      <c r="AE26" s="278">
        <v>312.02999999999997</v>
      </c>
      <c r="AF26" s="278">
        <v>79.05</v>
      </c>
      <c r="AG26" s="281">
        <f t="shared" si="2"/>
        <v>1.8914988319202009</v>
      </c>
    </row>
    <row r="27" spans="1:33" ht="15.4" x14ac:dyDescent="0.45">
      <c r="A27" s="262" t="s">
        <v>82</v>
      </c>
      <c r="B27" s="263"/>
      <c r="C27" s="263"/>
      <c r="D27" s="263"/>
      <c r="E27" s="263"/>
      <c r="F27" s="263"/>
      <c r="G27" s="263"/>
      <c r="H27" s="263"/>
      <c r="I27" s="263"/>
      <c r="J27" s="263"/>
      <c r="K27" s="277">
        <f t="shared" si="1"/>
        <v>0</v>
      </c>
      <c r="L27" s="263"/>
      <c r="M27" s="263"/>
      <c r="N27" s="263"/>
      <c r="O27" s="263"/>
      <c r="P27" s="263"/>
      <c r="Q27" s="263"/>
      <c r="R27" s="263"/>
      <c r="S27" s="263"/>
      <c r="T27" s="263"/>
      <c r="U27" s="263"/>
      <c r="V27" s="263"/>
      <c r="W27" s="263"/>
      <c r="X27" s="263"/>
      <c r="Y27" s="263"/>
      <c r="Z27" s="263"/>
      <c r="AA27" s="263"/>
      <c r="AB27" s="263"/>
      <c r="AC27" s="263"/>
      <c r="AD27" s="263"/>
      <c r="AE27" s="265"/>
      <c r="AF27" s="265"/>
      <c r="AG27" s="281">
        <f t="shared" si="2"/>
        <v>0</v>
      </c>
    </row>
    <row r="28" spans="1:33" ht="15.4" x14ac:dyDescent="0.45">
      <c r="A28" s="262" t="s">
        <v>67</v>
      </c>
      <c r="B28" s="264">
        <f>SUM(B6:B27)</f>
        <v>597245490</v>
      </c>
      <c r="C28" s="264">
        <f t="shared" ref="C28:AC28" si="3">SUM(C6:C27)</f>
        <v>95393772</v>
      </c>
      <c r="D28" s="264">
        <f t="shared" si="3"/>
        <v>71798106</v>
      </c>
      <c r="E28" s="264">
        <f t="shared" si="3"/>
        <v>49697193</v>
      </c>
      <c r="F28" s="264">
        <f t="shared" si="3"/>
        <v>332986911</v>
      </c>
      <c r="G28" s="264">
        <f t="shared" si="3"/>
        <v>311741</v>
      </c>
      <c r="H28" s="264">
        <f t="shared" si="3"/>
        <v>0</v>
      </c>
      <c r="I28" s="264">
        <f t="shared" si="3"/>
        <v>133961</v>
      </c>
      <c r="J28" s="264">
        <f t="shared" si="3"/>
        <v>64993818</v>
      </c>
      <c r="K28" s="264">
        <f t="shared" si="3"/>
        <v>1212560992</v>
      </c>
      <c r="L28" s="264">
        <f t="shared" si="3"/>
        <v>1174814340</v>
      </c>
      <c r="M28" s="264">
        <f t="shared" si="3"/>
        <v>-330998220</v>
      </c>
      <c r="N28" s="264">
        <f t="shared" si="3"/>
        <v>843816120</v>
      </c>
      <c r="O28" s="264">
        <f t="shared" si="3"/>
        <v>631156226</v>
      </c>
      <c r="P28" s="264">
        <f t="shared" si="3"/>
        <v>628339602</v>
      </c>
      <c r="Q28" s="264">
        <f t="shared" si="3"/>
        <v>246996121</v>
      </c>
      <c r="R28" s="264">
        <f t="shared" si="3"/>
        <v>163081003</v>
      </c>
      <c r="S28" s="264">
        <f t="shared" si="3"/>
        <v>13026275</v>
      </c>
      <c r="T28" s="264">
        <f t="shared" si="3"/>
        <v>-185426866</v>
      </c>
      <c r="U28" s="264">
        <f t="shared" si="3"/>
        <v>277254204</v>
      </c>
      <c r="V28" s="264">
        <f t="shared" si="3"/>
        <v>5843568</v>
      </c>
      <c r="W28" s="264">
        <f t="shared" si="3"/>
        <v>97670910</v>
      </c>
      <c r="X28" s="264">
        <f t="shared" si="3"/>
        <v>284075652</v>
      </c>
      <c r="Y28" s="264">
        <f t="shared" si="3"/>
        <v>4279106954</v>
      </c>
      <c r="Z28" s="264">
        <f t="shared" si="3"/>
        <v>318519462</v>
      </c>
      <c r="AA28" s="264">
        <f t="shared" si="3"/>
        <v>245303215</v>
      </c>
      <c r="AB28" s="264">
        <f t="shared" si="3"/>
        <v>5151427111</v>
      </c>
      <c r="AC28" s="264">
        <f t="shared" si="3"/>
        <v>3269323093</v>
      </c>
      <c r="AD28" s="264">
        <f>SUM(AD6:AD27)</f>
        <v>376259061</v>
      </c>
      <c r="AE28" s="266">
        <f>AVERAGE(AE6:AE27)</f>
        <v>239.42789473684212</v>
      </c>
      <c r="AF28" s="266">
        <f>AVERAGE(AF6:AF27)</f>
        <v>73.581052631578942</v>
      </c>
      <c r="AG28" s="279">
        <f>SUM(AG6:AG27)</f>
        <v>100</v>
      </c>
    </row>
  </sheetData>
  <mergeCells count="1">
    <mergeCell ref="B1:AG1"/>
  </mergeCells>
  <dataValidations count="1">
    <dataValidation type="list" allowBlank="1" showInputMessage="1" showErrorMessage="1" sqref="A3" xr:uid="{00000000-0002-0000-2400-000000000000}">
      <formula1>$A$6:$A$28</formula1>
    </dataValidation>
  </dataValidations>
  <pageMargins left="0.7" right="0.7" top="0.75" bottom="0.75" header="0.3" footer="0.3"/>
  <pageSetup orientation="portrait" horizontalDpi="4294967295" verticalDpi="4294967295" r:id="rId1"/>
  <customProperties>
    <customPr name="LastActive" r:id="rId2"/>
  </customProperties>
  <ignoredErrors>
    <ignoredError sqref="B3:AG3" unlockedFormula="1"/>
  </ignoredErrors>
  <legacyDrawing r:id="rId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tabColor rgb="FF0070C0"/>
  </sheetPr>
  <dimension ref="A1:AG26"/>
  <sheetViews>
    <sheetView topLeftCell="U1" zoomScale="85" zoomScaleNormal="85" workbookViewId="0">
      <selection activeCell="AG12" sqref="AG12"/>
    </sheetView>
  </sheetViews>
  <sheetFormatPr defaultRowHeight="14.25" x14ac:dyDescent="0.45"/>
  <cols>
    <col min="1" max="1" width="48.265625" bestFit="1" customWidth="1"/>
    <col min="2" max="2" width="22" customWidth="1"/>
    <col min="3" max="4" width="15" bestFit="1" customWidth="1"/>
    <col min="5" max="5" width="13.73046875" bestFit="1" customWidth="1"/>
    <col min="6" max="6" width="14.73046875" customWidth="1"/>
    <col min="7" max="7" width="12.3984375" bestFit="1" customWidth="1"/>
    <col min="8" max="8" width="10.73046875" bestFit="1" customWidth="1"/>
    <col min="9" max="9" width="29.3984375" customWidth="1"/>
    <col min="10" max="10" width="16.265625" bestFit="1" customWidth="1"/>
    <col min="11" max="12" width="16.73046875" bestFit="1" customWidth="1"/>
    <col min="13" max="13" width="33.265625" customWidth="1"/>
    <col min="14" max="14" width="16.73046875" bestFit="1" customWidth="1"/>
    <col min="15" max="15" width="19.265625" customWidth="1"/>
    <col min="16" max="16" width="17.73046875" customWidth="1"/>
    <col min="17" max="17" width="19.265625" customWidth="1"/>
    <col min="18" max="18" width="15.73046875" bestFit="1" customWidth="1"/>
    <col min="19" max="19" width="13.73046875" bestFit="1" customWidth="1"/>
    <col min="20" max="20" width="17" bestFit="1" customWidth="1"/>
    <col min="21" max="21" width="15" bestFit="1" customWidth="1"/>
    <col min="22" max="22" width="12.3984375" bestFit="1" customWidth="1"/>
    <col min="23" max="24" width="15" bestFit="1" customWidth="1"/>
    <col min="25" max="25" width="16.73046875" bestFit="1" customWidth="1"/>
    <col min="26" max="27" width="16.73046875" customWidth="1"/>
    <col min="28" max="28" width="16.73046875" bestFit="1" customWidth="1"/>
    <col min="29" max="30" width="16.73046875" customWidth="1"/>
    <col min="31" max="31" width="18.3984375" customWidth="1"/>
    <col min="32" max="32" width="15.73046875" customWidth="1"/>
    <col min="33" max="33" width="16.73046875" bestFit="1" customWidth="1"/>
  </cols>
  <sheetData>
    <row r="1" spans="1:33" ht="21" x14ac:dyDescent="0.6">
      <c r="A1" s="267" t="s">
        <v>134</v>
      </c>
      <c r="B1" s="391" t="s">
        <v>99</v>
      </c>
      <c r="C1" s="391"/>
      <c r="D1" s="391"/>
      <c r="E1" s="391"/>
      <c r="F1" s="391"/>
      <c r="G1" s="391"/>
      <c r="H1" s="391"/>
      <c r="I1" s="391"/>
      <c r="J1" s="391"/>
      <c r="K1" s="391"/>
      <c r="L1" s="391"/>
      <c r="M1" s="391"/>
      <c r="N1" s="391"/>
      <c r="O1" s="391"/>
      <c r="P1" s="391"/>
      <c r="Q1" s="391"/>
      <c r="R1" s="391"/>
      <c r="S1" s="391"/>
      <c r="T1" s="391"/>
      <c r="U1" s="391"/>
      <c r="V1" s="391"/>
      <c r="W1" s="391"/>
      <c r="X1" s="391"/>
      <c r="Y1" s="391"/>
      <c r="Z1" s="391"/>
      <c r="AA1" s="391"/>
      <c r="AB1" s="391"/>
      <c r="AC1" s="391"/>
      <c r="AD1" s="391"/>
      <c r="AE1" s="391"/>
      <c r="AF1" s="391"/>
      <c r="AG1" s="391"/>
    </row>
    <row r="2" spans="1:33" ht="32.65" customHeight="1" x14ac:dyDescent="0.45">
      <c r="A2" s="268"/>
      <c r="B2" s="269" t="s">
        <v>108</v>
      </c>
      <c r="C2" s="269" t="s">
        <v>109</v>
      </c>
      <c r="D2" s="269" t="s">
        <v>110</v>
      </c>
      <c r="E2" s="269" t="s">
        <v>111</v>
      </c>
      <c r="F2" s="269" t="s">
        <v>112</v>
      </c>
      <c r="G2" s="269" t="s">
        <v>113</v>
      </c>
      <c r="H2" s="269" t="s">
        <v>114</v>
      </c>
      <c r="I2" s="269" t="s">
        <v>115</v>
      </c>
      <c r="J2" s="269" t="s">
        <v>116</v>
      </c>
      <c r="K2" s="269" t="s">
        <v>34</v>
      </c>
      <c r="L2" s="269" t="s">
        <v>117</v>
      </c>
      <c r="M2" s="270" t="s">
        <v>118</v>
      </c>
      <c r="N2" s="269" t="s">
        <v>119</v>
      </c>
      <c r="O2" s="269" t="s">
        <v>101</v>
      </c>
      <c r="P2" s="269" t="s">
        <v>74</v>
      </c>
      <c r="Q2" s="269" t="s">
        <v>10</v>
      </c>
      <c r="R2" s="269" t="s">
        <v>102</v>
      </c>
      <c r="S2" s="269" t="s">
        <v>103</v>
      </c>
      <c r="T2" s="269" t="s">
        <v>120</v>
      </c>
      <c r="U2" s="269" t="s">
        <v>121</v>
      </c>
      <c r="V2" s="269" t="s">
        <v>122</v>
      </c>
      <c r="W2" s="269" t="s">
        <v>135</v>
      </c>
      <c r="X2" s="269" t="s">
        <v>128</v>
      </c>
      <c r="Y2" s="269" t="s">
        <v>79</v>
      </c>
      <c r="Z2" s="269" t="s">
        <v>129</v>
      </c>
      <c r="AA2" s="269" t="s">
        <v>130</v>
      </c>
      <c r="AB2" s="270" t="s">
        <v>13</v>
      </c>
      <c r="AC2" s="270" t="s">
        <v>131</v>
      </c>
      <c r="AD2" s="270" t="s">
        <v>132</v>
      </c>
      <c r="AE2" s="271" t="s">
        <v>124</v>
      </c>
      <c r="AF2" s="271" t="s">
        <v>125</v>
      </c>
      <c r="AG2" s="271" t="s">
        <v>133</v>
      </c>
    </row>
    <row r="3" spans="1:33" ht="15.4" x14ac:dyDescent="0.45">
      <c r="A3" s="260" t="s">
        <v>80</v>
      </c>
      <c r="B3" s="285">
        <f t="shared" ref="B3:AG3" si="0">INDEX(B6:B26,MATCH($A$3,$A$6:$A$26,0))</f>
        <v>7661457</v>
      </c>
      <c r="C3" s="285">
        <f t="shared" si="0"/>
        <v>6727665</v>
      </c>
      <c r="D3" s="285">
        <f t="shared" si="0"/>
        <v>806007</v>
      </c>
      <c r="E3" s="285">
        <f t="shared" si="0"/>
        <v>1207865</v>
      </c>
      <c r="F3" s="285">
        <f t="shared" si="0"/>
        <v>1917445</v>
      </c>
      <c r="G3" s="285">
        <f t="shared" si="0"/>
        <v>0</v>
      </c>
      <c r="H3" s="285">
        <f t="shared" si="0"/>
        <v>0</v>
      </c>
      <c r="I3" s="285">
        <f t="shared" si="0"/>
        <v>0</v>
      </c>
      <c r="J3" s="285">
        <f t="shared" si="0"/>
        <v>16317341</v>
      </c>
      <c r="K3" s="285">
        <f t="shared" si="0"/>
        <v>34637780</v>
      </c>
      <c r="L3" s="285">
        <f t="shared" si="0"/>
        <v>32319692</v>
      </c>
      <c r="M3" s="285">
        <f t="shared" si="0"/>
        <v>-11795876</v>
      </c>
      <c r="N3" s="285">
        <f t="shared" si="0"/>
        <v>20523815.969999999</v>
      </c>
      <c r="O3" s="285">
        <f t="shared" si="0"/>
        <v>6941991</v>
      </c>
      <c r="P3" s="285">
        <f t="shared" si="0"/>
        <v>6941990.8799999999</v>
      </c>
      <c r="Q3" s="285">
        <f t="shared" si="0"/>
        <v>27988576.789999999</v>
      </c>
      <c r="R3" s="285">
        <f t="shared" si="0"/>
        <v>6814603.75</v>
      </c>
      <c r="S3" s="285">
        <f t="shared" si="0"/>
        <v>391264.6</v>
      </c>
      <c r="T3" s="285">
        <f t="shared" si="0"/>
        <v>-20830090.850000001</v>
      </c>
      <c r="U3" s="285">
        <f t="shared" si="0"/>
        <v>10204149</v>
      </c>
      <c r="V3" s="285">
        <f t="shared" si="0"/>
        <v>0</v>
      </c>
      <c r="W3" s="285">
        <f t="shared" si="0"/>
        <v>-10625941.85</v>
      </c>
      <c r="X3" s="285">
        <f t="shared" si="0"/>
        <v>2953248</v>
      </c>
      <c r="Y3" s="285">
        <f t="shared" si="0"/>
        <v>81034237.549999997</v>
      </c>
      <c r="Z3" s="285">
        <f t="shared" si="0"/>
        <v>3617480</v>
      </c>
      <c r="AA3" s="285">
        <f t="shared" si="0"/>
        <v>3310281</v>
      </c>
      <c r="AB3" s="285">
        <f t="shared" si="0"/>
        <v>90915246.319999993</v>
      </c>
      <c r="AC3" s="285">
        <f t="shared" si="0"/>
        <v>29241318</v>
      </c>
      <c r="AD3" s="285">
        <f t="shared" si="0"/>
        <v>11520070</v>
      </c>
      <c r="AE3" s="285">
        <f t="shared" si="0"/>
        <v>287.22000000000003</v>
      </c>
      <c r="AF3" s="285">
        <f t="shared" si="0"/>
        <v>107.68</v>
      </c>
      <c r="AG3" s="286">
        <f t="shared" si="0"/>
        <v>1.86475433816186E-2</v>
      </c>
    </row>
    <row r="5" spans="1:33" ht="37.9" customHeight="1" x14ac:dyDescent="0.45">
      <c r="A5" s="272" t="s">
        <v>126</v>
      </c>
      <c r="B5" s="273" t="s">
        <v>108</v>
      </c>
      <c r="C5" s="273" t="s">
        <v>109</v>
      </c>
      <c r="D5" s="273" t="s">
        <v>110</v>
      </c>
      <c r="E5" s="273" t="s">
        <v>111</v>
      </c>
      <c r="F5" s="273" t="s">
        <v>112</v>
      </c>
      <c r="G5" s="273" t="s">
        <v>113</v>
      </c>
      <c r="H5" s="273" t="s">
        <v>114</v>
      </c>
      <c r="I5" s="273" t="s">
        <v>115</v>
      </c>
      <c r="J5" s="273" t="s">
        <v>116</v>
      </c>
      <c r="K5" s="273" t="s">
        <v>34</v>
      </c>
      <c r="L5" s="273" t="s">
        <v>117</v>
      </c>
      <c r="M5" s="274" t="s">
        <v>118</v>
      </c>
      <c r="N5" s="273" t="s">
        <v>119</v>
      </c>
      <c r="O5" s="273" t="s">
        <v>101</v>
      </c>
      <c r="P5" s="273" t="s">
        <v>74</v>
      </c>
      <c r="Q5" s="273" t="s">
        <v>10</v>
      </c>
      <c r="R5" s="273" t="s">
        <v>102</v>
      </c>
      <c r="S5" s="273" t="s">
        <v>103</v>
      </c>
      <c r="T5" s="273" t="s">
        <v>120</v>
      </c>
      <c r="U5" s="273" t="s">
        <v>121</v>
      </c>
      <c r="V5" s="273" t="s">
        <v>122</v>
      </c>
      <c r="W5" s="273" t="s">
        <v>135</v>
      </c>
      <c r="X5" s="273" t="s">
        <v>128</v>
      </c>
      <c r="Y5" s="273" t="s">
        <v>79</v>
      </c>
      <c r="Z5" s="273" t="s">
        <v>129</v>
      </c>
      <c r="AA5" s="273" t="s">
        <v>130</v>
      </c>
      <c r="AB5" s="274" t="s">
        <v>13</v>
      </c>
      <c r="AC5" s="274" t="s">
        <v>131</v>
      </c>
      <c r="AD5" s="274" t="s">
        <v>132</v>
      </c>
      <c r="AE5" s="275" t="s">
        <v>124</v>
      </c>
      <c r="AF5" s="275" t="s">
        <v>125</v>
      </c>
      <c r="AG5" s="275" t="s">
        <v>12</v>
      </c>
    </row>
    <row r="6" spans="1:33" ht="15.4" x14ac:dyDescent="0.45">
      <c r="A6" s="262" t="s">
        <v>80</v>
      </c>
      <c r="B6" s="277">
        <v>7661457</v>
      </c>
      <c r="C6" s="277">
        <v>6727665</v>
      </c>
      <c r="D6" s="277">
        <v>806007</v>
      </c>
      <c r="E6" s="277">
        <v>1207865</v>
      </c>
      <c r="F6" s="277">
        <v>1917445</v>
      </c>
      <c r="G6" s="276">
        <v>0</v>
      </c>
      <c r="H6" s="263">
        <v>0</v>
      </c>
      <c r="I6" s="276">
        <v>0</v>
      </c>
      <c r="J6" s="277">
        <v>16317341</v>
      </c>
      <c r="K6" s="277">
        <v>34637780</v>
      </c>
      <c r="L6" s="277">
        <v>32319692</v>
      </c>
      <c r="M6" s="277">
        <v>-11795876</v>
      </c>
      <c r="N6" s="277">
        <v>20523815.969999999</v>
      </c>
      <c r="O6" s="277">
        <v>6941991</v>
      </c>
      <c r="P6" s="277">
        <v>6941990.8799999999</v>
      </c>
      <c r="Q6" s="277">
        <v>27988576.789999999</v>
      </c>
      <c r="R6" s="277">
        <v>6814603.75</v>
      </c>
      <c r="S6" s="277">
        <v>391264.6</v>
      </c>
      <c r="T6" s="277">
        <v>-20830090.850000001</v>
      </c>
      <c r="U6" s="277">
        <v>10204149</v>
      </c>
      <c r="V6" s="276">
        <v>0</v>
      </c>
      <c r="W6" s="277">
        <v>-10625941.85</v>
      </c>
      <c r="X6" s="277">
        <v>2953248</v>
      </c>
      <c r="Y6" s="277">
        <v>81034237.549999997</v>
      </c>
      <c r="Z6" s="277">
        <v>3617480</v>
      </c>
      <c r="AA6" s="277">
        <v>3310281</v>
      </c>
      <c r="AB6" s="277">
        <v>90915246.319999993</v>
      </c>
      <c r="AC6" s="277">
        <v>29241318</v>
      </c>
      <c r="AD6" s="277">
        <v>11520070</v>
      </c>
      <c r="AE6" s="287">
        <v>287.22000000000003</v>
      </c>
      <c r="AF6" s="287">
        <v>107.68</v>
      </c>
      <c r="AG6" s="283">
        <v>1.86475433816186E-2</v>
      </c>
    </row>
    <row r="7" spans="1:33" ht="15.4" x14ac:dyDescent="0.45">
      <c r="A7" s="262" t="s">
        <v>16</v>
      </c>
      <c r="B7" s="277">
        <v>12855334</v>
      </c>
      <c r="C7" s="277">
        <v>1134504</v>
      </c>
      <c r="D7" s="277">
        <v>14745</v>
      </c>
      <c r="E7" s="277">
        <v>793744</v>
      </c>
      <c r="F7" s="277">
        <v>2871134</v>
      </c>
      <c r="G7" s="263"/>
      <c r="H7" s="263"/>
      <c r="I7" s="263"/>
      <c r="J7" s="263"/>
      <c r="K7" s="277">
        <v>17669461</v>
      </c>
      <c r="L7" s="277">
        <v>17446141</v>
      </c>
      <c r="M7" s="277">
        <v>-5035796</v>
      </c>
      <c r="N7" s="277">
        <v>12410345</v>
      </c>
      <c r="O7" s="277">
        <v>6927137</v>
      </c>
      <c r="P7" s="277">
        <v>6920632</v>
      </c>
      <c r="Q7" s="277">
        <v>7170240</v>
      </c>
      <c r="R7" s="277">
        <v>1429639</v>
      </c>
      <c r="S7" s="277">
        <v>57080</v>
      </c>
      <c r="T7" s="277">
        <v>-3053086</v>
      </c>
      <c r="U7" s="277">
        <v>2925036</v>
      </c>
      <c r="V7" s="277">
        <v>669461</v>
      </c>
      <c r="W7" s="277">
        <v>507694</v>
      </c>
      <c r="X7" s="277">
        <v>810433</v>
      </c>
      <c r="Y7" s="277">
        <v>124417294</v>
      </c>
      <c r="Z7" s="277">
        <v>1558623</v>
      </c>
      <c r="AA7" s="277">
        <v>6487678</v>
      </c>
      <c r="AB7" s="277">
        <v>133274028</v>
      </c>
      <c r="AC7" s="277">
        <v>66258368</v>
      </c>
      <c r="AD7" s="277">
        <v>5113627</v>
      </c>
      <c r="AE7" s="287">
        <v>189</v>
      </c>
      <c r="AF7" s="287">
        <v>49.29</v>
      </c>
      <c r="AG7" s="283">
        <v>9.512504569499489E-3</v>
      </c>
    </row>
    <row r="8" spans="1:33" ht="15.4" x14ac:dyDescent="0.45">
      <c r="A8" s="262" t="s">
        <v>17</v>
      </c>
      <c r="B8" s="277">
        <v>250777377</v>
      </c>
      <c r="C8" s="277">
        <v>22773024</v>
      </c>
      <c r="D8" s="277">
        <v>16220936</v>
      </c>
      <c r="E8" s="277">
        <v>14770076</v>
      </c>
      <c r="F8" s="277">
        <v>137780282</v>
      </c>
      <c r="G8" s="263"/>
      <c r="H8" s="263"/>
      <c r="I8" s="263"/>
      <c r="J8" s="277">
        <v>16548920</v>
      </c>
      <c r="K8" s="277">
        <v>458870615</v>
      </c>
      <c r="L8" s="277">
        <v>449323926</v>
      </c>
      <c r="M8" s="277">
        <v>-160158542</v>
      </c>
      <c r="N8" s="277">
        <v>289165384.51999998</v>
      </c>
      <c r="O8" s="277">
        <v>225409386</v>
      </c>
      <c r="P8" s="277">
        <v>223190183.38</v>
      </c>
      <c r="Q8" s="277">
        <v>65878183.119999997</v>
      </c>
      <c r="R8" s="277">
        <v>68720023.790000007</v>
      </c>
      <c r="S8" s="263"/>
      <c r="T8" s="277">
        <v>-68623005.769999996</v>
      </c>
      <c r="U8" s="277">
        <v>157400274.53</v>
      </c>
      <c r="V8" s="277">
        <v>636469.49</v>
      </c>
      <c r="W8" s="277">
        <v>84943051.370000005</v>
      </c>
      <c r="X8" s="277">
        <v>110351936</v>
      </c>
      <c r="Y8" s="277">
        <v>1029575718.48</v>
      </c>
      <c r="Z8" s="277">
        <v>20995935</v>
      </c>
      <c r="AA8" s="277">
        <v>35200093</v>
      </c>
      <c r="AB8" s="277">
        <v>1196123681.8599999</v>
      </c>
      <c r="AC8" s="277">
        <v>826216003</v>
      </c>
      <c r="AD8" s="277">
        <v>48266893</v>
      </c>
      <c r="AE8" s="287">
        <v>137.97</v>
      </c>
      <c r="AF8" s="287">
        <v>29.96</v>
      </c>
      <c r="AG8" s="283">
        <v>0.24703689727697639</v>
      </c>
    </row>
    <row r="9" spans="1:33" ht="15.4" x14ac:dyDescent="0.45">
      <c r="A9" s="262" t="s">
        <v>97</v>
      </c>
      <c r="B9" s="263">
        <v>113553</v>
      </c>
      <c r="C9" s="263">
        <v>5956</v>
      </c>
      <c r="D9" s="263"/>
      <c r="E9" s="263"/>
      <c r="F9" s="263">
        <v>1165705</v>
      </c>
      <c r="G9" s="263"/>
      <c r="H9" s="263"/>
      <c r="I9" s="263"/>
      <c r="J9" s="263">
        <v>2685171</v>
      </c>
      <c r="K9" s="277">
        <v>3970385</v>
      </c>
      <c r="L9" s="263">
        <v>3945760</v>
      </c>
      <c r="M9" s="263"/>
      <c r="N9" s="263">
        <v>3945760</v>
      </c>
      <c r="O9" s="263">
        <v>2169109</v>
      </c>
      <c r="P9" s="263">
        <v>2169109</v>
      </c>
      <c r="Q9" s="263">
        <v>3117682</v>
      </c>
      <c r="R9" s="263">
        <v>352916</v>
      </c>
      <c r="S9" s="263"/>
      <c r="T9" s="263">
        <v>-1693947</v>
      </c>
      <c r="U9" s="263">
        <v>1677907</v>
      </c>
      <c r="V9" s="263">
        <v>0</v>
      </c>
      <c r="W9" s="263">
        <v>-16040</v>
      </c>
      <c r="X9" s="263"/>
      <c r="Y9" s="263">
        <v>14061650.68</v>
      </c>
      <c r="Z9" s="263">
        <v>2104202</v>
      </c>
      <c r="AA9" s="263">
        <v>2256487</v>
      </c>
      <c r="AB9" s="263">
        <v>18422339.68</v>
      </c>
      <c r="AC9" s="263">
        <v>3385363</v>
      </c>
      <c r="AD9" s="263">
        <v>885328</v>
      </c>
      <c r="AE9" s="287">
        <v>415.37</v>
      </c>
      <c r="AF9" s="287">
        <v>87.96</v>
      </c>
      <c r="AG9" s="283">
        <v>2.137490524197214E-3</v>
      </c>
    </row>
    <row r="10" spans="1:33" ht="15.4" x14ac:dyDescent="0.45">
      <c r="A10" s="262" t="s">
        <v>53</v>
      </c>
      <c r="B10" s="263"/>
      <c r="C10" s="263"/>
      <c r="D10" s="277">
        <v>4698398</v>
      </c>
      <c r="E10" s="263"/>
      <c r="F10" s="263"/>
      <c r="G10" s="263"/>
      <c r="H10" s="263"/>
      <c r="I10" s="263"/>
      <c r="J10" s="263"/>
      <c r="K10" s="277">
        <v>4698398</v>
      </c>
      <c r="L10" s="277">
        <v>3940904</v>
      </c>
      <c r="M10" s="277">
        <v>-603652</v>
      </c>
      <c r="N10" s="277">
        <v>3337252.21</v>
      </c>
      <c r="O10" s="263">
        <v>204000</v>
      </c>
      <c r="P10" s="263">
        <v>163200</v>
      </c>
      <c r="Q10" s="277">
        <v>5994800.8799999999</v>
      </c>
      <c r="R10" s="277">
        <v>241211.48</v>
      </c>
      <c r="S10" s="263"/>
      <c r="T10" s="277">
        <v>-3061960.15</v>
      </c>
      <c r="U10" s="277">
        <v>1336406.5900000001</v>
      </c>
      <c r="V10" s="263">
        <v>0</v>
      </c>
      <c r="W10" s="277">
        <v>-1725553.56</v>
      </c>
      <c r="X10" s="277">
        <v>472094</v>
      </c>
      <c r="Y10" s="277">
        <v>14239131.939999999</v>
      </c>
      <c r="Z10" s="277">
        <v>6332890</v>
      </c>
      <c r="AA10" s="277">
        <v>3198564</v>
      </c>
      <c r="AB10" s="277">
        <v>24242680.309999999</v>
      </c>
      <c r="AC10" s="277">
        <v>5106428.83</v>
      </c>
      <c r="AD10" s="277">
        <v>6761265</v>
      </c>
      <c r="AE10" s="287">
        <v>288.08999999999997</v>
      </c>
      <c r="AF10" s="287">
        <v>158.24</v>
      </c>
      <c r="AG10" s="283">
        <v>2.5294225129067183E-3</v>
      </c>
    </row>
    <row r="11" spans="1:33" ht="15.4" x14ac:dyDescent="0.45">
      <c r="A11" s="262" t="s">
        <v>18</v>
      </c>
      <c r="B11" s="277">
        <v>35060</v>
      </c>
      <c r="C11" s="277">
        <v>209107</v>
      </c>
      <c r="D11" s="276">
        <v>0</v>
      </c>
      <c r="E11" s="277">
        <v>380761</v>
      </c>
      <c r="F11" s="277">
        <v>11715490</v>
      </c>
      <c r="G11" s="276">
        <v>0</v>
      </c>
      <c r="H11" s="263">
        <v>0</v>
      </c>
      <c r="I11" s="276">
        <v>0</v>
      </c>
      <c r="J11" s="277">
        <v>334871</v>
      </c>
      <c r="K11" s="277">
        <v>12675289</v>
      </c>
      <c r="L11" s="277">
        <v>12675288</v>
      </c>
      <c r="M11" s="277">
        <v>-696297</v>
      </c>
      <c r="N11" s="277">
        <v>11978991</v>
      </c>
      <c r="O11" s="277">
        <v>15924798</v>
      </c>
      <c r="P11" s="277">
        <v>15924798</v>
      </c>
      <c r="Q11" s="277">
        <v>5533522</v>
      </c>
      <c r="R11" s="277">
        <v>774598</v>
      </c>
      <c r="S11" s="263"/>
      <c r="T11" s="277">
        <v>-10253927</v>
      </c>
      <c r="U11" s="277">
        <v>484004</v>
      </c>
      <c r="V11" s="276">
        <v>236913</v>
      </c>
      <c r="W11" s="277">
        <v>-9533010</v>
      </c>
      <c r="X11" s="277">
        <v>1871340</v>
      </c>
      <c r="Y11" s="277">
        <v>32423430</v>
      </c>
      <c r="Z11" s="277">
        <v>2329124</v>
      </c>
      <c r="AA11" s="277">
        <v>19169322</v>
      </c>
      <c r="AB11" s="277">
        <v>55875820</v>
      </c>
      <c r="AC11" s="277">
        <v>32943907</v>
      </c>
      <c r="AD11" s="277">
        <v>7808541</v>
      </c>
      <c r="AE11" s="287">
        <v>104.1</v>
      </c>
      <c r="AF11" s="287">
        <v>49.77</v>
      </c>
      <c r="AG11" s="283">
        <v>6.8238496087813091E-3</v>
      </c>
    </row>
    <row r="12" spans="1:33" ht="15.4" x14ac:dyDescent="0.45">
      <c r="A12" s="262" t="s">
        <v>19</v>
      </c>
      <c r="B12" s="277">
        <v>5271495</v>
      </c>
      <c r="C12" s="277">
        <v>4423653</v>
      </c>
      <c r="D12" s="277">
        <v>500000</v>
      </c>
      <c r="E12" s="277">
        <v>1437827</v>
      </c>
      <c r="F12" s="263"/>
      <c r="G12" s="263"/>
      <c r="H12" s="263"/>
      <c r="I12" s="263"/>
      <c r="J12" s="263"/>
      <c r="K12" s="277">
        <v>11632975</v>
      </c>
      <c r="L12" s="277">
        <v>10365379</v>
      </c>
      <c r="M12" s="263"/>
      <c r="N12" s="277">
        <v>10365379</v>
      </c>
      <c r="O12" s="277">
        <v>1418911</v>
      </c>
      <c r="P12" s="277">
        <v>1418911</v>
      </c>
      <c r="Q12" s="277">
        <v>4617805</v>
      </c>
      <c r="R12" s="277">
        <v>5357555</v>
      </c>
      <c r="S12" s="263"/>
      <c r="T12" s="277">
        <v>-1028892</v>
      </c>
      <c r="U12" s="277">
        <v>264876</v>
      </c>
      <c r="V12" s="276">
        <v>16002</v>
      </c>
      <c r="W12" s="277">
        <v>-757185</v>
      </c>
      <c r="X12" s="277">
        <v>2124913</v>
      </c>
      <c r="Y12" s="277">
        <v>10358755</v>
      </c>
      <c r="Z12" s="277">
        <v>372096</v>
      </c>
      <c r="AA12" s="277">
        <v>4042348</v>
      </c>
      <c r="AB12" s="277">
        <v>16898112</v>
      </c>
      <c r="AC12" s="277">
        <v>1644275</v>
      </c>
      <c r="AD12" s="277">
        <v>559399</v>
      </c>
      <c r="AE12" s="287">
        <v>759.22</v>
      </c>
      <c r="AF12" s="287">
        <v>96.24</v>
      </c>
      <c r="AG12" s="283">
        <v>6.2627110042786996E-3</v>
      </c>
    </row>
    <row r="13" spans="1:33" ht="15.4" x14ac:dyDescent="0.45">
      <c r="A13" s="262" t="s">
        <v>20</v>
      </c>
      <c r="B13" s="277">
        <v>77454898</v>
      </c>
      <c r="C13" s="277">
        <v>26981271</v>
      </c>
      <c r="D13" s="277">
        <v>1287818</v>
      </c>
      <c r="E13" s="277">
        <v>6980209</v>
      </c>
      <c r="F13" s="277">
        <v>13010287</v>
      </c>
      <c r="G13" s="277">
        <v>330230</v>
      </c>
      <c r="H13" s="263"/>
      <c r="I13" s="263"/>
      <c r="J13" s="263"/>
      <c r="K13" s="277">
        <v>126044713</v>
      </c>
      <c r="L13" s="277">
        <v>124389428</v>
      </c>
      <c r="M13" s="277">
        <v>-13398581</v>
      </c>
      <c r="N13" s="277">
        <v>110990847.08</v>
      </c>
      <c r="O13" s="277">
        <v>83728336</v>
      </c>
      <c r="P13" s="277">
        <v>83728336.170000002</v>
      </c>
      <c r="Q13" s="277">
        <v>25144072.57</v>
      </c>
      <c r="R13" s="277">
        <v>8586890.5800000001</v>
      </c>
      <c r="S13" s="277"/>
      <c r="T13" s="277">
        <v>-6468452.2400000002</v>
      </c>
      <c r="U13" s="277">
        <v>8045859.3200000003</v>
      </c>
      <c r="V13" s="277">
        <v>1111695.78</v>
      </c>
      <c r="W13" s="277">
        <v>2689102.86</v>
      </c>
      <c r="X13" s="277">
        <v>11250703</v>
      </c>
      <c r="Y13" s="277">
        <v>394904771.52999997</v>
      </c>
      <c r="Z13" s="277">
        <v>40176045</v>
      </c>
      <c r="AA13" s="277">
        <v>5699797</v>
      </c>
      <c r="AB13" s="277">
        <v>452031316.25</v>
      </c>
      <c r="AC13" s="277">
        <v>185568934</v>
      </c>
      <c r="AD13" s="277">
        <v>60232099</v>
      </c>
      <c r="AE13" s="287">
        <v>218.87</v>
      </c>
      <c r="AF13" s="287">
        <v>27.12</v>
      </c>
      <c r="AG13" s="283">
        <v>6.7857242978365415E-2</v>
      </c>
    </row>
    <row r="14" spans="1:33" ht="15.4" x14ac:dyDescent="0.45">
      <c r="A14" s="262" t="s">
        <v>47</v>
      </c>
      <c r="B14" s="277">
        <v>1208516</v>
      </c>
      <c r="C14" s="277">
        <v>261947</v>
      </c>
      <c r="D14" s="277">
        <v>10069</v>
      </c>
      <c r="E14" s="263"/>
      <c r="F14" s="277">
        <v>332242</v>
      </c>
      <c r="G14" s="263"/>
      <c r="H14" s="263"/>
      <c r="I14" s="263"/>
      <c r="J14" s="263"/>
      <c r="K14" s="277">
        <v>1812774</v>
      </c>
      <c r="L14" s="277">
        <v>1707995</v>
      </c>
      <c r="M14" s="277">
        <v>-884578</v>
      </c>
      <c r="N14" s="277">
        <v>823417.39</v>
      </c>
      <c r="O14" s="277">
        <v>1230390</v>
      </c>
      <c r="P14" s="277">
        <v>1167990.05</v>
      </c>
      <c r="Q14" s="277">
        <v>4854269.72</v>
      </c>
      <c r="R14" s="277">
        <v>94572.79</v>
      </c>
      <c r="S14" s="277">
        <v>7629</v>
      </c>
      <c r="T14" s="277">
        <v>-5285786.17</v>
      </c>
      <c r="U14" s="277">
        <v>228798.9</v>
      </c>
      <c r="V14" s="277">
        <v>73260.28</v>
      </c>
      <c r="W14" s="277">
        <v>-4983726.99</v>
      </c>
      <c r="X14" s="277">
        <v>9720352</v>
      </c>
      <c r="Y14" s="277">
        <v>47693935.869999997</v>
      </c>
      <c r="Z14" s="277">
        <v>5498619</v>
      </c>
      <c r="AA14" s="277">
        <v>10647938</v>
      </c>
      <c r="AB14" s="277">
        <v>74876410.939999998</v>
      </c>
      <c r="AC14" s="277">
        <v>18661722.129999999</v>
      </c>
      <c r="AD14" s="277">
        <v>3957958</v>
      </c>
      <c r="AE14" s="287">
        <v>307.66000000000003</v>
      </c>
      <c r="AF14" s="287">
        <v>289.75</v>
      </c>
      <c r="AG14" s="283">
        <v>9.7592229658108223E-4</v>
      </c>
    </row>
    <row r="15" spans="1:33" ht="15.4" x14ac:dyDescent="0.45">
      <c r="A15" s="262" t="s">
        <v>64</v>
      </c>
      <c r="B15" s="263">
        <v>2745950</v>
      </c>
      <c r="C15" s="277">
        <v>4832817</v>
      </c>
      <c r="D15" s="263"/>
      <c r="E15" s="277">
        <v>2260451</v>
      </c>
      <c r="F15" s="277">
        <v>4509707</v>
      </c>
      <c r="G15" s="263"/>
      <c r="H15" s="263"/>
      <c r="I15" s="263"/>
      <c r="J15" s="263"/>
      <c r="K15" s="277">
        <v>14348925</v>
      </c>
      <c r="L15" s="277">
        <v>12285526</v>
      </c>
      <c r="M15" s="277">
        <v>-2473428</v>
      </c>
      <c r="N15" s="277">
        <v>9812098</v>
      </c>
      <c r="O15" s="277">
        <v>3623297</v>
      </c>
      <c r="P15" s="277">
        <v>3623297</v>
      </c>
      <c r="Q15" s="277">
        <v>9021503.4000000004</v>
      </c>
      <c r="R15" s="277">
        <v>3773185</v>
      </c>
      <c r="S15" s="263"/>
      <c r="T15" s="277">
        <v>-6605887.4000000004</v>
      </c>
      <c r="U15" s="277">
        <v>2160246</v>
      </c>
      <c r="V15" s="277">
        <v>0</v>
      </c>
      <c r="W15" s="277">
        <v>-4445641.4000000004</v>
      </c>
      <c r="X15" s="277">
        <v>2754174</v>
      </c>
      <c r="Y15" s="277">
        <v>21722112.550000001</v>
      </c>
      <c r="Z15" s="277">
        <v>8608837</v>
      </c>
      <c r="AA15" s="277">
        <v>1285359</v>
      </c>
      <c r="AB15" s="277">
        <v>34370483</v>
      </c>
      <c r="AC15" s="277">
        <v>5188350</v>
      </c>
      <c r="AD15" s="277">
        <v>12679477</v>
      </c>
      <c r="AE15" s="287">
        <v>471.75</v>
      </c>
      <c r="AF15" s="287">
        <v>104.14</v>
      </c>
      <c r="AG15" s="283">
        <v>7.7248657799977851E-3</v>
      </c>
    </row>
    <row r="16" spans="1:33" ht="15.4" x14ac:dyDescent="0.45">
      <c r="A16" s="262" t="s">
        <v>21</v>
      </c>
      <c r="B16" s="277">
        <v>30204063</v>
      </c>
      <c r="C16" s="277">
        <v>9052772</v>
      </c>
      <c r="D16" s="263"/>
      <c r="E16" s="277">
        <v>2573276</v>
      </c>
      <c r="F16" s="277">
        <v>5106412</v>
      </c>
      <c r="G16" s="263"/>
      <c r="H16" s="263"/>
      <c r="I16" s="263"/>
      <c r="J16" s="277">
        <v>41076970</v>
      </c>
      <c r="K16" s="277">
        <v>88013493</v>
      </c>
      <c r="L16" s="277">
        <v>85535137</v>
      </c>
      <c r="M16" s="277">
        <v>-32265167</v>
      </c>
      <c r="N16" s="277">
        <v>53269970</v>
      </c>
      <c r="O16" s="277">
        <v>28882112</v>
      </c>
      <c r="P16" s="277">
        <v>28361200</v>
      </c>
      <c r="Q16" s="277">
        <v>10982389</v>
      </c>
      <c r="R16" s="277">
        <v>44837105</v>
      </c>
      <c r="S16" s="277">
        <v>594671</v>
      </c>
      <c r="T16" s="277">
        <v>-30316053</v>
      </c>
      <c r="U16" s="277">
        <v>36185317</v>
      </c>
      <c r="V16" s="276">
        <v>0</v>
      </c>
      <c r="W16" s="277">
        <v>5456733</v>
      </c>
      <c r="X16" s="277">
        <v>9840428</v>
      </c>
      <c r="Y16" s="277">
        <v>237822757</v>
      </c>
      <c r="Z16" s="277">
        <v>11649352</v>
      </c>
      <c r="AA16" s="277">
        <v>3754007</v>
      </c>
      <c r="AB16" s="277">
        <v>263305282</v>
      </c>
      <c r="AC16" s="277">
        <v>177891540</v>
      </c>
      <c r="AD16" s="277">
        <v>19488684</v>
      </c>
      <c r="AE16" s="287">
        <v>139.22</v>
      </c>
      <c r="AF16" s="287">
        <v>65.260000000000005</v>
      </c>
      <c r="AG16" s="283">
        <v>4.7382812318955921E-2</v>
      </c>
    </row>
    <row r="17" spans="1:33" ht="15.4" x14ac:dyDescent="0.45">
      <c r="A17" s="262" t="s">
        <v>91</v>
      </c>
      <c r="B17" s="277">
        <v>28322578</v>
      </c>
      <c r="C17" s="277">
        <v>2103904</v>
      </c>
      <c r="D17" s="277">
        <v>23561962</v>
      </c>
      <c r="E17" s="277">
        <v>1297147</v>
      </c>
      <c r="F17" s="277">
        <v>40008284</v>
      </c>
      <c r="G17" s="263"/>
      <c r="H17" s="263"/>
      <c r="I17" s="263"/>
      <c r="J17" s="263"/>
      <c r="K17" s="277">
        <v>95293875</v>
      </c>
      <c r="L17" s="277">
        <v>93770116</v>
      </c>
      <c r="M17" s="277">
        <v>-24985205</v>
      </c>
      <c r="N17" s="277">
        <v>68784911.599999994</v>
      </c>
      <c r="O17" s="277">
        <v>27011737</v>
      </c>
      <c r="P17" s="277">
        <v>27001506.530000001</v>
      </c>
      <c r="Q17" s="277">
        <v>21306040.699999999</v>
      </c>
      <c r="R17" s="277">
        <v>13161789.130000001</v>
      </c>
      <c r="S17" s="277">
        <v>267394.01</v>
      </c>
      <c r="T17" s="277">
        <v>7582969.25</v>
      </c>
      <c r="U17" s="277">
        <v>7548572.21</v>
      </c>
      <c r="V17" s="276">
        <v>186729</v>
      </c>
      <c r="W17" s="277">
        <v>14552356.93</v>
      </c>
      <c r="X17" s="277">
        <v>4424204</v>
      </c>
      <c r="Y17" s="277">
        <v>102428477.13</v>
      </c>
      <c r="Z17" s="277">
        <v>21241207</v>
      </c>
      <c r="AA17" s="277">
        <v>18493238</v>
      </c>
      <c r="AB17" s="277">
        <v>146587125.49000001</v>
      </c>
      <c r="AC17" s="277">
        <v>77872507.810000002</v>
      </c>
      <c r="AD17" s="277">
        <v>7892230</v>
      </c>
      <c r="AE17" s="287">
        <v>137.21</v>
      </c>
      <c r="AF17" s="287">
        <v>36.76</v>
      </c>
      <c r="AG17" s="283">
        <v>5.1302267872393677E-2</v>
      </c>
    </row>
    <row r="18" spans="1:33" ht="15.4" x14ac:dyDescent="0.45">
      <c r="A18" s="262" t="s">
        <v>22</v>
      </c>
      <c r="B18" s="277">
        <v>44212039</v>
      </c>
      <c r="C18" s="277">
        <v>18825947</v>
      </c>
      <c r="D18" s="277">
        <v>21906</v>
      </c>
      <c r="E18" s="277">
        <v>1966435</v>
      </c>
      <c r="F18" s="277">
        <v>6423293</v>
      </c>
      <c r="G18" s="263"/>
      <c r="H18" s="263">
        <v>270000</v>
      </c>
      <c r="I18" s="277">
        <v>142792</v>
      </c>
      <c r="J18" s="277">
        <v>8523754</v>
      </c>
      <c r="K18" s="277">
        <v>80386166</v>
      </c>
      <c r="L18" s="277">
        <v>71224427</v>
      </c>
      <c r="M18" s="263"/>
      <c r="N18" s="277">
        <v>71224427.239999995</v>
      </c>
      <c r="O18" s="277">
        <v>95504782</v>
      </c>
      <c r="P18" s="277">
        <v>95504782.340000004</v>
      </c>
      <c r="Q18" s="277">
        <v>26085281.789999999</v>
      </c>
      <c r="R18" s="277">
        <v>7390624.1900000004</v>
      </c>
      <c r="S18" s="277">
        <v>16397000</v>
      </c>
      <c r="T18" s="277">
        <v>-41359261.079999998</v>
      </c>
      <c r="U18" s="277">
        <v>43335402.93</v>
      </c>
      <c r="V18" s="277">
        <v>0</v>
      </c>
      <c r="W18" s="277">
        <v>1171817.1399999999</v>
      </c>
      <c r="X18" s="277">
        <v>15419029</v>
      </c>
      <c r="Y18" s="277">
        <v>344625457.95999998</v>
      </c>
      <c r="Z18" s="277">
        <v>0</v>
      </c>
      <c r="AA18" s="277">
        <v>11339739</v>
      </c>
      <c r="AB18" s="277">
        <v>379084498.50999999</v>
      </c>
      <c r="AC18" s="277">
        <v>281015397.91000003</v>
      </c>
      <c r="AD18" s="277">
        <v>26148786</v>
      </c>
      <c r="AE18" s="287">
        <v>128.12</v>
      </c>
      <c r="AF18" s="287">
        <v>47</v>
      </c>
      <c r="AG18" s="283">
        <v>4.3276575974759188E-2</v>
      </c>
    </row>
    <row r="19" spans="1:33" ht="15.4" x14ac:dyDescent="0.45">
      <c r="A19" s="262" t="s">
        <v>23</v>
      </c>
      <c r="B19" s="277">
        <v>29029822</v>
      </c>
      <c r="C19" s="277">
        <v>656495</v>
      </c>
      <c r="D19" s="277">
        <v>481844</v>
      </c>
      <c r="E19" s="277">
        <v>521374</v>
      </c>
      <c r="F19" s="263"/>
      <c r="G19" s="263"/>
      <c r="H19" s="263"/>
      <c r="I19" s="263"/>
      <c r="J19" s="263"/>
      <c r="K19" s="277">
        <v>30689535</v>
      </c>
      <c r="L19" s="277">
        <v>30454288</v>
      </c>
      <c r="M19" s="277">
        <v>-715891</v>
      </c>
      <c r="N19" s="277">
        <v>29738396.719999999</v>
      </c>
      <c r="O19" s="277">
        <v>21362580</v>
      </c>
      <c r="P19" s="277">
        <v>21362580</v>
      </c>
      <c r="Q19" s="277">
        <v>8025086</v>
      </c>
      <c r="R19" s="277">
        <v>2033505</v>
      </c>
      <c r="S19" s="276">
        <v>0</v>
      </c>
      <c r="T19" s="277">
        <v>-1682774.28</v>
      </c>
      <c r="U19" s="277">
        <v>2798980.03</v>
      </c>
      <c r="V19" s="277">
        <v>0</v>
      </c>
      <c r="W19" s="277">
        <v>1116205.75</v>
      </c>
      <c r="X19" s="277">
        <v>1484181</v>
      </c>
      <c r="Y19" s="277">
        <v>32895437.739999998</v>
      </c>
      <c r="Z19" s="277">
        <v>7783682</v>
      </c>
      <c r="AA19" s="277">
        <v>326154</v>
      </c>
      <c r="AB19" s="277">
        <v>44519268.340000004</v>
      </c>
      <c r="AC19" s="277">
        <v>16193526</v>
      </c>
      <c r="AD19" s="277">
        <v>5078298</v>
      </c>
      <c r="AE19" s="287">
        <v>212.3</v>
      </c>
      <c r="AF19" s="287">
        <v>33.03</v>
      </c>
      <c r="AG19" s="283">
        <v>1.65219721146737E-2</v>
      </c>
    </row>
    <row r="20" spans="1:33" ht="15.4" x14ac:dyDescent="0.45">
      <c r="A20" s="262" t="s">
        <v>24</v>
      </c>
      <c r="B20" s="277">
        <v>81542523</v>
      </c>
      <c r="C20" s="277">
        <v>9446590</v>
      </c>
      <c r="D20" s="277">
        <v>15176333</v>
      </c>
      <c r="E20" s="277">
        <v>7253697</v>
      </c>
      <c r="F20" s="277">
        <v>45113726</v>
      </c>
      <c r="G20" s="263"/>
      <c r="H20" s="263"/>
      <c r="I20" s="263"/>
      <c r="J20" s="277">
        <v>3860024</v>
      </c>
      <c r="K20" s="277">
        <v>162392893</v>
      </c>
      <c r="L20" s="277">
        <v>158933515</v>
      </c>
      <c r="M20" s="277">
        <v>-65976109</v>
      </c>
      <c r="N20" s="277">
        <v>92957405.879999995</v>
      </c>
      <c r="O20" s="277">
        <v>45433306</v>
      </c>
      <c r="P20" s="277">
        <v>45433306</v>
      </c>
      <c r="Q20" s="277">
        <v>46572936.649999999</v>
      </c>
      <c r="R20" s="277">
        <v>31564920</v>
      </c>
      <c r="S20" s="277">
        <v>475517.56</v>
      </c>
      <c r="T20" s="277">
        <v>-30138239.210000001</v>
      </c>
      <c r="U20" s="277">
        <v>32207627</v>
      </c>
      <c r="V20" s="277">
        <v>471463.24</v>
      </c>
      <c r="W20" s="277">
        <v>2540851.0299999998</v>
      </c>
      <c r="X20" s="277">
        <v>28143767</v>
      </c>
      <c r="Y20" s="277">
        <v>276104236.24000001</v>
      </c>
      <c r="Z20" s="277">
        <v>4124878</v>
      </c>
      <c r="AA20" s="277">
        <v>31038865</v>
      </c>
      <c r="AB20" s="277">
        <v>339411746.35000002</v>
      </c>
      <c r="AC20" s="277">
        <v>232083216.72</v>
      </c>
      <c r="AD20" s="277">
        <v>33668767</v>
      </c>
      <c r="AE20" s="287">
        <v>131.09</v>
      </c>
      <c r="AF20" s="287">
        <v>49.16</v>
      </c>
      <c r="AG20" s="283">
        <v>8.7425594743197971E-2</v>
      </c>
    </row>
    <row r="21" spans="1:33" ht="15.4" x14ac:dyDescent="0.45">
      <c r="A21" s="262" t="s">
        <v>25</v>
      </c>
      <c r="B21" s="277">
        <v>10135501</v>
      </c>
      <c r="C21" s="277">
        <v>420562</v>
      </c>
      <c r="D21" s="276">
        <v>0</v>
      </c>
      <c r="E21" s="277">
        <v>1043964</v>
      </c>
      <c r="F21" s="277">
        <v>764435</v>
      </c>
      <c r="G21" s="276">
        <v>0</v>
      </c>
      <c r="H21" s="263">
        <v>0</v>
      </c>
      <c r="I21" s="276">
        <v>0</v>
      </c>
      <c r="J21" s="277">
        <v>7288087</v>
      </c>
      <c r="K21" s="277">
        <v>19652549</v>
      </c>
      <c r="L21" s="277">
        <v>19573768</v>
      </c>
      <c r="M21" s="277">
        <v>-7829507</v>
      </c>
      <c r="N21" s="277">
        <v>11744261</v>
      </c>
      <c r="O21" s="277">
        <v>13341622</v>
      </c>
      <c r="P21" s="277">
        <v>13341622</v>
      </c>
      <c r="Q21" s="277">
        <v>6309766</v>
      </c>
      <c r="R21" s="277">
        <v>499903</v>
      </c>
      <c r="S21" s="263"/>
      <c r="T21" s="277">
        <v>-8407030</v>
      </c>
      <c r="U21" s="277">
        <v>6745791</v>
      </c>
      <c r="V21" s="277">
        <v>867077</v>
      </c>
      <c r="W21" s="277">
        <v>-794162</v>
      </c>
      <c r="X21" s="277">
        <v>1636720</v>
      </c>
      <c r="Y21" s="277">
        <v>68240071</v>
      </c>
      <c r="Z21" s="277">
        <v>2969817</v>
      </c>
      <c r="AA21" s="277">
        <v>4768822</v>
      </c>
      <c r="AB21" s="277">
        <v>77644821</v>
      </c>
      <c r="AC21" s="277">
        <v>59475083</v>
      </c>
      <c r="AD21" s="277">
        <v>1448877</v>
      </c>
      <c r="AE21" s="287">
        <v>117.49</v>
      </c>
      <c r="AF21" s="287">
        <v>34.79</v>
      </c>
      <c r="AG21" s="283">
        <v>1.0580116856128922E-2</v>
      </c>
    </row>
    <row r="22" spans="1:33" ht="15.4" x14ac:dyDescent="0.45">
      <c r="A22" s="262" t="s">
        <v>26</v>
      </c>
      <c r="B22" s="277">
        <v>1957078</v>
      </c>
      <c r="C22" s="277">
        <v>4669908</v>
      </c>
      <c r="D22" s="277">
        <v>159092</v>
      </c>
      <c r="E22" s="277">
        <v>16296392</v>
      </c>
      <c r="F22" s="277">
        <v>1836689</v>
      </c>
      <c r="G22" s="263"/>
      <c r="H22" s="263"/>
      <c r="I22" s="263"/>
      <c r="J22" s="263"/>
      <c r="K22" s="277">
        <v>24919159</v>
      </c>
      <c r="L22" s="277">
        <v>15297010</v>
      </c>
      <c r="M22" s="277">
        <v>-751634</v>
      </c>
      <c r="N22" s="277">
        <v>14545376</v>
      </c>
      <c r="O22" s="277">
        <v>6034118</v>
      </c>
      <c r="P22" s="277">
        <v>6034118</v>
      </c>
      <c r="Q22" s="277">
        <v>5087889</v>
      </c>
      <c r="R22" s="277">
        <v>4284670</v>
      </c>
      <c r="S22" s="263"/>
      <c r="T22" s="277">
        <v>-861301</v>
      </c>
      <c r="U22" s="277">
        <v>994604</v>
      </c>
      <c r="V22" s="277">
        <v>258771</v>
      </c>
      <c r="W22" s="277">
        <v>372470</v>
      </c>
      <c r="X22" s="277">
        <v>35546869</v>
      </c>
      <c r="Y22" s="277">
        <v>21242585.780000001</v>
      </c>
      <c r="Z22" s="277">
        <v>311337</v>
      </c>
      <c r="AA22" s="277">
        <v>631151</v>
      </c>
      <c r="AB22" s="277">
        <v>60478348.780000001</v>
      </c>
      <c r="AC22" s="277">
        <v>5541321</v>
      </c>
      <c r="AD22" s="277">
        <v>3400989</v>
      </c>
      <c r="AE22" s="287">
        <v>1024.8399999999999</v>
      </c>
      <c r="AF22" s="287">
        <v>61.27</v>
      </c>
      <c r="AG22" s="283">
        <v>1.3415441130636883E-2</v>
      </c>
    </row>
    <row r="23" spans="1:33" ht="15.4" x14ac:dyDescent="0.45">
      <c r="A23" s="262" t="s">
        <v>27</v>
      </c>
      <c r="B23" s="277">
        <v>309949803</v>
      </c>
      <c r="C23" s="277">
        <v>14862138</v>
      </c>
      <c r="D23" s="277">
        <v>197417</v>
      </c>
      <c r="E23" s="277">
        <v>4537100</v>
      </c>
      <c r="F23" s="277">
        <v>23097933</v>
      </c>
      <c r="G23" s="263"/>
      <c r="H23" s="263"/>
      <c r="I23" s="263"/>
      <c r="J23" s="263"/>
      <c r="K23" s="277">
        <v>352644391</v>
      </c>
      <c r="L23" s="277">
        <v>351462947</v>
      </c>
      <c r="M23" s="277">
        <v>-73551475</v>
      </c>
      <c r="N23" s="277">
        <v>277911471.68000001</v>
      </c>
      <c r="O23" s="277">
        <v>247303116</v>
      </c>
      <c r="P23" s="277">
        <v>247187079.55000001</v>
      </c>
      <c r="Q23" s="277">
        <v>61657077.450000003</v>
      </c>
      <c r="R23" s="277">
        <v>17472415.359999999</v>
      </c>
      <c r="S23" s="277">
        <v>323196.33</v>
      </c>
      <c r="T23" s="277">
        <v>-48081904.350000001</v>
      </c>
      <c r="U23" s="277">
        <v>58747969.869999997</v>
      </c>
      <c r="V23" s="277">
        <v>2647387.52</v>
      </c>
      <c r="W23" s="277">
        <v>12647251.960000001</v>
      </c>
      <c r="X23" s="277">
        <v>6014428</v>
      </c>
      <c r="Y23" s="277">
        <v>804320775.21000004</v>
      </c>
      <c r="Z23" s="277">
        <v>90903921</v>
      </c>
      <c r="AA23" s="277">
        <v>45557536</v>
      </c>
      <c r="AB23" s="277">
        <v>946796660.46000004</v>
      </c>
      <c r="AC23" s="277">
        <v>694747272.45000005</v>
      </c>
      <c r="AD23" s="277">
        <v>43552031</v>
      </c>
      <c r="AE23" s="287">
        <v>116.64</v>
      </c>
      <c r="AF23" s="287">
        <v>22.51</v>
      </c>
      <c r="AG23" s="283">
        <v>0.18984910636469693</v>
      </c>
    </row>
    <row r="24" spans="1:33" ht="15.4" x14ac:dyDescent="0.45">
      <c r="A24" s="262" t="s">
        <v>28</v>
      </c>
      <c r="B24" s="277">
        <v>16832342</v>
      </c>
      <c r="C24" s="277">
        <v>5615307</v>
      </c>
      <c r="D24" s="277">
        <v>49589097</v>
      </c>
      <c r="E24" s="277">
        <v>4214081</v>
      </c>
      <c r="F24" s="277">
        <v>225374176</v>
      </c>
      <c r="G24" s="263"/>
      <c r="H24" s="263"/>
      <c r="I24" s="263"/>
      <c r="J24" s="263"/>
      <c r="K24" s="277">
        <v>301625003</v>
      </c>
      <c r="L24" s="277">
        <v>299494394</v>
      </c>
      <c r="M24" s="277">
        <v>-117640808</v>
      </c>
      <c r="N24" s="277">
        <v>181853586</v>
      </c>
      <c r="O24" s="277">
        <v>134714486</v>
      </c>
      <c r="P24" s="277">
        <v>134714486</v>
      </c>
      <c r="Q24" s="277">
        <v>37477106</v>
      </c>
      <c r="R24" s="277">
        <v>37006721</v>
      </c>
      <c r="S24" s="277">
        <v>585462</v>
      </c>
      <c r="T24" s="277">
        <v>-26759265</v>
      </c>
      <c r="U24" s="277">
        <v>69807476</v>
      </c>
      <c r="V24" s="277">
        <v>713417</v>
      </c>
      <c r="W24" s="277">
        <v>36859732</v>
      </c>
      <c r="X24" s="277">
        <v>34162365</v>
      </c>
      <c r="Y24" s="277">
        <v>890438867</v>
      </c>
      <c r="Z24" s="277">
        <v>68663061</v>
      </c>
      <c r="AA24" s="277">
        <v>59879780</v>
      </c>
      <c r="AB24" s="277">
        <v>1053526743</v>
      </c>
      <c r="AC24" s="277">
        <v>730049568</v>
      </c>
      <c r="AD24" s="277">
        <v>58622356</v>
      </c>
      <c r="AE24" s="287">
        <v>126.65</v>
      </c>
      <c r="AF24" s="287">
        <v>24.87</v>
      </c>
      <c r="AG24" s="283">
        <v>0.16238238502650404</v>
      </c>
    </row>
    <row r="25" spans="1:33" ht="15.4" x14ac:dyDescent="0.45">
      <c r="A25" s="262" t="s">
        <v>31</v>
      </c>
      <c r="B25" s="277">
        <v>1266287</v>
      </c>
      <c r="C25" s="277">
        <v>12602227</v>
      </c>
      <c r="D25" s="277">
        <v>309362</v>
      </c>
      <c r="E25" s="277">
        <v>202020</v>
      </c>
      <c r="F25" s="277">
        <v>1101339</v>
      </c>
      <c r="G25" s="263"/>
      <c r="H25" s="263"/>
      <c r="I25" s="263"/>
      <c r="J25" s="277">
        <v>38679</v>
      </c>
      <c r="K25" s="277">
        <v>15519914</v>
      </c>
      <c r="L25" s="277">
        <v>10395777</v>
      </c>
      <c r="M25" s="277">
        <v>-664278</v>
      </c>
      <c r="N25" s="277">
        <v>9731499</v>
      </c>
      <c r="O25" s="277">
        <v>5492050</v>
      </c>
      <c r="P25" s="277">
        <v>4964310</v>
      </c>
      <c r="Q25" s="277">
        <v>4988394.5</v>
      </c>
      <c r="R25" s="277">
        <v>1736266</v>
      </c>
      <c r="S25" s="277">
        <v>1147848</v>
      </c>
      <c r="T25" s="277">
        <v>-809623.5</v>
      </c>
      <c r="U25" s="277">
        <v>306349</v>
      </c>
      <c r="V25" s="277">
        <v>219113</v>
      </c>
      <c r="W25" s="277">
        <v>-284161.5</v>
      </c>
      <c r="X25" s="277">
        <v>808503</v>
      </c>
      <c r="Y25" s="277">
        <v>20927651</v>
      </c>
      <c r="Z25" s="277">
        <v>8915924</v>
      </c>
      <c r="AA25" s="277">
        <v>2751431</v>
      </c>
      <c r="AB25" s="277">
        <v>33403509</v>
      </c>
      <c r="AC25" s="277">
        <v>11388708.949999999</v>
      </c>
      <c r="AD25" s="277">
        <v>1053575</v>
      </c>
      <c r="AE25" s="287">
        <v>190.86</v>
      </c>
      <c r="AF25" s="287">
        <v>64.69</v>
      </c>
      <c r="AG25" s="283">
        <v>8.355277664850053E-3</v>
      </c>
    </row>
    <row r="26" spans="1:33" ht="15.4" x14ac:dyDescent="0.45">
      <c r="A26" s="262" t="s">
        <v>67</v>
      </c>
      <c r="B26" s="264">
        <f>SUM(B6:B25)</f>
        <v>911575676</v>
      </c>
      <c r="C26" s="264">
        <f t="shared" ref="C26:AC26" si="1">SUM(C6:C25)</f>
        <v>145605794</v>
      </c>
      <c r="D26" s="264">
        <f t="shared" si="1"/>
        <v>113034986</v>
      </c>
      <c r="E26" s="264">
        <f t="shared" si="1"/>
        <v>67736419</v>
      </c>
      <c r="F26" s="264">
        <f t="shared" si="1"/>
        <v>522128579</v>
      </c>
      <c r="G26" s="264">
        <f t="shared" si="1"/>
        <v>330230</v>
      </c>
      <c r="H26" s="264">
        <f t="shared" si="1"/>
        <v>270000</v>
      </c>
      <c r="I26" s="264">
        <f t="shared" si="1"/>
        <v>142792</v>
      </c>
      <c r="J26" s="264">
        <f t="shared" si="1"/>
        <v>96673817</v>
      </c>
      <c r="K26" s="264">
        <f t="shared" si="1"/>
        <v>1857498293</v>
      </c>
      <c r="L26" s="264">
        <f t="shared" si="1"/>
        <v>1804541418</v>
      </c>
      <c r="M26" s="264">
        <f t="shared" si="1"/>
        <v>-519426824</v>
      </c>
      <c r="N26" s="264">
        <f t="shared" si="1"/>
        <v>1285114595.29</v>
      </c>
      <c r="O26" s="264">
        <f t="shared" si="1"/>
        <v>972657264</v>
      </c>
      <c r="P26" s="264">
        <f t="shared" si="1"/>
        <v>969153437.9000001</v>
      </c>
      <c r="Q26" s="264">
        <f t="shared" si="1"/>
        <v>387812622.56999993</v>
      </c>
      <c r="R26" s="264">
        <f t="shared" si="1"/>
        <v>256133114.06999999</v>
      </c>
      <c r="S26" s="264">
        <f t="shared" si="1"/>
        <v>20247062.499999996</v>
      </c>
      <c r="T26" s="264">
        <f t="shared" si="1"/>
        <v>-307737516.75000006</v>
      </c>
      <c r="U26" s="264">
        <f t="shared" si="1"/>
        <v>443405646.38</v>
      </c>
      <c r="V26" s="264">
        <f t="shared" si="1"/>
        <v>8107759.3100000005</v>
      </c>
      <c r="W26" s="264">
        <f t="shared" si="1"/>
        <v>129691843.74000001</v>
      </c>
      <c r="X26" s="264">
        <f t="shared" si="1"/>
        <v>279789687</v>
      </c>
      <c r="Y26" s="264">
        <f t="shared" si="1"/>
        <v>4569477353.6599998</v>
      </c>
      <c r="Z26" s="264">
        <f t="shared" si="1"/>
        <v>308157030</v>
      </c>
      <c r="AA26" s="264">
        <f t="shared" si="1"/>
        <v>269838590</v>
      </c>
      <c r="AB26" s="264">
        <f t="shared" si="1"/>
        <v>5441788121.29</v>
      </c>
      <c r="AC26" s="264">
        <f t="shared" si="1"/>
        <v>3460472810.8000002</v>
      </c>
      <c r="AD26" s="264">
        <f>SUM(AD6:AD25)</f>
        <v>358139250</v>
      </c>
      <c r="AE26" s="266">
        <f>AVERAGE(AE6:AE25)</f>
        <v>275.18349999999998</v>
      </c>
      <c r="AF26" s="266">
        <f>AVERAGE(AF6:AF25)</f>
        <v>71.974500000000006</v>
      </c>
      <c r="AG26" s="279">
        <f>SUM(AG6:AG25)</f>
        <v>0.99999999999999989</v>
      </c>
    </row>
  </sheetData>
  <sortState xmlns:xlrd2="http://schemas.microsoft.com/office/spreadsheetml/2017/richdata2" ref="A6:AG25">
    <sortCondition ref="A6:A25"/>
  </sortState>
  <mergeCells count="1">
    <mergeCell ref="B1:AG1"/>
  </mergeCells>
  <dataValidations count="1">
    <dataValidation type="list" allowBlank="1" showInputMessage="1" showErrorMessage="1" sqref="A3" xr:uid="{00000000-0002-0000-2500-000000000000}">
      <formula1>$A$6:$A$26</formula1>
    </dataValidation>
  </dataValidations>
  <pageMargins left="0.7" right="0.7" top="0.75" bottom="0.75" header="0.3" footer="0.3"/>
  <pageSetup orientation="portrait" horizontalDpi="4294967295" verticalDpi="4294967295" r:id="rId1"/>
  <customProperties>
    <customPr name="LastActive" r:id="rId2"/>
  </customProperties>
  <legacyDrawing r:id="rId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tabColor rgb="FF0070C0"/>
  </sheetPr>
  <dimension ref="A1:AG27"/>
  <sheetViews>
    <sheetView zoomScale="70" zoomScaleNormal="70" workbookViewId="0">
      <pane xSplit="1" ySplit="5" topLeftCell="K6" activePane="bottomRight" state="frozen"/>
      <selection pane="topRight" activeCell="B1" sqref="B1"/>
      <selection pane="bottomLeft" activeCell="A6" sqref="A6"/>
      <selection pane="bottomRight" activeCell="A19" sqref="A19"/>
    </sheetView>
  </sheetViews>
  <sheetFormatPr defaultRowHeight="14.25" x14ac:dyDescent="0.45"/>
  <cols>
    <col min="1" max="1" width="61.73046875" bestFit="1" customWidth="1"/>
    <col min="2" max="2" width="38.265625" style="293" bestFit="1" customWidth="1"/>
    <col min="3" max="4" width="18.265625" bestFit="1" customWidth="1"/>
    <col min="5" max="5" width="16.73046875" bestFit="1" customWidth="1"/>
    <col min="6" max="6" width="24.73046875" bestFit="1" customWidth="1"/>
    <col min="7" max="8" width="13.73046875" bestFit="1" customWidth="1"/>
    <col min="9" max="9" width="45.265625" bestFit="1" customWidth="1"/>
    <col min="10" max="10" width="22.73046875" bestFit="1" customWidth="1"/>
    <col min="11" max="12" width="19.73046875" bestFit="1" customWidth="1"/>
    <col min="13" max="13" width="44.265625" style="293" customWidth="1"/>
    <col min="14" max="14" width="19.73046875" bestFit="1" customWidth="1"/>
    <col min="15" max="15" width="27.3984375" bestFit="1" customWidth="1"/>
    <col min="16" max="16" width="30.73046875" bestFit="1" customWidth="1"/>
    <col min="17" max="17" width="20.73046875" bestFit="1" customWidth="1"/>
    <col min="18" max="18" width="15.3984375" bestFit="1" customWidth="1"/>
    <col min="19" max="19" width="18.265625" bestFit="1" customWidth="1"/>
    <col min="20" max="20" width="19.265625" bestFit="1" customWidth="1"/>
    <col min="21" max="21" width="17.73046875" bestFit="1" customWidth="1"/>
    <col min="22" max="22" width="12.73046875" bestFit="1" customWidth="1"/>
    <col min="23" max="24" width="16.265625" bestFit="1" customWidth="1"/>
    <col min="25" max="25" width="17.73046875" bestFit="1" customWidth="1"/>
    <col min="26" max="27" width="16.265625" bestFit="1" customWidth="1"/>
    <col min="28" max="28" width="17.73046875" bestFit="1" customWidth="1"/>
    <col min="29" max="29" width="19.73046875" bestFit="1" customWidth="1"/>
    <col min="30" max="30" width="16.265625" bestFit="1" customWidth="1"/>
    <col min="31" max="31" width="27.265625" bestFit="1" customWidth="1"/>
    <col min="32" max="32" width="16.73046875" bestFit="1" customWidth="1"/>
    <col min="33" max="33" width="15.265625" bestFit="1" customWidth="1"/>
  </cols>
  <sheetData>
    <row r="1" spans="1:33" ht="21" x14ac:dyDescent="0.6">
      <c r="A1" s="267" t="s">
        <v>136</v>
      </c>
      <c r="B1" s="391" t="s">
        <v>99</v>
      </c>
      <c r="C1" s="391"/>
      <c r="D1" s="391"/>
      <c r="E1" s="391"/>
      <c r="F1" s="391"/>
      <c r="G1" s="391"/>
      <c r="H1" s="391"/>
      <c r="I1" s="391"/>
      <c r="J1" s="391"/>
      <c r="K1" s="391"/>
      <c r="L1" s="391"/>
      <c r="M1" s="391"/>
      <c r="N1" s="391"/>
      <c r="O1" s="391"/>
      <c r="P1" s="391"/>
      <c r="Q1" s="391"/>
      <c r="R1" s="391"/>
      <c r="S1" s="391"/>
      <c r="T1" s="391"/>
      <c r="U1" s="391"/>
      <c r="V1" s="391"/>
      <c r="W1" s="391"/>
      <c r="X1" s="391"/>
      <c r="Y1" s="391"/>
      <c r="Z1" s="391"/>
      <c r="AA1" s="391"/>
      <c r="AB1" s="391"/>
      <c r="AC1" s="391"/>
      <c r="AD1" s="391"/>
      <c r="AE1" s="391"/>
      <c r="AF1" s="391"/>
      <c r="AG1" s="391"/>
    </row>
    <row r="2" spans="1:33" ht="27" customHeight="1" x14ac:dyDescent="0.45">
      <c r="A2" s="268"/>
      <c r="B2" s="299" t="s">
        <v>108</v>
      </c>
      <c r="C2" s="269" t="s">
        <v>109</v>
      </c>
      <c r="D2" s="269" t="s">
        <v>110</v>
      </c>
      <c r="E2" s="269" t="s">
        <v>111</v>
      </c>
      <c r="F2" s="269" t="s">
        <v>112</v>
      </c>
      <c r="G2" s="269" t="s">
        <v>113</v>
      </c>
      <c r="H2" s="269" t="s">
        <v>114</v>
      </c>
      <c r="I2" s="269" t="s">
        <v>115</v>
      </c>
      <c r="J2" s="269" t="s">
        <v>116</v>
      </c>
      <c r="K2" s="269" t="s">
        <v>34</v>
      </c>
      <c r="L2" s="269" t="s">
        <v>117</v>
      </c>
      <c r="M2" s="290" t="s">
        <v>118</v>
      </c>
      <c r="N2" s="269" t="s">
        <v>119</v>
      </c>
      <c r="O2" s="269" t="s">
        <v>101</v>
      </c>
      <c r="P2" s="269" t="s">
        <v>74</v>
      </c>
      <c r="Q2" s="269" t="s">
        <v>10</v>
      </c>
      <c r="R2" s="269" t="s">
        <v>102</v>
      </c>
      <c r="S2" s="269" t="s">
        <v>103</v>
      </c>
      <c r="T2" s="269" t="s">
        <v>120</v>
      </c>
      <c r="U2" s="269" t="s">
        <v>121</v>
      </c>
      <c r="V2" s="269" t="s">
        <v>122</v>
      </c>
      <c r="W2" s="269" t="s">
        <v>135</v>
      </c>
      <c r="X2" s="269" t="s">
        <v>128</v>
      </c>
      <c r="Y2" s="269" t="s">
        <v>79</v>
      </c>
      <c r="Z2" s="269" t="s">
        <v>129</v>
      </c>
      <c r="AA2" s="269" t="s">
        <v>130</v>
      </c>
      <c r="AB2" s="270" t="s">
        <v>13</v>
      </c>
      <c r="AC2" s="270" t="s">
        <v>131</v>
      </c>
      <c r="AD2" s="270" t="s">
        <v>132</v>
      </c>
      <c r="AE2" s="271" t="s">
        <v>124</v>
      </c>
      <c r="AF2" s="271" t="s">
        <v>125</v>
      </c>
      <c r="AG2" s="271" t="s">
        <v>12</v>
      </c>
    </row>
    <row r="3" spans="1:33" ht="15.4" x14ac:dyDescent="0.45">
      <c r="A3" s="260" t="s">
        <v>97</v>
      </c>
      <c r="B3" s="291">
        <f t="shared" ref="B3:AG3" si="0">INDEX(B6:B26,MATCH($A$3,$A$6:$A$26,0))</f>
        <v>121103</v>
      </c>
      <c r="C3" s="285">
        <f t="shared" si="0"/>
        <v>5956</v>
      </c>
      <c r="D3" s="285">
        <f t="shared" si="0"/>
        <v>0</v>
      </c>
      <c r="E3" s="285">
        <f t="shared" si="0"/>
        <v>0</v>
      </c>
      <c r="F3" s="285">
        <f t="shared" si="0"/>
        <v>1171467</v>
      </c>
      <c r="G3" s="285">
        <f t="shared" si="0"/>
        <v>0</v>
      </c>
      <c r="H3" s="285">
        <f t="shared" si="0"/>
        <v>0</v>
      </c>
      <c r="I3" s="285">
        <f t="shared" si="0"/>
        <v>0</v>
      </c>
      <c r="J3" s="285">
        <f t="shared" si="0"/>
        <v>4737136</v>
      </c>
      <c r="K3" s="285">
        <f t="shared" si="0"/>
        <v>6035662</v>
      </c>
      <c r="L3" s="285">
        <f t="shared" si="0"/>
        <v>5986839</v>
      </c>
      <c r="M3" s="291">
        <f t="shared" si="0"/>
        <v>0</v>
      </c>
      <c r="N3" s="285">
        <f t="shared" si="0"/>
        <v>5986839</v>
      </c>
      <c r="O3" s="285">
        <f t="shared" si="0"/>
        <v>3622767</v>
      </c>
      <c r="P3" s="285">
        <f t="shared" si="0"/>
        <v>3622767</v>
      </c>
      <c r="Q3" s="285">
        <f t="shared" si="0"/>
        <v>4033302</v>
      </c>
      <c r="R3" s="285">
        <f t="shared" si="0"/>
        <v>94052446</v>
      </c>
      <c r="S3" s="285">
        <f t="shared" si="0"/>
        <v>0</v>
      </c>
      <c r="T3" s="285">
        <f t="shared" si="0"/>
        <v>-2139542</v>
      </c>
      <c r="U3" s="285">
        <f t="shared" si="0"/>
        <v>2373364</v>
      </c>
      <c r="V3" s="285">
        <f t="shared" si="0"/>
        <v>0</v>
      </c>
      <c r="W3" s="285">
        <f>INDEX(W6:W26,MATCH($A$3,$A$6:$A$26,0))</f>
        <v>252125</v>
      </c>
      <c r="X3" s="285">
        <f t="shared" si="0"/>
        <v>-384211</v>
      </c>
      <c r="Y3" s="285">
        <f t="shared" si="0"/>
        <v>14690842</v>
      </c>
      <c r="Z3" s="285">
        <f t="shared" si="0"/>
        <v>2339570</v>
      </c>
      <c r="AA3" s="285">
        <f t="shared" si="0"/>
        <v>2369137</v>
      </c>
      <c r="AB3" s="285">
        <f t="shared" si="0"/>
        <v>19015338</v>
      </c>
      <c r="AC3" s="285">
        <f t="shared" si="0"/>
        <v>3385363</v>
      </c>
      <c r="AD3" s="285">
        <f t="shared" si="0"/>
        <v>1202367</v>
      </c>
      <c r="AE3" s="285">
        <f t="shared" si="0"/>
        <v>422.6</v>
      </c>
      <c r="AF3" s="285">
        <f t="shared" si="0"/>
        <v>75.23</v>
      </c>
      <c r="AG3" s="286">
        <f t="shared" si="0"/>
        <v>2.4014428062027323E-3</v>
      </c>
    </row>
    <row r="5" spans="1:33" s="295" customFormat="1" ht="30.6" customHeight="1" x14ac:dyDescent="0.45">
      <c r="A5" s="294" t="s">
        <v>126</v>
      </c>
      <c r="B5" s="300" t="s">
        <v>108</v>
      </c>
      <c r="C5" s="273" t="s">
        <v>109</v>
      </c>
      <c r="D5" s="273" t="s">
        <v>110</v>
      </c>
      <c r="E5" s="273" t="s">
        <v>111</v>
      </c>
      <c r="F5" s="273" t="s">
        <v>112</v>
      </c>
      <c r="G5" s="273" t="s">
        <v>113</v>
      </c>
      <c r="H5" s="273" t="s">
        <v>114</v>
      </c>
      <c r="I5" s="273" t="s">
        <v>115</v>
      </c>
      <c r="J5" s="273" t="s">
        <v>116</v>
      </c>
      <c r="K5" s="273" t="s">
        <v>34</v>
      </c>
      <c r="L5" s="273" t="s">
        <v>117</v>
      </c>
      <c r="M5" s="292" t="s">
        <v>118</v>
      </c>
      <c r="N5" s="273" t="s">
        <v>119</v>
      </c>
      <c r="O5" s="273" t="s">
        <v>101</v>
      </c>
      <c r="P5" s="273" t="s">
        <v>74</v>
      </c>
      <c r="Q5" s="273" t="s">
        <v>10</v>
      </c>
      <c r="R5" s="273" t="s">
        <v>102</v>
      </c>
      <c r="S5" s="273" t="s">
        <v>103</v>
      </c>
      <c r="T5" s="273" t="s">
        <v>120</v>
      </c>
      <c r="U5" s="273" t="s">
        <v>121</v>
      </c>
      <c r="V5" s="273" t="s">
        <v>122</v>
      </c>
      <c r="W5" s="273" t="s">
        <v>135</v>
      </c>
      <c r="X5" s="273" t="s">
        <v>128</v>
      </c>
      <c r="Y5" s="273" t="s">
        <v>79</v>
      </c>
      <c r="Z5" s="273" t="s">
        <v>129</v>
      </c>
      <c r="AA5" s="273" t="s">
        <v>130</v>
      </c>
      <c r="AB5" s="274" t="s">
        <v>13</v>
      </c>
      <c r="AC5" s="274" t="s">
        <v>131</v>
      </c>
      <c r="AD5" s="274" t="s">
        <v>132</v>
      </c>
      <c r="AE5" s="275" t="s">
        <v>124</v>
      </c>
      <c r="AF5" s="275" t="s">
        <v>125</v>
      </c>
      <c r="AG5" s="275" t="s">
        <v>12</v>
      </c>
    </row>
    <row r="6" spans="1:33" ht="15.4" x14ac:dyDescent="0.45">
      <c r="A6" s="262" t="s">
        <v>80</v>
      </c>
      <c r="B6" s="288">
        <v>11797141</v>
      </c>
      <c r="C6" s="288">
        <v>7008063</v>
      </c>
      <c r="D6" s="288">
        <v>1122785</v>
      </c>
      <c r="E6" s="288">
        <v>3799124</v>
      </c>
      <c r="F6" s="288">
        <v>2928817</v>
      </c>
      <c r="G6" s="288">
        <v>0</v>
      </c>
      <c r="H6" s="288">
        <v>0</v>
      </c>
      <c r="I6" s="288"/>
      <c r="J6" s="288">
        <v>23030953</v>
      </c>
      <c r="K6" s="288">
        <v>49686883</v>
      </c>
      <c r="L6" s="288">
        <v>47121912</v>
      </c>
      <c r="M6" s="288">
        <v>-14800185</v>
      </c>
      <c r="N6" s="288">
        <v>32321727</v>
      </c>
      <c r="O6" s="288">
        <v>9777410</v>
      </c>
      <c r="P6" s="288">
        <v>9777410</v>
      </c>
      <c r="Q6" s="288">
        <v>24362831</v>
      </c>
      <c r="R6" s="288">
        <v>18448150</v>
      </c>
      <c r="S6" s="288"/>
      <c r="T6" s="288">
        <v>-21120518</v>
      </c>
      <c r="U6" s="288">
        <v>11134459</v>
      </c>
      <c r="V6" s="288">
        <v>0</v>
      </c>
      <c r="W6" s="288">
        <v>-9986059</v>
      </c>
      <c r="X6" s="288">
        <v>6060175</v>
      </c>
      <c r="Y6" s="288">
        <v>80124628</v>
      </c>
      <c r="Z6" s="288">
        <v>5685901</v>
      </c>
      <c r="AA6" s="288">
        <v>3399976</v>
      </c>
      <c r="AB6" s="288">
        <v>100204254</v>
      </c>
      <c r="AC6" s="288">
        <v>32245628</v>
      </c>
      <c r="AD6" s="288">
        <v>17633472</v>
      </c>
      <c r="AE6" s="288">
        <v>267.27999999999997</v>
      </c>
      <c r="AF6" s="288">
        <v>92.66</v>
      </c>
      <c r="AG6" s="296">
        <f>K6/$K$26</f>
        <v>1.9769199756876188E-2</v>
      </c>
    </row>
    <row r="7" spans="1:33" ht="15.4" x14ac:dyDescent="0.45">
      <c r="A7" s="262" t="s">
        <v>16</v>
      </c>
      <c r="B7" s="288">
        <v>17741542</v>
      </c>
      <c r="C7" s="288">
        <v>1247512</v>
      </c>
      <c r="D7" s="288">
        <v>14745</v>
      </c>
      <c r="E7" s="288">
        <v>1041474</v>
      </c>
      <c r="F7" s="288">
        <v>3991364</v>
      </c>
      <c r="G7" s="288"/>
      <c r="H7" s="288"/>
      <c r="I7" s="288"/>
      <c r="J7" s="288"/>
      <c r="K7" s="288">
        <v>24036637</v>
      </c>
      <c r="L7" s="288">
        <v>23789455</v>
      </c>
      <c r="M7" s="288">
        <v>-2835840</v>
      </c>
      <c r="N7" s="288">
        <v>20953615</v>
      </c>
      <c r="O7" s="288">
        <v>8818638</v>
      </c>
      <c r="P7" s="288">
        <v>8812133</v>
      </c>
      <c r="Q7" s="288">
        <v>10120975</v>
      </c>
      <c r="R7" s="288"/>
      <c r="S7" s="288">
        <v>64238</v>
      </c>
      <c r="T7" s="288">
        <v>72454</v>
      </c>
      <c r="U7" s="288">
        <v>3516657</v>
      </c>
      <c r="V7" s="288">
        <v>880</v>
      </c>
      <c r="W7" s="288">
        <v>4094311</v>
      </c>
      <c r="X7" s="288">
        <v>972012</v>
      </c>
      <c r="Y7" s="288">
        <v>124820521</v>
      </c>
      <c r="Z7" s="288">
        <v>1821149</v>
      </c>
      <c r="AA7" s="288">
        <v>6274329</v>
      </c>
      <c r="AB7" s="288">
        <v>133888011</v>
      </c>
      <c r="AC7" s="288">
        <v>62528795</v>
      </c>
      <c r="AD7" s="288">
        <v>5686991</v>
      </c>
      <c r="AE7" s="288">
        <v>201.18</v>
      </c>
      <c r="AF7" s="288">
        <v>51</v>
      </c>
      <c r="AG7" s="296">
        <f t="shared" ref="AG7:AG25" si="1">K7/$K$26</f>
        <v>9.5635920316539322E-3</v>
      </c>
    </row>
    <row r="8" spans="1:33" ht="15.4" x14ac:dyDescent="0.45">
      <c r="A8" s="262" t="s">
        <v>17</v>
      </c>
      <c r="B8" s="288">
        <v>344855987</v>
      </c>
      <c r="C8" s="288">
        <v>16872494</v>
      </c>
      <c r="D8" s="288">
        <v>22702592</v>
      </c>
      <c r="E8" s="288">
        <v>20315652</v>
      </c>
      <c r="F8" s="288">
        <v>179845830</v>
      </c>
      <c r="G8" s="288"/>
      <c r="H8" s="288"/>
      <c r="I8" s="288"/>
      <c r="J8" s="288">
        <v>24207561</v>
      </c>
      <c r="K8" s="288">
        <v>608800116</v>
      </c>
      <c r="L8" s="288">
        <v>598361475</v>
      </c>
      <c r="M8" s="288">
        <v>-238772418</v>
      </c>
      <c r="N8" s="288">
        <v>359589057</v>
      </c>
      <c r="O8" s="288">
        <v>282659979</v>
      </c>
      <c r="P8" s="288">
        <v>279026739</v>
      </c>
      <c r="Q8" s="288">
        <v>90726320</v>
      </c>
      <c r="R8" s="288">
        <v>2012291</v>
      </c>
      <c r="S8" s="288"/>
      <c r="T8" s="288">
        <v>-104216448</v>
      </c>
      <c r="U8" s="288">
        <v>194610972</v>
      </c>
      <c r="V8" s="288">
        <v>-4635065</v>
      </c>
      <c r="W8" s="288">
        <v>87295327</v>
      </c>
      <c r="X8" s="288">
        <v>109762502</v>
      </c>
      <c r="Y8" s="288">
        <v>1084445805</v>
      </c>
      <c r="Z8" s="288">
        <v>16401065</v>
      </c>
      <c r="AA8" s="288">
        <v>36886728</v>
      </c>
      <c r="AB8" s="288">
        <v>1247496100</v>
      </c>
      <c r="AC8" s="288">
        <v>904829645</v>
      </c>
      <c r="AD8" s="288">
        <v>57966119</v>
      </c>
      <c r="AE8" s="288">
        <v>131.97999999999999</v>
      </c>
      <c r="AF8" s="288">
        <v>30.88</v>
      </c>
      <c r="AG8" s="296">
        <f t="shared" si="1"/>
        <v>0.24222672823355401</v>
      </c>
    </row>
    <row r="9" spans="1:33" ht="15.4" x14ac:dyDescent="0.45">
      <c r="A9" s="262" t="s">
        <v>97</v>
      </c>
      <c r="B9" s="288">
        <v>121103</v>
      </c>
      <c r="C9" s="288">
        <v>5956</v>
      </c>
      <c r="D9" s="288"/>
      <c r="E9" s="288"/>
      <c r="F9" s="288">
        <v>1171467</v>
      </c>
      <c r="G9" s="288"/>
      <c r="H9" s="288"/>
      <c r="I9" s="288"/>
      <c r="J9" s="288">
        <v>4737136</v>
      </c>
      <c r="K9" s="288">
        <v>6035662</v>
      </c>
      <c r="L9" s="288">
        <v>5986839</v>
      </c>
      <c r="M9" s="288"/>
      <c r="N9" s="288">
        <v>5986839</v>
      </c>
      <c r="O9" s="288">
        <v>3622767</v>
      </c>
      <c r="P9" s="288">
        <v>3622767</v>
      </c>
      <c r="Q9" s="288">
        <v>4033302</v>
      </c>
      <c r="R9" s="288">
        <v>94052446</v>
      </c>
      <c r="S9" s="288"/>
      <c r="T9" s="288">
        <v>-2139542</v>
      </c>
      <c r="U9" s="288">
        <v>2373364</v>
      </c>
      <c r="V9" s="288">
        <v>0</v>
      </c>
      <c r="W9" s="288">
        <v>252125</v>
      </c>
      <c r="X9" s="288">
        <v>-384211</v>
      </c>
      <c r="Y9" s="288">
        <v>14690842</v>
      </c>
      <c r="Z9" s="288">
        <v>2339570</v>
      </c>
      <c r="AA9" s="288">
        <v>2369137</v>
      </c>
      <c r="AB9" s="288">
        <v>19015338</v>
      </c>
      <c r="AC9" s="288">
        <v>3385363</v>
      </c>
      <c r="AD9" s="288">
        <v>1202367</v>
      </c>
      <c r="AE9" s="288">
        <v>422.6</v>
      </c>
      <c r="AF9" s="288">
        <v>75.23</v>
      </c>
      <c r="AG9" s="296">
        <f t="shared" si="1"/>
        <v>2.4014428062027323E-3</v>
      </c>
    </row>
    <row r="10" spans="1:33" ht="15.4" x14ac:dyDescent="0.45">
      <c r="A10" s="262" t="s">
        <v>53</v>
      </c>
      <c r="B10" s="288"/>
      <c r="C10" s="288"/>
      <c r="D10" s="288">
        <v>5949856</v>
      </c>
      <c r="E10" s="288"/>
      <c r="F10" s="288"/>
      <c r="G10" s="288"/>
      <c r="H10" s="288"/>
      <c r="I10" s="288"/>
      <c r="J10" s="288"/>
      <c r="K10" s="288">
        <v>5949856</v>
      </c>
      <c r="L10" s="288">
        <v>4939779</v>
      </c>
      <c r="M10" s="288">
        <v>-1017228</v>
      </c>
      <c r="N10" s="288">
        <v>3922550</v>
      </c>
      <c r="O10" s="288">
        <v>204000</v>
      </c>
      <c r="P10" s="288">
        <v>163200</v>
      </c>
      <c r="Q10" s="288">
        <v>8497030</v>
      </c>
      <c r="R10" s="288">
        <v>470312</v>
      </c>
      <c r="S10" s="288"/>
      <c r="T10" s="288">
        <v>-5009025</v>
      </c>
      <c r="U10" s="288">
        <v>1797994</v>
      </c>
      <c r="V10" s="288">
        <v>0</v>
      </c>
      <c r="W10" s="288">
        <v>-3211030</v>
      </c>
      <c r="X10" s="288">
        <v>624159</v>
      </c>
      <c r="Y10" s="288">
        <v>14786354</v>
      </c>
      <c r="Z10" s="288">
        <v>6184366</v>
      </c>
      <c r="AA10" s="288">
        <v>3043050</v>
      </c>
      <c r="AB10" s="288">
        <v>24637929</v>
      </c>
      <c r="AC10" s="288">
        <v>5520005</v>
      </c>
      <c r="AD10" s="288">
        <v>7226779</v>
      </c>
      <c r="AE10" s="288">
        <v>279.18</v>
      </c>
      <c r="AF10" s="288">
        <v>177.51</v>
      </c>
      <c r="AG10" s="296">
        <f t="shared" si="1"/>
        <v>2.3673026901012955E-3</v>
      </c>
    </row>
    <row r="11" spans="1:33" ht="15.4" x14ac:dyDescent="0.45">
      <c r="A11" s="262" t="s">
        <v>18</v>
      </c>
      <c r="B11" s="288">
        <v>47011</v>
      </c>
      <c r="C11" s="288">
        <v>285106</v>
      </c>
      <c r="D11" s="288">
        <v>0</v>
      </c>
      <c r="E11" s="288">
        <v>550889</v>
      </c>
      <c r="F11" s="288">
        <v>15458671</v>
      </c>
      <c r="G11" s="288">
        <v>0</v>
      </c>
      <c r="H11" s="288">
        <v>0</v>
      </c>
      <c r="I11" s="288"/>
      <c r="J11" s="288">
        <v>419218</v>
      </c>
      <c r="K11" s="288">
        <v>16760895</v>
      </c>
      <c r="L11" s="288">
        <v>16758626</v>
      </c>
      <c r="M11" s="288">
        <v>-1675863</v>
      </c>
      <c r="N11" s="288">
        <v>15082763</v>
      </c>
      <c r="O11" s="288">
        <v>20276462</v>
      </c>
      <c r="P11" s="288">
        <v>20276462</v>
      </c>
      <c r="Q11" s="288">
        <v>7668014</v>
      </c>
      <c r="R11" s="288">
        <v>256321</v>
      </c>
      <c r="S11" s="288"/>
      <c r="T11" s="288">
        <v>-13907486</v>
      </c>
      <c r="U11" s="288">
        <v>598133</v>
      </c>
      <c r="V11" s="288">
        <v>0</v>
      </c>
      <c r="W11" s="288">
        <v>-13106602</v>
      </c>
      <c r="X11" s="288">
        <v>325256</v>
      </c>
      <c r="Y11" s="288">
        <v>32492669</v>
      </c>
      <c r="Z11" s="288">
        <v>1975719</v>
      </c>
      <c r="AA11" s="288">
        <v>18861447</v>
      </c>
      <c r="AB11" s="288">
        <v>53721911</v>
      </c>
      <c r="AC11" s="288">
        <v>32643071</v>
      </c>
      <c r="AD11" s="288">
        <v>9529060</v>
      </c>
      <c r="AE11" s="288">
        <v>100.54</v>
      </c>
      <c r="AF11" s="288">
        <v>52</v>
      </c>
      <c r="AG11" s="296">
        <f t="shared" si="1"/>
        <v>6.6687516171828956E-3</v>
      </c>
    </row>
    <row r="12" spans="1:33" ht="15.4" x14ac:dyDescent="0.45">
      <c r="A12" s="262" t="s">
        <v>19</v>
      </c>
      <c r="B12" s="288">
        <v>6345708</v>
      </c>
      <c r="C12" s="288">
        <v>5279833</v>
      </c>
      <c r="D12" s="288">
        <v>602655</v>
      </c>
      <c r="E12" s="288">
        <v>1775320</v>
      </c>
      <c r="F12" s="288"/>
      <c r="G12" s="288"/>
      <c r="H12" s="288"/>
      <c r="I12" s="288"/>
      <c r="J12" s="288"/>
      <c r="K12" s="288">
        <v>14003516</v>
      </c>
      <c r="L12" s="288">
        <v>10966490</v>
      </c>
      <c r="M12" s="288"/>
      <c r="N12" s="288">
        <v>10966490</v>
      </c>
      <c r="O12" s="288">
        <v>1722846</v>
      </c>
      <c r="P12" s="288">
        <v>1722846</v>
      </c>
      <c r="Q12" s="288">
        <v>6657894</v>
      </c>
      <c r="R12" s="288">
        <v>1045773</v>
      </c>
      <c r="S12" s="288"/>
      <c r="T12" s="288">
        <v>-3743171</v>
      </c>
      <c r="U12" s="288">
        <v>464006</v>
      </c>
      <c r="V12" s="288">
        <v>0</v>
      </c>
      <c r="W12" s="288">
        <v>-3272108</v>
      </c>
      <c r="X12" s="288">
        <v>1028814</v>
      </c>
      <c r="Y12" s="288">
        <v>12088617</v>
      </c>
      <c r="Z12" s="288">
        <v>117719</v>
      </c>
      <c r="AA12" s="288">
        <v>3411709</v>
      </c>
      <c r="AB12" s="288">
        <v>17281230</v>
      </c>
      <c r="AC12" s="288">
        <v>1644275</v>
      </c>
      <c r="AD12" s="288">
        <v>1794137</v>
      </c>
      <c r="AE12" s="288">
        <v>797.76</v>
      </c>
      <c r="AF12" s="288">
        <v>118.42</v>
      </c>
      <c r="AG12" s="296">
        <f t="shared" si="1"/>
        <v>5.5716577170399646E-3</v>
      </c>
    </row>
    <row r="13" spans="1:33" ht="15.4" x14ac:dyDescent="0.45">
      <c r="A13" s="262" t="s">
        <v>20</v>
      </c>
      <c r="B13" s="288">
        <v>113091207</v>
      </c>
      <c r="C13" s="288">
        <v>41519351</v>
      </c>
      <c r="D13" s="288">
        <v>290986</v>
      </c>
      <c r="E13" s="288">
        <v>7597633</v>
      </c>
      <c r="F13" s="288">
        <v>16675497</v>
      </c>
      <c r="G13" s="288">
        <v>335179</v>
      </c>
      <c r="H13" s="288"/>
      <c r="I13" s="288"/>
      <c r="J13" s="288"/>
      <c r="K13" s="288">
        <v>179509853</v>
      </c>
      <c r="L13" s="288">
        <v>177020794</v>
      </c>
      <c r="M13" s="288">
        <v>-27875920</v>
      </c>
      <c r="N13" s="288">
        <v>149144874</v>
      </c>
      <c r="O13" s="288">
        <v>108332373</v>
      </c>
      <c r="P13" s="288">
        <v>108332373</v>
      </c>
      <c r="Q13" s="288">
        <v>35913930</v>
      </c>
      <c r="R13" s="288">
        <v>1700257</v>
      </c>
      <c r="S13" s="288">
        <v>0</v>
      </c>
      <c r="T13" s="288">
        <v>-7886783</v>
      </c>
      <c r="U13" s="288">
        <v>10864581</v>
      </c>
      <c r="V13" s="288">
        <v>0</v>
      </c>
      <c r="W13" s="288">
        <v>4407855</v>
      </c>
      <c r="X13" s="288">
        <v>29922894</v>
      </c>
      <c r="Y13" s="288">
        <v>395077953</v>
      </c>
      <c r="Z13" s="288">
        <v>41832081</v>
      </c>
      <c r="AA13" s="288">
        <v>8151004</v>
      </c>
      <c r="AB13" s="288">
        <v>474983932</v>
      </c>
      <c r="AC13" s="288">
        <v>200046273</v>
      </c>
      <c r="AD13" s="288">
        <v>66988625</v>
      </c>
      <c r="AE13" s="288">
        <v>212.45</v>
      </c>
      <c r="AF13" s="288">
        <v>27.51</v>
      </c>
      <c r="AG13" s="296">
        <f t="shared" si="1"/>
        <v>7.1422595421904017E-2</v>
      </c>
    </row>
    <row r="14" spans="1:33" ht="15.4" x14ac:dyDescent="0.45">
      <c r="A14" s="262" t="s">
        <v>47</v>
      </c>
      <c r="B14" s="288">
        <v>1541078</v>
      </c>
      <c r="C14" s="288">
        <v>339909</v>
      </c>
      <c r="D14" s="288">
        <v>12338</v>
      </c>
      <c r="E14" s="288"/>
      <c r="F14" s="288">
        <v>430524</v>
      </c>
      <c r="G14" s="288"/>
      <c r="H14" s="288"/>
      <c r="I14" s="288"/>
      <c r="J14" s="288"/>
      <c r="K14" s="288">
        <v>2323848</v>
      </c>
      <c r="L14" s="288">
        <v>2215901</v>
      </c>
      <c r="M14" s="288">
        <v>-1220489</v>
      </c>
      <c r="N14" s="288">
        <v>995412</v>
      </c>
      <c r="O14" s="288">
        <v>1555765</v>
      </c>
      <c r="P14" s="288">
        <v>1555765</v>
      </c>
      <c r="Q14" s="288">
        <v>3471340</v>
      </c>
      <c r="R14" s="288">
        <v>12785354</v>
      </c>
      <c r="S14" s="288">
        <v>7708</v>
      </c>
      <c r="T14" s="288">
        <v>-4146941</v>
      </c>
      <c r="U14" s="288">
        <v>311826</v>
      </c>
      <c r="V14" s="288">
        <v>0</v>
      </c>
      <c r="W14" s="288">
        <v>-3702559</v>
      </c>
      <c r="X14" s="288">
        <v>9374429</v>
      </c>
      <c r="Y14" s="288">
        <v>47776963</v>
      </c>
      <c r="Z14" s="288">
        <v>5488882</v>
      </c>
      <c r="AA14" s="288">
        <v>13764445</v>
      </c>
      <c r="AB14" s="288">
        <v>77555681</v>
      </c>
      <c r="AC14" s="288">
        <v>18997633</v>
      </c>
      <c r="AD14" s="288">
        <v>4305249</v>
      </c>
      <c r="AE14" s="288">
        <v>300.83</v>
      </c>
      <c r="AF14" s="288">
        <v>162.19999999999999</v>
      </c>
      <c r="AG14" s="296">
        <f t="shared" si="1"/>
        <v>9.246024814359399E-4</v>
      </c>
    </row>
    <row r="15" spans="1:33" ht="15.4" x14ac:dyDescent="0.45">
      <c r="A15" s="262" t="s">
        <v>64</v>
      </c>
      <c r="B15" s="288">
        <v>4018754</v>
      </c>
      <c r="C15" s="288">
        <v>6608909</v>
      </c>
      <c r="D15" s="288"/>
      <c r="E15" s="288">
        <v>3140117</v>
      </c>
      <c r="F15" s="288">
        <v>6477505</v>
      </c>
      <c r="G15" s="288"/>
      <c r="H15" s="288"/>
      <c r="I15" s="288"/>
      <c r="J15" s="288">
        <v>630050</v>
      </c>
      <c r="K15" s="288">
        <v>20875335</v>
      </c>
      <c r="L15" s="288">
        <v>17914394</v>
      </c>
      <c r="M15" s="288">
        <v>-3648822</v>
      </c>
      <c r="N15" s="288">
        <v>14265571</v>
      </c>
      <c r="O15" s="288">
        <v>5161607</v>
      </c>
      <c r="P15" s="288">
        <v>5161607</v>
      </c>
      <c r="Q15" s="288">
        <v>12452516</v>
      </c>
      <c r="R15" s="288">
        <v>122956</v>
      </c>
      <c r="S15" s="288"/>
      <c r="T15" s="288">
        <v>-8535065</v>
      </c>
      <c r="U15" s="288">
        <v>3362159</v>
      </c>
      <c r="V15" s="288">
        <v>0</v>
      </c>
      <c r="W15" s="288">
        <v>-4774720</v>
      </c>
      <c r="X15" s="288">
        <v>5868515</v>
      </c>
      <c r="Y15" s="288">
        <v>62391055</v>
      </c>
      <c r="Z15" s="288">
        <v>7059221</v>
      </c>
      <c r="AA15" s="288">
        <v>1953494</v>
      </c>
      <c r="AB15" s="288">
        <v>77272285</v>
      </c>
      <c r="AC15" s="288">
        <v>6782692</v>
      </c>
      <c r="AD15" s="288">
        <v>13016014</v>
      </c>
      <c r="AE15" s="288">
        <v>1006.38</v>
      </c>
      <c r="AF15" s="288">
        <v>98.46</v>
      </c>
      <c r="AG15" s="296">
        <f t="shared" si="1"/>
        <v>8.3057870143858487E-3</v>
      </c>
    </row>
    <row r="16" spans="1:33" ht="15.4" x14ac:dyDescent="0.45">
      <c r="A16" s="262" t="s">
        <v>21</v>
      </c>
      <c r="B16" s="288">
        <v>40385339</v>
      </c>
      <c r="C16" s="288">
        <v>11621277</v>
      </c>
      <c r="D16" s="288"/>
      <c r="E16" s="288">
        <v>3321740</v>
      </c>
      <c r="F16" s="288">
        <v>6974965</v>
      </c>
      <c r="G16" s="288"/>
      <c r="H16" s="288"/>
      <c r="I16" s="288"/>
      <c r="J16" s="288">
        <v>54837152</v>
      </c>
      <c r="K16" s="288">
        <v>117140473</v>
      </c>
      <c r="L16" s="288">
        <v>113747821</v>
      </c>
      <c r="M16" s="288">
        <v>-32265168</v>
      </c>
      <c r="N16" s="288">
        <v>81482653</v>
      </c>
      <c r="O16" s="288">
        <v>37688892</v>
      </c>
      <c r="P16" s="288">
        <v>37330968</v>
      </c>
      <c r="Q16" s="288">
        <v>14168147</v>
      </c>
      <c r="R16" s="288">
        <v>5186514</v>
      </c>
      <c r="S16" s="288">
        <v>801606</v>
      </c>
      <c r="T16" s="288">
        <v>-25981842</v>
      </c>
      <c r="U16" s="288">
        <v>47814175</v>
      </c>
      <c r="V16" s="288">
        <v>3503554</v>
      </c>
      <c r="W16" s="288">
        <v>21371169</v>
      </c>
      <c r="X16" s="288">
        <v>14916747</v>
      </c>
      <c r="Y16" s="288">
        <v>241698198</v>
      </c>
      <c r="Z16" s="288">
        <v>15056200</v>
      </c>
      <c r="AA16" s="288">
        <v>3380473</v>
      </c>
      <c r="AB16" s="288">
        <v>275299395</v>
      </c>
      <c r="AC16" s="288">
        <v>177891540</v>
      </c>
      <c r="AD16" s="288">
        <v>15568361</v>
      </c>
      <c r="AE16" s="288">
        <v>144.25</v>
      </c>
      <c r="AF16" s="288">
        <v>62.36</v>
      </c>
      <c r="AG16" s="296">
        <f t="shared" si="1"/>
        <v>4.6607339211678096E-2</v>
      </c>
    </row>
    <row r="17" spans="1:33" ht="15.4" x14ac:dyDescent="0.45">
      <c r="A17" s="262" t="s">
        <v>91</v>
      </c>
      <c r="B17" s="288">
        <v>42895530</v>
      </c>
      <c r="C17" s="288">
        <v>3763618</v>
      </c>
      <c r="D17" s="288">
        <v>39104839</v>
      </c>
      <c r="E17" s="288">
        <v>1793417</v>
      </c>
      <c r="F17" s="288">
        <v>46744222</v>
      </c>
      <c r="G17" s="288"/>
      <c r="H17" s="288"/>
      <c r="I17" s="288"/>
      <c r="J17" s="288"/>
      <c r="K17" s="288">
        <v>134301626</v>
      </c>
      <c r="L17" s="288">
        <v>132534219</v>
      </c>
      <c r="M17" s="288">
        <v>-37874986</v>
      </c>
      <c r="N17" s="288">
        <v>94659232</v>
      </c>
      <c r="O17" s="288">
        <v>40810525</v>
      </c>
      <c r="P17" s="288">
        <v>40790106</v>
      </c>
      <c r="Q17" s="288">
        <v>29532933</v>
      </c>
      <c r="R17" s="288">
        <v>52788635</v>
      </c>
      <c r="S17" s="288">
        <v>286688</v>
      </c>
      <c r="T17" s="288">
        <v>6118687</v>
      </c>
      <c r="U17" s="288">
        <v>11091255</v>
      </c>
      <c r="V17" s="288">
        <v>0</v>
      </c>
      <c r="W17" s="288">
        <v>17787213</v>
      </c>
      <c r="X17" s="288">
        <v>13908788</v>
      </c>
      <c r="Y17" s="288">
        <v>113039460</v>
      </c>
      <c r="Z17" s="288">
        <v>20485183</v>
      </c>
      <c r="AA17" s="288">
        <v>18908061</v>
      </c>
      <c r="AB17" s="288">
        <v>166341491</v>
      </c>
      <c r="AC17" s="288">
        <v>91600044</v>
      </c>
      <c r="AD17" s="288">
        <v>10636754</v>
      </c>
      <c r="AE17" s="288">
        <v>138.59</v>
      </c>
      <c r="AF17" s="288">
        <v>36.25</v>
      </c>
      <c r="AG17" s="296">
        <f t="shared" si="1"/>
        <v>5.3435343731811004E-2</v>
      </c>
    </row>
    <row r="18" spans="1:33" ht="15.4" x14ac:dyDescent="0.45">
      <c r="A18" s="262" t="s">
        <v>22</v>
      </c>
      <c r="B18" s="288">
        <v>55741000</v>
      </c>
      <c r="C18" s="288">
        <v>20243460</v>
      </c>
      <c r="D18" s="288">
        <v>34039</v>
      </c>
      <c r="E18" s="288">
        <v>3023420</v>
      </c>
      <c r="F18" s="288">
        <v>10413445</v>
      </c>
      <c r="G18" s="288">
        <v>0</v>
      </c>
      <c r="H18" s="288">
        <v>597030</v>
      </c>
      <c r="I18" s="288">
        <v>220507</v>
      </c>
      <c r="J18" s="288">
        <v>13557544</v>
      </c>
      <c r="K18" s="288">
        <v>103768632</v>
      </c>
      <c r="L18" s="288">
        <v>93777056</v>
      </c>
      <c r="M18" s="288"/>
      <c r="N18" s="288">
        <v>93777056</v>
      </c>
      <c r="O18" s="288">
        <v>118259230</v>
      </c>
      <c r="P18" s="288">
        <v>116446000</v>
      </c>
      <c r="Q18" s="288">
        <v>26244957</v>
      </c>
      <c r="R18" s="288">
        <v>18504195</v>
      </c>
      <c r="S18" s="288">
        <v>20882959</v>
      </c>
      <c r="T18" s="288">
        <v>-37520140</v>
      </c>
      <c r="U18" s="288">
        <v>57166012</v>
      </c>
      <c r="V18" s="288">
        <v>273276</v>
      </c>
      <c r="W18" s="288">
        <v>15988872</v>
      </c>
      <c r="X18" s="288">
        <v>11652185</v>
      </c>
      <c r="Y18" s="288">
        <v>359308646</v>
      </c>
      <c r="Z18" s="288">
        <v>12216986</v>
      </c>
      <c r="AA18" s="288">
        <v>6546108</v>
      </c>
      <c r="AB18" s="288">
        <v>389723925</v>
      </c>
      <c r="AC18" s="288">
        <v>276372000</v>
      </c>
      <c r="AD18" s="288">
        <v>24699031</v>
      </c>
      <c r="AE18" s="288">
        <v>134.22999999999999</v>
      </c>
      <c r="AF18" s="288">
        <v>38.11</v>
      </c>
      <c r="AG18" s="296">
        <f t="shared" si="1"/>
        <v>4.1287009581699355E-2</v>
      </c>
    </row>
    <row r="19" spans="1:33" ht="15.4" x14ac:dyDescent="0.45">
      <c r="A19" s="262" t="s">
        <v>23</v>
      </c>
      <c r="B19" s="307">
        <v>39168601</v>
      </c>
      <c r="C19" s="307">
        <v>735859</v>
      </c>
      <c r="D19" s="307">
        <v>558089</v>
      </c>
      <c r="E19" s="307">
        <v>711521</v>
      </c>
      <c r="F19" s="307"/>
      <c r="G19" s="307"/>
      <c r="H19" s="288"/>
      <c r="I19" s="288"/>
      <c r="J19" s="288"/>
      <c r="K19" s="288">
        <f>2005469+39168601</f>
        <v>41174070</v>
      </c>
      <c r="L19" s="288">
        <v>40887188.549999997</v>
      </c>
      <c r="M19" s="288">
        <v>-1160389</v>
      </c>
      <c r="N19" s="288">
        <v>39726799.549999997</v>
      </c>
      <c r="O19" s="288">
        <v>29239485.079999998</v>
      </c>
      <c r="P19" s="288">
        <v>29185878.079999998</v>
      </c>
      <c r="Q19" s="288">
        <v>11824377</v>
      </c>
      <c r="R19" s="288">
        <v>2695239.34</v>
      </c>
      <c r="S19" s="288">
        <v>0</v>
      </c>
      <c r="T19" s="288">
        <v>-3978694.87</v>
      </c>
      <c r="U19" s="288">
        <v>3628804.65</v>
      </c>
      <c r="V19" s="288">
        <v>0</v>
      </c>
      <c r="W19" s="288">
        <v>-349890.22</v>
      </c>
      <c r="X19" s="288">
        <v>52785059</v>
      </c>
      <c r="Y19" s="288">
        <v>30630413.739999998</v>
      </c>
      <c r="Z19" s="288">
        <v>8232198.8799999999</v>
      </c>
      <c r="AA19" s="288">
        <v>256948</v>
      </c>
      <c r="AB19" s="288">
        <v>93737351.739999995</v>
      </c>
      <c r="AC19" s="288">
        <v>16636116</v>
      </c>
      <c r="AD19" s="288">
        <v>4593955</v>
      </c>
      <c r="AE19" s="288">
        <v>501.41</v>
      </c>
      <c r="AF19" s="288">
        <v>35.51</v>
      </c>
      <c r="AG19" s="296">
        <f t="shared" si="1"/>
        <v>1.6382158941900284E-2</v>
      </c>
    </row>
    <row r="20" spans="1:33" ht="15.4" x14ac:dyDescent="0.45">
      <c r="A20" s="262" t="s">
        <v>24</v>
      </c>
      <c r="B20" s="288">
        <v>95092748</v>
      </c>
      <c r="C20" s="288">
        <v>13663816</v>
      </c>
      <c r="D20" s="288">
        <v>20879583</v>
      </c>
      <c r="E20" s="288">
        <v>8442558</v>
      </c>
      <c r="F20" s="288">
        <v>80175243</v>
      </c>
      <c r="G20" s="288"/>
      <c r="H20" s="288"/>
      <c r="I20" s="288"/>
      <c r="J20" s="288">
        <v>5154069</v>
      </c>
      <c r="K20" s="288">
        <v>223408017</v>
      </c>
      <c r="L20" s="288">
        <v>218784483</v>
      </c>
      <c r="M20" s="288">
        <v>-92631887</v>
      </c>
      <c r="N20" s="288">
        <v>126152596</v>
      </c>
      <c r="O20" s="288">
        <v>59617594</v>
      </c>
      <c r="P20" s="288">
        <v>59617594</v>
      </c>
      <c r="Q20" s="288">
        <v>59731503</v>
      </c>
      <c r="R20" s="288"/>
      <c r="S20" s="288">
        <v>977800</v>
      </c>
      <c r="T20" s="288">
        <v>-34419119</v>
      </c>
      <c r="U20" s="288">
        <v>45553438</v>
      </c>
      <c r="V20" s="288">
        <v>0</v>
      </c>
      <c r="W20" s="288">
        <v>11618842</v>
      </c>
      <c r="X20" s="288">
        <v>48171242</v>
      </c>
      <c r="Y20" s="288">
        <v>302685231</v>
      </c>
      <c r="Z20" s="288">
        <v>3798610</v>
      </c>
      <c r="AA20" s="288">
        <v>12590741</v>
      </c>
      <c r="AB20" s="288">
        <v>383688324</v>
      </c>
      <c r="AC20" s="288">
        <v>258738994</v>
      </c>
      <c r="AD20" s="288">
        <v>41967207</v>
      </c>
      <c r="AE20" s="288">
        <v>135.6</v>
      </c>
      <c r="AF20" s="288">
        <v>46.59</v>
      </c>
      <c r="AG20" s="296">
        <f t="shared" si="1"/>
        <v>8.8888604973682714E-2</v>
      </c>
    </row>
    <row r="21" spans="1:33" ht="15.4" x14ac:dyDescent="0.45">
      <c r="A21" s="262" t="s">
        <v>25</v>
      </c>
      <c r="B21" s="288">
        <v>13959731</v>
      </c>
      <c r="C21" s="288">
        <v>579244</v>
      </c>
      <c r="D21" s="288">
        <v>0</v>
      </c>
      <c r="E21" s="288">
        <v>1437862</v>
      </c>
      <c r="F21" s="288">
        <v>1052864</v>
      </c>
      <c r="G21" s="288">
        <v>0</v>
      </c>
      <c r="H21" s="288">
        <v>0</v>
      </c>
      <c r="I21" s="288"/>
      <c r="J21" s="288">
        <v>10037958</v>
      </c>
      <c r="K21" s="288">
        <v>27067659</v>
      </c>
      <c r="L21" s="288">
        <v>26957699</v>
      </c>
      <c r="M21" s="288">
        <v>-10783080</v>
      </c>
      <c r="N21" s="288">
        <v>16174619</v>
      </c>
      <c r="O21" s="288">
        <v>18031106</v>
      </c>
      <c r="P21" s="288">
        <v>18031106</v>
      </c>
      <c r="Q21" s="288">
        <v>8295918</v>
      </c>
      <c r="R21" s="288">
        <v>42200418</v>
      </c>
      <c r="S21" s="288"/>
      <c r="T21" s="288">
        <v>-10890536</v>
      </c>
      <c r="U21" s="288">
        <v>8025317</v>
      </c>
      <c r="V21" s="288">
        <v>0</v>
      </c>
      <c r="W21" s="288">
        <v>-1736296</v>
      </c>
      <c r="X21" s="288">
        <v>40020225</v>
      </c>
      <c r="Y21" s="288">
        <v>68879683</v>
      </c>
      <c r="Z21" s="288">
        <v>3594312</v>
      </c>
      <c r="AA21" s="288">
        <v>4769979</v>
      </c>
      <c r="AB21" s="288">
        <v>117293590</v>
      </c>
      <c r="AC21" s="288">
        <v>62428656</v>
      </c>
      <c r="AD21" s="288">
        <v>1380821</v>
      </c>
      <c r="AE21" s="288">
        <v>174.44</v>
      </c>
      <c r="AF21" s="288">
        <v>33.51</v>
      </c>
      <c r="AG21" s="296">
        <f t="shared" si="1"/>
        <v>1.0769561812158907E-2</v>
      </c>
    </row>
    <row r="22" spans="1:33" ht="15.4" x14ac:dyDescent="0.45">
      <c r="A22" s="262" t="s">
        <v>26</v>
      </c>
      <c r="B22" s="288">
        <v>3018225</v>
      </c>
      <c r="C22" s="288">
        <v>5939537</v>
      </c>
      <c r="D22" s="288">
        <v>243922</v>
      </c>
      <c r="E22" s="288">
        <v>21565736</v>
      </c>
      <c r="F22" s="288">
        <v>2695534</v>
      </c>
      <c r="G22" s="288"/>
      <c r="H22" s="288"/>
      <c r="I22" s="288"/>
      <c r="J22" s="288"/>
      <c r="K22" s="288">
        <v>33462954</v>
      </c>
      <c r="L22" s="288">
        <v>20338646</v>
      </c>
      <c r="M22" s="288">
        <v>-780718</v>
      </c>
      <c r="N22" s="288">
        <v>19557928</v>
      </c>
      <c r="O22" s="288">
        <v>8767530</v>
      </c>
      <c r="P22" s="288">
        <v>8274210</v>
      </c>
      <c r="Q22" s="288">
        <v>7488907</v>
      </c>
      <c r="R22" s="288">
        <v>658091</v>
      </c>
      <c r="S22" s="288">
        <v>0</v>
      </c>
      <c r="T22" s="288">
        <v>-1996588</v>
      </c>
      <c r="U22" s="288">
        <v>2320516</v>
      </c>
      <c r="V22" s="288">
        <v>0</v>
      </c>
      <c r="W22" s="288">
        <v>1122939</v>
      </c>
      <c r="X22" s="288">
        <v>862036</v>
      </c>
      <c r="Y22" s="288">
        <v>57555949</v>
      </c>
      <c r="Z22" s="288">
        <v>709582</v>
      </c>
      <c r="AA22" s="288">
        <v>574039</v>
      </c>
      <c r="AB22" s="288">
        <v>62438678</v>
      </c>
      <c r="AC22" s="288">
        <v>5570405</v>
      </c>
      <c r="AD22" s="288">
        <v>4581765</v>
      </c>
      <c r="AE22" s="288">
        <v>1048.72</v>
      </c>
      <c r="AF22" s="288">
        <v>65.3</v>
      </c>
      <c r="AG22" s="296">
        <f t="shared" si="1"/>
        <v>1.3314093823940597E-2</v>
      </c>
    </row>
    <row r="23" spans="1:33" ht="15.4" x14ac:dyDescent="0.45">
      <c r="A23" s="262" t="s">
        <v>27</v>
      </c>
      <c r="B23" s="288">
        <v>421683454</v>
      </c>
      <c r="C23" s="288">
        <v>16478587</v>
      </c>
      <c r="D23" s="288">
        <v>297626</v>
      </c>
      <c r="E23" s="288">
        <v>5783027</v>
      </c>
      <c r="F23" s="288">
        <v>31790653</v>
      </c>
      <c r="G23" s="288"/>
      <c r="H23" s="288"/>
      <c r="I23" s="288"/>
      <c r="J23" s="288"/>
      <c r="K23" s="288">
        <v>476033348</v>
      </c>
      <c r="L23" s="288">
        <v>474822342</v>
      </c>
      <c r="M23" s="288">
        <v>-106214614</v>
      </c>
      <c r="N23" s="288">
        <v>368607728</v>
      </c>
      <c r="O23" s="288">
        <v>337590439</v>
      </c>
      <c r="P23" s="288">
        <v>336890733</v>
      </c>
      <c r="Q23" s="288">
        <v>87671706</v>
      </c>
      <c r="R23" s="288">
        <v>5791399</v>
      </c>
      <c r="S23" s="288">
        <v>412689</v>
      </c>
      <c r="T23" s="288">
        <v>-80650854</v>
      </c>
      <c r="U23" s="288">
        <v>79062571</v>
      </c>
      <c r="V23" s="288">
        <v>869916</v>
      </c>
      <c r="W23" s="288">
        <v>1549019</v>
      </c>
      <c r="X23" s="288">
        <v>27210980</v>
      </c>
      <c r="Y23" s="288">
        <v>773675885</v>
      </c>
      <c r="Z23" s="288">
        <v>73789614</v>
      </c>
      <c r="AA23" s="288">
        <v>46539766</v>
      </c>
      <c r="AB23" s="288">
        <v>921216244</v>
      </c>
      <c r="AC23" s="288">
        <v>704343541</v>
      </c>
      <c r="AD23" s="288">
        <v>18873297</v>
      </c>
      <c r="AE23" s="288">
        <v>113.71</v>
      </c>
      <c r="AF23" s="288">
        <v>23.75</v>
      </c>
      <c r="AG23" s="296">
        <f t="shared" si="1"/>
        <v>0.18940206709176258</v>
      </c>
    </row>
    <row r="24" spans="1:33" ht="15.4" x14ac:dyDescent="0.45">
      <c r="A24" s="262" t="s">
        <v>28</v>
      </c>
      <c r="B24" s="289">
        <v>22582205</v>
      </c>
      <c r="C24" s="289">
        <v>8626601</v>
      </c>
      <c r="D24" s="289">
        <v>68890571</v>
      </c>
      <c r="E24" s="289">
        <v>4140379</v>
      </c>
      <c r="F24" s="289">
        <v>307558437</v>
      </c>
      <c r="G24" s="289"/>
      <c r="H24" s="289"/>
      <c r="I24" s="289"/>
      <c r="J24" s="289"/>
      <c r="K24" s="288">
        <v>411798193</v>
      </c>
      <c r="L24" s="288">
        <v>409264359</v>
      </c>
      <c r="M24" s="288">
        <v>-158854410</v>
      </c>
      <c r="N24" s="288">
        <v>250409949</v>
      </c>
      <c r="O24" s="288">
        <v>192921896</v>
      </c>
      <c r="P24" s="288">
        <v>192921896</v>
      </c>
      <c r="Q24" s="288">
        <v>56115287</v>
      </c>
      <c r="R24" s="288">
        <v>25108831</v>
      </c>
      <c r="S24" s="288">
        <v>682643</v>
      </c>
      <c r="T24" s="288">
        <v>-48684003</v>
      </c>
      <c r="U24" s="288">
        <v>97583451</v>
      </c>
      <c r="V24" s="288">
        <v>16098</v>
      </c>
      <c r="W24" s="288">
        <v>40827635</v>
      </c>
      <c r="X24" s="288">
        <v>37531315</v>
      </c>
      <c r="Y24" s="288">
        <v>938025962</v>
      </c>
      <c r="Z24" s="288">
        <v>71279817</v>
      </c>
      <c r="AA24" s="288">
        <v>59213190</v>
      </c>
      <c r="AB24" s="288">
        <v>1106280323</v>
      </c>
      <c r="AC24" s="288">
        <v>771263170</v>
      </c>
      <c r="AD24" s="288">
        <v>63000592</v>
      </c>
      <c r="AE24" s="288">
        <v>126.49</v>
      </c>
      <c r="AF24" s="288">
        <v>26.11</v>
      </c>
      <c r="AG24" s="296">
        <f t="shared" si="1"/>
        <v>0.16384446448246015</v>
      </c>
    </row>
    <row r="25" spans="1:33" ht="15.4" x14ac:dyDescent="0.45">
      <c r="A25" s="262" t="s">
        <v>31</v>
      </c>
      <c r="B25" s="308">
        <v>1823422</v>
      </c>
      <c r="C25" s="308">
        <v>13147947</v>
      </c>
      <c r="D25" s="308">
        <v>462929</v>
      </c>
      <c r="E25" s="308">
        <v>219045</v>
      </c>
      <c r="F25" s="308">
        <v>1508814</v>
      </c>
      <c r="G25" s="308"/>
      <c r="H25" s="308"/>
      <c r="I25" s="308"/>
      <c r="J25" s="308">
        <v>48489</v>
      </c>
      <c r="K25" s="289">
        <v>17210646</v>
      </c>
      <c r="L25" s="289">
        <v>12219636</v>
      </c>
      <c r="M25" s="289">
        <v>-952970</v>
      </c>
      <c r="N25" s="289">
        <v>11266666</v>
      </c>
      <c r="O25" s="289">
        <v>7169583</v>
      </c>
      <c r="P25" s="289">
        <v>6641843</v>
      </c>
      <c r="Q25" s="289">
        <v>7335892</v>
      </c>
      <c r="R25" s="289">
        <v>50739412</v>
      </c>
      <c r="S25" s="289">
        <v>1169693</v>
      </c>
      <c r="T25" s="289">
        <v>-3564734</v>
      </c>
      <c r="U25" s="289">
        <v>402458</v>
      </c>
      <c r="V25" s="289">
        <v>0</v>
      </c>
      <c r="W25" s="289">
        <v>-3319041</v>
      </c>
      <c r="X25" s="289">
        <v>1063268</v>
      </c>
      <c r="Y25" s="289">
        <v>20857190</v>
      </c>
      <c r="Z25" s="289">
        <v>8821251</v>
      </c>
      <c r="AA25" s="289">
        <v>2754597</v>
      </c>
      <c r="AB25" s="289">
        <v>33496306</v>
      </c>
      <c r="AC25" s="289">
        <v>11677401</v>
      </c>
      <c r="AD25" s="289">
        <v>4317669</v>
      </c>
      <c r="AE25" s="289">
        <v>187.72</v>
      </c>
      <c r="AF25" s="289">
        <v>76.59</v>
      </c>
      <c r="AG25" s="297">
        <f t="shared" si="1"/>
        <v>6.8476965785694817E-3</v>
      </c>
    </row>
    <row r="26" spans="1:33" s="137" customFormat="1" ht="15.4" x14ac:dyDescent="0.45">
      <c r="A26" s="301" t="s">
        <v>67</v>
      </c>
      <c r="B26" s="302">
        <f>SUM(B6:B25)</f>
        <v>1235909786</v>
      </c>
      <c r="C26" s="303">
        <f t="shared" ref="C26:O26" si="2">SUM(C6:C25)</f>
        <v>173967079</v>
      </c>
      <c r="D26" s="303">
        <f t="shared" si="2"/>
        <v>161167555</v>
      </c>
      <c r="E26" s="303">
        <f t="shared" si="2"/>
        <v>88658914</v>
      </c>
      <c r="F26" s="303">
        <f t="shared" si="2"/>
        <v>715893852</v>
      </c>
      <c r="G26" s="303">
        <f t="shared" si="2"/>
        <v>335179</v>
      </c>
      <c r="H26" s="303">
        <f t="shared" si="2"/>
        <v>597030</v>
      </c>
      <c r="I26" s="303">
        <f t="shared" si="2"/>
        <v>220507</v>
      </c>
      <c r="J26" s="303">
        <f t="shared" si="2"/>
        <v>136660130</v>
      </c>
      <c r="K26" s="303">
        <f t="shared" si="2"/>
        <v>2513348219</v>
      </c>
      <c r="L26" s="303">
        <f t="shared" si="2"/>
        <v>2448409114.5500002</v>
      </c>
      <c r="M26" s="304">
        <f t="shared" si="2"/>
        <v>-733364987</v>
      </c>
      <c r="N26" s="303">
        <f t="shared" si="2"/>
        <v>1715044124.55</v>
      </c>
      <c r="O26" s="303">
        <f t="shared" si="2"/>
        <v>1292228127.0799999</v>
      </c>
      <c r="P26" s="305">
        <f t="shared" ref="P26:AD26" si="3">SUM(P6:P25)</f>
        <v>1284581636.0799999</v>
      </c>
      <c r="Q26" s="305">
        <f t="shared" si="3"/>
        <v>512313779</v>
      </c>
      <c r="R26" s="305">
        <v>2023358</v>
      </c>
      <c r="S26" s="305">
        <f t="shared" si="3"/>
        <v>25286024</v>
      </c>
      <c r="T26" s="305">
        <f t="shared" si="3"/>
        <v>-412200348.87</v>
      </c>
      <c r="U26" s="305">
        <f t="shared" si="3"/>
        <v>581682148.64999998</v>
      </c>
      <c r="V26" s="305">
        <f t="shared" si="3"/>
        <v>28659</v>
      </c>
      <c r="W26" s="305">
        <f t="shared" si="3"/>
        <v>162857001.78</v>
      </c>
      <c r="X26" s="305">
        <f t="shared" si="3"/>
        <v>411676390</v>
      </c>
      <c r="Y26" s="305">
        <f t="shared" si="3"/>
        <v>4775052024.7399998</v>
      </c>
      <c r="Z26" s="305">
        <f t="shared" si="3"/>
        <v>306889426.88</v>
      </c>
      <c r="AA26" s="305">
        <f t="shared" si="3"/>
        <v>253649221</v>
      </c>
      <c r="AB26" s="305">
        <f>SUM(AB6:AB25)</f>
        <v>5775572298.7399998</v>
      </c>
      <c r="AC26" s="305">
        <f t="shared" si="3"/>
        <v>3645145247</v>
      </c>
      <c r="AD26" s="305">
        <f t="shared" si="3"/>
        <v>374968265</v>
      </c>
      <c r="AE26" s="306">
        <f>AVERAGE(AE6:AE25)</f>
        <v>321.267</v>
      </c>
      <c r="AF26" s="306">
        <f>AVERAGE(AF6:AF25)</f>
        <v>66.497499999999974</v>
      </c>
      <c r="AG26" s="298">
        <f>SUM(AG6:AG25)</f>
        <v>0.99999999999999989</v>
      </c>
    </row>
    <row r="27" spans="1:33" x14ac:dyDescent="0.45">
      <c r="N27" s="309"/>
      <c r="O27" s="309"/>
    </row>
  </sheetData>
  <mergeCells count="1">
    <mergeCell ref="B1:AG1"/>
  </mergeCells>
  <dataValidations count="1">
    <dataValidation type="list" allowBlank="1" showInputMessage="1" showErrorMessage="1" sqref="A3" xr:uid="{00000000-0002-0000-2600-000000000000}">
      <formula1>$A$6:$A$26</formula1>
    </dataValidation>
  </dataValidations>
  <pageMargins left="0.7" right="0.7" top="0.75" bottom="0.75" header="0.3" footer="0.3"/>
  <pageSetup orientation="portrait" r:id="rId1"/>
  <customProperties>
    <customPr name="LastActive" r:id="rId2"/>
  </customProperties>
  <legacyDrawing r:id="rId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tabColor theme="3" tint="0.39997558519241921"/>
  </sheetPr>
  <dimension ref="A1:AG26"/>
  <sheetViews>
    <sheetView topLeftCell="I1" zoomScale="70" zoomScaleNormal="70" workbookViewId="0">
      <selection activeCell="B22" sqref="B22"/>
    </sheetView>
  </sheetViews>
  <sheetFormatPr defaultRowHeight="14.25" x14ac:dyDescent="0.45"/>
  <cols>
    <col min="1" max="1" width="49.265625" bestFit="1" customWidth="1"/>
    <col min="2" max="2" width="38.73046875" style="326" bestFit="1" customWidth="1"/>
    <col min="3" max="3" width="14.265625" style="326" bestFit="1" customWidth="1"/>
    <col min="4" max="4" width="14.3984375" style="326" bestFit="1" customWidth="1"/>
    <col min="5" max="5" width="14" style="326" bestFit="1" customWidth="1"/>
    <col min="6" max="6" width="27.73046875" style="326" bestFit="1" customWidth="1"/>
    <col min="7" max="7" width="18.73046875" style="326" bestFit="1" customWidth="1"/>
    <col min="8" max="8" width="13" style="326" bestFit="1" customWidth="1"/>
    <col min="9" max="9" width="46.73046875" style="326" customWidth="1"/>
    <col min="10" max="10" width="26" style="326" bestFit="1" customWidth="1"/>
    <col min="11" max="11" width="20.3984375" style="326" bestFit="1" customWidth="1"/>
    <col min="12" max="12" width="21.265625" style="326" bestFit="1" customWidth="1"/>
    <col min="13" max="13" width="33.3984375" style="326" bestFit="1" customWidth="1"/>
    <col min="14" max="14" width="15.265625" style="326" bestFit="1" customWidth="1"/>
    <col min="15" max="15" width="31.265625" style="326" bestFit="1" customWidth="1"/>
    <col min="16" max="16" width="34.73046875" style="326" bestFit="1" customWidth="1"/>
    <col min="17" max="17" width="28.73046875" style="326" bestFit="1" customWidth="1"/>
    <col min="18" max="18" width="21.3984375" style="326" bestFit="1" customWidth="1"/>
    <col min="19" max="19" width="24.73046875" style="326" bestFit="1" customWidth="1"/>
    <col min="20" max="20" width="26.73046875" style="326" bestFit="1" customWidth="1"/>
    <col min="21" max="21" width="23.73046875" style="326" bestFit="1" customWidth="1"/>
    <col min="22" max="22" width="17.73046875" style="326" bestFit="1" customWidth="1"/>
    <col min="23" max="23" width="18.73046875" style="326" bestFit="1" customWidth="1"/>
    <col min="24" max="24" width="18.265625" style="326" bestFit="1" customWidth="1"/>
    <col min="25" max="25" width="19.265625" style="326" bestFit="1" customWidth="1"/>
    <col min="26" max="26" width="16.73046875" style="326" bestFit="1" customWidth="1"/>
    <col min="27" max="27" width="17.265625" style="326" bestFit="1" customWidth="1"/>
    <col min="28" max="28" width="19.3984375" style="326" bestFit="1" customWidth="1"/>
    <col min="29" max="29" width="23.3984375" style="326" bestFit="1" customWidth="1"/>
    <col min="30" max="30" width="17.73046875" style="326" bestFit="1" customWidth="1"/>
    <col min="31" max="31" width="32.73046875" style="326" bestFit="1" customWidth="1"/>
    <col min="32" max="32" width="25.265625" style="326" bestFit="1" customWidth="1"/>
    <col min="33" max="33" width="19.3984375" style="326" bestFit="1" customWidth="1"/>
  </cols>
  <sheetData>
    <row r="1" spans="1:33" ht="21" x14ac:dyDescent="0.6">
      <c r="A1" s="267" t="s">
        <v>137</v>
      </c>
      <c r="B1" s="392" t="s">
        <v>99</v>
      </c>
      <c r="C1" s="392"/>
      <c r="D1" s="392"/>
      <c r="E1" s="392"/>
      <c r="F1" s="392"/>
      <c r="G1" s="392"/>
      <c r="H1" s="392"/>
      <c r="I1" s="392"/>
      <c r="J1" s="392"/>
      <c r="K1" s="392"/>
      <c r="L1" s="392"/>
      <c r="M1" s="392"/>
      <c r="N1" s="392"/>
      <c r="O1" s="392"/>
      <c r="P1" s="392"/>
      <c r="Q1" s="392"/>
      <c r="R1" s="392"/>
      <c r="S1" s="392"/>
      <c r="T1" s="392"/>
      <c r="U1" s="392"/>
      <c r="V1" s="392"/>
      <c r="W1" s="392"/>
      <c r="X1" s="392"/>
      <c r="Y1" s="392"/>
      <c r="Z1" s="392"/>
      <c r="AA1" s="392"/>
      <c r="AB1" s="392"/>
      <c r="AC1" s="392"/>
      <c r="AD1" s="392"/>
      <c r="AE1" s="392"/>
      <c r="AF1" s="392"/>
      <c r="AG1" s="392"/>
    </row>
    <row r="2" spans="1:33" ht="27" customHeight="1" x14ac:dyDescent="0.45">
      <c r="A2" s="268"/>
      <c r="B2" s="310" t="s">
        <v>108</v>
      </c>
      <c r="C2" s="310" t="s">
        <v>109</v>
      </c>
      <c r="D2" s="310" t="s">
        <v>110</v>
      </c>
      <c r="E2" s="310" t="s">
        <v>111</v>
      </c>
      <c r="F2" s="310" t="s">
        <v>112</v>
      </c>
      <c r="G2" s="310" t="s">
        <v>113</v>
      </c>
      <c r="H2" s="310" t="s">
        <v>114</v>
      </c>
      <c r="I2" s="310" t="s">
        <v>115</v>
      </c>
      <c r="J2" s="310" t="s">
        <v>116</v>
      </c>
      <c r="K2" s="310" t="s">
        <v>34</v>
      </c>
      <c r="L2" s="310" t="s">
        <v>117</v>
      </c>
      <c r="M2" s="311" t="s">
        <v>118</v>
      </c>
      <c r="N2" s="310" t="s">
        <v>119</v>
      </c>
      <c r="O2" s="310" t="s">
        <v>101</v>
      </c>
      <c r="P2" s="310" t="s">
        <v>74</v>
      </c>
      <c r="Q2" s="310" t="s">
        <v>10</v>
      </c>
      <c r="R2" s="310" t="s">
        <v>102</v>
      </c>
      <c r="S2" s="310" t="s">
        <v>103</v>
      </c>
      <c r="T2" s="310" t="s">
        <v>120</v>
      </c>
      <c r="U2" s="310" t="s">
        <v>121</v>
      </c>
      <c r="V2" s="310" t="s">
        <v>122</v>
      </c>
      <c r="W2" s="310" t="s">
        <v>135</v>
      </c>
      <c r="X2" s="310" t="s">
        <v>128</v>
      </c>
      <c r="Y2" s="310" t="s">
        <v>79</v>
      </c>
      <c r="Z2" s="310" t="s">
        <v>129</v>
      </c>
      <c r="AA2" s="310" t="s">
        <v>130</v>
      </c>
      <c r="AB2" s="311" t="s">
        <v>13</v>
      </c>
      <c r="AC2" s="311" t="s">
        <v>131</v>
      </c>
      <c r="AD2" s="311" t="s">
        <v>132</v>
      </c>
      <c r="AE2" s="312" t="s">
        <v>124</v>
      </c>
      <c r="AF2" s="312" t="s">
        <v>125</v>
      </c>
      <c r="AG2" s="312" t="s">
        <v>12</v>
      </c>
    </row>
    <row r="3" spans="1:33" ht="15.4" x14ac:dyDescent="0.45">
      <c r="A3" s="260" t="s">
        <v>97</v>
      </c>
      <c r="B3" s="317">
        <f t="shared" ref="B3:AG3" si="0">INDEX(B6:B25,MATCH($A$3,$A$6:$A$25,0))</f>
        <v>212914</v>
      </c>
      <c r="C3" s="317">
        <f t="shared" si="0"/>
        <v>0</v>
      </c>
      <c r="D3" s="317">
        <f t="shared" si="0"/>
        <v>0</v>
      </c>
      <c r="E3" s="317">
        <f t="shared" si="0"/>
        <v>0</v>
      </c>
      <c r="F3" s="317">
        <f t="shared" si="0"/>
        <v>319371</v>
      </c>
      <c r="G3" s="317">
        <f t="shared" si="0"/>
        <v>0</v>
      </c>
      <c r="H3" s="317">
        <f t="shared" si="0"/>
        <v>0</v>
      </c>
      <c r="I3" s="317">
        <f t="shared" si="0"/>
        <v>0</v>
      </c>
      <c r="J3" s="317">
        <f t="shared" si="0"/>
        <v>532285</v>
      </c>
      <c r="K3" s="317">
        <f t="shared" si="0"/>
        <v>1064570</v>
      </c>
      <c r="L3" s="317">
        <f t="shared" si="0"/>
        <v>1064570</v>
      </c>
      <c r="M3" s="317">
        <f t="shared" si="0"/>
        <v>-1432590</v>
      </c>
      <c r="N3" s="317">
        <f t="shared" si="0"/>
        <v>-368020</v>
      </c>
      <c r="O3" s="317">
        <f t="shared" si="0"/>
        <v>1191755</v>
      </c>
      <c r="P3" s="317">
        <f t="shared" si="0"/>
        <v>1191755</v>
      </c>
      <c r="Q3" s="317">
        <f t="shared" si="0"/>
        <v>721878.77</v>
      </c>
      <c r="R3" s="317">
        <f t="shared" si="0"/>
        <v>88870</v>
      </c>
      <c r="S3" s="317">
        <f t="shared" si="0"/>
        <v>0</v>
      </c>
      <c r="T3" s="317">
        <f t="shared" si="0"/>
        <v>-2370523.77</v>
      </c>
      <c r="U3" s="317">
        <f t="shared" si="0"/>
        <v>388933</v>
      </c>
      <c r="V3" s="317">
        <f t="shared" si="0"/>
        <v>0</v>
      </c>
      <c r="W3" s="317">
        <f t="shared" si="0"/>
        <v>-1981590.77</v>
      </c>
      <c r="X3" s="317">
        <f t="shared" si="0"/>
        <v>-118098</v>
      </c>
      <c r="Y3" s="317">
        <f t="shared" si="0"/>
        <v>13660650</v>
      </c>
      <c r="Z3" s="317">
        <f t="shared" si="0"/>
        <v>821727</v>
      </c>
      <c r="AA3" s="317">
        <f t="shared" si="0"/>
        <v>2375842</v>
      </c>
      <c r="AB3" s="317">
        <f t="shared" si="0"/>
        <v>16740121</v>
      </c>
      <c r="AC3" s="317">
        <f t="shared" si="0"/>
        <v>4817953</v>
      </c>
      <c r="AD3" s="317">
        <f t="shared" si="0"/>
        <v>948892</v>
      </c>
      <c r="AE3" s="317">
        <f t="shared" si="0"/>
        <v>281.08999999999997</v>
      </c>
      <c r="AF3" s="317">
        <f t="shared" si="0"/>
        <v>76.16</v>
      </c>
      <c r="AG3" s="327">
        <f t="shared" si="0"/>
        <v>1.4886102654106373E-3</v>
      </c>
    </row>
    <row r="5" spans="1:33" s="295" customFormat="1" ht="46.15" customHeight="1" x14ac:dyDescent="0.45">
      <c r="A5" s="294" t="s">
        <v>126</v>
      </c>
      <c r="B5" s="313" t="s">
        <v>108</v>
      </c>
      <c r="C5" s="313" t="s">
        <v>109</v>
      </c>
      <c r="D5" s="313" t="s">
        <v>110</v>
      </c>
      <c r="E5" s="313" t="s">
        <v>111</v>
      </c>
      <c r="F5" s="313" t="s">
        <v>112</v>
      </c>
      <c r="G5" s="313" t="s">
        <v>113</v>
      </c>
      <c r="H5" s="313" t="s">
        <v>114</v>
      </c>
      <c r="I5" s="313" t="s">
        <v>115</v>
      </c>
      <c r="J5" s="313" t="s">
        <v>116</v>
      </c>
      <c r="K5" s="313" t="s">
        <v>34</v>
      </c>
      <c r="L5" s="313" t="s">
        <v>117</v>
      </c>
      <c r="M5" s="314" t="s">
        <v>118</v>
      </c>
      <c r="N5" s="313" t="s">
        <v>119</v>
      </c>
      <c r="O5" s="313" t="s">
        <v>101</v>
      </c>
      <c r="P5" s="313" t="s">
        <v>74</v>
      </c>
      <c r="Q5" s="313" t="s">
        <v>10</v>
      </c>
      <c r="R5" s="313" t="s">
        <v>102</v>
      </c>
      <c r="S5" s="313" t="s">
        <v>103</v>
      </c>
      <c r="T5" s="313" t="s">
        <v>120</v>
      </c>
      <c r="U5" s="313" t="s">
        <v>121</v>
      </c>
      <c r="V5" s="313" t="s">
        <v>122</v>
      </c>
      <c r="W5" s="313" t="s">
        <v>135</v>
      </c>
      <c r="X5" s="313" t="s">
        <v>128</v>
      </c>
      <c r="Y5" s="313" t="s">
        <v>79</v>
      </c>
      <c r="Z5" s="313" t="s">
        <v>129</v>
      </c>
      <c r="AA5" s="313" t="s">
        <v>130</v>
      </c>
      <c r="AB5" s="314" t="s">
        <v>13</v>
      </c>
      <c r="AC5" s="314" t="s">
        <v>131</v>
      </c>
      <c r="AD5" s="314" t="s">
        <v>132</v>
      </c>
      <c r="AE5" s="315" t="s">
        <v>124</v>
      </c>
      <c r="AF5" s="315" t="s">
        <v>125</v>
      </c>
      <c r="AG5" s="315" t="s">
        <v>12</v>
      </c>
    </row>
    <row r="6" spans="1:33" ht="15.4" x14ac:dyDescent="0.45">
      <c r="A6" s="262" t="s">
        <v>80</v>
      </c>
      <c r="B6" s="318">
        <v>4434590.819040725</v>
      </c>
      <c r="C6" s="318">
        <v>4579851.66</v>
      </c>
      <c r="D6" s="318">
        <v>330870.6492543607</v>
      </c>
      <c r="E6" s="318">
        <v>855715.7</v>
      </c>
      <c r="F6" s="318">
        <v>1067991.6017049139</v>
      </c>
      <c r="G6" s="318">
        <v>0</v>
      </c>
      <c r="H6" s="318">
        <v>0</v>
      </c>
      <c r="I6" s="318">
        <v>0</v>
      </c>
      <c r="J6" s="318">
        <v>6694611.5699999994</v>
      </c>
      <c r="K6" s="316">
        <v>17963632</v>
      </c>
      <c r="L6" s="316">
        <v>17217591</v>
      </c>
      <c r="M6" s="318">
        <v>-6998167</v>
      </c>
      <c r="N6" s="316">
        <v>10219423.880000001</v>
      </c>
      <c r="O6" s="318">
        <v>3307948.59</v>
      </c>
      <c r="P6" s="318">
        <v>3307948.59</v>
      </c>
      <c r="Q6" s="316">
        <v>6818593.2199999997</v>
      </c>
      <c r="R6" s="316">
        <v>5962565.0099999998</v>
      </c>
      <c r="S6" s="316">
        <v>198452.42</v>
      </c>
      <c r="T6" s="316">
        <v>-5846528.1099999975</v>
      </c>
      <c r="U6" s="316">
        <v>3299904.11</v>
      </c>
      <c r="V6" s="316">
        <v>0</v>
      </c>
      <c r="W6" s="316">
        <v>-2546623.9999999981</v>
      </c>
      <c r="X6" s="329">
        <v>1907409.05</v>
      </c>
      <c r="Y6" s="329">
        <v>83956945.450144678</v>
      </c>
      <c r="Z6" s="329">
        <v>8742171.7200000007</v>
      </c>
      <c r="AA6" s="329">
        <v>5835297.21</v>
      </c>
      <c r="AB6" s="316">
        <v>105329957.42</v>
      </c>
      <c r="AC6" s="316">
        <v>39487593</v>
      </c>
      <c r="AD6" s="329">
        <v>18324382.440000001</v>
      </c>
      <c r="AE6" s="329">
        <v>217.45</v>
      </c>
      <c r="AF6" s="329">
        <v>75.25</v>
      </c>
      <c r="AG6" s="330">
        <f t="shared" ref="AG6:AG24" si="1">K6/$K$25</f>
        <v>2.5118918435855807E-2</v>
      </c>
    </row>
    <row r="7" spans="1:33" ht="15.4" x14ac:dyDescent="0.45">
      <c r="A7" s="262" t="s">
        <v>16</v>
      </c>
      <c r="B7" s="318">
        <v>4663554</v>
      </c>
      <c r="C7" s="318">
        <v>903045</v>
      </c>
      <c r="D7" s="318">
        <v>0</v>
      </c>
      <c r="E7" s="318">
        <v>361321</v>
      </c>
      <c r="F7" s="318">
        <v>906554</v>
      </c>
      <c r="G7" s="318">
        <v>0</v>
      </c>
      <c r="H7" s="318">
        <v>0</v>
      </c>
      <c r="I7" s="318">
        <v>0</v>
      </c>
      <c r="J7" s="318">
        <v>0</v>
      </c>
      <c r="K7" s="316">
        <v>6834474</v>
      </c>
      <c r="L7" s="316">
        <v>6442294</v>
      </c>
      <c r="M7" s="318">
        <v>-1708618</v>
      </c>
      <c r="N7" s="316">
        <v>4733676</v>
      </c>
      <c r="O7" s="318">
        <v>2967088</v>
      </c>
      <c r="P7" s="318">
        <v>2867088</v>
      </c>
      <c r="Q7" s="316">
        <v>2477115</v>
      </c>
      <c r="R7" s="316">
        <v>640242</v>
      </c>
      <c r="S7" s="316">
        <v>118375</v>
      </c>
      <c r="T7" s="316">
        <v>-1132394</v>
      </c>
      <c r="U7" s="316">
        <v>766026</v>
      </c>
      <c r="V7" s="316">
        <v>599529</v>
      </c>
      <c r="W7" s="316">
        <v>227150</v>
      </c>
      <c r="X7" s="329">
        <v>820026</v>
      </c>
      <c r="Y7" s="329">
        <v>135927681</v>
      </c>
      <c r="Z7" s="329">
        <v>2607175</v>
      </c>
      <c r="AA7" s="329">
        <v>6338136</v>
      </c>
      <c r="AB7" s="316">
        <v>145693018</v>
      </c>
      <c r="AC7" s="316">
        <v>66770604</v>
      </c>
      <c r="AD7" s="329">
        <v>10694331</v>
      </c>
      <c r="AE7" s="329">
        <v>204.8</v>
      </c>
      <c r="AF7" s="329">
        <v>48.39</v>
      </c>
      <c r="AG7" s="330">
        <f t="shared" si="1"/>
        <v>9.5567864537626449E-3</v>
      </c>
    </row>
    <row r="8" spans="1:33" ht="15.4" x14ac:dyDescent="0.45">
      <c r="A8" s="262" t="s">
        <v>17</v>
      </c>
      <c r="B8" s="318">
        <v>447442492.75505781</v>
      </c>
      <c r="C8" s="318">
        <v>23535164.535240799</v>
      </c>
      <c r="D8" s="318">
        <v>32237292.636037931</v>
      </c>
      <c r="E8" s="318">
        <v>44147663.785396278</v>
      </c>
      <c r="F8" s="318">
        <v>229288913.09740341</v>
      </c>
      <c r="G8" s="318">
        <v>0</v>
      </c>
      <c r="H8" s="318">
        <v>0</v>
      </c>
      <c r="I8" s="318">
        <v>0</v>
      </c>
      <c r="J8" s="318">
        <v>11019460.412184</v>
      </c>
      <c r="K8" s="316">
        <v>169836545</v>
      </c>
      <c r="L8" s="316">
        <v>164069808</v>
      </c>
      <c r="M8" s="318">
        <v>-41402719</v>
      </c>
      <c r="N8" s="316">
        <v>122667088.83513901</v>
      </c>
      <c r="O8" s="318">
        <v>85273361.539245278</v>
      </c>
      <c r="P8" s="318">
        <v>85273361.539245278</v>
      </c>
      <c r="Q8" s="316">
        <v>25505071.849705081</v>
      </c>
      <c r="R8" s="316">
        <v>25651633.0300675</v>
      </c>
      <c r="S8" s="316">
        <v>0</v>
      </c>
      <c r="T8" s="316">
        <v>-13762977.583878821</v>
      </c>
      <c r="U8" s="316">
        <v>44142414.453419998</v>
      </c>
      <c r="V8" s="316">
        <v>432888.25435836992</v>
      </c>
      <c r="W8" s="316">
        <v>29271708.862399548</v>
      </c>
      <c r="X8" s="329">
        <v>122007095.1504129</v>
      </c>
      <c r="Y8" s="329">
        <v>1139288385.6384339</v>
      </c>
      <c r="Z8" s="329">
        <v>23389945.506828099</v>
      </c>
      <c r="AA8" s="329">
        <v>35931125.016838118</v>
      </c>
      <c r="AB8" s="316">
        <v>1320616551.3099999</v>
      </c>
      <c r="AC8" s="316">
        <v>946232363.984164</v>
      </c>
      <c r="AD8" s="329">
        <v>106730412.3203088</v>
      </c>
      <c r="AE8" s="329">
        <v>133.30000000000001</v>
      </c>
      <c r="AF8" s="329">
        <v>31.18</v>
      </c>
      <c r="AG8" s="330">
        <f t="shared" si="1"/>
        <v>0.23748595614086029</v>
      </c>
    </row>
    <row r="9" spans="1:33" ht="15.4" x14ac:dyDescent="0.45">
      <c r="A9" s="262" t="s">
        <v>97</v>
      </c>
      <c r="B9" s="318">
        <v>212914</v>
      </c>
      <c r="C9" s="318">
        <v>0</v>
      </c>
      <c r="D9" s="318">
        <v>0</v>
      </c>
      <c r="E9" s="318">
        <v>0</v>
      </c>
      <c r="F9" s="318">
        <v>319371</v>
      </c>
      <c r="G9" s="318">
        <v>0</v>
      </c>
      <c r="H9" s="318">
        <v>0</v>
      </c>
      <c r="I9" s="318">
        <v>0</v>
      </c>
      <c r="J9" s="318">
        <v>532285</v>
      </c>
      <c r="K9" s="316">
        <v>1064570</v>
      </c>
      <c r="L9" s="316">
        <v>1064570</v>
      </c>
      <c r="M9" s="318">
        <v>-1432590</v>
      </c>
      <c r="N9" s="316">
        <v>-368020</v>
      </c>
      <c r="O9" s="318">
        <v>1191755</v>
      </c>
      <c r="P9" s="318">
        <v>1191755</v>
      </c>
      <c r="Q9" s="316">
        <v>721878.77</v>
      </c>
      <c r="R9" s="316">
        <v>88870</v>
      </c>
      <c r="S9" s="316">
        <v>0</v>
      </c>
      <c r="T9" s="316">
        <v>-2370523.77</v>
      </c>
      <c r="U9" s="316">
        <v>388933</v>
      </c>
      <c r="V9" s="316">
        <v>0</v>
      </c>
      <c r="W9" s="316">
        <v>-1981590.77</v>
      </c>
      <c r="X9" s="329">
        <v>-118098</v>
      </c>
      <c r="Y9" s="329">
        <v>13660650</v>
      </c>
      <c r="Z9" s="329">
        <v>821727</v>
      </c>
      <c r="AA9" s="329">
        <v>2375842</v>
      </c>
      <c r="AB9" s="316">
        <v>16740121</v>
      </c>
      <c r="AC9" s="316">
        <v>4817953</v>
      </c>
      <c r="AD9" s="329">
        <v>948892</v>
      </c>
      <c r="AE9" s="329">
        <v>281.08999999999997</v>
      </c>
      <c r="AF9" s="329">
        <v>76.16</v>
      </c>
      <c r="AG9" s="330">
        <f t="shared" si="1"/>
        <v>1.4886102654106373E-3</v>
      </c>
    </row>
    <row r="10" spans="1:33" ht="15.4" x14ac:dyDescent="0.45">
      <c r="A10" s="262" t="s">
        <v>53</v>
      </c>
      <c r="B10" s="318">
        <v>0</v>
      </c>
      <c r="C10" s="318">
        <v>1383799.79</v>
      </c>
      <c r="D10" s="318">
        <v>0</v>
      </c>
      <c r="E10" s="318">
        <v>0</v>
      </c>
      <c r="F10" s="318">
        <v>0</v>
      </c>
      <c r="G10" s="318">
        <v>0</v>
      </c>
      <c r="H10" s="318">
        <v>0</v>
      </c>
      <c r="I10" s="318">
        <v>0</v>
      </c>
      <c r="J10" s="318">
        <v>0</v>
      </c>
      <c r="K10" s="316">
        <v>1383800</v>
      </c>
      <c r="L10" s="316">
        <v>1203906</v>
      </c>
      <c r="M10" s="318">
        <v>-152218</v>
      </c>
      <c r="N10" s="316">
        <v>1051687.56</v>
      </c>
      <c r="O10" s="318">
        <v>60777.48</v>
      </c>
      <c r="P10" s="318">
        <v>48621.98</v>
      </c>
      <c r="Q10" s="316">
        <v>2263938.33</v>
      </c>
      <c r="R10" s="316">
        <v>54709.64</v>
      </c>
      <c r="S10" s="316">
        <v>0</v>
      </c>
      <c r="T10" s="316">
        <v>-1367396.29</v>
      </c>
      <c r="U10" s="316">
        <v>432051.77</v>
      </c>
      <c r="V10" s="316">
        <v>390.63</v>
      </c>
      <c r="W10" s="316">
        <v>-934953.89</v>
      </c>
      <c r="X10" s="329">
        <v>590441</v>
      </c>
      <c r="Y10" s="329">
        <v>15014425.949999999</v>
      </c>
      <c r="Z10" s="329">
        <v>3327236.74</v>
      </c>
      <c r="AA10" s="329">
        <v>5213777.8599999994</v>
      </c>
      <c r="AB10" s="316">
        <v>24953100.52</v>
      </c>
      <c r="AC10" s="316">
        <v>5049562.24</v>
      </c>
      <c r="AD10" s="329">
        <v>5148691.49</v>
      </c>
      <c r="AE10" s="329">
        <v>309.02999999999997</v>
      </c>
      <c r="AF10" s="329">
        <v>196.9</v>
      </c>
      <c r="AG10" s="330">
        <f t="shared" si="1"/>
        <v>1.9349961818154182E-3</v>
      </c>
    </row>
    <row r="11" spans="1:33" ht="15.4" x14ac:dyDescent="0.45">
      <c r="A11" s="262" t="s">
        <v>18</v>
      </c>
      <c r="B11" s="318">
        <v>314717.48</v>
      </c>
      <c r="C11" s="318">
        <v>3030012.2199999988</v>
      </c>
      <c r="D11" s="318">
        <v>6705</v>
      </c>
      <c r="E11" s="318">
        <v>2408397.7599999998</v>
      </c>
      <c r="F11" s="318">
        <v>79368471.150000006</v>
      </c>
      <c r="G11" s="318">
        <v>0</v>
      </c>
      <c r="H11" s="318">
        <v>0</v>
      </c>
      <c r="I11" s="318">
        <v>0</v>
      </c>
      <c r="J11" s="318">
        <v>3078755.3</v>
      </c>
      <c r="K11" s="316">
        <v>4305531</v>
      </c>
      <c r="L11" s="316">
        <v>4305531</v>
      </c>
      <c r="M11" s="318">
        <v>-430553</v>
      </c>
      <c r="N11" s="316">
        <v>3874978</v>
      </c>
      <c r="O11" s="318">
        <v>4784794</v>
      </c>
      <c r="P11" s="318">
        <v>4784794</v>
      </c>
      <c r="Q11" s="318">
        <v>1288461</v>
      </c>
      <c r="R11" s="318">
        <v>240100</v>
      </c>
      <c r="S11" s="318">
        <v>0</v>
      </c>
      <c r="T11" s="318">
        <v>-2438377</v>
      </c>
      <c r="U11" s="318">
        <v>237552</v>
      </c>
      <c r="V11" s="316">
        <v>0</v>
      </c>
      <c r="W11" s="329">
        <v>-2200825</v>
      </c>
      <c r="X11" s="329">
        <v>223736</v>
      </c>
      <c r="Y11" s="329">
        <v>35468716</v>
      </c>
      <c r="Z11" s="329">
        <v>2575471</v>
      </c>
      <c r="AA11" s="329">
        <v>19550374</v>
      </c>
      <c r="AB11" s="329">
        <v>58389037</v>
      </c>
      <c r="AC11" s="316">
        <v>32926497</v>
      </c>
      <c r="AD11" s="329">
        <v>6226689</v>
      </c>
      <c r="AE11" s="329">
        <v>108.4</v>
      </c>
      <c r="AF11" s="329">
        <v>35.5</v>
      </c>
      <c r="AG11" s="330">
        <f t="shared" si="1"/>
        <v>6.0205131129411182E-3</v>
      </c>
    </row>
    <row r="12" spans="1:33" ht="15.4" x14ac:dyDescent="0.45">
      <c r="A12" s="262" t="s">
        <v>19</v>
      </c>
      <c r="B12" s="318">
        <v>3431404</v>
      </c>
      <c r="C12" s="318">
        <v>2853951</v>
      </c>
      <c r="D12" s="318">
        <v>115000</v>
      </c>
      <c r="E12" s="318">
        <v>937845</v>
      </c>
      <c r="F12" s="318">
        <v>0</v>
      </c>
      <c r="G12" s="318">
        <v>0</v>
      </c>
      <c r="H12" s="318">
        <v>0</v>
      </c>
      <c r="I12" s="318">
        <v>0</v>
      </c>
      <c r="J12" s="318">
        <v>9917227</v>
      </c>
      <c r="K12" s="316">
        <v>17140428</v>
      </c>
      <c r="L12" s="316">
        <v>16146101</v>
      </c>
      <c r="M12" s="318">
        <v>-5055725</v>
      </c>
      <c r="N12" s="316">
        <v>11090376</v>
      </c>
      <c r="O12" s="318">
        <v>11599787</v>
      </c>
      <c r="P12" s="318">
        <v>11599787</v>
      </c>
      <c r="Q12" s="318">
        <v>7926509</v>
      </c>
      <c r="R12" s="316">
        <v>960283</v>
      </c>
      <c r="S12" s="316">
        <v>0</v>
      </c>
      <c r="T12" s="316">
        <v>-9383586</v>
      </c>
      <c r="U12" s="316">
        <v>817178</v>
      </c>
      <c r="V12" s="316">
        <v>7822751</v>
      </c>
      <c r="W12" s="316">
        <v>-743657</v>
      </c>
      <c r="X12" s="329">
        <v>50374084</v>
      </c>
      <c r="Y12" s="329">
        <v>31002054</v>
      </c>
      <c r="Z12" s="329">
        <v>1325873</v>
      </c>
      <c r="AA12" s="329">
        <v>8047015</v>
      </c>
      <c r="AB12" s="316">
        <v>93066544</v>
      </c>
      <c r="AC12" s="316">
        <v>40572219</v>
      </c>
      <c r="AD12" s="329">
        <v>3689035</v>
      </c>
      <c r="AE12" s="329">
        <v>200.57</v>
      </c>
      <c r="AF12" s="329">
        <v>55.04</v>
      </c>
      <c r="AG12" s="330">
        <f t="shared" si="1"/>
        <v>2.396781524402521E-2</v>
      </c>
    </row>
    <row r="13" spans="1:33" ht="15.4" x14ac:dyDescent="0.45">
      <c r="A13" s="262" t="s">
        <v>20</v>
      </c>
      <c r="B13" s="318">
        <v>139823493.80000001</v>
      </c>
      <c r="C13" s="318">
        <v>0</v>
      </c>
      <c r="D13" s="318">
        <v>366660.33</v>
      </c>
      <c r="E13" s="318">
        <v>9042311.2999999989</v>
      </c>
      <c r="F13" s="318">
        <v>5592182.4199999999</v>
      </c>
      <c r="G13" s="318">
        <v>338424.87</v>
      </c>
      <c r="H13" s="318">
        <v>0</v>
      </c>
      <c r="I13" s="318">
        <v>0</v>
      </c>
      <c r="J13" s="318">
        <v>0</v>
      </c>
      <c r="K13" s="316">
        <v>48377715</v>
      </c>
      <c r="L13" s="316">
        <v>47446078</v>
      </c>
      <c r="M13" s="318">
        <v>-3695574</v>
      </c>
      <c r="N13" s="316">
        <v>43750504.089515992</v>
      </c>
      <c r="O13" s="318">
        <v>32357569.530000001</v>
      </c>
      <c r="P13" s="318">
        <v>32357569.530000001</v>
      </c>
      <c r="Q13" s="316">
        <v>9878860.5191749968</v>
      </c>
      <c r="R13" s="316">
        <v>3377920.790000001</v>
      </c>
      <c r="S13" s="316">
        <v>0</v>
      </c>
      <c r="T13" s="316">
        <v>-1863846.749659009</v>
      </c>
      <c r="U13" s="316">
        <v>2336627.81</v>
      </c>
      <c r="V13" s="316">
        <v>424088.74</v>
      </c>
      <c r="W13" s="316">
        <v>896869.80034099077</v>
      </c>
      <c r="X13" s="329">
        <v>22304856.960000001</v>
      </c>
      <c r="Y13" s="329">
        <v>434870699.16864723</v>
      </c>
      <c r="Z13" s="329">
        <v>47709728.979999997</v>
      </c>
      <c r="AA13" s="329">
        <v>7423435.8783250004</v>
      </c>
      <c r="AB13" s="316">
        <v>512308720.99000001</v>
      </c>
      <c r="AC13" s="316">
        <v>203339574.01143521</v>
      </c>
      <c r="AD13" s="329">
        <v>48598816.539999999</v>
      </c>
      <c r="AE13" s="329">
        <v>224.83</v>
      </c>
      <c r="AF13" s="329">
        <v>27.94</v>
      </c>
      <c r="AG13" s="330">
        <f t="shared" si="1"/>
        <v>6.7647560203753787E-2</v>
      </c>
    </row>
    <row r="14" spans="1:33" ht="15.4" x14ac:dyDescent="0.45">
      <c r="A14" s="262" t="s">
        <v>47</v>
      </c>
      <c r="B14" s="318">
        <v>350688.87599999999</v>
      </c>
      <c r="C14" s="318">
        <v>74424.596000000005</v>
      </c>
      <c r="D14" s="318">
        <v>3028.06774</v>
      </c>
      <c r="E14" s="318">
        <v>0</v>
      </c>
      <c r="F14" s="318">
        <v>101438.46</v>
      </c>
      <c r="G14" s="318">
        <v>0</v>
      </c>
      <c r="H14" s="318">
        <v>0</v>
      </c>
      <c r="I14" s="318">
        <v>0</v>
      </c>
      <c r="J14" s="318">
        <v>0</v>
      </c>
      <c r="K14" s="316">
        <v>529580</v>
      </c>
      <c r="L14" s="316">
        <v>523469</v>
      </c>
      <c r="M14" s="318">
        <v>-104694</v>
      </c>
      <c r="N14" s="316">
        <v>418774.82400000002</v>
      </c>
      <c r="O14" s="318">
        <v>163513.38</v>
      </c>
      <c r="P14" s="318">
        <v>163513.38</v>
      </c>
      <c r="Q14" s="316">
        <v>650897.05000000005</v>
      </c>
      <c r="R14" s="316">
        <v>19379.87</v>
      </c>
      <c r="S14" s="316">
        <v>48</v>
      </c>
      <c r="T14" s="316">
        <v>-414967.47600000008</v>
      </c>
      <c r="U14" s="316">
        <v>215353.53</v>
      </c>
      <c r="V14" s="316">
        <v>0</v>
      </c>
      <c r="W14" s="316">
        <v>-199613.94600000011</v>
      </c>
      <c r="X14" s="329">
        <v>9321991.6500000004</v>
      </c>
      <c r="Y14" s="329">
        <v>47992316.479999997</v>
      </c>
      <c r="Z14" s="329">
        <v>5488844.3099999996</v>
      </c>
      <c r="AA14" s="329">
        <v>13726700.18</v>
      </c>
      <c r="AB14" s="316">
        <v>77513917.370000005</v>
      </c>
      <c r="AC14" s="316">
        <v>18557651.855999999</v>
      </c>
      <c r="AD14" s="329">
        <v>4442177.7699999996</v>
      </c>
      <c r="AE14" s="329">
        <v>308.83999999999997</v>
      </c>
      <c r="AF14" s="329">
        <v>128.05000000000001</v>
      </c>
      <c r="AG14" s="330">
        <f t="shared" si="1"/>
        <v>7.4052267521737905E-4</v>
      </c>
    </row>
    <row r="15" spans="1:33" ht="15.4" x14ac:dyDescent="0.45">
      <c r="A15" s="262" t="s">
        <v>64</v>
      </c>
      <c r="B15" s="318">
        <v>1365885.35</v>
      </c>
      <c r="C15" s="318">
        <v>5841448.9636148643</v>
      </c>
      <c r="D15" s="318">
        <v>0</v>
      </c>
      <c r="E15" s="318">
        <v>1805511.9099689999</v>
      </c>
      <c r="F15" s="318">
        <v>2097736.2400000002</v>
      </c>
      <c r="G15" s="318">
        <v>0</v>
      </c>
      <c r="H15" s="318">
        <v>0</v>
      </c>
      <c r="I15" s="318">
        <v>0</v>
      </c>
      <c r="J15" s="318">
        <v>302137</v>
      </c>
      <c r="K15" s="316">
        <v>11632556</v>
      </c>
      <c r="L15" s="316">
        <v>8070543</v>
      </c>
      <c r="M15" s="318">
        <v>-3403524</v>
      </c>
      <c r="N15" s="316">
        <v>4667019</v>
      </c>
      <c r="O15" s="318">
        <v>1514307</v>
      </c>
      <c r="P15" s="318">
        <v>1514307</v>
      </c>
      <c r="Q15" s="316">
        <v>4876943.1100000003</v>
      </c>
      <c r="R15" s="316">
        <v>522926.03</v>
      </c>
      <c r="S15" s="316">
        <v>0</v>
      </c>
      <c r="T15" s="316">
        <v>-2247157.1400000011</v>
      </c>
      <c r="U15" s="316">
        <v>1996770</v>
      </c>
      <c r="V15" s="316">
        <v>723712</v>
      </c>
      <c r="W15" s="316">
        <v>473324.8599999994</v>
      </c>
      <c r="X15" s="329">
        <v>7356401</v>
      </c>
      <c r="Y15" s="329">
        <v>69292740.74000001</v>
      </c>
      <c r="Z15" s="329">
        <v>9628937.8099999987</v>
      </c>
      <c r="AA15" s="329">
        <v>2222166</v>
      </c>
      <c r="AB15" s="316">
        <v>88500245.549999997</v>
      </c>
      <c r="AC15" s="316">
        <v>8214185.5093374634</v>
      </c>
      <c r="AD15" s="329">
        <v>19914958.780000001</v>
      </c>
      <c r="AE15" s="329">
        <v>933.13</v>
      </c>
      <c r="AF15" s="329">
        <v>66.91</v>
      </c>
      <c r="AG15" s="330">
        <f t="shared" si="1"/>
        <v>1.6266043824796961E-2</v>
      </c>
    </row>
    <row r="16" spans="1:33" ht="15.4" x14ac:dyDescent="0.45">
      <c r="A16" s="262" t="s">
        <v>21</v>
      </c>
      <c r="B16" s="318">
        <v>11727333</v>
      </c>
      <c r="C16" s="318">
        <v>2631731</v>
      </c>
      <c r="D16" s="318">
        <v>0</v>
      </c>
      <c r="E16" s="318">
        <v>1512182</v>
      </c>
      <c r="F16" s="318">
        <v>2151547</v>
      </c>
      <c r="G16" s="318">
        <v>0</v>
      </c>
      <c r="H16" s="318">
        <v>0</v>
      </c>
      <c r="I16" s="318">
        <v>0</v>
      </c>
      <c r="J16" s="318">
        <v>13707069</v>
      </c>
      <c r="K16" s="316">
        <v>31729861</v>
      </c>
      <c r="L16" s="316">
        <v>31395962</v>
      </c>
      <c r="M16" s="318">
        <v>4123929</v>
      </c>
      <c r="N16" s="316">
        <v>35519891</v>
      </c>
      <c r="O16" s="318">
        <v>9715647</v>
      </c>
      <c r="P16" s="318">
        <v>9715647</v>
      </c>
      <c r="Q16" s="316">
        <v>15585297</v>
      </c>
      <c r="R16" s="316">
        <v>20843671</v>
      </c>
      <c r="S16" s="316">
        <v>922</v>
      </c>
      <c r="T16" s="316">
        <v>-14066051</v>
      </c>
      <c r="U16" s="316">
        <v>10491742</v>
      </c>
      <c r="V16" s="316">
        <v>983729</v>
      </c>
      <c r="W16" s="316">
        <v>-2995319</v>
      </c>
      <c r="X16" s="329">
        <v>11495816</v>
      </c>
      <c r="Y16" s="329">
        <v>257947749</v>
      </c>
      <c r="Z16" s="329">
        <v>12684334</v>
      </c>
      <c r="AA16" s="329">
        <v>3031133</v>
      </c>
      <c r="AB16" s="316">
        <v>285378731</v>
      </c>
      <c r="AC16" s="316">
        <v>181416630</v>
      </c>
      <c r="AD16" s="329">
        <v>33338586</v>
      </c>
      <c r="AE16" s="329">
        <v>148.52000000000001</v>
      </c>
      <c r="AF16" s="329">
        <v>126.99</v>
      </c>
      <c r="AG16" s="330">
        <f t="shared" si="1"/>
        <v>4.436852137919782E-2</v>
      </c>
    </row>
    <row r="17" spans="1:33" ht="15.4" x14ac:dyDescent="0.45">
      <c r="A17" s="262" t="s">
        <v>91</v>
      </c>
      <c r="B17" s="318">
        <v>4928842.0233838614</v>
      </c>
      <c r="C17" s="318">
        <v>1172659</v>
      </c>
      <c r="D17" s="318">
        <v>14131919</v>
      </c>
      <c r="E17" s="318">
        <v>379939</v>
      </c>
      <c r="F17" s="318">
        <v>22885007</v>
      </c>
      <c r="G17" s="318">
        <v>0</v>
      </c>
      <c r="H17" s="318">
        <v>0</v>
      </c>
      <c r="I17" s="318">
        <v>0</v>
      </c>
      <c r="J17" s="318">
        <v>0</v>
      </c>
      <c r="K17" s="316">
        <v>43498366</v>
      </c>
      <c r="L17" s="316">
        <v>43046132</v>
      </c>
      <c r="M17" s="318">
        <v>-15034715</v>
      </c>
      <c r="N17" s="316">
        <v>28011417.109999999</v>
      </c>
      <c r="O17" s="318">
        <v>13090163.09</v>
      </c>
      <c r="P17" s="318">
        <v>13038416.01</v>
      </c>
      <c r="Q17" s="316">
        <v>8404630.2799999993</v>
      </c>
      <c r="R17" s="316">
        <v>5475514.5399999991</v>
      </c>
      <c r="S17" s="316">
        <v>88564.96</v>
      </c>
      <c r="T17" s="316">
        <v>1181421.2400000009</v>
      </c>
      <c r="U17" s="316">
        <v>4026409.85</v>
      </c>
      <c r="V17" s="316">
        <v>1257031.838</v>
      </c>
      <c r="W17" s="316">
        <v>6141619.7475500014</v>
      </c>
      <c r="X17" s="329">
        <v>4357343.74</v>
      </c>
      <c r="Y17" s="329">
        <v>127286601.03714371</v>
      </c>
      <c r="Z17" s="329">
        <v>28074123.739999998</v>
      </c>
      <c r="AA17" s="329">
        <v>20803037.085000001</v>
      </c>
      <c r="AB17" s="316">
        <v>180521105.59999999</v>
      </c>
      <c r="AC17" s="316">
        <v>93682087</v>
      </c>
      <c r="AD17" s="329">
        <v>8732790.3808999993</v>
      </c>
      <c r="AE17" s="329">
        <v>140.52000000000001</v>
      </c>
      <c r="AF17" s="329">
        <v>32.24</v>
      </c>
      <c r="AG17" s="330">
        <f t="shared" si="1"/>
        <v>6.0824665504559623E-2</v>
      </c>
    </row>
    <row r="18" spans="1:33" ht="15.4" x14ac:dyDescent="0.45">
      <c r="A18" s="262" t="s">
        <v>22</v>
      </c>
      <c r="B18" s="318">
        <v>13388763.51000002</v>
      </c>
      <c r="C18" s="318">
        <v>10543448.48</v>
      </c>
      <c r="D18" s="318">
        <v>11168.84</v>
      </c>
      <c r="E18" s="318">
        <v>689394</v>
      </c>
      <c r="F18" s="318">
        <v>3618702.9100000029</v>
      </c>
      <c r="G18" s="318">
        <v>0</v>
      </c>
      <c r="H18" s="318">
        <v>667030</v>
      </c>
      <c r="I18" s="318">
        <v>500</v>
      </c>
      <c r="J18" s="318">
        <v>3969953.23</v>
      </c>
      <c r="K18" s="316">
        <v>33232261</v>
      </c>
      <c r="L18" s="316">
        <v>29171614</v>
      </c>
      <c r="M18" s="318"/>
      <c r="N18" s="316">
        <v>29171614.329999998</v>
      </c>
      <c r="O18" s="318">
        <v>33509999.928928301</v>
      </c>
      <c r="P18" s="318">
        <v>33509999.928928301</v>
      </c>
      <c r="Q18" s="316">
        <v>9692451.4248335008</v>
      </c>
      <c r="R18" s="316">
        <v>3267338.4800000009</v>
      </c>
      <c r="S18" s="316">
        <v>5528233.8864266286</v>
      </c>
      <c r="T18" s="316">
        <v>-11769941.617335171</v>
      </c>
      <c r="U18" s="316">
        <v>12628856.49</v>
      </c>
      <c r="V18" s="316">
        <v>361835</v>
      </c>
      <c r="W18" s="316">
        <v>-323018.37733517209</v>
      </c>
      <c r="X18" s="329">
        <v>11843273.770000011</v>
      </c>
      <c r="Y18" s="329">
        <v>363321021.23188013</v>
      </c>
      <c r="Z18" s="329">
        <v>14251279.5</v>
      </c>
      <c r="AA18" s="329">
        <v>9420536.8900000006</v>
      </c>
      <c r="AB18" s="316">
        <v>398836111.38999999</v>
      </c>
      <c r="AC18" s="316">
        <v>290600781</v>
      </c>
      <c r="AD18" s="329">
        <v>31935286.23</v>
      </c>
      <c r="AE18" s="329">
        <v>129.1</v>
      </c>
      <c r="AF18" s="329">
        <v>44.43</v>
      </c>
      <c r="AG18" s="330">
        <f t="shared" si="1"/>
        <v>4.6469358395789445E-2</v>
      </c>
    </row>
    <row r="19" spans="1:33" ht="15.4" x14ac:dyDescent="0.45">
      <c r="A19" s="262" t="s">
        <v>24</v>
      </c>
      <c r="B19" s="318">
        <v>32596448.585196581</v>
      </c>
      <c r="C19" s="318">
        <v>2962329.5881291232</v>
      </c>
      <c r="D19" s="318">
        <v>6064443.854509511</v>
      </c>
      <c r="E19" s="318">
        <v>1826899.5723830611</v>
      </c>
      <c r="F19" s="318">
        <v>19583825.356487829</v>
      </c>
      <c r="G19" s="318">
        <v>0</v>
      </c>
      <c r="H19" s="318">
        <v>0</v>
      </c>
      <c r="I19" s="318">
        <v>0</v>
      </c>
      <c r="J19" s="318">
        <v>1387683.983806082</v>
      </c>
      <c r="K19" s="316">
        <v>64421631</v>
      </c>
      <c r="L19" s="316">
        <v>62925774</v>
      </c>
      <c r="M19" s="318">
        <v>-27168667</v>
      </c>
      <c r="N19" s="316">
        <v>35757107.05163835</v>
      </c>
      <c r="O19" s="318">
        <v>20062939</v>
      </c>
      <c r="P19" s="318">
        <v>20062939</v>
      </c>
      <c r="Q19" s="316">
        <v>15723721.42</v>
      </c>
      <c r="R19" s="316">
        <v>11771570</v>
      </c>
      <c r="S19" s="316">
        <v>0</v>
      </c>
      <c r="T19" s="316">
        <v>-11801123.36836165</v>
      </c>
      <c r="U19" s="316">
        <v>13998489</v>
      </c>
      <c r="V19" s="316">
        <v>153027.01</v>
      </c>
      <c r="W19" s="316">
        <v>2350392.6416383479</v>
      </c>
      <c r="X19" s="329">
        <v>32479681.210000001</v>
      </c>
      <c r="Y19" s="329">
        <v>334127579.14868772</v>
      </c>
      <c r="Z19" s="329">
        <v>11451224.99</v>
      </c>
      <c r="AA19" s="329">
        <v>12054474.695986461</v>
      </c>
      <c r="AB19" s="316">
        <v>406517396.04000002</v>
      </c>
      <c r="AC19" s="316">
        <v>287114462.75874299</v>
      </c>
      <c r="AD19" s="329">
        <v>24766645.96509413</v>
      </c>
      <c r="AE19" s="329">
        <v>127.69</v>
      </c>
      <c r="AF19" s="329">
        <v>43.69</v>
      </c>
      <c r="AG19" s="330">
        <f t="shared" si="1"/>
        <v>9.0082100022634615E-2</v>
      </c>
    </row>
    <row r="20" spans="1:33" ht="15.4" x14ac:dyDescent="0.45">
      <c r="A20" s="262" t="s">
        <v>25</v>
      </c>
      <c r="B20" s="318">
        <v>3435853.4393838118</v>
      </c>
      <c r="C20" s="318">
        <v>153435.87</v>
      </c>
      <c r="D20" s="318">
        <v>0</v>
      </c>
      <c r="E20" s="318">
        <v>354970.30013666698</v>
      </c>
      <c r="F20" s="318">
        <v>259924.44138069739</v>
      </c>
      <c r="G20" s="318">
        <v>0</v>
      </c>
      <c r="H20" s="318">
        <v>0</v>
      </c>
      <c r="I20" s="318">
        <v>0</v>
      </c>
      <c r="J20" s="318">
        <v>2478106.9490988241</v>
      </c>
      <c r="K20" s="316">
        <v>6682291</v>
      </c>
      <c r="L20" s="316">
        <v>6682291</v>
      </c>
      <c r="M20" s="318">
        <v>-2338802</v>
      </c>
      <c r="N20" s="316">
        <v>4343489</v>
      </c>
      <c r="O20" s="318">
        <v>4710105</v>
      </c>
      <c r="P20" s="318">
        <v>4710105</v>
      </c>
      <c r="Q20" s="316">
        <v>2368234</v>
      </c>
      <c r="R20" s="316">
        <v>115225</v>
      </c>
      <c r="S20" s="316">
        <v>0</v>
      </c>
      <c r="T20" s="316">
        <v>-2871004</v>
      </c>
      <c r="U20" s="316">
        <v>2934593</v>
      </c>
      <c r="V20" s="316">
        <v>446510</v>
      </c>
      <c r="W20" s="316">
        <v>510099</v>
      </c>
      <c r="X20" s="329">
        <v>2202338</v>
      </c>
      <c r="Y20" s="329">
        <v>108748125</v>
      </c>
      <c r="Z20" s="329">
        <v>4656191</v>
      </c>
      <c r="AA20" s="329">
        <v>4949282</v>
      </c>
      <c r="AB20" s="316">
        <v>120635988</v>
      </c>
      <c r="AC20" s="316">
        <v>61252869.999999993</v>
      </c>
      <c r="AD20" s="329">
        <v>1553042</v>
      </c>
      <c r="AE20" s="329">
        <v>181.14</v>
      </c>
      <c r="AF20" s="329">
        <v>37.479999999999997</v>
      </c>
      <c r="AG20" s="330">
        <f t="shared" si="1"/>
        <v>9.343985814987377E-3</v>
      </c>
    </row>
    <row r="21" spans="1:33" ht="15.4" x14ac:dyDescent="0.45">
      <c r="A21" s="262" t="s">
        <v>26</v>
      </c>
      <c r="B21" s="318">
        <v>831968.99999999988</v>
      </c>
      <c r="C21" s="318">
        <v>2211007.9900000002</v>
      </c>
      <c r="D21" s="318">
        <v>63970.000000000007</v>
      </c>
      <c r="E21" s="318">
        <v>5352900.66</v>
      </c>
      <c r="F21" s="318">
        <v>718135.43</v>
      </c>
      <c r="G21" s="318">
        <v>0</v>
      </c>
      <c r="H21" s="318">
        <v>0</v>
      </c>
      <c r="I21" s="318">
        <v>0</v>
      </c>
      <c r="J21" s="318">
        <v>0</v>
      </c>
      <c r="K21" s="316">
        <v>9177983</v>
      </c>
      <c r="L21" s="316">
        <v>5928749</v>
      </c>
      <c r="M21" s="318">
        <v>-605963</v>
      </c>
      <c r="N21" s="316">
        <v>5322786</v>
      </c>
      <c r="O21" s="318">
        <v>1739954</v>
      </c>
      <c r="P21" s="318">
        <v>1739954</v>
      </c>
      <c r="Q21" s="316">
        <v>2766867</v>
      </c>
      <c r="R21" s="316">
        <v>1454167</v>
      </c>
      <c r="S21" s="316">
        <v>0</v>
      </c>
      <c r="T21" s="316">
        <v>-638202</v>
      </c>
      <c r="U21" s="316">
        <v>1690629</v>
      </c>
      <c r="V21" s="316">
        <v>125544</v>
      </c>
      <c r="W21" s="316">
        <v>1119072</v>
      </c>
      <c r="X21" s="329">
        <v>1802333</v>
      </c>
      <c r="Y21" s="329">
        <v>56426441</v>
      </c>
      <c r="Z21" s="329">
        <v>589486</v>
      </c>
      <c r="AA21" s="329">
        <v>2680035.1800000002</v>
      </c>
      <c r="AB21" s="316">
        <v>64951412.079999998</v>
      </c>
      <c r="AC21" s="316">
        <v>6176368</v>
      </c>
      <c r="AD21" s="329">
        <v>5518026</v>
      </c>
      <c r="AE21" s="329">
        <v>942.77</v>
      </c>
      <c r="AF21" s="329">
        <v>71.2</v>
      </c>
      <c r="AG21" s="330">
        <f t="shared" si="1"/>
        <v>1.2833763594281556E-2</v>
      </c>
    </row>
    <row r="22" spans="1:33" ht="15.4" x14ac:dyDescent="0.45">
      <c r="A22" s="262" t="s">
        <v>27</v>
      </c>
      <c r="B22" s="318">
        <v>107104878.7425192</v>
      </c>
      <c r="C22" s="318">
        <v>6812684.4931999994</v>
      </c>
      <c r="D22" s="318">
        <v>15528.94</v>
      </c>
      <c r="E22" s="318">
        <v>1697616.81</v>
      </c>
      <c r="F22" s="318">
        <v>7731766.607880909</v>
      </c>
      <c r="G22" s="318">
        <v>0</v>
      </c>
      <c r="H22" s="318">
        <v>0</v>
      </c>
      <c r="I22" s="318">
        <v>0</v>
      </c>
      <c r="J22" s="318">
        <v>0</v>
      </c>
      <c r="K22" s="316">
        <v>123362586</v>
      </c>
      <c r="L22" s="316">
        <v>123064941</v>
      </c>
      <c r="M22" s="318">
        <v>-19372624</v>
      </c>
      <c r="N22" s="316">
        <v>103692317</v>
      </c>
      <c r="O22" s="318">
        <v>101241032</v>
      </c>
      <c r="P22" s="318">
        <v>101241032</v>
      </c>
      <c r="Q22" s="316">
        <v>21097004</v>
      </c>
      <c r="R22" s="316">
        <v>8181469</v>
      </c>
      <c r="S22" s="316">
        <v>490682</v>
      </c>
      <c r="T22" s="316">
        <v>-26336505</v>
      </c>
      <c r="U22" s="316">
        <v>18798918</v>
      </c>
      <c r="V22" s="316">
        <v>511305</v>
      </c>
      <c r="W22" s="316">
        <v>-7026282</v>
      </c>
      <c r="X22" s="329">
        <v>4160545</v>
      </c>
      <c r="Y22" s="329">
        <v>805877258</v>
      </c>
      <c r="Z22" s="329">
        <v>97982075</v>
      </c>
      <c r="AA22" s="329">
        <v>64812115</v>
      </c>
      <c r="AB22" s="316">
        <v>972831993</v>
      </c>
      <c r="AC22" s="316">
        <v>721961687</v>
      </c>
      <c r="AD22" s="329">
        <v>29456595</v>
      </c>
      <c r="AE22" s="329">
        <v>112.2</v>
      </c>
      <c r="AF22" s="329">
        <v>23.79</v>
      </c>
      <c r="AG22" s="330">
        <f t="shared" si="1"/>
        <v>0.17250045735574229</v>
      </c>
    </row>
    <row r="23" spans="1:33" ht="15.4" x14ac:dyDescent="0.45">
      <c r="A23" s="262" t="s">
        <v>28</v>
      </c>
      <c r="B23" s="318">
        <v>5959587.0936000049</v>
      </c>
      <c r="C23" s="318">
        <v>2579073</v>
      </c>
      <c r="D23" s="318">
        <v>20883902</v>
      </c>
      <c r="E23" s="318">
        <v>949653</v>
      </c>
      <c r="F23" s="318">
        <v>89851817.379999995</v>
      </c>
      <c r="G23" s="318">
        <v>0</v>
      </c>
      <c r="H23" s="318">
        <v>0</v>
      </c>
      <c r="I23" s="318">
        <v>0</v>
      </c>
      <c r="J23" s="318">
        <v>0</v>
      </c>
      <c r="K23" s="316">
        <v>120224032</v>
      </c>
      <c r="L23" s="316">
        <v>119589446</v>
      </c>
      <c r="M23" s="318">
        <v>-39841762</v>
      </c>
      <c r="N23" s="316">
        <v>79747684</v>
      </c>
      <c r="O23" s="318">
        <v>58883951</v>
      </c>
      <c r="P23" s="318">
        <v>58883951</v>
      </c>
      <c r="Q23" s="316">
        <v>14939759</v>
      </c>
      <c r="R23" s="316">
        <v>14596084</v>
      </c>
      <c r="S23" s="316">
        <v>167176</v>
      </c>
      <c r="T23" s="316">
        <v>-8504934</v>
      </c>
      <c r="U23" s="316">
        <v>24829569</v>
      </c>
      <c r="V23" s="316">
        <v>324802</v>
      </c>
      <c r="W23" s="316">
        <v>14647351</v>
      </c>
      <c r="X23" s="329">
        <v>19334662</v>
      </c>
      <c r="Y23" s="329">
        <v>1043885536</v>
      </c>
      <c r="Z23" s="329">
        <v>106086201</v>
      </c>
      <c r="AA23" s="329">
        <v>59385600</v>
      </c>
      <c r="AB23" s="316">
        <v>1228913085</v>
      </c>
      <c r="AC23" s="316">
        <v>805514073</v>
      </c>
      <c r="AD23" s="329">
        <v>76797288</v>
      </c>
      <c r="AE23" s="329">
        <v>131.99</v>
      </c>
      <c r="AF23" s="329">
        <v>24.7</v>
      </c>
      <c r="AG23" s="330">
        <f t="shared" si="1"/>
        <v>0.16811175233592618</v>
      </c>
    </row>
    <row r="24" spans="1:33" ht="15.4" x14ac:dyDescent="0.45">
      <c r="A24" s="262" t="s">
        <v>31</v>
      </c>
      <c r="B24" s="318">
        <v>403292.29872514401</v>
      </c>
      <c r="C24" s="318">
        <v>2842202.77</v>
      </c>
      <c r="D24" s="318">
        <v>115278.4840014545</v>
      </c>
      <c r="E24" s="318">
        <v>50169.350000000013</v>
      </c>
      <c r="F24" s="318">
        <v>331524.06727340142</v>
      </c>
      <c r="G24" s="319">
        <v>0</v>
      </c>
      <c r="H24" s="319">
        <v>0</v>
      </c>
      <c r="I24" s="319">
        <v>0</v>
      </c>
      <c r="J24" s="318">
        <v>3221.0300000000188</v>
      </c>
      <c r="K24" s="316">
        <v>3745688</v>
      </c>
      <c r="L24" s="316">
        <v>1941417</v>
      </c>
      <c r="M24" s="318">
        <v>-96225</v>
      </c>
      <c r="N24" s="316">
        <v>1845192</v>
      </c>
      <c r="O24" s="318">
        <v>500108</v>
      </c>
      <c r="P24" s="318">
        <v>500108</v>
      </c>
      <c r="Q24" s="316">
        <v>1402754</v>
      </c>
      <c r="R24" s="316">
        <v>667697</v>
      </c>
      <c r="S24" s="316">
        <v>515593</v>
      </c>
      <c r="T24" s="316">
        <v>-209774</v>
      </c>
      <c r="U24" s="316">
        <v>70950</v>
      </c>
      <c r="V24" s="316">
        <v>3010</v>
      </c>
      <c r="W24" s="316">
        <v>-135814</v>
      </c>
      <c r="X24" s="329">
        <v>220184</v>
      </c>
      <c r="Y24" s="329">
        <v>20884987</v>
      </c>
      <c r="Z24" s="329">
        <v>8725539</v>
      </c>
      <c r="AA24" s="329">
        <v>2722234</v>
      </c>
      <c r="AB24" s="316">
        <v>32552944</v>
      </c>
      <c r="AC24" s="316">
        <v>10871675</v>
      </c>
      <c r="AD24" s="329">
        <v>3072776</v>
      </c>
      <c r="AE24" s="329">
        <v>194.13</v>
      </c>
      <c r="AF24" s="329">
        <v>106.65</v>
      </c>
      <c r="AG24" s="330">
        <f t="shared" si="1"/>
        <v>5.2376730584418486E-3</v>
      </c>
    </row>
    <row r="25" spans="1:33" s="137" customFormat="1" ht="15.4" x14ac:dyDescent="0.45">
      <c r="A25" s="301" t="s">
        <v>67</v>
      </c>
      <c r="B25" s="320">
        <f t="shared" ref="B25:AD25" si="2">SUM(B6:B24)</f>
        <v>782416708.77290726</v>
      </c>
      <c r="C25" s="320">
        <f t="shared" si="2"/>
        <v>74110269.95618479</v>
      </c>
      <c r="D25" s="320">
        <f t="shared" si="2"/>
        <v>74345767.801543266</v>
      </c>
      <c r="E25" s="320">
        <f t="shared" si="2"/>
        <v>72372491.14788501</v>
      </c>
      <c r="F25" s="320">
        <f t="shared" si="2"/>
        <v>465874908.16213113</v>
      </c>
      <c r="G25" s="320">
        <f t="shared" si="2"/>
        <v>338424.87</v>
      </c>
      <c r="H25" s="320">
        <f t="shared" si="2"/>
        <v>667030</v>
      </c>
      <c r="I25" s="320">
        <f t="shared" si="2"/>
        <v>500</v>
      </c>
      <c r="J25" s="320">
        <f t="shared" si="2"/>
        <v>53090510.475088909</v>
      </c>
      <c r="K25" s="320">
        <f t="shared" si="2"/>
        <v>715143530</v>
      </c>
      <c r="L25" s="320">
        <f t="shared" si="2"/>
        <v>690236217</v>
      </c>
      <c r="M25" s="321">
        <f t="shared" si="2"/>
        <v>-164719211</v>
      </c>
      <c r="N25" s="320">
        <f t="shared" si="2"/>
        <v>525517005.68029332</v>
      </c>
      <c r="O25" s="320">
        <f t="shared" si="2"/>
        <v>386674800.53817356</v>
      </c>
      <c r="P25" s="322">
        <f t="shared" si="2"/>
        <v>386510897.95817357</v>
      </c>
      <c r="Q25" s="322">
        <f>SUM(Q6:Q24)</f>
        <v>154388985.97371358</v>
      </c>
      <c r="R25" s="322">
        <f>SUM(R6:R24)</f>
        <v>103891365.3900675</v>
      </c>
      <c r="S25" s="322">
        <f>SUM(S6:S24)</f>
        <v>7108047.2664266285</v>
      </c>
      <c r="T25" s="322">
        <f t="shared" si="2"/>
        <v>-115843867.86523464</v>
      </c>
      <c r="U25" s="322">
        <f t="shared" si="2"/>
        <v>144102967.01341999</v>
      </c>
      <c r="V25" s="322">
        <f t="shared" si="2"/>
        <v>14170153.47235837</v>
      </c>
      <c r="W25" s="322">
        <f t="shared" si="2"/>
        <v>36549889.928593718</v>
      </c>
      <c r="X25" s="322">
        <f t="shared" si="2"/>
        <v>302684119.53041291</v>
      </c>
      <c r="Y25" s="322">
        <f t="shared" si="2"/>
        <v>5124979911.8449383</v>
      </c>
      <c r="Z25" s="322">
        <f t="shared" si="2"/>
        <v>390117565.29682815</v>
      </c>
      <c r="AA25" s="322">
        <f t="shared" si="2"/>
        <v>286522316.9961496</v>
      </c>
      <c r="AB25" s="322">
        <f>SUM(AB6:AB24)</f>
        <v>6134249979.2699995</v>
      </c>
      <c r="AC25" s="322">
        <f t="shared" si="2"/>
        <v>3824558837.3596797</v>
      </c>
      <c r="AD25" s="322">
        <f t="shared" si="2"/>
        <v>439889421.91630298</v>
      </c>
      <c r="AE25" s="323">
        <f>AVERAGE(AE6:AE24)</f>
        <v>264.71052631578942</v>
      </c>
      <c r="AF25" s="323">
        <f>AVERAGE(AF6:AF24)</f>
        <v>65.920526315789488</v>
      </c>
      <c r="AG25" s="323">
        <f>SUM(AG6:AG24)</f>
        <v>1</v>
      </c>
    </row>
    <row r="26" spans="1:33" x14ac:dyDescent="0.45">
      <c r="B26" s="324"/>
      <c r="C26" s="324"/>
      <c r="D26" s="324"/>
      <c r="E26" s="324"/>
      <c r="F26" s="324"/>
      <c r="G26" s="324"/>
      <c r="H26" s="324"/>
      <c r="I26" s="324"/>
      <c r="J26" s="324"/>
      <c r="K26" s="324"/>
      <c r="L26" s="324"/>
      <c r="M26" s="324"/>
      <c r="N26" s="325"/>
      <c r="O26" s="325"/>
      <c r="P26" s="324"/>
      <c r="Q26" s="324"/>
      <c r="R26" s="324"/>
      <c r="S26" s="324"/>
      <c r="T26" s="324"/>
      <c r="U26" s="324"/>
      <c r="V26" s="324"/>
      <c r="W26" s="324"/>
      <c r="X26" s="324"/>
      <c r="Y26" s="324"/>
      <c r="Z26" s="324"/>
      <c r="AA26" s="324"/>
      <c r="AB26" s="324"/>
      <c r="AC26" s="324"/>
      <c r="AD26" s="324"/>
      <c r="AE26" s="324"/>
      <c r="AF26" s="324"/>
      <c r="AG26" s="324"/>
    </row>
  </sheetData>
  <mergeCells count="1">
    <mergeCell ref="B1:AG1"/>
  </mergeCells>
  <dataValidations count="1">
    <dataValidation type="list" allowBlank="1" showInputMessage="1" showErrorMessage="1" sqref="A3" xr:uid="{00000000-0002-0000-2700-000000000000}">
      <formula1>$A$6:$A$25</formula1>
    </dataValidation>
  </dataValidations>
  <pageMargins left="0.7" right="0.7" top="0.75" bottom="0.75" header="0.3" footer="0.3"/>
  <customProperties>
    <customPr name="LastActive" r:id="rId1"/>
  </customProperties>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tabColor theme="3" tint="0.39997558519241921"/>
  </sheetPr>
  <dimension ref="A1:AG26"/>
  <sheetViews>
    <sheetView zoomScale="80" zoomScaleNormal="80" workbookViewId="0">
      <pane xSplit="1" topLeftCell="B1" activePane="topRight" state="frozen"/>
      <selection pane="topRight" activeCell="B5" sqref="B5"/>
    </sheetView>
  </sheetViews>
  <sheetFormatPr defaultRowHeight="14.25" x14ac:dyDescent="0.45"/>
  <cols>
    <col min="1" max="1" width="28.3984375" customWidth="1"/>
    <col min="2" max="2" width="20.73046875" style="326" customWidth="1"/>
    <col min="3" max="5" width="17.73046875" style="326" bestFit="1" customWidth="1"/>
    <col min="6" max="6" width="19" style="326" customWidth="1"/>
    <col min="7" max="7" width="13.265625" style="326" bestFit="1" customWidth="1"/>
    <col min="8" max="8" width="13.73046875" style="326" bestFit="1" customWidth="1"/>
    <col min="9" max="9" width="17.73046875" style="326" customWidth="1"/>
    <col min="10" max="10" width="27.3984375" style="326" bestFit="1" customWidth="1"/>
    <col min="11" max="11" width="21.73046875" style="326" bestFit="1" customWidth="1"/>
    <col min="12" max="12" width="22.3984375" style="326" bestFit="1" customWidth="1"/>
    <col min="13" max="13" width="24.265625" style="326" customWidth="1"/>
    <col min="14" max="14" width="18.73046875" style="326" bestFit="1" customWidth="1"/>
    <col min="15" max="15" width="22" style="326" customWidth="1"/>
    <col min="16" max="16" width="22.3984375" style="326" customWidth="1"/>
    <col min="17" max="17" width="20.73046875" style="326" bestFit="1" customWidth="1"/>
    <col min="18" max="18" width="22.73046875" style="326" bestFit="1" customWidth="1"/>
    <col min="19" max="19" width="18.265625" style="326" bestFit="1" customWidth="1"/>
    <col min="20" max="20" width="19.265625" style="326" bestFit="1" customWidth="1"/>
    <col min="21" max="21" width="25.265625" style="326" bestFit="1" customWidth="1"/>
    <col min="22" max="22" width="18.73046875" style="326" bestFit="1" customWidth="1"/>
    <col min="23" max="23" width="20" style="326" bestFit="1" customWidth="1"/>
    <col min="24" max="24" width="19.3984375" style="326" bestFit="1" customWidth="1"/>
    <col min="25" max="25" width="21.265625" style="326" bestFit="1" customWidth="1"/>
    <col min="26" max="26" width="17.73046875" style="326" bestFit="1" customWidth="1"/>
    <col min="27" max="27" width="18.265625" style="326" bestFit="1" customWidth="1"/>
    <col min="28" max="28" width="21.265625" style="326" bestFit="1" customWidth="1"/>
    <col min="29" max="29" width="25" style="326" bestFit="1" customWidth="1"/>
    <col min="30" max="30" width="18.73046875" style="326" bestFit="1" customWidth="1"/>
    <col min="31" max="31" width="17.265625" style="326" customWidth="1"/>
    <col min="32" max="32" width="17.265625" style="326" bestFit="1" customWidth="1"/>
    <col min="33" max="33" width="13" style="326" bestFit="1" customWidth="1"/>
  </cols>
  <sheetData>
    <row r="1" spans="1:33" ht="20.65" x14ac:dyDescent="0.55000000000000004">
      <c r="A1" s="341" t="s">
        <v>138</v>
      </c>
      <c r="B1" s="392" t="s">
        <v>99</v>
      </c>
      <c r="C1" s="392"/>
      <c r="D1" s="392"/>
      <c r="E1" s="392"/>
      <c r="F1" s="392"/>
      <c r="G1" s="392"/>
      <c r="H1" s="392"/>
      <c r="I1" s="392"/>
      <c r="J1" s="392"/>
      <c r="K1" s="392"/>
      <c r="L1" s="392"/>
      <c r="M1" s="392"/>
      <c r="N1" s="392"/>
      <c r="O1" s="392"/>
      <c r="P1" s="392"/>
      <c r="Q1" s="392"/>
      <c r="R1" s="392"/>
      <c r="S1" s="392"/>
      <c r="T1" s="392"/>
      <c r="U1" s="392"/>
      <c r="V1" s="392"/>
      <c r="W1" s="392"/>
      <c r="X1" s="392"/>
      <c r="Y1" s="392"/>
      <c r="Z1" s="392"/>
      <c r="AA1" s="392"/>
      <c r="AB1" s="392"/>
      <c r="AC1" s="392"/>
      <c r="AD1" s="392"/>
      <c r="AE1" s="392"/>
      <c r="AF1" s="392"/>
      <c r="AG1" s="392"/>
    </row>
    <row r="2" spans="1:33" ht="27" customHeight="1" x14ac:dyDescent="0.45">
      <c r="A2" s="349"/>
      <c r="B2" s="342" t="s">
        <v>108</v>
      </c>
      <c r="C2" s="342" t="s">
        <v>109</v>
      </c>
      <c r="D2" s="342" t="s">
        <v>110</v>
      </c>
      <c r="E2" s="342" t="s">
        <v>111</v>
      </c>
      <c r="F2" s="342" t="s">
        <v>112</v>
      </c>
      <c r="G2" s="342" t="s">
        <v>113</v>
      </c>
      <c r="H2" s="342" t="s">
        <v>114</v>
      </c>
      <c r="I2" s="342" t="s">
        <v>115</v>
      </c>
      <c r="J2" s="342" t="s">
        <v>116</v>
      </c>
      <c r="K2" s="342" t="s">
        <v>34</v>
      </c>
      <c r="L2" s="342" t="s">
        <v>117</v>
      </c>
      <c r="M2" s="343" t="s">
        <v>118</v>
      </c>
      <c r="N2" s="342" t="s">
        <v>119</v>
      </c>
      <c r="O2" s="342" t="s">
        <v>101</v>
      </c>
      <c r="P2" s="342" t="s">
        <v>74</v>
      </c>
      <c r="Q2" s="342" t="s">
        <v>10</v>
      </c>
      <c r="R2" s="342" t="s">
        <v>102</v>
      </c>
      <c r="S2" s="342" t="s">
        <v>103</v>
      </c>
      <c r="T2" s="342" t="s">
        <v>120</v>
      </c>
      <c r="U2" s="342" t="s">
        <v>121</v>
      </c>
      <c r="V2" s="342" t="s">
        <v>122</v>
      </c>
      <c r="W2" s="342" t="s">
        <v>135</v>
      </c>
      <c r="X2" s="342" t="s">
        <v>128</v>
      </c>
      <c r="Y2" s="342" t="s">
        <v>79</v>
      </c>
      <c r="Z2" s="342" t="s">
        <v>129</v>
      </c>
      <c r="AA2" s="342" t="s">
        <v>130</v>
      </c>
      <c r="AB2" s="343" t="s">
        <v>13</v>
      </c>
      <c r="AC2" s="343" t="s">
        <v>131</v>
      </c>
      <c r="AD2" s="343" t="s">
        <v>132</v>
      </c>
      <c r="AE2" s="344" t="s">
        <v>124</v>
      </c>
      <c r="AF2" s="344" t="s">
        <v>125</v>
      </c>
      <c r="AG2" s="344" t="s">
        <v>12</v>
      </c>
    </row>
    <row r="3" spans="1:33" x14ac:dyDescent="0.45">
      <c r="A3" s="350" t="s">
        <v>47</v>
      </c>
      <c r="B3" s="345">
        <f t="shared" ref="B3:AG3" si="0">INDEX(B6:B25,MATCH($A$3,$A$6:$A$25,0))</f>
        <v>647105.87</v>
      </c>
      <c r="C3" s="345">
        <f t="shared" si="0"/>
        <v>137148.93</v>
      </c>
      <c r="D3" s="345">
        <f t="shared" si="0"/>
        <v>5735</v>
      </c>
      <c r="E3" s="345">
        <f t="shared" si="0"/>
        <v>0</v>
      </c>
      <c r="F3" s="345">
        <f t="shared" si="0"/>
        <v>186159.04</v>
      </c>
      <c r="G3" s="345">
        <f t="shared" si="0"/>
        <v>0</v>
      </c>
      <c r="H3" s="345">
        <f t="shared" si="0"/>
        <v>0</v>
      </c>
      <c r="I3" s="345">
        <f t="shared" si="0"/>
        <v>0</v>
      </c>
      <c r="J3" s="345">
        <f t="shared" si="0"/>
        <v>0</v>
      </c>
      <c r="K3" s="345">
        <f t="shared" si="0"/>
        <v>976149</v>
      </c>
      <c r="L3" s="345">
        <f t="shared" si="0"/>
        <v>967263</v>
      </c>
      <c r="M3" s="345">
        <f t="shared" si="0"/>
        <v>-193452</v>
      </c>
      <c r="N3" s="345">
        <f t="shared" si="0"/>
        <v>773810</v>
      </c>
      <c r="O3" s="345">
        <f t="shared" si="0"/>
        <v>333650</v>
      </c>
      <c r="P3" s="345">
        <f t="shared" si="0"/>
        <v>333650</v>
      </c>
      <c r="Q3" s="345">
        <f t="shared" si="0"/>
        <v>1300472</v>
      </c>
      <c r="R3" s="345">
        <f t="shared" si="0"/>
        <v>41990</v>
      </c>
      <c r="S3" s="345">
        <f t="shared" si="0"/>
        <v>62</v>
      </c>
      <c r="T3" s="345">
        <f t="shared" si="0"/>
        <v>-902239</v>
      </c>
      <c r="U3" s="345">
        <f t="shared" si="0"/>
        <v>312629</v>
      </c>
      <c r="V3" s="345">
        <f t="shared" si="0"/>
        <v>0</v>
      </c>
      <c r="W3" s="345">
        <f t="shared" si="0"/>
        <v>-589610</v>
      </c>
      <c r="X3" s="345">
        <f t="shared" si="0"/>
        <v>9145717</v>
      </c>
      <c r="Y3" s="345">
        <f t="shared" si="0"/>
        <v>48089590</v>
      </c>
      <c r="Z3" s="345">
        <f t="shared" si="0"/>
        <v>5484026</v>
      </c>
      <c r="AA3" s="345">
        <f t="shared" si="0"/>
        <v>13695395</v>
      </c>
      <c r="AB3" s="345">
        <f t="shared" si="0"/>
        <v>77234475</v>
      </c>
      <c r="AC3" s="345">
        <f t="shared" si="0"/>
        <v>18646411</v>
      </c>
      <c r="AD3" s="345">
        <f t="shared" si="0"/>
        <v>4463973</v>
      </c>
      <c r="AE3" s="345">
        <f t="shared" si="0"/>
        <v>306.95</v>
      </c>
      <c r="AF3" s="345">
        <f t="shared" si="0"/>
        <v>138.79</v>
      </c>
      <c r="AG3" s="346">
        <f t="shared" si="0"/>
        <v>6.6371071466656115E-4</v>
      </c>
    </row>
    <row r="4" spans="1:33" x14ac:dyDescent="0.45">
      <c r="A4" s="348"/>
      <c r="B4" s="347"/>
      <c r="C4" s="347"/>
      <c r="D4" s="347"/>
      <c r="E4" s="347"/>
      <c r="F4" s="347"/>
      <c r="G4" s="347"/>
      <c r="H4" s="347"/>
      <c r="I4" s="347"/>
      <c r="J4" s="347"/>
      <c r="K4" s="347"/>
      <c r="L4" s="347"/>
      <c r="M4" s="347"/>
      <c r="N4" s="347"/>
      <c r="O4" s="347"/>
      <c r="P4" s="347"/>
      <c r="Q4" s="347"/>
      <c r="R4" s="347"/>
      <c r="S4" s="347"/>
      <c r="T4" s="347"/>
      <c r="U4" s="347"/>
      <c r="V4" s="347"/>
      <c r="W4" s="347"/>
      <c r="X4" s="347"/>
      <c r="Y4" s="347"/>
      <c r="Z4" s="347"/>
      <c r="AA4" s="347"/>
      <c r="AB4" s="347"/>
      <c r="AC4" s="347"/>
      <c r="AD4" s="347"/>
      <c r="AE4" s="347"/>
      <c r="AF4" s="347"/>
      <c r="AG4" s="347"/>
    </row>
    <row r="5" spans="1:33" s="295" customFormat="1" ht="46.15" customHeight="1" x14ac:dyDescent="0.45">
      <c r="A5" s="332" t="s">
        <v>126</v>
      </c>
      <c r="B5" s="335" t="s">
        <v>108</v>
      </c>
      <c r="C5" s="335" t="s">
        <v>109</v>
      </c>
      <c r="D5" s="335" t="s">
        <v>110</v>
      </c>
      <c r="E5" s="335" t="s">
        <v>111</v>
      </c>
      <c r="F5" s="335" t="s">
        <v>112</v>
      </c>
      <c r="G5" s="335" t="s">
        <v>113</v>
      </c>
      <c r="H5" s="335" t="s">
        <v>114</v>
      </c>
      <c r="I5" s="335" t="s">
        <v>115</v>
      </c>
      <c r="J5" s="335" t="s">
        <v>116</v>
      </c>
      <c r="K5" s="335" t="s">
        <v>34</v>
      </c>
      <c r="L5" s="335" t="s">
        <v>117</v>
      </c>
      <c r="M5" s="336" t="s">
        <v>118</v>
      </c>
      <c r="N5" s="335" t="s">
        <v>119</v>
      </c>
      <c r="O5" s="335" t="s">
        <v>101</v>
      </c>
      <c r="P5" s="335" t="s">
        <v>74</v>
      </c>
      <c r="Q5" s="335" t="s">
        <v>10</v>
      </c>
      <c r="R5" s="335" t="s">
        <v>102</v>
      </c>
      <c r="S5" s="335" t="s">
        <v>103</v>
      </c>
      <c r="T5" s="335" t="s">
        <v>120</v>
      </c>
      <c r="U5" s="335" t="s">
        <v>121</v>
      </c>
      <c r="V5" s="335" t="s">
        <v>122</v>
      </c>
      <c r="W5" s="335" t="s">
        <v>135</v>
      </c>
      <c r="X5" s="335" t="s">
        <v>128</v>
      </c>
      <c r="Y5" s="335" t="s">
        <v>79</v>
      </c>
      <c r="Z5" s="335" t="s">
        <v>129</v>
      </c>
      <c r="AA5" s="335" t="s">
        <v>130</v>
      </c>
      <c r="AB5" s="336" t="s">
        <v>13</v>
      </c>
      <c r="AC5" s="336" t="s">
        <v>131</v>
      </c>
      <c r="AD5" s="336" t="s">
        <v>132</v>
      </c>
      <c r="AE5" s="337" t="s">
        <v>124</v>
      </c>
      <c r="AF5" s="337" t="s">
        <v>125</v>
      </c>
      <c r="AG5" s="337" t="s">
        <v>12</v>
      </c>
    </row>
    <row r="6" spans="1:33" x14ac:dyDescent="0.45">
      <c r="A6" s="333" t="s">
        <v>80</v>
      </c>
      <c r="B6" s="331">
        <v>8781498.9514483344</v>
      </c>
      <c r="C6" s="331">
        <v>6701724.0000000009</v>
      </c>
      <c r="D6" s="331">
        <v>598858.53802797478</v>
      </c>
      <c r="E6" s="331">
        <v>2196910.87</v>
      </c>
      <c r="F6" s="331">
        <v>2204785.0805236902</v>
      </c>
      <c r="G6" s="331">
        <v>0</v>
      </c>
      <c r="H6" s="331">
        <v>0</v>
      </c>
      <c r="I6" s="331">
        <v>0</v>
      </c>
      <c r="J6" s="331">
        <v>13840637.560000001</v>
      </c>
      <c r="K6" s="331">
        <v>34324415</v>
      </c>
      <c r="L6" s="331">
        <v>32297619</v>
      </c>
      <c r="M6" s="318">
        <v>-9797269</v>
      </c>
      <c r="N6" s="331">
        <v>22500350</v>
      </c>
      <c r="O6" s="318">
        <v>6501338</v>
      </c>
      <c r="P6" s="318">
        <v>6501338</v>
      </c>
      <c r="Q6" s="331">
        <v>22591808</v>
      </c>
      <c r="R6" s="331">
        <v>3425037</v>
      </c>
      <c r="S6" s="331">
        <v>492827</v>
      </c>
      <c r="T6" s="362">
        <v>-9840312</v>
      </c>
      <c r="U6" s="331">
        <v>6628634</v>
      </c>
      <c r="V6" s="331">
        <v>215018</v>
      </c>
      <c r="W6" s="331">
        <v>-2996660</v>
      </c>
      <c r="X6" s="318">
        <v>5530818</v>
      </c>
      <c r="Y6" s="318">
        <v>83208627</v>
      </c>
      <c r="Z6" s="318">
        <v>3838134</v>
      </c>
      <c r="AA6" s="318">
        <v>6344771</v>
      </c>
      <c r="AB6" s="331">
        <v>104615716</v>
      </c>
      <c r="AC6" s="331">
        <v>42260150</v>
      </c>
      <c r="AD6" s="318">
        <v>1357620</v>
      </c>
      <c r="AE6" s="318">
        <v>209.98</v>
      </c>
      <c r="AF6" s="318">
        <v>81.53</v>
      </c>
      <c r="AG6" s="328">
        <f t="shared" ref="AG6:AG24" si="1">K6/$K$25</f>
        <v>2.3338119498315966E-2</v>
      </c>
    </row>
    <row r="7" spans="1:33" x14ac:dyDescent="0.45">
      <c r="A7" s="333" t="s">
        <v>16</v>
      </c>
      <c r="B7" s="331">
        <v>9699695</v>
      </c>
      <c r="C7" s="331">
        <v>1213353</v>
      </c>
      <c r="D7" s="331">
        <v>0</v>
      </c>
      <c r="E7" s="331">
        <v>732253</v>
      </c>
      <c r="F7" s="331">
        <v>1897682</v>
      </c>
      <c r="G7" s="331"/>
      <c r="H7" s="331"/>
      <c r="I7" s="331"/>
      <c r="J7" s="331"/>
      <c r="K7" s="331">
        <v>13542983</v>
      </c>
      <c r="L7" s="331">
        <v>13132776</v>
      </c>
      <c r="M7" s="318">
        <v>-2979456</v>
      </c>
      <c r="N7" s="331">
        <v>10153320</v>
      </c>
      <c r="O7" s="318">
        <v>5583877</v>
      </c>
      <c r="P7" s="318">
        <v>5558446</v>
      </c>
      <c r="Q7" s="331">
        <v>5755052</v>
      </c>
      <c r="R7" s="331">
        <v>1029543</v>
      </c>
      <c r="S7" s="331">
        <v>123211</v>
      </c>
      <c r="T7" s="362">
        <v>-2066510</v>
      </c>
      <c r="U7" s="331">
        <v>1538975</v>
      </c>
      <c r="V7" s="331">
        <v>751937</v>
      </c>
      <c r="W7" s="331">
        <v>218391</v>
      </c>
      <c r="X7" s="318">
        <v>760786</v>
      </c>
      <c r="Y7" s="318">
        <v>136482887</v>
      </c>
      <c r="Z7" s="318">
        <v>3106603</v>
      </c>
      <c r="AA7" s="318">
        <v>6547810</v>
      </c>
      <c r="AB7" s="331">
        <v>146898086</v>
      </c>
      <c r="AC7" s="331">
        <v>67868111</v>
      </c>
      <c r="AD7" s="318">
        <v>10810651</v>
      </c>
      <c r="AE7" s="318">
        <v>202.22</v>
      </c>
      <c r="AF7" s="318">
        <v>51.66</v>
      </c>
      <c r="AG7" s="328">
        <f t="shared" si="1"/>
        <v>9.2082488694319089E-3</v>
      </c>
    </row>
    <row r="8" spans="1:33" x14ac:dyDescent="0.45">
      <c r="A8" s="333" t="s">
        <v>17</v>
      </c>
      <c r="B8" s="331">
        <v>199704410.82050246</v>
      </c>
      <c r="C8" s="331">
        <v>11116706.293660002</v>
      </c>
      <c r="D8" s="331">
        <v>15462936.940766739</v>
      </c>
      <c r="E8" s="331">
        <v>10553959.506241769</v>
      </c>
      <c r="F8" s="331">
        <v>104245252.34677701</v>
      </c>
      <c r="G8" s="331"/>
      <c r="H8" s="331"/>
      <c r="I8" s="331"/>
      <c r="J8" s="331">
        <v>13613350.324279997</v>
      </c>
      <c r="K8" s="331">
        <v>354696616</v>
      </c>
      <c r="L8" s="331">
        <v>343671015</v>
      </c>
      <c r="M8" s="318">
        <v>-98438956</v>
      </c>
      <c r="N8" s="331">
        <v>245232059</v>
      </c>
      <c r="O8" s="318">
        <v>178357518</v>
      </c>
      <c r="P8" s="318">
        <v>177292958</v>
      </c>
      <c r="Q8" s="331">
        <v>58115643</v>
      </c>
      <c r="R8" s="331">
        <v>53416411</v>
      </c>
      <c r="S8" s="331"/>
      <c r="T8" s="362">
        <v>-43592953</v>
      </c>
      <c r="U8" s="331">
        <v>93362034</v>
      </c>
      <c r="V8" s="331">
        <v>997509</v>
      </c>
      <c r="W8" s="331">
        <v>48228261</v>
      </c>
      <c r="X8" s="318">
        <v>93839690</v>
      </c>
      <c r="Y8" s="318">
        <v>1217762680</v>
      </c>
      <c r="Z8" s="318">
        <v>26570688</v>
      </c>
      <c r="AA8" s="318">
        <v>35730766</v>
      </c>
      <c r="AB8" s="331">
        <v>1373903823</v>
      </c>
      <c r="AC8" s="331">
        <v>1003268600</v>
      </c>
      <c r="AD8" s="318">
        <v>84024896</v>
      </c>
      <c r="AE8" s="318">
        <v>130.72999999999999</v>
      </c>
      <c r="AF8" s="318">
        <v>32.450000000000003</v>
      </c>
      <c r="AG8" s="328">
        <f t="shared" si="1"/>
        <v>0.24116804350070617</v>
      </c>
    </row>
    <row r="9" spans="1:33" x14ac:dyDescent="0.45">
      <c r="A9" s="333" t="s">
        <v>97</v>
      </c>
      <c r="B9" s="331">
        <v>342056</v>
      </c>
      <c r="C9" s="331"/>
      <c r="D9" s="331"/>
      <c r="E9" s="331"/>
      <c r="F9" s="331">
        <v>642226</v>
      </c>
      <c r="G9" s="331"/>
      <c r="H9" s="331"/>
      <c r="I9" s="331"/>
      <c r="J9" s="331">
        <v>985710</v>
      </c>
      <c r="K9" s="331">
        <v>1969992</v>
      </c>
      <c r="L9" s="331">
        <v>1927442</v>
      </c>
      <c r="M9" s="318">
        <v>-1432590</v>
      </c>
      <c r="N9" s="331">
        <v>494852</v>
      </c>
      <c r="O9" s="318">
        <v>1928727</v>
      </c>
      <c r="P9" s="318">
        <v>1928727</v>
      </c>
      <c r="Q9" s="331">
        <v>1830324</v>
      </c>
      <c r="R9" s="331">
        <v>174725</v>
      </c>
      <c r="S9" s="331">
        <v>0</v>
      </c>
      <c r="T9" s="362">
        <v>-3438924</v>
      </c>
      <c r="U9" s="331">
        <v>766220</v>
      </c>
      <c r="V9" s="331">
        <v>0</v>
      </c>
      <c r="W9" s="331">
        <v>-2672704</v>
      </c>
      <c r="X9" s="318">
        <v>276042</v>
      </c>
      <c r="Y9" s="318">
        <v>13133080</v>
      </c>
      <c r="Z9" s="318">
        <v>391119</v>
      </c>
      <c r="AA9" s="318">
        <v>2372717</v>
      </c>
      <c r="AB9" s="331">
        <v>16172958</v>
      </c>
      <c r="AC9" s="331">
        <v>4817953</v>
      </c>
      <c r="AD9" s="318">
        <v>1072842</v>
      </c>
      <c r="AE9" s="318">
        <v>278.32</v>
      </c>
      <c r="AF9" s="318">
        <v>104.03</v>
      </c>
      <c r="AG9" s="328">
        <f t="shared" si="1"/>
        <v>1.3394520695174693E-3</v>
      </c>
    </row>
    <row r="10" spans="1:33" x14ac:dyDescent="0.45">
      <c r="A10" s="333" t="s">
        <v>53</v>
      </c>
      <c r="B10" s="331"/>
      <c r="C10" s="331"/>
      <c r="D10" s="331">
        <v>2611374</v>
      </c>
      <c r="E10" s="331"/>
      <c r="F10" s="331"/>
      <c r="G10" s="331"/>
      <c r="H10" s="331"/>
      <c r="I10" s="331"/>
      <c r="J10" s="331"/>
      <c r="K10" s="331">
        <v>2611374</v>
      </c>
      <c r="L10" s="331">
        <v>2265898</v>
      </c>
      <c r="M10" s="318">
        <v>-284687</v>
      </c>
      <c r="N10" s="331">
        <v>1981212</v>
      </c>
      <c r="O10" s="318">
        <v>103223</v>
      </c>
      <c r="P10" s="318">
        <v>82578</v>
      </c>
      <c r="Q10" s="331">
        <v>4469088</v>
      </c>
      <c r="R10" s="331">
        <v>94476</v>
      </c>
      <c r="S10" s="331"/>
      <c r="T10" s="362">
        <v>-2920929</v>
      </c>
      <c r="U10" s="331">
        <v>883235</v>
      </c>
      <c r="V10" s="331">
        <v>1867</v>
      </c>
      <c r="W10" s="331">
        <v>-2035827</v>
      </c>
      <c r="X10" s="318">
        <v>532466</v>
      </c>
      <c r="Y10" s="318">
        <v>14685320</v>
      </c>
      <c r="Z10" s="318">
        <v>3605156</v>
      </c>
      <c r="AA10" s="318">
        <v>5119735</v>
      </c>
      <c r="AB10" s="331">
        <v>24719897</v>
      </c>
      <c r="AC10" s="331">
        <v>5182031</v>
      </c>
      <c r="AD10" s="318">
        <v>5146303</v>
      </c>
      <c r="AE10" s="318">
        <v>293.66000000000003</v>
      </c>
      <c r="AF10" s="318">
        <v>212.7</v>
      </c>
      <c r="AG10" s="328">
        <f t="shared" si="1"/>
        <v>1.7755454380444754E-3</v>
      </c>
    </row>
    <row r="11" spans="1:33" x14ac:dyDescent="0.45">
      <c r="A11" s="333" t="s">
        <v>18</v>
      </c>
      <c r="B11" s="331">
        <v>24488</v>
      </c>
      <c r="C11" s="331">
        <v>0</v>
      </c>
      <c r="D11" s="331">
        <v>0</v>
      </c>
      <c r="E11" s="331">
        <v>301837</v>
      </c>
      <c r="F11" s="331">
        <v>7721983</v>
      </c>
      <c r="G11" s="331">
        <v>0</v>
      </c>
      <c r="H11" s="331">
        <v>0</v>
      </c>
      <c r="I11" s="331">
        <v>0</v>
      </c>
      <c r="J11" s="331">
        <v>156569</v>
      </c>
      <c r="K11" s="331">
        <v>8204877</v>
      </c>
      <c r="L11" s="331">
        <v>8204877</v>
      </c>
      <c r="M11" s="318">
        <v>-820488</v>
      </c>
      <c r="N11" s="331">
        <v>7384389</v>
      </c>
      <c r="O11" s="318">
        <v>11641131</v>
      </c>
      <c r="P11" s="318">
        <v>11641131</v>
      </c>
      <c r="Q11" s="331">
        <v>2886295</v>
      </c>
      <c r="R11" s="331">
        <v>438392</v>
      </c>
      <c r="S11" s="331"/>
      <c r="T11" s="362">
        <v>-7581429</v>
      </c>
      <c r="U11" s="331">
        <v>259492</v>
      </c>
      <c r="V11" s="331">
        <v>80</v>
      </c>
      <c r="W11" s="331">
        <v>-7321857</v>
      </c>
      <c r="X11" s="318">
        <v>7306</v>
      </c>
      <c r="Y11" s="318">
        <v>35650255</v>
      </c>
      <c r="Z11" s="318">
        <v>2571642</v>
      </c>
      <c r="AA11" s="318">
        <v>19580175</v>
      </c>
      <c r="AB11" s="331">
        <v>58301227</v>
      </c>
      <c r="AC11" s="331">
        <v>33749335</v>
      </c>
      <c r="AD11" s="318">
        <v>10437074</v>
      </c>
      <c r="AE11" s="318">
        <v>105.65</v>
      </c>
      <c r="AF11" s="318">
        <v>40.520000000000003</v>
      </c>
      <c r="AG11" s="328">
        <f t="shared" si="1"/>
        <v>5.5787228972433824E-3</v>
      </c>
    </row>
    <row r="12" spans="1:33" x14ac:dyDescent="0.45">
      <c r="A12" s="333" t="s">
        <v>19</v>
      </c>
      <c r="B12" s="331">
        <v>24469950</v>
      </c>
      <c r="C12" s="331">
        <v>3814138</v>
      </c>
      <c r="D12" s="331"/>
      <c r="E12" s="331">
        <v>1485658</v>
      </c>
      <c r="F12" s="331"/>
      <c r="G12" s="331"/>
      <c r="H12" s="331"/>
      <c r="I12" s="331"/>
      <c r="J12" s="331"/>
      <c r="K12" s="331">
        <v>29769746</v>
      </c>
      <c r="L12" s="331">
        <v>28600980</v>
      </c>
      <c r="M12" s="318">
        <v>-10255725</v>
      </c>
      <c r="N12" s="331">
        <v>18345255</v>
      </c>
      <c r="O12" s="318">
        <v>26677802</v>
      </c>
      <c r="P12" s="318">
        <v>26677802</v>
      </c>
      <c r="Q12" s="331">
        <v>13179874</v>
      </c>
      <c r="R12" s="331">
        <v>2115695</v>
      </c>
      <c r="S12" s="331"/>
      <c r="T12" s="362">
        <v>-23628116</v>
      </c>
      <c r="U12" s="331">
        <v>1950023</v>
      </c>
      <c r="V12" s="331">
        <v>10964068</v>
      </c>
      <c r="W12" s="331">
        <v>-10714025</v>
      </c>
      <c r="X12" s="318">
        <v>63158535</v>
      </c>
      <c r="Y12" s="318">
        <v>34722106</v>
      </c>
      <c r="Z12" s="318">
        <v>1784521</v>
      </c>
      <c r="AA12" s="318">
        <v>7098647</v>
      </c>
      <c r="AB12" s="331">
        <v>108931817</v>
      </c>
      <c r="AC12" s="331">
        <v>45772219</v>
      </c>
      <c r="AD12" s="318">
        <v>13112152</v>
      </c>
      <c r="AE12" s="318">
        <v>213.84</v>
      </c>
      <c r="AF12" s="318">
        <v>53.48</v>
      </c>
      <c r="AG12" s="328">
        <f t="shared" si="1"/>
        <v>2.0241274019746985E-2</v>
      </c>
    </row>
    <row r="13" spans="1:33" x14ac:dyDescent="0.45">
      <c r="A13" s="333" t="s">
        <v>20</v>
      </c>
      <c r="B13" s="331">
        <v>50417828</v>
      </c>
      <c r="C13" s="331">
        <v>16100280</v>
      </c>
      <c r="D13" s="331">
        <v>1160152.6100000001</v>
      </c>
      <c r="E13" s="331">
        <v>2026067.83</v>
      </c>
      <c r="F13" s="331">
        <v>21968199.889999997</v>
      </c>
      <c r="G13" s="331">
        <v>112754.38</v>
      </c>
      <c r="H13" s="331"/>
      <c r="I13" s="331"/>
      <c r="J13" s="331"/>
      <c r="K13" s="331">
        <v>91785283</v>
      </c>
      <c r="L13" s="331">
        <v>90241702</v>
      </c>
      <c r="M13" s="318">
        <v>-13895123</v>
      </c>
      <c r="N13" s="331">
        <v>76346579</v>
      </c>
      <c r="O13" s="318">
        <v>61025059</v>
      </c>
      <c r="P13" s="318">
        <v>61025059</v>
      </c>
      <c r="Q13" s="331">
        <v>19935756</v>
      </c>
      <c r="R13" s="331">
        <v>6098299</v>
      </c>
      <c r="S13" s="331"/>
      <c r="T13" s="362">
        <v>-10712534</v>
      </c>
      <c r="U13" s="331">
        <v>8565813</v>
      </c>
      <c r="V13" s="331">
        <v>1401650</v>
      </c>
      <c r="W13" s="331">
        <v>-745070</v>
      </c>
      <c r="X13" s="318">
        <v>23423342</v>
      </c>
      <c r="Y13" s="318">
        <v>433797735</v>
      </c>
      <c r="Z13" s="318">
        <v>35995892</v>
      </c>
      <c r="AA13" s="318">
        <v>7953597</v>
      </c>
      <c r="AB13" s="331">
        <v>501170567</v>
      </c>
      <c r="AC13" s="331">
        <v>213538866</v>
      </c>
      <c r="AD13" s="318">
        <v>65600304</v>
      </c>
      <c r="AE13" s="318">
        <v>214.12</v>
      </c>
      <c r="AF13" s="318">
        <v>28.85</v>
      </c>
      <c r="AG13" s="328">
        <f t="shared" si="1"/>
        <v>6.2407353565698036E-2</v>
      </c>
    </row>
    <row r="14" spans="1:33" x14ac:dyDescent="0.45">
      <c r="A14" s="333" t="s">
        <v>47</v>
      </c>
      <c r="B14" s="331">
        <v>647105.87</v>
      </c>
      <c r="C14" s="331">
        <v>137148.93</v>
      </c>
      <c r="D14" s="331">
        <v>5735</v>
      </c>
      <c r="E14" s="331"/>
      <c r="F14" s="331">
        <v>186159.04</v>
      </c>
      <c r="G14" s="331"/>
      <c r="H14" s="331"/>
      <c r="I14" s="331"/>
      <c r="J14" s="331"/>
      <c r="K14" s="331">
        <v>976149</v>
      </c>
      <c r="L14" s="331">
        <v>967263</v>
      </c>
      <c r="M14" s="318">
        <v>-193452</v>
      </c>
      <c r="N14" s="331">
        <v>773810</v>
      </c>
      <c r="O14" s="318">
        <v>333650</v>
      </c>
      <c r="P14" s="318">
        <v>333650</v>
      </c>
      <c r="Q14" s="331">
        <v>1300472</v>
      </c>
      <c r="R14" s="331">
        <v>41990</v>
      </c>
      <c r="S14" s="331">
        <v>62</v>
      </c>
      <c r="T14" s="362">
        <v>-902239</v>
      </c>
      <c r="U14" s="331">
        <v>312629</v>
      </c>
      <c r="V14" s="331">
        <v>0</v>
      </c>
      <c r="W14" s="331">
        <v>-589610</v>
      </c>
      <c r="X14" s="318">
        <v>9145717</v>
      </c>
      <c r="Y14" s="318">
        <v>48089590</v>
      </c>
      <c r="Z14" s="318">
        <v>5484026</v>
      </c>
      <c r="AA14" s="318">
        <v>13695395</v>
      </c>
      <c r="AB14" s="331">
        <v>77234475</v>
      </c>
      <c r="AC14" s="331">
        <v>18646411</v>
      </c>
      <c r="AD14" s="318">
        <v>4463973</v>
      </c>
      <c r="AE14" s="318">
        <v>306.95</v>
      </c>
      <c r="AF14" s="318">
        <v>138.79</v>
      </c>
      <c r="AG14" s="328">
        <f t="shared" si="1"/>
        <v>6.6371071466656115E-4</v>
      </c>
    </row>
    <row r="15" spans="1:33" x14ac:dyDescent="0.45">
      <c r="A15" s="333" t="s">
        <v>64</v>
      </c>
      <c r="B15" s="331">
        <v>3185013</v>
      </c>
      <c r="C15" s="331">
        <v>8382195</v>
      </c>
      <c r="D15" s="331"/>
      <c r="E15" s="331">
        <v>2764780.9699999988</v>
      </c>
      <c r="F15" s="331">
        <v>4299549</v>
      </c>
      <c r="G15" s="331"/>
      <c r="H15" s="331"/>
      <c r="I15" s="331"/>
      <c r="J15" s="331">
        <v>663283</v>
      </c>
      <c r="K15" s="331">
        <v>19294821</v>
      </c>
      <c r="L15" s="331">
        <v>12376864</v>
      </c>
      <c r="M15" s="318">
        <v>-2279124</v>
      </c>
      <c r="N15" s="331">
        <v>10097740</v>
      </c>
      <c r="O15" s="318">
        <v>3327504</v>
      </c>
      <c r="P15" s="318">
        <v>3327504</v>
      </c>
      <c r="Q15" s="331">
        <v>9460046</v>
      </c>
      <c r="R15" s="331">
        <v>1345884</v>
      </c>
      <c r="S15" s="331"/>
      <c r="T15" s="362">
        <v>-4035694</v>
      </c>
      <c r="U15" s="331">
        <v>4615616</v>
      </c>
      <c r="V15" s="331">
        <v>1740019</v>
      </c>
      <c r="W15" s="331">
        <v>2203944</v>
      </c>
      <c r="X15" s="318">
        <v>7666956</v>
      </c>
      <c r="Y15" s="318">
        <v>74271811</v>
      </c>
      <c r="Z15" s="318">
        <v>9306874</v>
      </c>
      <c r="AA15" s="318">
        <v>1954783</v>
      </c>
      <c r="AB15" s="331">
        <v>93200424</v>
      </c>
      <c r="AC15" s="331">
        <v>8896070</v>
      </c>
      <c r="AD15" s="318">
        <v>22207492</v>
      </c>
      <c r="AE15" s="318">
        <v>921.07</v>
      </c>
      <c r="AF15" s="318">
        <v>87.31</v>
      </c>
      <c r="AG15" s="328">
        <f t="shared" si="1"/>
        <v>1.3119082676183015E-2</v>
      </c>
    </row>
    <row r="16" spans="1:33" x14ac:dyDescent="0.45">
      <c r="A16" s="333" t="s">
        <v>21</v>
      </c>
      <c r="B16" s="331">
        <v>23481622.460000001</v>
      </c>
      <c r="C16" s="331">
        <v>5526794.3099999987</v>
      </c>
      <c r="D16" s="331"/>
      <c r="E16" s="331">
        <v>2430252.39</v>
      </c>
      <c r="F16" s="331">
        <v>4297523.99</v>
      </c>
      <c r="G16" s="331"/>
      <c r="H16" s="331"/>
      <c r="I16" s="331"/>
      <c r="J16" s="331">
        <v>27518584.140000001</v>
      </c>
      <c r="K16" s="331">
        <v>63254778</v>
      </c>
      <c r="L16" s="331">
        <v>62204761</v>
      </c>
      <c r="M16" s="318">
        <v>-6168010</v>
      </c>
      <c r="N16" s="331">
        <v>56036751</v>
      </c>
      <c r="O16" s="318">
        <v>22531501</v>
      </c>
      <c r="P16" s="318">
        <v>22538965</v>
      </c>
      <c r="Q16" s="331">
        <v>7617055</v>
      </c>
      <c r="R16" s="331">
        <v>34987103</v>
      </c>
      <c r="S16" s="331">
        <v>397650</v>
      </c>
      <c r="T16" s="362">
        <v>-11122672</v>
      </c>
      <c r="U16" s="331">
        <v>21106408</v>
      </c>
      <c r="V16" s="331">
        <v>926556</v>
      </c>
      <c r="W16" s="331">
        <v>10702469</v>
      </c>
      <c r="X16" s="318">
        <v>18244712</v>
      </c>
      <c r="Y16" s="318">
        <v>267883092</v>
      </c>
      <c r="Z16" s="318">
        <v>7534623</v>
      </c>
      <c r="AA16" s="318">
        <v>2787365</v>
      </c>
      <c r="AB16" s="331">
        <v>296642130</v>
      </c>
      <c r="AC16" s="331">
        <v>191825664</v>
      </c>
      <c r="AD16" s="318">
        <v>20495163</v>
      </c>
      <c r="AE16" s="318">
        <v>149.16</v>
      </c>
      <c r="AF16" s="318">
        <v>72.37</v>
      </c>
      <c r="AG16" s="328">
        <f t="shared" si="1"/>
        <v>4.3008673791044887E-2</v>
      </c>
    </row>
    <row r="17" spans="1:33" x14ac:dyDescent="0.45">
      <c r="A17" s="333" t="s">
        <v>91</v>
      </c>
      <c r="B17" s="331">
        <v>9043839.671938302</v>
      </c>
      <c r="C17" s="331">
        <v>3810022.68</v>
      </c>
      <c r="D17" s="331">
        <v>18649661.078072403</v>
      </c>
      <c r="E17" s="331">
        <v>680475.36416</v>
      </c>
      <c r="F17" s="331">
        <v>58509336.055829301</v>
      </c>
      <c r="G17" s="331"/>
      <c r="H17" s="331"/>
      <c r="I17" s="331"/>
      <c r="J17" s="331"/>
      <c r="K17" s="331">
        <v>90693335</v>
      </c>
      <c r="L17" s="331">
        <v>90102338</v>
      </c>
      <c r="M17" s="318">
        <v>-30650248</v>
      </c>
      <c r="N17" s="331">
        <v>59452089</v>
      </c>
      <c r="O17" s="318">
        <v>29792410</v>
      </c>
      <c r="P17" s="318">
        <v>29690910</v>
      </c>
      <c r="Q17" s="331">
        <v>17223940</v>
      </c>
      <c r="R17" s="331">
        <v>11254522</v>
      </c>
      <c r="S17" s="331">
        <v>100707</v>
      </c>
      <c r="T17" s="362">
        <v>1383425</v>
      </c>
      <c r="U17" s="331">
        <v>9243781</v>
      </c>
      <c r="V17" s="331">
        <v>1706886</v>
      </c>
      <c r="W17" s="331">
        <v>11717388</v>
      </c>
      <c r="X17" s="318">
        <v>8441132</v>
      </c>
      <c r="Y17" s="318">
        <v>145790685</v>
      </c>
      <c r="Z17" s="318">
        <v>23445970</v>
      </c>
      <c r="AA17" s="318">
        <v>22116866</v>
      </c>
      <c r="AB17" s="331">
        <v>199794653</v>
      </c>
      <c r="AC17" s="331">
        <v>108119266</v>
      </c>
      <c r="AD17" s="318">
        <v>8013461</v>
      </c>
      <c r="AE17" s="318">
        <v>142.65</v>
      </c>
      <c r="AF17" s="318">
        <v>31.61</v>
      </c>
      <c r="AG17" s="328">
        <f t="shared" si="1"/>
        <v>6.1664907906829644E-2</v>
      </c>
    </row>
    <row r="18" spans="1:33" x14ac:dyDescent="0.45">
      <c r="A18" s="333" t="s">
        <v>22</v>
      </c>
      <c r="B18" s="331">
        <v>29986571.949999996</v>
      </c>
      <c r="C18" s="331">
        <v>22995610.320000004</v>
      </c>
      <c r="D18" s="331">
        <v>28517.289999999997</v>
      </c>
      <c r="E18" s="331">
        <v>1534963.37</v>
      </c>
      <c r="F18" s="331">
        <v>5500184.2799999984</v>
      </c>
      <c r="G18" s="331"/>
      <c r="H18" s="331">
        <v>667030</v>
      </c>
      <c r="I18" s="331">
        <v>75926.710000000006</v>
      </c>
      <c r="J18" s="331">
        <v>6825426.4199999962</v>
      </c>
      <c r="K18" s="331">
        <v>67614230</v>
      </c>
      <c r="L18" s="331">
        <v>58427049</v>
      </c>
      <c r="M18" s="318">
        <v>-20179000</v>
      </c>
      <c r="N18" s="331">
        <v>38248049</v>
      </c>
      <c r="O18" s="318">
        <v>39306451</v>
      </c>
      <c r="P18" s="318">
        <v>39306451</v>
      </c>
      <c r="Q18" s="331">
        <v>20269427</v>
      </c>
      <c r="R18" s="331">
        <v>7715603</v>
      </c>
      <c r="S18" s="331">
        <v>1627601</v>
      </c>
      <c r="T18" s="362">
        <v>-27415830</v>
      </c>
      <c r="U18" s="331">
        <v>26327461</v>
      </c>
      <c r="V18" s="331">
        <v>9768881</v>
      </c>
      <c r="W18" s="331">
        <v>8032406</v>
      </c>
      <c r="X18" s="318">
        <v>15451394</v>
      </c>
      <c r="Y18" s="318">
        <v>378160218</v>
      </c>
      <c r="Z18" s="318">
        <v>14116470</v>
      </c>
      <c r="AA18" s="318">
        <v>9146089</v>
      </c>
      <c r="AB18" s="331">
        <v>416874171</v>
      </c>
      <c r="AC18" s="331">
        <v>296807647</v>
      </c>
      <c r="AD18" s="318">
        <v>35410275</v>
      </c>
      <c r="AE18" s="318">
        <v>132.62</v>
      </c>
      <c r="AF18" s="318">
        <v>47.9</v>
      </c>
      <c r="AG18" s="328">
        <f t="shared" si="1"/>
        <v>4.5972785829754725E-2</v>
      </c>
    </row>
    <row r="19" spans="1:33" x14ac:dyDescent="0.45">
      <c r="A19" s="333" t="s">
        <v>24</v>
      </c>
      <c r="B19" s="331">
        <v>69824920.311333194</v>
      </c>
      <c r="C19" s="331">
        <v>8626028.9503498841</v>
      </c>
      <c r="D19" s="331">
        <v>13036660.638256624</v>
      </c>
      <c r="E19" s="331">
        <v>4420181.7183774728</v>
      </c>
      <c r="F19" s="331">
        <v>40263340.700332671</v>
      </c>
      <c r="G19" s="331"/>
      <c r="H19" s="331"/>
      <c r="I19" s="331"/>
      <c r="J19" s="331">
        <v>2810953.1613500933</v>
      </c>
      <c r="K19" s="331">
        <v>138982085</v>
      </c>
      <c r="L19" s="331">
        <v>135051921</v>
      </c>
      <c r="M19" s="318">
        <v>-60936638</v>
      </c>
      <c r="N19" s="331">
        <v>74115283</v>
      </c>
      <c r="O19" s="318">
        <v>38930255</v>
      </c>
      <c r="P19" s="318">
        <v>38930255</v>
      </c>
      <c r="Q19" s="331">
        <v>28295283</v>
      </c>
      <c r="R19" s="331">
        <v>25027169</v>
      </c>
      <c r="S19" s="331">
        <v>0</v>
      </c>
      <c r="T19" s="362">
        <v>-18137424</v>
      </c>
      <c r="U19" s="331">
        <v>29599465</v>
      </c>
      <c r="V19" s="331">
        <v>421301</v>
      </c>
      <c r="W19" s="331">
        <v>11535326</v>
      </c>
      <c r="X19" s="318">
        <v>40002483</v>
      </c>
      <c r="Y19" s="318">
        <v>370680947</v>
      </c>
      <c r="Z19" s="318">
        <v>9224329</v>
      </c>
      <c r="AA19" s="318">
        <v>13872157</v>
      </c>
      <c r="AB19" s="331">
        <v>448686855</v>
      </c>
      <c r="AC19" s="331">
        <v>320882434</v>
      </c>
      <c r="AD19" s="318">
        <v>23983200</v>
      </c>
      <c r="AE19" s="318">
        <v>179.95</v>
      </c>
      <c r="AF19" s="318">
        <v>36.659999999999997</v>
      </c>
      <c r="AG19" s="328">
        <f t="shared" si="1"/>
        <v>9.4497765157981778E-2</v>
      </c>
    </row>
    <row r="20" spans="1:33" x14ac:dyDescent="0.45">
      <c r="A20" s="333" t="s">
        <v>25</v>
      </c>
      <c r="B20" s="331">
        <v>4975627.3100000005</v>
      </c>
      <c r="C20" s="331">
        <v>260593</v>
      </c>
      <c r="D20" s="331">
        <v>0</v>
      </c>
      <c r="E20" s="331">
        <v>654168.55000000005</v>
      </c>
      <c r="F20" s="331">
        <v>443840.62</v>
      </c>
      <c r="G20" s="331">
        <v>0</v>
      </c>
      <c r="H20" s="331">
        <v>0</v>
      </c>
      <c r="I20" s="331">
        <v>0</v>
      </c>
      <c r="J20" s="331">
        <v>7341214.5199999996</v>
      </c>
      <c r="K20" s="331">
        <v>13675444</v>
      </c>
      <c r="L20" s="331">
        <v>13582769</v>
      </c>
      <c r="M20" s="318">
        <v>-4074831</v>
      </c>
      <c r="N20" s="331">
        <v>9507938</v>
      </c>
      <c r="O20" s="318">
        <v>9753989</v>
      </c>
      <c r="P20" s="318">
        <v>9753989</v>
      </c>
      <c r="Q20" s="331">
        <v>4629106</v>
      </c>
      <c r="R20" s="331">
        <v>309741</v>
      </c>
      <c r="S20" s="331"/>
      <c r="T20" s="362">
        <v>-5225005</v>
      </c>
      <c r="U20" s="331">
        <v>6513632</v>
      </c>
      <c r="V20" s="331">
        <v>680140</v>
      </c>
      <c r="W20" s="331">
        <v>1968767</v>
      </c>
      <c r="X20" s="318">
        <v>3259874</v>
      </c>
      <c r="Y20" s="318">
        <v>110088447</v>
      </c>
      <c r="Z20" s="318">
        <v>4027840</v>
      </c>
      <c r="AA20" s="318">
        <v>3325235</v>
      </c>
      <c r="AB20" s="331">
        <v>120755965</v>
      </c>
      <c r="AC20" s="331">
        <v>62988899</v>
      </c>
      <c r="AD20" s="318">
        <v>1675861</v>
      </c>
      <c r="AE20" s="318">
        <v>719.61</v>
      </c>
      <c r="AF20" s="318">
        <v>89.88</v>
      </c>
      <c r="AG20" s="328">
        <f t="shared" si="1"/>
        <v>9.2983127684631503E-3</v>
      </c>
    </row>
    <row r="21" spans="1:33" x14ac:dyDescent="0.45">
      <c r="A21" s="333" t="s">
        <v>26</v>
      </c>
      <c r="B21" s="331">
        <v>2137026</v>
      </c>
      <c r="C21" s="331">
        <v>4405141</v>
      </c>
      <c r="D21" s="331">
        <v>260943</v>
      </c>
      <c r="E21" s="331">
        <v>9456923</v>
      </c>
      <c r="F21" s="331">
        <v>1524139</v>
      </c>
      <c r="G21" s="331"/>
      <c r="H21" s="331"/>
      <c r="I21" s="331"/>
      <c r="J21" s="331"/>
      <c r="K21" s="331">
        <v>17784172</v>
      </c>
      <c r="L21" s="331">
        <v>11973729</v>
      </c>
      <c r="M21" s="318">
        <v>-747775</v>
      </c>
      <c r="N21" s="331">
        <v>11225954</v>
      </c>
      <c r="O21" s="318">
        <v>4124217</v>
      </c>
      <c r="P21" s="318">
        <v>4124217</v>
      </c>
      <c r="Q21" s="331">
        <v>7539052</v>
      </c>
      <c r="R21" s="331">
        <v>3223045</v>
      </c>
      <c r="S21" s="331"/>
      <c r="T21" s="362">
        <v>-3660360</v>
      </c>
      <c r="U21" s="331">
        <v>3383179</v>
      </c>
      <c r="V21" s="331">
        <v>985053</v>
      </c>
      <c r="W21" s="331">
        <v>672478</v>
      </c>
      <c r="X21" s="318">
        <v>858271</v>
      </c>
      <c r="Y21" s="318">
        <v>55078045</v>
      </c>
      <c r="Z21" s="318">
        <v>898273</v>
      </c>
      <c r="AA21" s="318">
        <v>4198107</v>
      </c>
      <c r="AB21" s="331">
        <v>64441462</v>
      </c>
      <c r="AC21" s="331">
        <v>7773099</v>
      </c>
      <c r="AD21" s="318">
        <v>3857939</v>
      </c>
      <c r="AE21" s="318">
        <v>114.41</v>
      </c>
      <c r="AF21" s="318">
        <v>23.67</v>
      </c>
      <c r="AG21" s="328">
        <f t="shared" si="1"/>
        <v>1.2091950622162239E-2</v>
      </c>
    </row>
    <row r="22" spans="1:33" x14ac:dyDescent="0.45">
      <c r="A22" s="333" t="s">
        <v>27</v>
      </c>
      <c r="B22" s="331">
        <v>227454473.12289709</v>
      </c>
      <c r="C22" s="331">
        <v>16132657.535</v>
      </c>
      <c r="D22" s="331">
        <v>31101.814999999999</v>
      </c>
      <c r="E22" s="331">
        <v>4142020.74</v>
      </c>
      <c r="F22" s="331">
        <v>17094718.93</v>
      </c>
      <c r="G22" s="331"/>
      <c r="H22" s="331"/>
      <c r="I22" s="331"/>
      <c r="J22" s="331"/>
      <c r="K22" s="331">
        <v>264854972</v>
      </c>
      <c r="L22" s="331">
        <v>263948802</v>
      </c>
      <c r="M22" s="318">
        <v>-46960079</v>
      </c>
      <c r="N22" s="331">
        <v>216988723</v>
      </c>
      <c r="O22" s="318">
        <v>195844717</v>
      </c>
      <c r="P22" s="318">
        <v>195844717</v>
      </c>
      <c r="Q22" s="331">
        <v>45969906</v>
      </c>
      <c r="R22" s="331">
        <v>16495909</v>
      </c>
      <c r="S22" s="331">
        <v>606684</v>
      </c>
      <c r="T22" s="362">
        <v>-40715125</v>
      </c>
      <c r="U22" s="331">
        <v>44611521</v>
      </c>
      <c r="V22" s="331">
        <v>978000</v>
      </c>
      <c r="W22" s="331">
        <v>4631473</v>
      </c>
      <c r="X22" s="318">
        <v>33863750</v>
      </c>
      <c r="Y22" s="318">
        <v>823666631</v>
      </c>
      <c r="Z22" s="318">
        <v>84927812</v>
      </c>
      <c r="AA22" s="318">
        <v>65000814</v>
      </c>
      <c r="AB22" s="331">
        <v>1007459007</v>
      </c>
      <c r="AC22" s="331">
        <v>749549143</v>
      </c>
      <c r="AD22" s="318">
        <v>24223531</v>
      </c>
      <c r="AE22" s="318">
        <v>132.04</v>
      </c>
      <c r="AF22" s="318">
        <v>24.33</v>
      </c>
      <c r="AG22" s="328">
        <f t="shared" si="1"/>
        <v>0.18008222387065095</v>
      </c>
    </row>
    <row r="23" spans="1:33" x14ac:dyDescent="0.45">
      <c r="A23" s="333" t="s">
        <v>28</v>
      </c>
      <c r="B23" s="331">
        <v>12346406</v>
      </c>
      <c r="C23" s="331">
        <v>7222836</v>
      </c>
      <c r="D23" s="331">
        <v>40501505</v>
      </c>
      <c r="E23" s="331">
        <v>3434375</v>
      </c>
      <c r="F23" s="331">
        <v>187638435</v>
      </c>
      <c r="G23" s="331"/>
      <c r="H23" s="331"/>
      <c r="I23" s="331"/>
      <c r="J23" s="331"/>
      <c r="K23" s="331">
        <v>251143557</v>
      </c>
      <c r="L23" s="331">
        <v>248633170</v>
      </c>
      <c r="M23" s="318">
        <v>-83060012</v>
      </c>
      <c r="N23" s="331">
        <v>165573158</v>
      </c>
      <c r="O23" s="318">
        <v>130186295</v>
      </c>
      <c r="P23" s="318">
        <v>130186295</v>
      </c>
      <c r="Q23" s="331">
        <v>30347259</v>
      </c>
      <c r="R23" s="331">
        <v>30143451</v>
      </c>
      <c r="S23" s="331">
        <v>645155</v>
      </c>
      <c r="T23" s="362">
        <v>-24458692</v>
      </c>
      <c r="U23" s="331">
        <v>52799531</v>
      </c>
      <c r="V23" s="331">
        <v>847806</v>
      </c>
      <c r="W23" s="331">
        <v>25282993</v>
      </c>
      <c r="X23" s="318">
        <v>49122513</v>
      </c>
      <c r="Y23" s="318">
        <v>1071552927</v>
      </c>
      <c r="Z23" s="318">
        <v>106952828</v>
      </c>
      <c r="AA23" s="318">
        <v>61177635</v>
      </c>
      <c r="AB23" s="331">
        <v>1289140615</v>
      </c>
      <c r="AC23" s="331">
        <v>848732323</v>
      </c>
      <c r="AD23" s="318">
        <v>80061226</v>
      </c>
      <c r="AE23" s="318">
        <v>369.67</v>
      </c>
      <c r="AF23" s="318">
        <v>118.99</v>
      </c>
      <c r="AG23" s="328">
        <f t="shared" si="1"/>
        <v>0.17075945342398779</v>
      </c>
    </row>
    <row r="24" spans="1:33" x14ac:dyDescent="0.45">
      <c r="A24" s="333" t="s">
        <v>31</v>
      </c>
      <c r="B24" s="331">
        <v>868809.26558540831</v>
      </c>
      <c r="C24" s="331">
        <v>3693885</v>
      </c>
      <c r="D24" s="331">
        <v>218049.74533472466</v>
      </c>
      <c r="E24" s="331">
        <v>65084</v>
      </c>
      <c r="F24" s="331">
        <v>714830.98907986702</v>
      </c>
      <c r="G24" s="331"/>
      <c r="H24" s="331"/>
      <c r="I24" s="331"/>
      <c r="J24" s="331">
        <v>5187.9000000003725</v>
      </c>
      <c r="K24" s="331">
        <v>5565847</v>
      </c>
      <c r="L24" s="331">
        <v>3739438</v>
      </c>
      <c r="M24" s="318">
        <v>-65175</v>
      </c>
      <c r="N24" s="331">
        <v>3674263</v>
      </c>
      <c r="O24" s="318">
        <v>2406392</v>
      </c>
      <c r="P24" s="318">
        <v>2406392</v>
      </c>
      <c r="Q24" s="331">
        <v>3624850</v>
      </c>
      <c r="R24" s="331">
        <v>824685</v>
      </c>
      <c r="S24" s="331">
        <v>527158</v>
      </c>
      <c r="T24" s="362">
        <v>-2654506</v>
      </c>
      <c r="U24" s="331">
        <v>150285</v>
      </c>
      <c r="V24" s="331">
        <v>5756</v>
      </c>
      <c r="W24" s="331">
        <v>-2498465</v>
      </c>
      <c r="X24" s="318">
        <v>19110559</v>
      </c>
      <c r="Y24" s="318">
        <v>20964324</v>
      </c>
      <c r="Z24" s="318">
        <v>8716826</v>
      </c>
      <c r="AA24" s="318">
        <v>2687475</v>
      </c>
      <c r="AB24" s="331">
        <v>51479184</v>
      </c>
      <c r="AC24" s="331">
        <v>10840625</v>
      </c>
      <c r="AD24" s="318">
        <v>1888719</v>
      </c>
      <c r="AE24" s="318"/>
      <c r="AF24" s="318"/>
      <c r="AG24" s="328">
        <f t="shared" si="1"/>
        <v>3.7843733795708805E-3</v>
      </c>
    </row>
    <row r="25" spans="1:33" s="137" customFormat="1" x14ac:dyDescent="0.45">
      <c r="A25" s="334" t="s">
        <v>67</v>
      </c>
      <c r="B25" s="338">
        <f t="shared" ref="B25:AD25" si="2">SUM(B6:B24)</f>
        <v>677391341.73370481</v>
      </c>
      <c r="C25" s="338">
        <f t="shared" si="2"/>
        <v>120139114.01900987</v>
      </c>
      <c r="D25" s="338">
        <f t="shared" si="2"/>
        <v>92565495.655458465</v>
      </c>
      <c r="E25" s="338">
        <f t="shared" si="2"/>
        <v>46879911.308779247</v>
      </c>
      <c r="F25" s="338">
        <f t="shared" si="2"/>
        <v>459152185.92254257</v>
      </c>
      <c r="G25" s="338">
        <f t="shared" si="2"/>
        <v>112754.38</v>
      </c>
      <c r="H25" s="338">
        <f t="shared" si="2"/>
        <v>667030</v>
      </c>
      <c r="I25" s="338">
        <f t="shared" si="2"/>
        <v>75926.710000000006</v>
      </c>
      <c r="J25" s="338">
        <f t="shared" si="2"/>
        <v>73760916.025630087</v>
      </c>
      <c r="K25" s="338">
        <f t="shared" si="2"/>
        <v>1470744676</v>
      </c>
      <c r="L25" s="338">
        <f t="shared" si="2"/>
        <v>1421350413</v>
      </c>
      <c r="M25" s="339">
        <f t="shared" si="2"/>
        <v>-393218638</v>
      </c>
      <c r="N25" s="338">
        <f t="shared" si="2"/>
        <v>1028131774</v>
      </c>
      <c r="O25" s="338">
        <f>SUM(O6:O24)</f>
        <v>768356056</v>
      </c>
      <c r="P25" s="322">
        <f>SUM(P6:P24)</f>
        <v>767151384</v>
      </c>
      <c r="Q25" s="322">
        <f>SUM(Q6:Q24)</f>
        <v>305040236</v>
      </c>
      <c r="R25" s="322">
        <f>SUM(R6:R24)</f>
        <v>198161680</v>
      </c>
      <c r="S25" s="322">
        <f>SUM(S6:S24)</f>
        <v>4521055</v>
      </c>
      <c r="T25" s="322">
        <f t="shared" si="2"/>
        <v>-240725829</v>
      </c>
      <c r="U25" s="322">
        <f t="shared" si="2"/>
        <v>312617934</v>
      </c>
      <c r="V25" s="322">
        <f t="shared" si="2"/>
        <v>32392527</v>
      </c>
      <c r="W25" s="322">
        <f t="shared" si="2"/>
        <v>95619678</v>
      </c>
      <c r="X25" s="322">
        <f t="shared" si="2"/>
        <v>392696346</v>
      </c>
      <c r="Y25" s="322">
        <f t="shared" si="2"/>
        <v>5335669407</v>
      </c>
      <c r="Z25" s="322">
        <f t="shared" si="2"/>
        <v>352499626</v>
      </c>
      <c r="AA25" s="322">
        <f t="shared" si="2"/>
        <v>290710139</v>
      </c>
      <c r="AB25" s="322">
        <f>SUM(AB6:AB24)</f>
        <v>6400423032</v>
      </c>
      <c r="AC25" s="322">
        <f t="shared" si="2"/>
        <v>4041518846</v>
      </c>
      <c r="AD25" s="322">
        <f t="shared" si="2"/>
        <v>417842682</v>
      </c>
      <c r="AE25" s="340">
        <f>AVERAGE(AE6:AE24)</f>
        <v>267.59166666666664</v>
      </c>
      <c r="AF25" s="340">
        <f>AVERAGE(AF6:AF24)</f>
        <v>70.929444444444428</v>
      </c>
      <c r="AG25" s="340">
        <f>SUM(AG6:AG24)</f>
        <v>1</v>
      </c>
    </row>
    <row r="26" spans="1:33" x14ac:dyDescent="0.45">
      <c r="B26" s="324"/>
      <c r="C26" s="324"/>
      <c r="D26" s="324"/>
      <c r="E26" s="324"/>
      <c r="F26" s="324"/>
      <c r="G26" s="324"/>
      <c r="H26" s="324"/>
      <c r="I26" s="324"/>
      <c r="J26" s="324"/>
      <c r="K26" s="324"/>
      <c r="L26" s="324"/>
      <c r="M26" s="324"/>
      <c r="N26" s="325"/>
      <c r="O26" s="325"/>
      <c r="P26" s="324"/>
      <c r="Q26" s="324"/>
      <c r="R26" s="324"/>
      <c r="S26" s="324"/>
      <c r="T26" s="324"/>
      <c r="U26" s="324"/>
      <c r="V26" s="324"/>
      <c r="W26" s="324"/>
      <c r="X26" s="324"/>
      <c r="Y26" s="324"/>
      <c r="Z26" s="324"/>
      <c r="AA26" s="324"/>
      <c r="AB26" s="324"/>
      <c r="AC26" s="324"/>
      <c r="AD26" s="324"/>
      <c r="AE26" s="324"/>
      <c r="AF26" s="324"/>
      <c r="AG26" s="324"/>
    </row>
  </sheetData>
  <mergeCells count="1">
    <mergeCell ref="B1:AG1"/>
  </mergeCells>
  <dataValidations count="1">
    <dataValidation type="list" allowBlank="1" showInputMessage="1" showErrorMessage="1" sqref="A3" xr:uid="{00000000-0002-0000-2800-000000000000}">
      <formula1>$A$6:$A$25</formula1>
    </dataValidation>
  </dataValidations>
  <pageMargins left="0.7" right="0.7" top="0.75" bottom="0.75" header="0.3" footer="0.3"/>
  <pageSetup orientation="portrait" r:id="rId1"/>
  <customProperties>
    <customPr name="LastActive" r:id="rId2"/>
  </customProperties>
  <legacyDrawing r:id="rId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tabColor theme="3" tint="0.39997558519241921"/>
  </sheetPr>
  <dimension ref="A1:AG37"/>
  <sheetViews>
    <sheetView zoomScale="70" zoomScaleNormal="70" workbookViewId="0"/>
  </sheetViews>
  <sheetFormatPr defaultRowHeight="14.25" x14ac:dyDescent="0.45"/>
  <cols>
    <col min="1" max="1" width="66.3984375" bestFit="1" customWidth="1"/>
    <col min="2" max="2" width="20.73046875" style="326" customWidth="1"/>
    <col min="3" max="5" width="17.73046875" style="326" bestFit="1" customWidth="1"/>
    <col min="6" max="6" width="19" style="326" customWidth="1"/>
    <col min="7" max="7" width="13.265625" style="326" bestFit="1" customWidth="1"/>
    <col min="8" max="8" width="13.73046875" style="326" bestFit="1" customWidth="1"/>
    <col min="9" max="9" width="17.73046875" style="326" customWidth="1"/>
    <col min="10" max="10" width="27.3984375" style="326" bestFit="1" customWidth="1"/>
    <col min="11" max="11" width="21.73046875" style="326" bestFit="1" customWidth="1"/>
    <col min="12" max="12" width="22.3984375" style="326" bestFit="1" customWidth="1"/>
    <col min="13" max="13" width="24.265625" style="326" customWidth="1"/>
    <col min="14" max="14" width="18.73046875" style="326" bestFit="1" customWidth="1"/>
    <col min="15" max="15" width="22" style="326" customWidth="1"/>
    <col min="16" max="16" width="22.3984375" style="326" customWidth="1"/>
    <col min="17" max="17" width="20.73046875" style="326" bestFit="1" customWidth="1"/>
    <col min="18" max="18" width="22.73046875" style="326" bestFit="1" customWidth="1"/>
    <col min="19" max="19" width="18.265625" style="326" bestFit="1" customWidth="1"/>
    <col min="20" max="20" width="19.265625" style="326" bestFit="1" customWidth="1"/>
    <col min="21" max="21" width="25.265625" style="326" bestFit="1" customWidth="1"/>
    <col min="22" max="22" width="18.73046875" style="326" bestFit="1" customWidth="1"/>
    <col min="23" max="23" width="20" style="326" bestFit="1" customWidth="1"/>
    <col min="24" max="24" width="19.3984375" style="326" bestFit="1" customWidth="1"/>
    <col min="25" max="25" width="21.265625" style="326" bestFit="1" customWidth="1"/>
    <col min="26" max="26" width="17.73046875" style="326" bestFit="1" customWidth="1"/>
    <col min="27" max="27" width="18.265625" style="326" bestFit="1" customWidth="1"/>
    <col min="28" max="28" width="21.265625" style="326" bestFit="1" customWidth="1"/>
    <col min="29" max="29" width="25" style="326" bestFit="1" customWidth="1"/>
    <col min="30" max="30" width="18.73046875" style="326" bestFit="1" customWidth="1"/>
    <col min="31" max="31" width="17.265625" style="326" customWidth="1"/>
    <col min="32" max="32" width="17.265625" style="326" bestFit="1" customWidth="1"/>
    <col min="33" max="33" width="13" style="326" bestFit="1" customWidth="1"/>
  </cols>
  <sheetData>
    <row r="1" spans="1:33" ht="20.65" x14ac:dyDescent="0.55000000000000004">
      <c r="A1" s="341" t="s">
        <v>139</v>
      </c>
      <c r="B1" s="392" t="s">
        <v>99</v>
      </c>
      <c r="C1" s="392"/>
      <c r="D1" s="392"/>
      <c r="E1" s="392"/>
      <c r="F1" s="392"/>
      <c r="G1" s="392"/>
      <c r="H1" s="392"/>
      <c r="I1" s="392"/>
      <c r="J1" s="392"/>
      <c r="K1" s="392"/>
      <c r="L1" s="392"/>
      <c r="M1" s="392"/>
      <c r="N1" s="392"/>
      <c r="O1" s="392"/>
      <c r="P1" s="392"/>
      <c r="Q1" s="392"/>
      <c r="R1" s="392"/>
      <c r="S1" s="392"/>
      <c r="T1" s="392"/>
      <c r="U1" s="392"/>
      <c r="V1" s="392"/>
      <c r="W1" s="392"/>
      <c r="X1" s="392"/>
      <c r="Y1" s="392"/>
      <c r="Z1" s="392"/>
      <c r="AA1" s="392"/>
      <c r="AB1" s="392"/>
      <c r="AC1" s="392"/>
      <c r="AD1" s="392"/>
      <c r="AE1" s="392"/>
      <c r="AF1" s="392"/>
      <c r="AG1" s="392"/>
    </row>
    <row r="2" spans="1:33" ht="27" customHeight="1" x14ac:dyDescent="0.45">
      <c r="A2" s="349"/>
      <c r="B2" s="342" t="s">
        <v>108</v>
      </c>
      <c r="C2" s="342" t="s">
        <v>109</v>
      </c>
      <c r="D2" s="342" t="s">
        <v>110</v>
      </c>
      <c r="E2" s="342" t="s">
        <v>111</v>
      </c>
      <c r="F2" s="342" t="s">
        <v>112</v>
      </c>
      <c r="G2" s="342" t="s">
        <v>113</v>
      </c>
      <c r="H2" s="342" t="s">
        <v>114</v>
      </c>
      <c r="I2" s="342" t="s">
        <v>115</v>
      </c>
      <c r="J2" s="342" t="s">
        <v>116</v>
      </c>
      <c r="K2" s="342" t="s">
        <v>34</v>
      </c>
      <c r="L2" s="342" t="s">
        <v>117</v>
      </c>
      <c r="M2" s="343" t="s">
        <v>118</v>
      </c>
      <c r="N2" s="342" t="s">
        <v>119</v>
      </c>
      <c r="O2" s="342" t="s">
        <v>101</v>
      </c>
      <c r="P2" s="342" t="s">
        <v>74</v>
      </c>
      <c r="Q2" s="342" t="s">
        <v>10</v>
      </c>
      <c r="R2" s="342" t="s">
        <v>102</v>
      </c>
      <c r="S2" s="342" t="s">
        <v>103</v>
      </c>
      <c r="T2" s="342" t="s">
        <v>120</v>
      </c>
      <c r="U2" s="342" t="s">
        <v>121</v>
      </c>
      <c r="V2" s="342" t="s">
        <v>122</v>
      </c>
      <c r="W2" s="342" t="s">
        <v>135</v>
      </c>
      <c r="X2" s="342" t="s">
        <v>128</v>
      </c>
      <c r="Y2" s="342" t="s">
        <v>79</v>
      </c>
      <c r="Z2" s="342" t="s">
        <v>129</v>
      </c>
      <c r="AA2" s="342" t="s">
        <v>130</v>
      </c>
      <c r="AB2" s="343" t="s">
        <v>13</v>
      </c>
      <c r="AC2" s="343" t="s">
        <v>131</v>
      </c>
      <c r="AD2" s="343" t="s">
        <v>132</v>
      </c>
      <c r="AE2" s="344" t="s">
        <v>124</v>
      </c>
      <c r="AF2" s="344" t="s">
        <v>125</v>
      </c>
      <c r="AG2" s="344" t="s">
        <v>12</v>
      </c>
    </row>
    <row r="3" spans="1:33" x14ac:dyDescent="0.45">
      <c r="A3" s="350" t="s">
        <v>21</v>
      </c>
      <c r="B3" s="345">
        <f t="shared" ref="B3:AG3" si="0">INDEX(B6:B25,MATCH($A$3,$A$6:$A$25,0))</f>
        <v>35055024.869999997</v>
      </c>
      <c r="C3" s="345">
        <f t="shared" si="0"/>
        <v>8374735.7800000003</v>
      </c>
      <c r="D3" s="345">
        <f t="shared" si="0"/>
        <v>0</v>
      </c>
      <c r="E3" s="345">
        <f t="shared" si="0"/>
        <v>4359644.78</v>
      </c>
      <c r="F3" s="345">
        <f t="shared" si="0"/>
        <v>6567603.3700000001</v>
      </c>
      <c r="G3" s="345">
        <f t="shared" si="0"/>
        <v>0</v>
      </c>
      <c r="H3" s="345">
        <f t="shared" si="0"/>
        <v>0</v>
      </c>
      <c r="I3" s="345">
        <f t="shared" si="0"/>
        <v>0</v>
      </c>
      <c r="J3" s="345">
        <f t="shared" si="0"/>
        <v>34330833.460000001</v>
      </c>
      <c r="K3" s="345">
        <f t="shared" si="0"/>
        <v>88687842</v>
      </c>
      <c r="L3" s="345">
        <f t="shared" si="0"/>
        <v>87073380</v>
      </c>
      <c r="M3" s="345">
        <f t="shared" si="0"/>
        <v>-18991750</v>
      </c>
      <c r="N3" s="345">
        <f t="shared" si="0"/>
        <v>68081629.439999998</v>
      </c>
      <c r="O3" s="345">
        <f t="shared" si="0"/>
        <v>35030829.32</v>
      </c>
      <c r="P3" s="345">
        <f t="shared" si="0"/>
        <v>34685055.490000002</v>
      </c>
      <c r="Q3" s="345">
        <f t="shared" si="0"/>
        <v>11713504</v>
      </c>
      <c r="R3" s="345">
        <f t="shared" si="0"/>
        <v>41596165.130000003</v>
      </c>
      <c r="S3" s="345">
        <f t="shared" si="0"/>
        <v>503171.53</v>
      </c>
      <c r="T3" s="345">
        <f t="shared" si="0"/>
        <v>-23511794.59</v>
      </c>
      <c r="U3" s="345">
        <f t="shared" si="0"/>
        <v>33856447.640000001</v>
      </c>
      <c r="V3" s="345">
        <f t="shared" si="0"/>
        <v>797161.46095400001</v>
      </c>
      <c r="W3" s="345">
        <f t="shared" si="0"/>
        <v>10832806.500954</v>
      </c>
      <c r="X3" s="345">
        <f t="shared" si="0"/>
        <v>17267117.809999999</v>
      </c>
      <c r="Y3" s="345">
        <f t="shared" si="0"/>
        <v>281326862.63999999</v>
      </c>
      <c r="Z3" s="345">
        <f t="shared" si="0"/>
        <v>9980419.4200000018</v>
      </c>
      <c r="AA3" s="345">
        <f t="shared" si="0"/>
        <v>2859557.060000001</v>
      </c>
      <c r="AB3" s="345">
        <f t="shared" si="0"/>
        <v>311601735.01999998</v>
      </c>
      <c r="AC3" s="345">
        <f t="shared" si="0"/>
        <v>204297608.69110009</v>
      </c>
      <c r="AD3" s="345">
        <f t="shared" si="0"/>
        <v>22852485.979999948</v>
      </c>
      <c r="AE3" s="345">
        <f t="shared" si="0"/>
        <v>146.16</v>
      </c>
      <c r="AF3" s="345">
        <f t="shared" si="0"/>
        <v>65.930000000000007</v>
      </c>
      <c r="AG3" s="346">
        <f t="shared" si="0"/>
        <v>3.9617229394189546E-2</v>
      </c>
    </row>
    <row r="4" spans="1:33" x14ac:dyDescent="0.45">
      <c r="A4" s="348"/>
      <c r="B4" s="347"/>
      <c r="C4" s="347"/>
      <c r="D4" s="347"/>
      <c r="E4" s="347"/>
      <c r="F4" s="347"/>
      <c r="G4" s="347"/>
      <c r="H4" s="347"/>
      <c r="I4" s="347"/>
      <c r="J4" s="347"/>
      <c r="K4" s="347"/>
      <c r="L4" s="347"/>
      <c r="M4" s="347"/>
      <c r="N4" s="347"/>
      <c r="O4" s="347"/>
      <c r="P4" s="347"/>
      <c r="Q4" s="347"/>
      <c r="R4" s="347"/>
      <c r="S4" s="347"/>
      <c r="T4" s="347"/>
      <c r="U4" s="347"/>
      <c r="V4" s="347"/>
      <c r="W4" s="347"/>
      <c r="X4" s="347"/>
      <c r="Y4" s="347"/>
      <c r="Z4" s="347"/>
      <c r="AA4" s="347"/>
      <c r="AB4" s="347"/>
      <c r="AC4" s="347"/>
      <c r="AD4" s="347"/>
      <c r="AE4" s="347"/>
      <c r="AF4" s="347"/>
      <c r="AG4" s="347"/>
    </row>
    <row r="5" spans="1:33" s="295" customFormat="1" ht="46.15" customHeight="1" x14ac:dyDescent="0.45">
      <c r="A5" s="332" t="s">
        <v>126</v>
      </c>
      <c r="B5" s="335" t="s">
        <v>108</v>
      </c>
      <c r="C5" s="335" t="s">
        <v>109</v>
      </c>
      <c r="D5" s="335" t="s">
        <v>110</v>
      </c>
      <c r="E5" s="335" t="s">
        <v>111</v>
      </c>
      <c r="F5" s="335" t="s">
        <v>112</v>
      </c>
      <c r="G5" s="335" t="s">
        <v>113</v>
      </c>
      <c r="H5" s="335" t="s">
        <v>114</v>
      </c>
      <c r="I5" s="335" t="s">
        <v>115</v>
      </c>
      <c r="J5" s="335" t="s">
        <v>116</v>
      </c>
      <c r="K5" s="335" t="s">
        <v>34</v>
      </c>
      <c r="L5" s="335" t="s">
        <v>117</v>
      </c>
      <c r="M5" s="336" t="s">
        <v>118</v>
      </c>
      <c r="N5" s="335" t="s">
        <v>119</v>
      </c>
      <c r="O5" s="335" t="s">
        <v>101</v>
      </c>
      <c r="P5" s="335" t="s">
        <v>74</v>
      </c>
      <c r="Q5" s="335" t="s">
        <v>10</v>
      </c>
      <c r="R5" s="335" t="s">
        <v>102</v>
      </c>
      <c r="S5" s="335" t="s">
        <v>103</v>
      </c>
      <c r="T5" s="335" t="s">
        <v>120</v>
      </c>
      <c r="U5" s="335" t="s">
        <v>121</v>
      </c>
      <c r="V5" s="335" t="s">
        <v>122</v>
      </c>
      <c r="W5" s="335" t="s">
        <v>135</v>
      </c>
      <c r="X5" s="335" t="s">
        <v>128</v>
      </c>
      <c r="Y5" s="335" t="s">
        <v>79</v>
      </c>
      <c r="Z5" s="335" t="s">
        <v>129</v>
      </c>
      <c r="AA5" s="335" t="s">
        <v>130</v>
      </c>
      <c r="AB5" s="336" t="s">
        <v>13</v>
      </c>
      <c r="AC5" s="336" t="s">
        <v>131</v>
      </c>
      <c r="AD5" s="336" t="s">
        <v>132</v>
      </c>
      <c r="AE5" s="337" t="s">
        <v>124</v>
      </c>
      <c r="AF5" s="337" t="s">
        <v>125</v>
      </c>
      <c r="AG5" s="337" t="s">
        <v>12</v>
      </c>
    </row>
    <row r="6" spans="1:33" x14ac:dyDescent="0.45">
      <c r="A6" s="333" t="s">
        <v>80</v>
      </c>
      <c r="B6" s="318">
        <v>14088055.081845541</v>
      </c>
      <c r="C6" s="318">
        <v>8857413.0500000026</v>
      </c>
      <c r="D6" s="318">
        <v>872812.26354284887</v>
      </c>
      <c r="E6" s="318">
        <v>2661653.239999997</v>
      </c>
      <c r="F6" s="318">
        <v>3525088.4579449422</v>
      </c>
      <c r="G6" s="318">
        <v>0</v>
      </c>
      <c r="H6" s="318">
        <v>0</v>
      </c>
      <c r="I6" s="318">
        <v>0</v>
      </c>
      <c r="J6" s="318">
        <v>21720773.24666667</v>
      </c>
      <c r="K6" s="318">
        <v>51725795</v>
      </c>
      <c r="L6" s="318">
        <v>49231246</v>
      </c>
      <c r="M6" s="318">
        <v>-13328826</v>
      </c>
      <c r="N6" s="318">
        <v>35902420.580000013</v>
      </c>
      <c r="O6" s="318">
        <v>10680219.32</v>
      </c>
      <c r="P6" s="318">
        <v>10680219.32</v>
      </c>
      <c r="Q6" s="318">
        <v>36469749.280000001</v>
      </c>
      <c r="R6" s="318">
        <v>4932282.17</v>
      </c>
      <c r="S6" s="318">
        <v>601555.23</v>
      </c>
      <c r="T6" s="318">
        <v>-16051279.890000001</v>
      </c>
      <c r="U6" s="318">
        <v>11764824.99</v>
      </c>
      <c r="V6" s="318">
        <v>1769105.7</v>
      </c>
      <c r="W6" s="318">
        <v>-2517349.199999996</v>
      </c>
      <c r="X6" s="318">
        <v>6870646.8400000008</v>
      </c>
      <c r="Y6" s="318">
        <v>95615701.709677383</v>
      </c>
      <c r="Z6" s="318">
        <v>1073465.003937501</v>
      </c>
      <c r="AA6" s="318">
        <v>6053825.4800000004</v>
      </c>
      <c r="AB6" s="318">
        <v>115549806.59999999</v>
      </c>
      <c r="AC6" s="318">
        <v>45791707</v>
      </c>
      <c r="AD6" s="318">
        <v>23226029.780000001</v>
      </c>
      <c r="AE6" s="318">
        <v>223.81</v>
      </c>
      <c r="AF6" s="318">
        <v>85.06</v>
      </c>
      <c r="AG6" s="328">
        <f t="shared" ref="AG6:AG24" si="1">K6/$K$25</f>
        <v>2.3106128640629487E-2</v>
      </c>
    </row>
    <row r="7" spans="1:33" x14ac:dyDescent="0.45">
      <c r="A7" s="333" t="s">
        <v>16</v>
      </c>
      <c r="B7" s="318">
        <v>14072811</v>
      </c>
      <c r="C7" s="318">
        <v>2008144</v>
      </c>
      <c r="D7" s="318">
        <v>5376</v>
      </c>
      <c r="E7" s="318">
        <v>1088198</v>
      </c>
      <c r="F7" s="318">
        <v>2991317</v>
      </c>
      <c r="G7" s="318">
        <v>0</v>
      </c>
      <c r="H7" s="318">
        <v>0</v>
      </c>
      <c r="I7" s="318">
        <v>0</v>
      </c>
      <c r="J7" s="318">
        <v>0</v>
      </c>
      <c r="K7" s="318">
        <v>20165846</v>
      </c>
      <c r="L7" s="318">
        <v>19741886</v>
      </c>
      <c r="M7" s="318">
        <v>-3226535</v>
      </c>
      <c r="N7" s="318">
        <v>16515351</v>
      </c>
      <c r="O7" s="318">
        <v>9810637</v>
      </c>
      <c r="P7" s="318">
        <v>9785206</v>
      </c>
      <c r="Q7" s="318">
        <v>9561343</v>
      </c>
      <c r="R7" s="318">
        <v>1752063</v>
      </c>
      <c r="S7" s="318">
        <v>127337</v>
      </c>
      <c r="T7" s="318">
        <v>-4455924</v>
      </c>
      <c r="U7" s="318">
        <v>3729338</v>
      </c>
      <c r="V7" s="318">
        <v>971537</v>
      </c>
      <c r="W7" s="318">
        <v>223765</v>
      </c>
      <c r="X7" s="318">
        <v>874791</v>
      </c>
      <c r="Y7" s="318">
        <v>136153954</v>
      </c>
      <c r="Z7" s="318">
        <v>2270422</v>
      </c>
      <c r="AA7" s="318">
        <v>6633483</v>
      </c>
      <c r="AB7" s="318">
        <v>145932650</v>
      </c>
      <c r="AC7" s="318">
        <v>68115190</v>
      </c>
      <c r="AD7" s="318">
        <v>9592762</v>
      </c>
      <c r="AE7" s="318">
        <v>201.17</v>
      </c>
      <c r="AF7" s="318">
        <v>57.31</v>
      </c>
      <c r="AG7" s="328">
        <f t="shared" si="1"/>
        <v>9.0081676235836215E-3</v>
      </c>
    </row>
    <row r="8" spans="1:33" x14ac:dyDescent="0.45">
      <c r="A8" s="333" t="s">
        <v>17</v>
      </c>
      <c r="B8" s="318">
        <v>651344297.81675816</v>
      </c>
      <c r="C8" s="318">
        <v>30584489.408372801</v>
      </c>
      <c r="D8" s="318">
        <v>50528696.90446309</v>
      </c>
      <c r="E8" s="318">
        <v>53354066.591099873</v>
      </c>
      <c r="F8" s="318">
        <v>348393929.79582149</v>
      </c>
      <c r="G8" s="318">
        <v>0</v>
      </c>
      <c r="H8" s="318">
        <v>0</v>
      </c>
      <c r="I8" s="318">
        <v>0</v>
      </c>
      <c r="J8" s="318">
        <v>26405500.192012999</v>
      </c>
      <c r="K8" s="318">
        <v>537500394</v>
      </c>
      <c r="L8" s="318">
        <v>522016038</v>
      </c>
      <c r="M8" s="318">
        <v>-143388936</v>
      </c>
      <c r="N8" s="318">
        <v>378627102.0654549</v>
      </c>
      <c r="O8" s="318">
        <v>277260574.35112798</v>
      </c>
      <c r="P8" s="318">
        <v>275466318.31112802</v>
      </c>
      <c r="Q8" s="318">
        <v>92729079.220072165</v>
      </c>
      <c r="R8" s="318">
        <v>84139190.310734063</v>
      </c>
      <c r="S8" s="318">
        <v>0</v>
      </c>
      <c r="T8" s="318">
        <v>-73707485.776479304</v>
      </c>
      <c r="U8" s="318">
        <v>140120063.88831899</v>
      </c>
      <c r="V8" s="318">
        <v>1277822.47929322</v>
      </c>
      <c r="W8" s="318">
        <v>64305880.474843502</v>
      </c>
      <c r="X8" s="318">
        <v>77360050.409859091</v>
      </c>
      <c r="Y8" s="318">
        <v>1267279659.8621631</v>
      </c>
      <c r="Z8" s="318">
        <v>31008163.084876951</v>
      </c>
      <c r="AA8" s="318">
        <v>36640459.022502936</v>
      </c>
      <c r="AB8" s="318">
        <v>1412288332.3800001</v>
      </c>
      <c r="AC8" s="318">
        <v>1048218580.463078</v>
      </c>
      <c r="AD8" s="318">
        <v>101381804.0319746</v>
      </c>
      <c r="AE8" s="318">
        <v>128.28</v>
      </c>
      <c r="AF8" s="318">
        <v>33.880000000000003</v>
      </c>
      <c r="AG8" s="328">
        <f t="shared" si="1"/>
        <v>0.24010367067636243</v>
      </c>
    </row>
    <row r="9" spans="1:33" x14ac:dyDescent="0.45">
      <c r="A9" s="333" t="s">
        <v>97</v>
      </c>
      <c r="B9" s="318"/>
      <c r="C9" s="318"/>
      <c r="D9" s="318"/>
      <c r="E9" s="318"/>
      <c r="F9" s="318"/>
      <c r="G9" s="318"/>
      <c r="H9" s="318"/>
      <c r="I9" s="318"/>
      <c r="J9" s="318"/>
      <c r="K9" s="318"/>
      <c r="L9" s="318"/>
      <c r="M9" s="318"/>
      <c r="N9" s="318"/>
      <c r="O9" s="318"/>
      <c r="P9" s="318"/>
      <c r="Q9" s="318"/>
      <c r="R9" s="318"/>
      <c r="S9" s="318">
        <v>0</v>
      </c>
      <c r="T9" s="318"/>
      <c r="U9" s="318"/>
      <c r="V9" s="318"/>
      <c r="W9" s="318"/>
      <c r="X9" s="318"/>
      <c r="Y9" s="318"/>
      <c r="Z9" s="318"/>
      <c r="AA9" s="318"/>
      <c r="AB9" s="318"/>
      <c r="AC9" s="318"/>
      <c r="AD9" s="318"/>
      <c r="AE9" s="318"/>
      <c r="AF9" s="318"/>
      <c r="AG9" s="328"/>
    </row>
    <row r="10" spans="1:33" x14ac:dyDescent="0.45">
      <c r="A10" s="333" t="s">
        <v>53</v>
      </c>
      <c r="B10" s="318">
        <v>0</v>
      </c>
      <c r="C10" s="318">
        <v>3709010.68</v>
      </c>
      <c r="D10" s="318">
        <v>0</v>
      </c>
      <c r="E10" s="318">
        <v>0</v>
      </c>
      <c r="F10" s="318">
        <v>0</v>
      </c>
      <c r="G10" s="318">
        <v>0</v>
      </c>
      <c r="H10" s="318">
        <v>0</v>
      </c>
      <c r="I10" s="318">
        <v>0</v>
      </c>
      <c r="J10" s="318">
        <v>0</v>
      </c>
      <c r="K10" s="318">
        <v>3709011</v>
      </c>
      <c r="L10" s="318">
        <v>3207137</v>
      </c>
      <c r="M10" s="318">
        <v>-691737</v>
      </c>
      <c r="N10" s="318">
        <v>2515399.92</v>
      </c>
      <c r="O10" s="318">
        <v>144022.88</v>
      </c>
      <c r="P10" s="318">
        <v>115218.3</v>
      </c>
      <c r="Q10" s="318">
        <v>6895753.6499999994</v>
      </c>
      <c r="R10" s="318">
        <v>110060.19</v>
      </c>
      <c r="S10" s="318">
        <v>0</v>
      </c>
      <c r="T10" s="318">
        <v>-4717619.709999999</v>
      </c>
      <c r="U10" s="318">
        <v>1556067.68</v>
      </c>
      <c r="V10" s="318">
        <v>1866.68</v>
      </c>
      <c r="W10" s="318">
        <v>-3159685.3499999992</v>
      </c>
      <c r="X10" s="318">
        <v>602227.16</v>
      </c>
      <c r="Y10" s="318">
        <v>14823951.82864942</v>
      </c>
      <c r="Z10" s="318">
        <v>3207123.61</v>
      </c>
      <c r="AA10" s="318">
        <v>4887441.83</v>
      </c>
      <c r="AB10" s="318">
        <v>24267963.43</v>
      </c>
      <c r="AC10" s="318">
        <v>5306134.3499999996</v>
      </c>
      <c r="AD10" s="318">
        <v>5621573.7200000007</v>
      </c>
      <c r="AE10" s="318">
        <v>290.72000000000003</v>
      </c>
      <c r="AF10" s="318">
        <v>221.94</v>
      </c>
      <c r="AG10" s="328">
        <f t="shared" si="1"/>
        <v>1.6568307030468998E-3</v>
      </c>
    </row>
    <row r="11" spans="1:33" x14ac:dyDescent="0.45">
      <c r="A11" s="333" t="s">
        <v>18</v>
      </c>
      <c r="B11" s="318">
        <v>314717.48</v>
      </c>
      <c r="C11" s="318">
        <v>3030012.2199999988</v>
      </c>
      <c r="D11" s="318">
        <v>6705</v>
      </c>
      <c r="E11" s="318">
        <v>2642608.71</v>
      </c>
      <c r="F11" s="318">
        <v>79372415.150000006</v>
      </c>
      <c r="G11" s="318">
        <v>0</v>
      </c>
      <c r="H11" s="318">
        <v>0</v>
      </c>
      <c r="I11" s="318">
        <v>0</v>
      </c>
      <c r="J11" s="318">
        <v>3078755.3</v>
      </c>
      <c r="K11" s="318">
        <v>12718543</v>
      </c>
      <c r="L11" s="318">
        <v>12718543</v>
      </c>
      <c r="M11" s="318">
        <v>-635927</v>
      </c>
      <c r="N11" s="318">
        <v>12082616</v>
      </c>
      <c r="O11" s="318">
        <v>19671863</v>
      </c>
      <c r="P11" s="318">
        <v>19671863</v>
      </c>
      <c r="Q11" s="318">
        <v>3456778</v>
      </c>
      <c r="R11" s="318">
        <v>538234</v>
      </c>
      <c r="S11" s="318">
        <v>0</v>
      </c>
      <c r="T11" s="318">
        <v>-11584259</v>
      </c>
      <c r="U11" s="318">
        <v>0</v>
      </c>
      <c r="V11" s="318">
        <v>290</v>
      </c>
      <c r="W11" s="318">
        <v>-11583969</v>
      </c>
      <c r="X11" s="318">
        <v>7306</v>
      </c>
      <c r="Y11" s="318">
        <v>35758054</v>
      </c>
      <c r="Z11" s="318">
        <v>2309107</v>
      </c>
      <c r="AA11" s="318">
        <v>19415017</v>
      </c>
      <c r="AB11" s="318">
        <v>57969263</v>
      </c>
      <c r="AC11" s="318">
        <v>33054283</v>
      </c>
      <c r="AD11" s="318">
        <v>14422843</v>
      </c>
      <c r="AE11" s="318">
        <v>108.2</v>
      </c>
      <c r="AF11" s="318">
        <v>31.41</v>
      </c>
      <c r="AG11" s="328">
        <f t="shared" si="1"/>
        <v>5.6814262725082849E-3</v>
      </c>
    </row>
    <row r="12" spans="1:33" x14ac:dyDescent="0.45">
      <c r="A12" s="333" t="s">
        <v>19</v>
      </c>
      <c r="B12" s="318">
        <v>0</v>
      </c>
      <c r="C12" s="318">
        <v>0</v>
      </c>
      <c r="D12" s="318">
        <v>0</v>
      </c>
      <c r="E12" s="318">
        <v>0</v>
      </c>
      <c r="F12" s="318">
        <v>0</v>
      </c>
      <c r="G12" s="318">
        <v>0</v>
      </c>
      <c r="H12" s="318">
        <v>0</v>
      </c>
      <c r="I12" s="318">
        <v>0</v>
      </c>
      <c r="J12" s="318">
        <v>0</v>
      </c>
      <c r="K12" s="318">
        <v>48015000</v>
      </c>
      <c r="L12" s="318">
        <v>45879000</v>
      </c>
      <c r="M12" s="318">
        <v>-15000000</v>
      </c>
      <c r="N12" s="318">
        <v>30879000</v>
      </c>
      <c r="O12" s="318">
        <v>34809000</v>
      </c>
      <c r="P12" s="318">
        <v>34809000</v>
      </c>
      <c r="Q12" s="318">
        <v>17946000</v>
      </c>
      <c r="R12" s="318">
        <v>4028000</v>
      </c>
      <c r="S12" s="318">
        <v>0</v>
      </c>
      <c r="T12" s="318">
        <v>-25904000</v>
      </c>
      <c r="U12" s="318">
        <v>4124000</v>
      </c>
      <c r="V12" s="318">
        <v>25918000</v>
      </c>
      <c r="W12" s="318">
        <v>4138000</v>
      </c>
      <c r="X12" s="318">
        <v>60031637</v>
      </c>
      <c r="Y12" s="318">
        <v>50759960</v>
      </c>
      <c r="Z12" s="318">
        <v>2159423</v>
      </c>
      <c r="AA12" s="318">
        <v>6857842</v>
      </c>
      <c r="AB12" s="318">
        <v>121834320</v>
      </c>
      <c r="AC12" s="318">
        <v>50516494</v>
      </c>
      <c r="AD12" s="318">
        <v>6418355</v>
      </c>
      <c r="AE12" s="318">
        <v>219.32</v>
      </c>
      <c r="AF12" s="318">
        <v>47.9</v>
      </c>
      <c r="AG12" s="328">
        <f t="shared" si="1"/>
        <v>2.1448501017332356E-2</v>
      </c>
    </row>
    <row r="13" spans="1:33" x14ac:dyDescent="0.45">
      <c r="A13" s="333" t="s">
        <v>20</v>
      </c>
      <c r="B13" s="318">
        <v>148664434</v>
      </c>
      <c r="C13" s="318">
        <v>31874172.210000001</v>
      </c>
      <c r="D13" s="318">
        <v>453375.62999999989</v>
      </c>
      <c r="E13" s="318">
        <v>10410840.779999999</v>
      </c>
      <c r="F13" s="318">
        <v>6186555.2199999997</v>
      </c>
      <c r="G13" s="318">
        <v>341011.01</v>
      </c>
      <c r="H13" s="318">
        <v>0</v>
      </c>
      <c r="I13" s="318">
        <v>0</v>
      </c>
      <c r="J13" s="318">
        <v>0</v>
      </c>
      <c r="K13" s="318">
        <v>147360966</v>
      </c>
      <c r="L13" s="318">
        <v>144992783</v>
      </c>
      <c r="M13" s="318">
        <v>-15666582</v>
      </c>
      <c r="N13" s="318">
        <v>129326200.811244</v>
      </c>
      <c r="O13" s="318">
        <v>94340747.199999988</v>
      </c>
      <c r="P13" s="318">
        <v>94340747.199999988</v>
      </c>
      <c r="Q13" s="318">
        <v>31568607.377799999</v>
      </c>
      <c r="R13" s="318">
        <v>9518419.7400000002</v>
      </c>
      <c r="S13" s="318">
        <v>0</v>
      </c>
      <c r="T13" s="318">
        <v>-6101573.5065559894</v>
      </c>
      <c r="U13" s="318">
        <v>9244295.209999999</v>
      </c>
      <c r="V13" s="318">
        <v>1778517.19</v>
      </c>
      <c r="W13" s="318">
        <v>4921238.8934440091</v>
      </c>
      <c r="X13" s="318">
        <v>22709230.09</v>
      </c>
      <c r="Y13" s="318">
        <v>440211140.31999999</v>
      </c>
      <c r="Z13" s="318">
        <v>34137901.119999997</v>
      </c>
      <c r="AA13" s="318">
        <v>10449611.523533329</v>
      </c>
      <c r="AB13" s="318">
        <v>507507883.05000001</v>
      </c>
      <c r="AC13" s="318">
        <v>215310324.69507039</v>
      </c>
      <c r="AD13" s="318">
        <v>64499854.350000001</v>
      </c>
      <c r="AE13" s="318">
        <v>215</v>
      </c>
      <c r="AF13" s="318">
        <v>28.34</v>
      </c>
      <c r="AG13" s="328">
        <f t="shared" si="1"/>
        <v>6.5826758912133257E-2</v>
      </c>
    </row>
    <row r="14" spans="1:33" x14ac:dyDescent="0.45">
      <c r="A14" s="333" t="s">
        <v>47</v>
      </c>
      <c r="B14" s="318">
        <v>931574.06</v>
      </c>
      <c r="C14" s="318">
        <v>197543.45</v>
      </c>
      <c r="D14" s="318">
        <v>8229.32</v>
      </c>
      <c r="E14" s="318">
        <v>0</v>
      </c>
      <c r="F14" s="318">
        <v>267886.17</v>
      </c>
      <c r="G14" s="318">
        <v>0</v>
      </c>
      <c r="H14" s="318">
        <v>0</v>
      </c>
      <c r="I14" s="318">
        <v>0</v>
      </c>
      <c r="J14" s="318">
        <v>0</v>
      </c>
      <c r="K14" s="318">
        <v>1405233</v>
      </c>
      <c r="L14" s="318">
        <v>1395256</v>
      </c>
      <c r="M14" s="318">
        <v>-279051</v>
      </c>
      <c r="N14" s="318">
        <v>1116204.7039999999</v>
      </c>
      <c r="O14" s="318">
        <v>567363.77</v>
      </c>
      <c r="P14" s="318">
        <v>567363.77</v>
      </c>
      <c r="Q14" s="318">
        <v>1861459.06</v>
      </c>
      <c r="R14" s="318">
        <v>55368.31</v>
      </c>
      <c r="S14" s="318">
        <v>84</v>
      </c>
      <c r="T14" s="318">
        <v>-1367902.4360000009</v>
      </c>
      <c r="U14" s="318">
        <v>472878.72</v>
      </c>
      <c r="V14" s="318">
        <v>0</v>
      </c>
      <c r="W14" s="318">
        <v>-895023.71600000071</v>
      </c>
      <c r="X14" s="318">
        <v>9148212.5800000019</v>
      </c>
      <c r="Y14" s="318">
        <v>48249836.739999987</v>
      </c>
      <c r="Z14" s="318">
        <v>5487225.6699999999</v>
      </c>
      <c r="AA14" s="318">
        <v>13665223.689999999</v>
      </c>
      <c r="AB14" s="318">
        <v>77205926.989999995</v>
      </c>
      <c r="AC14" s="318">
        <v>18732009.326000001</v>
      </c>
      <c r="AD14" s="318">
        <v>4655239.91</v>
      </c>
      <c r="AE14" s="318">
        <v>306.42</v>
      </c>
      <c r="AF14" s="318">
        <v>137.38</v>
      </c>
      <c r="AG14" s="328">
        <f t="shared" si="1"/>
        <v>6.2772344954887009E-4</v>
      </c>
    </row>
    <row r="15" spans="1:33" x14ac:dyDescent="0.45">
      <c r="A15" s="333" t="s">
        <v>64</v>
      </c>
      <c r="B15" s="318">
        <v>5194106.51</v>
      </c>
      <c r="C15" s="318">
        <v>9807505.2600000054</v>
      </c>
      <c r="D15" s="318">
        <v>0</v>
      </c>
      <c r="E15" s="318">
        <v>3863108.57</v>
      </c>
      <c r="F15" s="318">
        <v>6953323.4900000002</v>
      </c>
      <c r="G15" s="318">
        <v>0</v>
      </c>
      <c r="H15" s="318">
        <v>0</v>
      </c>
      <c r="I15" s="318">
        <v>0</v>
      </c>
      <c r="J15" s="318">
        <v>1021500</v>
      </c>
      <c r="K15" s="318">
        <v>26839544</v>
      </c>
      <c r="L15" s="318">
        <v>20787189</v>
      </c>
      <c r="M15" s="318">
        <v>-6002158</v>
      </c>
      <c r="N15" s="318">
        <v>14785030.74</v>
      </c>
      <c r="O15" s="318">
        <v>6123456.2999999998</v>
      </c>
      <c r="P15" s="318">
        <v>6123456.2999999998</v>
      </c>
      <c r="Q15" s="318">
        <v>12095256.710000001</v>
      </c>
      <c r="R15" s="318">
        <v>5626083</v>
      </c>
      <c r="S15" s="318">
        <v>0</v>
      </c>
      <c r="T15" s="318">
        <v>-9059765.2700000014</v>
      </c>
      <c r="U15" s="318">
        <v>7873356.5199999996</v>
      </c>
      <c r="V15" s="318">
        <v>7739275.7399999993</v>
      </c>
      <c r="W15" s="318">
        <v>6225223.6499999994</v>
      </c>
      <c r="X15" s="318">
        <v>24679644.609999988</v>
      </c>
      <c r="Y15" s="318">
        <v>68852159.72805661</v>
      </c>
      <c r="Z15" s="318">
        <v>11379025.15</v>
      </c>
      <c r="AA15" s="318">
        <v>1724775.87</v>
      </c>
      <c r="AB15" s="318">
        <v>106635605.36</v>
      </c>
      <c r="AC15" s="318">
        <v>12619104</v>
      </c>
      <c r="AD15" s="318">
        <v>27898359.75</v>
      </c>
      <c r="AE15" s="318">
        <v>741.19</v>
      </c>
      <c r="AF15" s="318">
        <v>85.25</v>
      </c>
      <c r="AG15" s="328">
        <f t="shared" si="1"/>
        <v>1.1989336390476652E-2</v>
      </c>
    </row>
    <row r="16" spans="1:33" x14ac:dyDescent="0.45">
      <c r="A16" s="333" t="s">
        <v>21</v>
      </c>
      <c r="B16" s="318">
        <v>35055024.869999997</v>
      </c>
      <c r="C16" s="318">
        <v>8374735.7800000003</v>
      </c>
      <c r="D16" s="318">
        <v>0</v>
      </c>
      <c r="E16" s="318">
        <v>4359644.78</v>
      </c>
      <c r="F16" s="318">
        <v>6567603.3700000001</v>
      </c>
      <c r="G16" s="318">
        <v>0</v>
      </c>
      <c r="H16" s="318">
        <v>0</v>
      </c>
      <c r="I16" s="318">
        <v>0</v>
      </c>
      <c r="J16" s="318">
        <v>34330833.460000001</v>
      </c>
      <c r="K16" s="318">
        <v>88687842</v>
      </c>
      <c r="L16" s="318">
        <v>87073380</v>
      </c>
      <c r="M16" s="318">
        <v>-18991750</v>
      </c>
      <c r="N16" s="318">
        <v>68081629.439999998</v>
      </c>
      <c r="O16" s="318">
        <v>35030829.32</v>
      </c>
      <c r="P16" s="318">
        <v>34685055.490000002</v>
      </c>
      <c r="Q16" s="318">
        <v>11713504</v>
      </c>
      <c r="R16" s="318">
        <v>41596165.130000003</v>
      </c>
      <c r="S16" s="318">
        <v>503171.53</v>
      </c>
      <c r="T16" s="318">
        <v>-23511794.59</v>
      </c>
      <c r="U16" s="318">
        <v>33856447.640000001</v>
      </c>
      <c r="V16" s="318">
        <v>797161.46095400001</v>
      </c>
      <c r="W16" s="318">
        <v>10832806.500954</v>
      </c>
      <c r="X16" s="318">
        <v>17267117.809999999</v>
      </c>
      <c r="Y16" s="318">
        <v>281326862.63999999</v>
      </c>
      <c r="Z16" s="318">
        <v>9980419.4200000018</v>
      </c>
      <c r="AA16" s="318">
        <v>2859557.060000001</v>
      </c>
      <c r="AB16" s="318">
        <v>311601735.01999998</v>
      </c>
      <c r="AC16" s="318">
        <v>204297608.69110009</v>
      </c>
      <c r="AD16" s="318">
        <v>22852485.979999948</v>
      </c>
      <c r="AE16" s="318">
        <v>146.16</v>
      </c>
      <c r="AF16" s="318">
        <v>65.930000000000007</v>
      </c>
      <c r="AG16" s="328">
        <f t="shared" si="1"/>
        <v>3.9617229394189546E-2</v>
      </c>
    </row>
    <row r="17" spans="1:33" x14ac:dyDescent="0.45">
      <c r="A17" s="333" t="s">
        <v>91</v>
      </c>
      <c r="B17" s="318">
        <v>45720989.428596407</v>
      </c>
      <c r="C17" s="318">
        <v>3565875</v>
      </c>
      <c r="D17" s="318">
        <v>42498255.435727403</v>
      </c>
      <c r="E17" s="318">
        <v>1191256</v>
      </c>
      <c r="F17" s="318">
        <v>51749796.165676206</v>
      </c>
      <c r="G17" s="318">
        <v>0</v>
      </c>
      <c r="H17" s="318">
        <v>0</v>
      </c>
      <c r="I17" s="318">
        <v>0</v>
      </c>
      <c r="J17" s="318">
        <v>0</v>
      </c>
      <c r="K17" s="318">
        <v>144726172</v>
      </c>
      <c r="L17" s="318">
        <v>143062276</v>
      </c>
      <c r="M17" s="318">
        <v>-46608424</v>
      </c>
      <c r="N17" s="318">
        <v>96453852.420000032</v>
      </c>
      <c r="O17" s="318">
        <v>49891734.710000001</v>
      </c>
      <c r="P17" s="318">
        <v>49790235.109999999</v>
      </c>
      <c r="Q17" s="318">
        <v>26236274.833999999</v>
      </c>
      <c r="R17" s="318">
        <v>17722294.82</v>
      </c>
      <c r="S17" s="318">
        <v>308448.13</v>
      </c>
      <c r="T17" s="318">
        <v>3013495.7860000329</v>
      </c>
      <c r="U17" s="318">
        <v>16168662.060000001</v>
      </c>
      <c r="V17" s="318">
        <v>4700595.6189999999</v>
      </c>
      <c r="W17" s="318">
        <v>22688615.791750029</v>
      </c>
      <c r="X17" s="318">
        <v>6847718.1900000004</v>
      </c>
      <c r="Y17" s="318">
        <v>174043941.53039321</v>
      </c>
      <c r="Z17" s="318">
        <v>24181711.559999999</v>
      </c>
      <c r="AA17" s="318">
        <v>21686645.791000001</v>
      </c>
      <c r="AB17" s="318">
        <v>226760017.06999999</v>
      </c>
      <c r="AC17" s="318">
        <v>123460282.98999999</v>
      </c>
      <c r="AD17" s="318">
        <v>8694150.5902500004</v>
      </c>
      <c r="AE17" s="318">
        <v>146.52000000000001</v>
      </c>
      <c r="AF17" s="318">
        <v>30.73</v>
      </c>
      <c r="AG17" s="328">
        <f t="shared" si="1"/>
        <v>6.4649785429066284E-2</v>
      </c>
    </row>
    <row r="18" spans="1:33" x14ac:dyDescent="0.45">
      <c r="A18" s="333" t="s">
        <v>22</v>
      </c>
      <c r="B18" s="318">
        <v>47377529.469999999</v>
      </c>
      <c r="C18" s="318">
        <v>26208168.359999999</v>
      </c>
      <c r="D18" s="318">
        <v>34720.92</v>
      </c>
      <c r="E18" s="318">
        <v>2371202.25</v>
      </c>
      <c r="F18" s="318">
        <v>6676003.980000006</v>
      </c>
      <c r="G18" s="318">
        <v>0</v>
      </c>
      <c r="H18" s="318">
        <v>1137050</v>
      </c>
      <c r="I18" s="318">
        <v>99092.69</v>
      </c>
      <c r="J18" s="318">
        <v>11228799.85</v>
      </c>
      <c r="K18" s="318">
        <v>95132567</v>
      </c>
      <c r="L18" s="318">
        <v>81977335</v>
      </c>
      <c r="M18" s="318"/>
      <c r="N18" s="318">
        <v>81977335</v>
      </c>
      <c r="O18" s="318">
        <v>87127678</v>
      </c>
      <c r="P18" s="318">
        <v>87133903.439999998</v>
      </c>
      <c r="Q18" s="318">
        <v>32607083.710000001</v>
      </c>
      <c r="R18" s="318">
        <v>10387154.33</v>
      </c>
      <c r="S18" s="318">
        <v>16781294</v>
      </c>
      <c r="T18" s="318">
        <v>-31369512.479999989</v>
      </c>
      <c r="U18" s="318">
        <v>44899753.939999998</v>
      </c>
      <c r="V18" s="318">
        <v>2366208.8199999998</v>
      </c>
      <c r="W18" s="318">
        <v>15496790.06000001</v>
      </c>
      <c r="X18" s="318">
        <v>18071128.850000009</v>
      </c>
      <c r="Y18" s="318">
        <v>397914546.36126959</v>
      </c>
      <c r="Z18" s="318">
        <v>13415021.550000001</v>
      </c>
      <c r="AA18" s="318">
        <v>8978672.209999999</v>
      </c>
      <c r="AB18" s="318">
        <v>438379368.97000003</v>
      </c>
      <c r="AC18" s="318">
        <v>305001041.81</v>
      </c>
      <c r="AD18" s="318">
        <v>41257456.229999997</v>
      </c>
      <c r="AE18" s="318">
        <v>136.38999999999999</v>
      </c>
      <c r="AF18" s="318">
        <v>52.45</v>
      </c>
      <c r="AG18" s="328">
        <f t="shared" si="1"/>
        <v>4.2496114965759418E-2</v>
      </c>
    </row>
    <row r="19" spans="1:33" x14ac:dyDescent="0.45">
      <c r="A19" s="333" t="s">
        <v>24</v>
      </c>
      <c r="B19" s="318">
        <v>108928993.31489649</v>
      </c>
      <c r="C19" s="318">
        <v>11277850.910349891</v>
      </c>
      <c r="D19" s="318">
        <v>20295832.053220499</v>
      </c>
      <c r="E19" s="318">
        <v>6427181.4683774728</v>
      </c>
      <c r="F19" s="318">
        <v>65579260.276300013</v>
      </c>
      <c r="G19" s="318">
        <v>0</v>
      </c>
      <c r="H19" s="318">
        <v>0</v>
      </c>
      <c r="I19" s="318">
        <v>0</v>
      </c>
      <c r="J19" s="318">
        <v>4471499.0955829266</v>
      </c>
      <c r="K19" s="318">
        <v>216980617</v>
      </c>
      <c r="L19" s="318">
        <v>212031638</v>
      </c>
      <c r="M19" s="318">
        <v>-95963162</v>
      </c>
      <c r="N19" s="318">
        <v>116068475.6653323</v>
      </c>
      <c r="O19" s="318">
        <v>62785508.439999998</v>
      </c>
      <c r="P19" s="318">
        <v>62785508.439999998</v>
      </c>
      <c r="Q19" s="318">
        <v>45108493.030000001</v>
      </c>
      <c r="R19" s="318">
        <v>38735325.275170296</v>
      </c>
      <c r="S19" s="318">
        <v>0</v>
      </c>
      <c r="T19" s="318">
        <v>-30560851.079838041</v>
      </c>
      <c r="U19" s="318">
        <v>50037500</v>
      </c>
      <c r="V19" s="318">
        <v>2899172.2960549998</v>
      </c>
      <c r="W19" s="318">
        <v>21272225.362242229</v>
      </c>
      <c r="X19" s="318">
        <v>33855591.509999998</v>
      </c>
      <c r="Y19" s="318">
        <v>429862673.40129918</v>
      </c>
      <c r="Z19" s="318">
        <v>15862739.48</v>
      </c>
      <c r="AA19" s="318">
        <v>15186446.217347611</v>
      </c>
      <c r="AB19" s="318">
        <v>517988075.61000001</v>
      </c>
      <c r="AC19" s="318">
        <v>355908957.901833</v>
      </c>
      <c r="AD19" s="318">
        <v>40420997.869279087</v>
      </c>
      <c r="AE19" s="318">
        <v>130.29</v>
      </c>
      <c r="AF19" s="318">
        <v>39.54</v>
      </c>
      <c r="AG19" s="328">
        <f t="shared" si="1"/>
        <v>9.6926147755199463E-2</v>
      </c>
    </row>
    <row r="20" spans="1:33" x14ac:dyDescent="0.45">
      <c r="A20" s="333" t="s">
        <v>25</v>
      </c>
      <c r="B20" s="318">
        <v>10708624.347605631</v>
      </c>
      <c r="C20" s="318">
        <v>444342.72687930742</v>
      </c>
      <c r="D20" s="318">
        <v>0</v>
      </c>
      <c r="E20" s="318">
        <v>1102996.088806208</v>
      </c>
      <c r="F20" s="318">
        <v>807660.92858379218</v>
      </c>
      <c r="G20" s="318">
        <v>0</v>
      </c>
      <c r="H20" s="318">
        <v>0</v>
      </c>
      <c r="I20" s="318">
        <v>0</v>
      </c>
      <c r="J20" s="318">
        <v>7700199.9081250643</v>
      </c>
      <c r="K20" s="318">
        <v>20763824</v>
      </c>
      <c r="L20" s="318">
        <v>20669785</v>
      </c>
      <c r="M20" s="318">
        <v>-7027727</v>
      </c>
      <c r="N20" s="318">
        <v>13642058</v>
      </c>
      <c r="O20" s="318">
        <v>15492940</v>
      </c>
      <c r="P20" s="318">
        <v>15492940</v>
      </c>
      <c r="Q20" s="318">
        <v>7126172</v>
      </c>
      <c r="R20" s="318">
        <v>489361</v>
      </c>
      <c r="S20" s="318">
        <v>0</v>
      </c>
      <c r="T20" s="318">
        <v>-9527845</v>
      </c>
      <c r="U20" s="318">
        <v>12378639</v>
      </c>
      <c r="V20" s="318">
        <v>1045124</v>
      </c>
      <c r="W20" s="318">
        <v>3895918</v>
      </c>
      <c r="X20" s="318">
        <v>6654008</v>
      </c>
      <c r="Y20" s="318">
        <v>111164896</v>
      </c>
      <c r="Z20" s="318">
        <v>4086698</v>
      </c>
      <c r="AA20" s="318">
        <v>3576300</v>
      </c>
      <c r="AB20" s="318">
        <v>125539860</v>
      </c>
      <c r="AC20" s="318">
        <v>65941795</v>
      </c>
      <c r="AD20" s="318">
        <v>1604482</v>
      </c>
      <c r="AE20" s="318">
        <v>178.67</v>
      </c>
      <c r="AF20" s="318">
        <v>37.14</v>
      </c>
      <c r="AG20" s="328">
        <f t="shared" si="1"/>
        <v>9.2752868934230966E-3</v>
      </c>
    </row>
    <row r="21" spans="1:33" x14ac:dyDescent="0.45">
      <c r="A21" s="333" t="s">
        <v>26</v>
      </c>
      <c r="B21" s="318">
        <v>4176292</v>
      </c>
      <c r="C21" s="318">
        <v>4325923</v>
      </c>
      <c r="D21" s="318">
        <v>283304</v>
      </c>
      <c r="E21" s="318">
        <v>16974850</v>
      </c>
      <c r="F21" s="318">
        <v>2321610</v>
      </c>
      <c r="G21" s="318">
        <v>0</v>
      </c>
      <c r="H21" s="318">
        <v>0</v>
      </c>
      <c r="I21" s="318">
        <v>0</v>
      </c>
      <c r="J21" s="318">
        <v>0</v>
      </c>
      <c r="K21" s="318">
        <v>28081980</v>
      </c>
      <c r="L21" s="318">
        <v>19244351</v>
      </c>
      <c r="M21" s="318">
        <v>-681785</v>
      </c>
      <c r="N21" s="318">
        <v>18562566</v>
      </c>
      <c r="O21" s="318">
        <v>7601312</v>
      </c>
      <c r="P21" s="318">
        <v>6584453</v>
      </c>
      <c r="Q21" s="318">
        <v>12367539</v>
      </c>
      <c r="R21" s="318">
        <v>5884262</v>
      </c>
      <c r="S21" s="318">
        <v>0</v>
      </c>
      <c r="T21" s="318">
        <v>-6273688</v>
      </c>
      <c r="U21" s="318">
        <v>5665639</v>
      </c>
      <c r="V21" s="318">
        <v>936599</v>
      </c>
      <c r="W21" s="318">
        <v>312123</v>
      </c>
      <c r="X21" s="318">
        <v>1806462</v>
      </c>
      <c r="Y21" s="318">
        <v>55698758</v>
      </c>
      <c r="Z21" s="318">
        <v>678663.22</v>
      </c>
      <c r="AA21" s="318">
        <v>4181686</v>
      </c>
      <c r="AB21" s="318">
        <v>65747984.219999999</v>
      </c>
      <c r="AC21" s="318">
        <v>7810021</v>
      </c>
      <c r="AD21" s="318">
        <v>5487895</v>
      </c>
      <c r="AE21" s="318">
        <v>736.3</v>
      </c>
      <c r="AF21" s="318">
        <v>94.84</v>
      </c>
      <c r="AG21" s="328">
        <f t="shared" si="1"/>
        <v>1.254433774026256E-2</v>
      </c>
    </row>
    <row r="22" spans="1:33" x14ac:dyDescent="0.45">
      <c r="A22" s="333" t="s">
        <v>27</v>
      </c>
      <c r="B22" s="318">
        <v>345982317.61498046</v>
      </c>
      <c r="C22" s="318">
        <v>20624030.722200003</v>
      </c>
      <c r="D22" s="318">
        <v>53527.062092532185</v>
      </c>
      <c r="E22" s="318">
        <v>5025890.05</v>
      </c>
      <c r="F22" s="318">
        <v>26383919.670727026</v>
      </c>
      <c r="G22" s="318">
        <v>0</v>
      </c>
      <c r="H22" s="318">
        <v>0</v>
      </c>
      <c r="I22" s="318">
        <v>0</v>
      </c>
      <c r="J22" s="318">
        <v>0</v>
      </c>
      <c r="K22" s="318">
        <v>398069685</v>
      </c>
      <c r="L22" s="318">
        <v>396429021</v>
      </c>
      <c r="M22" s="318">
        <v>-77302641</v>
      </c>
      <c r="N22" s="318">
        <v>319126380.32999998</v>
      </c>
      <c r="O22" s="318">
        <v>293249243.74000001</v>
      </c>
      <c r="P22" s="318">
        <v>293249243.74000001</v>
      </c>
      <c r="Q22" s="318">
        <v>73353926.280000016</v>
      </c>
      <c r="R22" s="318">
        <v>23087742.200000003</v>
      </c>
      <c r="S22" s="318">
        <v>886478.96</v>
      </c>
      <c r="T22" s="318">
        <v>-69678052.930000052</v>
      </c>
      <c r="U22" s="318">
        <v>68951750.149999991</v>
      </c>
      <c r="V22" s="318">
        <v>1529372.61</v>
      </c>
      <c r="W22" s="318">
        <v>762916.33999993932</v>
      </c>
      <c r="X22" s="318">
        <v>24292747.68900001</v>
      </c>
      <c r="Y22" s="318">
        <v>851454997.41900015</v>
      </c>
      <c r="Z22" s="318">
        <v>92015139.291999996</v>
      </c>
      <c r="AA22" s="318">
        <v>66373252.679999992</v>
      </c>
      <c r="AB22" s="318">
        <v>1034136137.08</v>
      </c>
      <c r="AC22" s="318">
        <v>779891704.528</v>
      </c>
      <c r="AD22" s="318">
        <v>24791639.079999998</v>
      </c>
      <c r="AE22" s="318">
        <v>112.29</v>
      </c>
      <c r="AF22" s="318">
        <v>24.33</v>
      </c>
      <c r="AG22" s="328">
        <f t="shared" si="1"/>
        <v>0.17781939068398772</v>
      </c>
    </row>
    <row r="23" spans="1:33" x14ac:dyDescent="0.45">
      <c r="A23" s="333" t="s">
        <v>28</v>
      </c>
      <c r="B23" s="318">
        <v>18872033.1796</v>
      </c>
      <c r="C23" s="318">
        <v>11503561</v>
      </c>
      <c r="D23" s="318">
        <v>61930553</v>
      </c>
      <c r="E23" s="318">
        <v>5134008</v>
      </c>
      <c r="F23" s="318">
        <v>292499574</v>
      </c>
      <c r="G23" s="318">
        <v>0</v>
      </c>
      <c r="H23" s="318">
        <v>0</v>
      </c>
      <c r="I23" s="318">
        <v>0</v>
      </c>
      <c r="J23" s="318">
        <v>0</v>
      </c>
      <c r="K23" s="318">
        <v>389939729</v>
      </c>
      <c r="L23" s="318">
        <v>384480410</v>
      </c>
      <c r="M23" s="318">
        <v>-140875138</v>
      </c>
      <c r="N23" s="318">
        <v>243605272</v>
      </c>
      <c r="O23" s="318">
        <v>199512055</v>
      </c>
      <c r="P23" s="318">
        <v>199512055</v>
      </c>
      <c r="Q23" s="318">
        <v>47564985</v>
      </c>
      <c r="R23" s="318">
        <v>47119337</v>
      </c>
      <c r="S23" s="318">
        <v>1739890</v>
      </c>
      <c r="T23" s="318">
        <v>-48851215</v>
      </c>
      <c r="U23" s="318">
        <v>92652846</v>
      </c>
      <c r="V23" s="318">
        <v>5432661</v>
      </c>
      <c r="W23" s="318">
        <v>42014270</v>
      </c>
      <c r="X23" s="318">
        <v>35822756</v>
      </c>
      <c r="Y23" s="318">
        <v>1234036815</v>
      </c>
      <c r="Z23" s="318">
        <v>109321528</v>
      </c>
      <c r="AA23" s="318">
        <v>60736173</v>
      </c>
      <c r="AB23" s="318">
        <v>1440442082</v>
      </c>
      <c r="AC23" s="318">
        <v>906547449</v>
      </c>
      <c r="AD23" s="318">
        <v>102619382</v>
      </c>
      <c r="AE23" s="318">
        <v>140.08000000000001</v>
      </c>
      <c r="AF23" s="318">
        <v>24.63</v>
      </c>
      <c r="AG23" s="328">
        <f t="shared" si="1"/>
        <v>0.1741877053869583</v>
      </c>
    </row>
    <row r="24" spans="1:33" x14ac:dyDescent="0.45">
      <c r="A24" s="333" t="s">
        <v>31</v>
      </c>
      <c r="B24" s="318">
        <v>1078236.245238255</v>
      </c>
      <c r="C24" s="318">
        <v>4391076.5</v>
      </c>
      <c r="D24" s="318">
        <v>315356.90088602051</v>
      </c>
      <c r="E24" s="318">
        <v>132140.10999999999</v>
      </c>
      <c r="F24" s="318">
        <v>873232.87387572438</v>
      </c>
      <c r="G24" s="318">
        <v>0</v>
      </c>
      <c r="H24" s="318">
        <v>0</v>
      </c>
      <c r="I24" s="318">
        <v>0</v>
      </c>
      <c r="J24" s="318">
        <v>5187.9000000003698</v>
      </c>
      <c r="K24" s="318">
        <v>6795231</v>
      </c>
      <c r="L24" s="318">
        <v>4783097</v>
      </c>
      <c r="M24" s="318">
        <v>-365175</v>
      </c>
      <c r="N24" s="318">
        <v>4417922</v>
      </c>
      <c r="O24" s="318">
        <v>4807392</v>
      </c>
      <c r="P24" s="318">
        <v>4807392</v>
      </c>
      <c r="Q24" s="318">
        <v>7286066</v>
      </c>
      <c r="R24" s="318">
        <v>977146</v>
      </c>
      <c r="S24" s="318">
        <v>570625</v>
      </c>
      <c r="T24" s="318">
        <v>-8082057</v>
      </c>
      <c r="U24" s="318">
        <v>230313</v>
      </c>
      <c r="V24" s="318">
        <v>5711363</v>
      </c>
      <c r="W24" s="318">
        <v>-2140381</v>
      </c>
      <c r="X24" s="318">
        <v>19550258</v>
      </c>
      <c r="Y24" s="318">
        <v>21009352</v>
      </c>
      <c r="Z24" s="318">
        <v>8714279</v>
      </c>
      <c r="AA24" s="318">
        <v>5038377</v>
      </c>
      <c r="AB24" s="318">
        <v>54312266</v>
      </c>
      <c r="AC24" s="318">
        <v>11140625</v>
      </c>
      <c r="AD24" s="318">
        <v>3396817</v>
      </c>
      <c r="AE24" s="318">
        <v>364.07</v>
      </c>
      <c r="AF24" s="318">
        <v>172.76</v>
      </c>
      <c r="AG24" s="328">
        <f t="shared" si="1"/>
        <v>3.0354580655317788E-3</v>
      </c>
    </row>
    <row r="25" spans="1:33" s="137" customFormat="1" x14ac:dyDescent="0.45">
      <c r="A25" s="357" t="s">
        <v>67</v>
      </c>
      <c r="B25" s="358">
        <f t="shared" ref="B25:AD25" si="2">SUM(B6:B24)</f>
        <v>1452510036.4195209</v>
      </c>
      <c r="C25" s="358">
        <f t="shared" si="2"/>
        <v>180783854.27780202</v>
      </c>
      <c r="D25" s="358">
        <f t="shared" si="2"/>
        <v>177286744.48993239</v>
      </c>
      <c r="E25" s="358">
        <f t="shared" si="2"/>
        <v>116739644.63828354</v>
      </c>
      <c r="F25" s="358">
        <f t="shared" si="2"/>
        <v>901149176.54892921</v>
      </c>
      <c r="G25" s="358">
        <f t="shared" si="2"/>
        <v>341011.01</v>
      </c>
      <c r="H25" s="358">
        <f t="shared" si="2"/>
        <v>1137050</v>
      </c>
      <c r="I25" s="358">
        <f t="shared" si="2"/>
        <v>99092.69</v>
      </c>
      <c r="J25" s="358">
        <f t="shared" si="2"/>
        <v>109963048.95238765</v>
      </c>
      <c r="K25" s="358">
        <f t="shared" si="2"/>
        <v>2238617979</v>
      </c>
      <c r="L25" s="358">
        <f t="shared" si="2"/>
        <v>2169720371</v>
      </c>
      <c r="M25" s="359">
        <f t="shared" si="2"/>
        <v>-586035554</v>
      </c>
      <c r="N25" s="358">
        <f t="shared" si="2"/>
        <v>1583684816.6760311</v>
      </c>
      <c r="O25" s="358">
        <f>SUM(O6:O24)</f>
        <v>1208906577.0311279</v>
      </c>
      <c r="P25" s="360">
        <f>SUM(P6:P24)</f>
        <v>1205600178.421128</v>
      </c>
      <c r="Q25" s="360">
        <f>SUM(Q6:Q24)</f>
        <v>475948070.15187222</v>
      </c>
      <c r="R25" s="360">
        <f>SUM(R6:R24)</f>
        <v>296698488.47590435</v>
      </c>
      <c r="S25" s="360">
        <f>SUM(S6:S24)</f>
        <v>21518883.850000001</v>
      </c>
      <c r="T25" s="360">
        <f t="shared" si="2"/>
        <v>-377791329.88287336</v>
      </c>
      <c r="U25" s="360">
        <f t="shared" si="2"/>
        <v>503726375.79831898</v>
      </c>
      <c r="V25" s="360">
        <f t="shared" si="2"/>
        <v>64874672.595302224</v>
      </c>
      <c r="W25" s="360">
        <f t="shared" si="2"/>
        <v>176793364.80723372</v>
      </c>
      <c r="X25" s="360">
        <f t="shared" si="2"/>
        <v>366451533.73885912</v>
      </c>
      <c r="Y25" s="360">
        <f t="shared" si="2"/>
        <v>5714217260.5405083</v>
      </c>
      <c r="Z25" s="360">
        <f t="shared" si="2"/>
        <v>371288055.16081446</v>
      </c>
      <c r="AA25" s="360">
        <f t="shared" si="2"/>
        <v>294944789.37438387</v>
      </c>
      <c r="AB25" s="360">
        <f>SUM(AB6:AB24)</f>
        <v>6784099276.7799997</v>
      </c>
      <c r="AC25" s="360">
        <f t="shared" si="2"/>
        <v>4257663312.7550812</v>
      </c>
      <c r="AD25" s="360">
        <f t="shared" si="2"/>
        <v>508842127.29150367</v>
      </c>
      <c r="AE25" s="361">
        <f>AVERAGE(AE6:AE24)</f>
        <v>251.38222222222217</v>
      </c>
      <c r="AF25" s="361">
        <f>AVERAGE(AF6:AF24)</f>
        <v>70.601111111111123</v>
      </c>
      <c r="AG25" s="361">
        <f>SUM(AG6:AG24)</f>
        <v>0.99999999999999989</v>
      </c>
    </row>
    <row r="26" spans="1:33" x14ac:dyDescent="0.45">
      <c r="B26" s="324"/>
      <c r="C26" s="324"/>
      <c r="D26" s="324"/>
      <c r="E26" s="324"/>
      <c r="F26" s="324"/>
      <c r="G26" s="324"/>
      <c r="H26" s="324"/>
      <c r="I26" s="324"/>
      <c r="J26" s="324"/>
      <c r="K26" s="324"/>
      <c r="L26" s="324"/>
      <c r="M26" s="324"/>
      <c r="N26" s="325"/>
      <c r="O26" s="325"/>
      <c r="P26" s="324"/>
      <c r="Q26" s="324"/>
      <c r="R26" s="324"/>
      <c r="S26" s="324"/>
      <c r="T26" s="324"/>
      <c r="U26" s="324"/>
      <c r="V26" s="324"/>
      <c r="W26" s="324"/>
      <c r="X26" s="324"/>
      <c r="Y26" s="324"/>
      <c r="Z26" s="324"/>
      <c r="AA26" s="324"/>
      <c r="AB26" s="324"/>
      <c r="AC26" s="324"/>
      <c r="AD26" s="324"/>
      <c r="AE26" s="324"/>
      <c r="AF26" s="324"/>
      <c r="AG26" s="324"/>
    </row>
    <row r="27" spans="1:33" x14ac:dyDescent="0.45">
      <c r="X27"/>
      <c r="Y27"/>
      <c r="Z27"/>
      <c r="AA27"/>
      <c r="AB27"/>
      <c r="AC27"/>
      <c r="AD27"/>
      <c r="AE27"/>
      <c r="AF27"/>
      <c r="AG27"/>
    </row>
    <row r="28" spans="1:33" x14ac:dyDescent="0.45">
      <c r="A28" s="326"/>
      <c r="D28"/>
      <c r="E28"/>
      <c r="F28"/>
      <c r="G28"/>
      <c r="H28"/>
      <c r="I28"/>
      <c r="J28"/>
      <c r="K28"/>
      <c r="L28"/>
      <c r="M28"/>
      <c r="N28"/>
      <c r="O28"/>
      <c r="P28"/>
      <c r="Q28"/>
      <c r="R28"/>
      <c r="S28"/>
      <c r="T28"/>
      <c r="U28"/>
      <c r="V28"/>
      <c r="W28"/>
      <c r="X28"/>
      <c r="Y28"/>
      <c r="Z28"/>
      <c r="AA28"/>
      <c r="AB28"/>
      <c r="AC28"/>
      <c r="AD28"/>
      <c r="AE28"/>
      <c r="AF28"/>
      <c r="AG28"/>
    </row>
    <row r="29" spans="1:33" x14ac:dyDescent="0.45">
      <c r="A29" s="326"/>
      <c r="D29"/>
      <c r="E29"/>
      <c r="F29"/>
      <c r="G29"/>
      <c r="H29"/>
      <c r="I29"/>
      <c r="J29"/>
      <c r="K29"/>
      <c r="L29"/>
      <c r="M29"/>
      <c r="N29"/>
      <c r="O29"/>
      <c r="P29"/>
      <c r="Q29"/>
      <c r="R29"/>
      <c r="S29"/>
      <c r="T29"/>
      <c r="U29"/>
      <c r="V29"/>
      <c r="W29"/>
      <c r="X29"/>
      <c r="Y29"/>
      <c r="Z29"/>
      <c r="AA29"/>
      <c r="AB29"/>
      <c r="AC29"/>
      <c r="AD29"/>
      <c r="AE29"/>
      <c r="AF29"/>
      <c r="AG29"/>
    </row>
    <row r="30" spans="1:33" x14ac:dyDescent="0.45">
      <c r="A30" s="326"/>
      <c r="D30"/>
      <c r="E30"/>
      <c r="F30"/>
      <c r="G30"/>
      <c r="H30"/>
      <c r="I30"/>
      <c r="J30"/>
      <c r="K30"/>
      <c r="L30"/>
      <c r="M30"/>
      <c r="N30"/>
      <c r="O30"/>
      <c r="P30"/>
      <c r="Q30"/>
      <c r="R30"/>
      <c r="S30"/>
      <c r="T30"/>
      <c r="U30"/>
      <c r="V30"/>
      <c r="W30"/>
      <c r="X30"/>
      <c r="Y30"/>
      <c r="Z30"/>
      <c r="AA30"/>
      <c r="AB30"/>
      <c r="AC30"/>
      <c r="AD30"/>
      <c r="AE30"/>
      <c r="AF30"/>
      <c r="AG30"/>
    </row>
    <row r="31" spans="1:33" x14ac:dyDescent="0.45">
      <c r="A31" s="326"/>
      <c r="D31"/>
      <c r="E31"/>
      <c r="F31"/>
      <c r="G31"/>
      <c r="H31"/>
      <c r="I31"/>
      <c r="J31"/>
      <c r="K31"/>
      <c r="L31"/>
      <c r="M31"/>
      <c r="N31"/>
      <c r="O31"/>
      <c r="P31"/>
      <c r="Q31"/>
      <c r="R31"/>
      <c r="S31"/>
      <c r="T31"/>
      <c r="U31"/>
      <c r="V31"/>
      <c r="W31"/>
      <c r="X31"/>
      <c r="Y31"/>
      <c r="Z31"/>
      <c r="AA31"/>
      <c r="AB31"/>
      <c r="AC31"/>
      <c r="AD31"/>
      <c r="AE31"/>
      <c r="AF31"/>
      <c r="AG31"/>
    </row>
    <row r="32" spans="1:33" x14ac:dyDescent="0.45">
      <c r="A32" s="326"/>
      <c r="D32"/>
      <c r="E32"/>
      <c r="F32"/>
      <c r="G32"/>
      <c r="H32"/>
      <c r="I32"/>
      <c r="J32"/>
      <c r="K32"/>
      <c r="L32"/>
      <c r="M32"/>
      <c r="N32"/>
      <c r="O32"/>
      <c r="P32"/>
      <c r="Q32"/>
      <c r="R32"/>
      <c r="S32"/>
      <c r="T32"/>
      <c r="U32"/>
      <c r="V32"/>
      <c r="W32"/>
      <c r="X32"/>
      <c r="Y32"/>
      <c r="Z32"/>
      <c r="AA32"/>
      <c r="AB32"/>
      <c r="AC32"/>
      <c r="AD32"/>
      <c r="AE32"/>
      <c r="AF32"/>
      <c r="AG32"/>
    </row>
    <row r="33" spans="1:33" x14ac:dyDescent="0.45">
      <c r="A33" s="326"/>
      <c r="D33"/>
      <c r="E33"/>
      <c r="F33"/>
      <c r="G33"/>
      <c r="H33"/>
      <c r="I33"/>
      <c r="J33"/>
      <c r="K33"/>
      <c r="L33"/>
      <c r="M33"/>
      <c r="N33"/>
      <c r="O33"/>
      <c r="P33"/>
      <c r="Q33"/>
      <c r="R33"/>
      <c r="S33"/>
      <c r="T33"/>
      <c r="U33"/>
      <c r="V33"/>
      <c r="W33"/>
      <c r="X33"/>
      <c r="Y33"/>
      <c r="Z33"/>
      <c r="AA33"/>
      <c r="AB33"/>
      <c r="AC33"/>
      <c r="AD33"/>
      <c r="AE33"/>
      <c r="AF33"/>
      <c r="AG33"/>
    </row>
    <row r="34" spans="1:33" x14ac:dyDescent="0.45">
      <c r="A34" s="326"/>
      <c r="D34"/>
      <c r="E34"/>
      <c r="F34"/>
      <c r="G34"/>
      <c r="H34"/>
      <c r="I34"/>
      <c r="J34"/>
      <c r="K34"/>
      <c r="L34"/>
      <c r="M34"/>
      <c r="N34"/>
      <c r="O34"/>
      <c r="P34"/>
      <c r="Q34"/>
      <c r="R34"/>
      <c r="S34"/>
      <c r="T34"/>
      <c r="U34"/>
      <c r="V34"/>
      <c r="W34"/>
      <c r="X34"/>
      <c r="Y34"/>
      <c r="Z34"/>
      <c r="AA34"/>
      <c r="AB34"/>
      <c r="AC34"/>
      <c r="AD34"/>
      <c r="AE34"/>
      <c r="AF34"/>
      <c r="AG34"/>
    </row>
    <row r="35" spans="1:33" x14ac:dyDescent="0.45">
      <c r="A35" s="326"/>
      <c r="D35"/>
      <c r="E35"/>
      <c r="F35"/>
      <c r="G35"/>
      <c r="H35"/>
      <c r="I35"/>
      <c r="J35"/>
      <c r="K35"/>
      <c r="L35"/>
      <c r="M35"/>
      <c r="N35"/>
      <c r="O35"/>
      <c r="P35"/>
      <c r="Q35"/>
      <c r="R35"/>
      <c r="S35"/>
      <c r="T35"/>
      <c r="U35"/>
      <c r="V35"/>
      <c r="W35"/>
      <c r="X35"/>
      <c r="Y35"/>
      <c r="Z35"/>
      <c r="AA35"/>
      <c r="AB35"/>
      <c r="AC35"/>
      <c r="AD35"/>
      <c r="AE35"/>
      <c r="AF35"/>
      <c r="AG35"/>
    </row>
    <row r="36" spans="1:33" x14ac:dyDescent="0.45">
      <c r="A36" s="326"/>
      <c r="D36"/>
      <c r="E36"/>
      <c r="F36"/>
      <c r="G36"/>
      <c r="H36"/>
      <c r="I36"/>
      <c r="J36"/>
      <c r="K36"/>
      <c r="L36"/>
      <c r="M36"/>
      <c r="N36"/>
      <c r="O36"/>
      <c r="P36"/>
      <c r="Q36"/>
      <c r="R36"/>
      <c r="S36"/>
      <c r="T36"/>
      <c r="U36"/>
      <c r="V36"/>
      <c r="W36"/>
      <c r="X36"/>
      <c r="Y36"/>
      <c r="Z36"/>
      <c r="AA36"/>
      <c r="AB36"/>
      <c r="AC36"/>
      <c r="AD36"/>
      <c r="AE36"/>
      <c r="AF36"/>
      <c r="AG36"/>
    </row>
    <row r="37" spans="1:33" x14ac:dyDescent="0.45">
      <c r="A37" s="326"/>
      <c r="N37"/>
      <c r="O37"/>
      <c r="P37"/>
      <c r="Q37"/>
      <c r="R37"/>
      <c r="S37"/>
      <c r="T37"/>
      <c r="U37"/>
      <c r="V37"/>
      <c r="W37"/>
      <c r="X37"/>
      <c r="Y37"/>
      <c r="Z37"/>
      <c r="AA37"/>
      <c r="AB37"/>
      <c r="AC37"/>
      <c r="AD37"/>
      <c r="AE37"/>
      <c r="AF37"/>
      <c r="AG37"/>
    </row>
  </sheetData>
  <mergeCells count="1">
    <mergeCell ref="B1:AG1"/>
  </mergeCells>
  <dataValidations count="1">
    <dataValidation type="list" allowBlank="1" showInputMessage="1" showErrorMessage="1" sqref="A3" xr:uid="{00000000-0002-0000-2900-000000000000}">
      <formula1>$A$6:$A$25</formula1>
    </dataValidation>
  </dataValidations>
  <pageMargins left="0.7" right="0.7" top="0.75" bottom="0.75" header="0.3" footer="0.3"/>
  <customProperties>
    <customPr name="LastActive" r:id="rId1"/>
  </customProperties>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tabColor theme="3" tint="0.39997558519241921"/>
  </sheetPr>
  <dimension ref="A1:AG34"/>
  <sheetViews>
    <sheetView zoomScale="70" zoomScaleNormal="70" workbookViewId="0">
      <pane xSplit="1" ySplit="2" topLeftCell="K3" activePane="bottomRight" state="frozen"/>
      <selection pane="topRight" activeCell="B1" sqref="B1"/>
      <selection pane="bottomLeft" activeCell="A3" sqref="A3"/>
      <selection pane="bottomRight" activeCell="L21" sqref="L21"/>
    </sheetView>
  </sheetViews>
  <sheetFormatPr defaultRowHeight="14.25" x14ac:dyDescent="0.45"/>
  <cols>
    <col min="1" max="1" width="66.3984375" bestFit="1" customWidth="1"/>
    <col min="2" max="2" width="20.73046875" style="326" customWidth="1"/>
    <col min="3" max="5" width="17.73046875" style="326" bestFit="1" customWidth="1"/>
    <col min="6" max="6" width="19" style="326" customWidth="1"/>
    <col min="7" max="7" width="14.73046875" style="326" bestFit="1" customWidth="1"/>
    <col min="8" max="8" width="14.3984375" style="326" bestFit="1" customWidth="1"/>
    <col min="9" max="9" width="17.73046875" style="326" customWidth="1"/>
    <col min="10" max="10" width="27.3984375" style="326" bestFit="1" customWidth="1"/>
    <col min="11" max="11" width="21.73046875" style="326" bestFit="1" customWidth="1"/>
    <col min="12" max="12" width="22.3984375" style="326" bestFit="1" customWidth="1"/>
    <col min="13" max="13" width="24.265625" style="326" customWidth="1"/>
    <col min="14" max="14" width="20" style="326" bestFit="1" customWidth="1"/>
    <col min="15" max="15" width="22" style="326" customWidth="1"/>
    <col min="16" max="16" width="22.3984375" style="326" customWidth="1"/>
    <col min="17" max="17" width="20.73046875" style="326" bestFit="1" customWidth="1"/>
    <col min="18" max="18" width="22.73046875" style="326" bestFit="1" customWidth="1"/>
    <col min="19" max="19" width="18.265625" style="326" bestFit="1" customWidth="1"/>
    <col min="20" max="20" width="19.265625" style="326" bestFit="1" customWidth="1"/>
    <col min="21" max="21" width="25.265625" style="326" bestFit="1" customWidth="1"/>
    <col min="22" max="22" width="18.73046875" style="326" bestFit="1" customWidth="1"/>
    <col min="23" max="23" width="20" style="326" bestFit="1" customWidth="1"/>
    <col min="24" max="24" width="19.3984375" style="326" bestFit="1" customWidth="1"/>
    <col min="25" max="25" width="21.265625" style="326" bestFit="1" customWidth="1"/>
    <col min="26" max="26" width="17.73046875" style="326" bestFit="1" customWidth="1"/>
    <col min="27" max="27" width="18.265625" style="326" bestFit="1" customWidth="1"/>
    <col min="28" max="28" width="21.265625" style="326" bestFit="1" customWidth="1"/>
    <col min="29" max="29" width="25" style="326" bestFit="1" customWidth="1"/>
    <col min="30" max="30" width="18.73046875" style="326" bestFit="1" customWidth="1"/>
    <col min="31" max="31" width="17.265625" style="326" customWidth="1"/>
    <col min="32" max="32" width="17.265625" style="326" bestFit="1" customWidth="1"/>
    <col min="33" max="33" width="13" style="326" bestFit="1" customWidth="1"/>
  </cols>
  <sheetData>
    <row r="1" spans="1:33" ht="20.65" x14ac:dyDescent="0.55000000000000004">
      <c r="A1" s="341" t="s">
        <v>140</v>
      </c>
      <c r="B1" s="392" t="s">
        <v>99</v>
      </c>
      <c r="C1" s="392"/>
      <c r="D1" s="392"/>
      <c r="E1" s="392"/>
      <c r="F1" s="392"/>
      <c r="G1" s="392"/>
      <c r="H1" s="392"/>
      <c r="I1" s="392"/>
      <c r="J1" s="392"/>
      <c r="K1" s="392"/>
      <c r="L1" s="392"/>
      <c r="M1" s="392"/>
      <c r="N1" s="392"/>
      <c r="O1" s="392"/>
      <c r="P1" s="392"/>
      <c r="Q1" s="392"/>
      <c r="R1" s="392"/>
      <c r="S1" s="392"/>
      <c r="T1" s="392"/>
      <c r="U1" s="392"/>
      <c r="V1" s="392"/>
      <c r="W1" s="392"/>
      <c r="X1" s="392"/>
      <c r="Y1" s="392"/>
      <c r="Z1" s="392"/>
      <c r="AA1" s="392"/>
      <c r="AB1" s="392"/>
      <c r="AC1" s="392"/>
      <c r="AD1" s="392"/>
      <c r="AE1" s="392"/>
      <c r="AF1" s="392"/>
      <c r="AG1" s="392"/>
    </row>
    <row r="2" spans="1:33" ht="27" customHeight="1" x14ac:dyDescent="0.45">
      <c r="A2" s="349"/>
      <c r="B2" s="342" t="s">
        <v>108</v>
      </c>
      <c r="C2" s="342" t="s">
        <v>109</v>
      </c>
      <c r="D2" s="342" t="s">
        <v>110</v>
      </c>
      <c r="E2" s="342" t="s">
        <v>111</v>
      </c>
      <c r="F2" s="342" t="s">
        <v>112</v>
      </c>
      <c r="G2" s="342" t="s">
        <v>113</v>
      </c>
      <c r="H2" s="342" t="s">
        <v>114</v>
      </c>
      <c r="I2" s="342" t="s">
        <v>115</v>
      </c>
      <c r="J2" s="342" t="s">
        <v>116</v>
      </c>
      <c r="K2" s="342" t="s">
        <v>34</v>
      </c>
      <c r="L2" s="342" t="s">
        <v>117</v>
      </c>
      <c r="M2" s="343" t="s">
        <v>118</v>
      </c>
      <c r="N2" s="342" t="s">
        <v>119</v>
      </c>
      <c r="O2" s="342" t="s">
        <v>101</v>
      </c>
      <c r="P2" s="342" t="s">
        <v>74</v>
      </c>
      <c r="Q2" s="342" t="s">
        <v>10</v>
      </c>
      <c r="R2" s="342" t="s">
        <v>102</v>
      </c>
      <c r="S2" s="342" t="s">
        <v>103</v>
      </c>
      <c r="T2" s="342" t="s">
        <v>120</v>
      </c>
      <c r="U2" s="342" t="s">
        <v>121</v>
      </c>
      <c r="V2" s="342" t="s">
        <v>122</v>
      </c>
      <c r="W2" s="342" t="s">
        <v>135</v>
      </c>
      <c r="X2" s="342" t="s">
        <v>128</v>
      </c>
      <c r="Y2" s="342" t="s">
        <v>79</v>
      </c>
      <c r="Z2" s="342" t="s">
        <v>129</v>
      </c>
      <c r="AA2" s="342" t="s">
        <v>130</v>
      </c>
      <c r="AB2" s="343" t="s">
        <v>13</v>
      </c>
      <c r="AC2" s="343" t="s">
        <v>131</v>
      </c>
      <c r="AD2" s="343" t="s">
        <v>132</v>
      </c>
      <c r="AE2" s="344" t="s">
        <v>124</v>
      </c>
      <c r="AF2" s="344" t="s">
        <v>125</v>
      </c>
      <c r="AG2" s="344" t="s">
        <v>12</v>
      </c>
    </row>
    <row r="3" spans="1:33" x14ac:dyDescent="0.45">
      <c r="A3" s="350" t="s">
        <v>91</v>
      </c>
      <c r="B3" s="345">
        <f t="shared" ref="B3:AG3" si="0">INDEX(B6:B25,MATCH($A$3,$A$6:$A$25,0))</f>
        <v>64389037</v>
      </c>
      <c r="C3" s="345">
        <f t="shared" si="0"/>
        <v>4895147</v>
      </c>
      <c r="D3" s="345">
        <f t="shared" si="0"/>
        <v>59850449</v>
      </c>
      <c r="E3" s="345">
        <f t="shared" si="0"/>
        <v>1192727</v>
      </c>
      <c r="F3" s="345">
        <f t="shared" si="0"/>
        <v>72879427</v>
      </c>
      <c r="G3" s="345">
        <f t="shared" si="0"/>
        <v>0</v>
      </c>
      <c r="H3" s="345">
        <f t="shared" si="0"/>
        <v>0</v>
      </c>
      <c r="I3" s="345">
        <f t="shared" si="0"/>
        <v>0</v>
      </c>
      <c r="J3" s="345">
        <f t="shared" si="0"/>
        <v>0</v>
      </c>
      <c r="K3" s="345">
        <f t="shared" si="0"/>
        <v>203206787</v>
      </c>
      <c r="L3" s="345">
        <f t="shared" si="0"/>
        <v>200967826.94999999</v>
      </c>
      <c r="M3" s="345">
        <f t="shared" si="0"/>
        <v>-65882725</v>
      </c>
      <c r="N3" s="345">
        <f t="shared" si="0"/>
        <v>135085101.78999999</v>
      </c>
      <c r="O3" s="345">
        <f t="shared" si="0"/>
        <v>71667635</v>
      </c>
      <c r="P3" s="345">
        <f t="shared" si="0"/>
        <v>71371881.620000005</v>
      </c>
      <c r="Q3" s="345">
        <f t="shared" si="0"/>
        <v>36958729.299999997</v>
      </c>
      <c r="R3" s="345">
        <f t="shared" si="0"/>
        <v>24561964</v>
      </c>
      <c r="S3" s="345">
        <f t="shared" si="0"/>
        <v>412012.79999999999</v>
      </c>
      <c r="T3" s="345">
        <f t="shared" si="0"/>
        <v>2604540.13</v>
      </c>
      <c r="U3" s="345">
        <f t="shared" si="0"/>
        <v>23821650.129999999</v>
      </c>
      <c r="V3" s="345">
        <f t="shared" si="0"/>
        <v>4546350.7300000004</v>
      </c>
      <c r="W3" s="345">
        <f t="shared" si="0"/>
        <v>29423913.940000001</v>
      </c>
      <c r="X3" s="345">
        <f t="shared" si="0"/>
        <v>16965627</v>
      </c>
      <c r="Y3" s="345">
        <f t="shared" si="0"/>
        <v>191183521.11000001</v>
      </c>
      <c r="Z3" s="345">
        <f t="shared" si="0"/>
        <v>23347650</v>
      </c>
      <c r="AA3" s="345">
        <f t="shared" si="0"/>
        <v>21521887</v>
      </c>
      <c r="AB3" s="345">
        <f t="shared" si="0"/>
        <v>253018685.43000001</v>
      </c>
      <c r="AC3" s="345">
        <f t="shared" si="0"/>
        <v>142596458</v>
      </c>
      <c r="AD3" s="345">
        <f t="shared" si="0"/>
        <v>9084701</v>
      </c>
      <c r="AE3" s="345">
        <f t="shared" si="0"/>
        <v>145.97</v>
      </c>
      <c r="AF3" s="345">
        <f t="shared" si="0"/>
        <v>30.61</v>
      </c>
      <c r="AG3" s="346">
        <f t="shared" si="0"/>
        <v>6.6619378144180202E-2</v>
      </c>
    </row>
    <row r="4" spans="1:33" x14ac:dyDescent="0.45">
      <c r="A4" s="348"/>
      <c r="B4" s="347"/>
      <c r="C4" s="347"/>
      <c r="D4" s="347"/>
      <c r="E4" s="347"/>
      <c r="F4" s="347"/>
      <c r="G4" s="347"/>
      <c r="H4" s="347"/>
      <c r="I4" s="347"/>
      <c r="J4" s="347"/>
      <c r="K4" s="347"/>
      <c r="L4" s="347"/>
      <c r="M4" s="347"/>
      <c r="N4" s="347"/>
      <c r="O4" s="347"/>
      <c r="P4" s="347"/>
      <c r="Q4" s="347"/>
      <c r="R4" s="347"/>
      <c r="S4" s="347"/>
      <c r="T4" s="347"/>
      <c r="U4" s="347"/>
      <c r="V4" s="347"/>
      <c r="W4" s="347"/>
      <c r="X4" s="347"/>
      <c r="Y4" s="347"/>
      <c r="Z4" s="347"/>
      <c r="AA4" s="347"/>
      <c r="AB4" s="347"/>
      <c r="AC4" s="347"/>
      <c r="AD4" s="347"/>
      <c r="AE4" s="347"/>
      <c r="AF4" s="347"/>
      <c r="AG4" s="347"/>
    </row>
    <row r="5" spans="1:33" s="295" customFormat="1" ht="46.15" customHeight="1" x14ac:dyDescent="0.45">
      <c r="A5" s="332" t="s">
        <v>126</v>
      </c>
      <c r="B5" s="335" t="s">
        <v>108</v>
      </c>
      <c r="C5" s="335" t="s">
        <v>109</v>
      </c>
      <c r="D5" s="335" t="s">
        <v>110</v>
      </c>
      <c r="E5" s="335" t="s">
        <v>111</v>
      </c>
      <c r="F5" s="335" t="s">
        <v>112</v>
      </c>
      <c r="G5" s="335" t="s">
        <v>113</v>
      </c>
      <c r="H5" s="335" t="s">
        <v>114</v>
      </c>
      <c r="I5" s="335" t="s">
        <v>115</v>
      </c>
      <c r="J5" s="335" t="s">
        <v>116</v>
      </c>
      <c r="K5" s="335" t="s">
        <v>34</v>
      </c>
      <c r="L5" s="335" t="s">
        <v>117</v>
      </c>
      <c r="M5" s="336" t="s">
        <v>118</v>
      </c>
      <c r="N5" s="335" t="s">
        <v>119</v>
      </c>
      <c r="O5" s="335" t="s">
        <v>101</v>
      </c>
      <c r="P5" s="335" t="s">
        <v>74</v>
      </c>
      <c r="Q5" s="335" t="s">
        <v>10</v>
      </c>
      <c r="R5" s="335" t="s">
        <v>102</v>
      </c>
      <c r="S5" s="335" t="s">
        <v>103</v>
      </c>
      <c r="T5" s="335" t="s">
        <v>120</v>
      </c>
      <c r="U5" s="335" t="s">
        <v>121</v>
      </c>
      <c r="V5" s="335" t="s">
        <v>122</v>
      </c>
      <c r="W5" s="335" t="s">
        <v>135</v>
      </c>
      <c r="X5" s="335" t="s">
        <v>128</v>
      </c>
      <c r="Y5" s="335" t="s">
        <v>79</v>
      </c>
      <c r="Z5" s="335" t="s">
        <v>129</v>
      </c>
      <c r="AA5" s="335" t="s">
        <v>130</v>
      </c>
      <c r="AB5" s="336" t="s">
        <v>13</v>
      </c>
      <c r="AC5" s="336" t="s">
        <v>131</v>
      </c>
      <c r="AD5" s="336" t="s">
        <v>132</v>
      </c>
      <c r="AE5" s="337" t="s">
        <v>124</v>
      </c>
      <c r="AF5" s="337" t="s">
        <v>125</v>
      </c>
      <c r="AG5" s="337" t="s">
        <v>12</v>
      </c>
    </row>
    <row r="6" spans="1:33" x14ac:dyDescent="0.45">
      <c r="A6" s="333" t="s">
        <v>80</v>
      </c>
      <c r="B6" s="318">
        <v>19545121</v>
      </c>
      <c r="C6" s="318">
        <v>11451435</v>
      </c>
      <c r="D6" s="318">
        <v>1172070</v>
      </c>
      <c r="E6" s="318">
        <v>3385321</v>
      </c>
      <c r="F6" s="318">
        <v>4945263</v>
      </c>
      <c r="G6" s="318"/>
      <c r="H6" s="318">
        <v>0</v>
      </c>
      <c r="I6" s="318">
        <v>0</v>
      </c>
      <c r="J6" s="318">
        <v>30749619</v>
      </c>
      <c r="K6" s="318">
        <v>71248830</v>
      </c>
      <c r="L6" s="318">
        <v>68154432</v>
      </c>
      <c r="M6" s="318">
        <v>-17968702</v>
      </c>
      <c r="N6" s="318">
        <v>50185730</v>
      </c>
      <c r="O6" s="318">
        <v>16137063</v>
      </c>
      <c r="P6" s="318">
        <v>16137063</v>
      </c>
      <c r="Q6" s="318">
        <v>24298914</v>
      </c>
      <c r="R6" s="318">
        <v>24668987</v>
      </c>
      <c r="S6" s="318">
        <v>756540.5</v>
      </c>
      <c r="T6" s="318">
        <v>-14162693.5</v>
      </c>
      <c r="U6" s="318">
        <v>17467372.5</v>
      </c>
      <c r="V6" s="318">
        <v>2200012</v>
      </c>
      <c r="W6" s="318">
        <v>5504691</v>
      </c>
      <c r="X6" s="318">
        <v>12604773</v>
      </c>
      <c r="Y6" s="318">
        <v>86715300.519999996</v>
      </c>
      <c r="Z6" s="318">
        <v>8370874</v>
      </c>
      <c r="AA6" s="318">
        <v>2220637</v>
      </c>
      <c r="AB6" s="318">
        <v>115886336.52</v>
      </c>
      <c r="AC6" s="318">
        <v>50458128</v>
      </c>
      <c r="AD6" s="318">
        <v>9600380</v>
      </c>
      <c r="AE6" s="318">
        <v>196.84</v>
      </c>
      <c r="AF6" s="318">
        <v>71.849999999999994</v>
      </c>
      <c r="AG6" s="328">
        <f t="shared" ref="AG6:AG25" si="1">K6/$K$25</f>
        <v>2.3358239250642798E-2</v>
      </c>
    </row>
    <row r="7" spans="1:33" x14ac:dyDescent="0.45">
      <c r="A7" s="333" t="s">
        <v>16</v>
      </c>
      <c r="B7" s="318">
        <v>18420496</v>
      </c>
      <c r="C7" s="318">
        <v>2339539</v>
      </c>
      <c r="D7" s="318">
        <v>6208</v>
      </c>
      <c r="E7" s="318">
        <v>1353698</v>
      </c>
      <c r="F7" s="318">
        <v>4102595</v>
      </c>
      <c r="G7" s="318"/>
      <c r="H7" s="318"/>
      <c r="I7" s="318"/>
      <c r="J7" s="318"/>
      <c r="K7" s="318">
        <v>26222536</v>
      </c>
      <c r="L7" s="318">
        <v>25309423</v>
      </c>
      <c r="M7" s="318">
        <v>-5506733</v>
      </c>
      <c r="N7" s="318">
        <v>19802690</v>
      </c>
      <c r="O7" s="318">
        <v>14553358</v>
      </c>
      <c r="P7" s="318">
        <v>13383263</v>
      </c>
      <c r="Q7" s="318">
        <v>13025501</v>
      </c>
      <c r="R7" s="318">
        <v>2329033</v>
      </c>
      <c r="S7" s="318">
        <v>241849</v>
      </c>
      <c r="T7" s="318">
        <v>-8693258</v>
      </c>
      <c r="U7" s="318">
        <v>4566753</v>
      </c>
      <c r="V7" s="318">
        <v>1390244</v>
      </c>
      <c r="W7" s="318">
        <v>-2772685</v>
      </c>
      <c r="X7" s="318">
        <v>331305</v>
      </c>
      <c r="Y7" s="318">
        <v>135922298</v>
      </c>
      <c r="Z7" s="318">
        <v>2551206</v>
      </c>
      <c r="AA7" s="318">
        <v>6548866</v>
      </c>
      <c r="AB7" s="318">
        <v>145353675</v>
      </c>
      <c r="AC7" s="318">
        <v>70392218</v>
      </c>
      <c r="AD7" s="318">
        <v>9733212</v>
      </c>
      <c r="AE7" s="318">
        <v>193.56</v>
      </c>
      <c r="AF7" s="318">
        <v>60.67</v>
      </c>
      <c r="AG7" s="328">
        <f t="shared" si="1"/>
        <v>8.5968046022172409E-3</v>
      </c>
    </row>
    <row r="8" spans="1:33" x14ac:dyDescent="0.45">
      <c r="A8" s="333" t="s">
        <v>17</v>
      </c>
      <c r="B8" s="318">
        <v>389840941</v>
      </c>
      <c r="C8" s="318">
        <v>19693183</v>
      </c>
      <c r="D8" s="318">
        <v>36033703</v>
      </c>
      <c r="E8" s="318">
        <v>21175535</v>
      </c>
      <c r="F8" s="318">
        <v>231926803</v>
      </c>
      <c r="G8" s="318"/>
      <c r="H8" s="318"/>
      <c r="I8" s="318"/>
      <c r="J8" s="318">
        <v>23572649</v>
      </c>
      <c r="K8" s="318">
        <v>722242814.68000007</v>
      </c>
      <c r="L8" s="318">
        <v>706554794.28999996</v>
      </c>
      <c r="M8" s="318">
        <v>-209882288</v>
      </c>
      <c r="N8" s="318">
        <v>496672505.89999998</v>
      </c>
      <c r="O8" s="318">
        <v>367716278</v>
      </c>
      <c r="P8" s="318">
        <v>362413548</v>
      </c>
      <c r="Q8" s="318">
        <v>140387497</v>
      </c>
      <c r="R8" s="318">
        <v>115205014</v>
      </c>
      <c r="S8" s="318"/>
      <c r="T8" s="318">
        <v>-121333553.09999999</v>
      </c>
      <c r="U8" s="318">
        <v>236839332.59999999</v>
      </c>
      <c r="V8" s="318">
        <v>14557481.4</v>
      </c>
      <c r="W8" s="318">
        <v>123560097.88</v>
      </c>
      <c r="X8" s="318">
        <v>106414150</v>
      </c>
      <c r="Y8" s="318">
        <v>1358648964</v>
      </c>
      <c r="Z8" s="318">
        <v>38998512</v>
      </c>
      <c r="AA8" s="318">
        <v>41992020</v>
      </c>
      <c r="AB8" s="318">
        <v>1546053645.8399999</v>
      </c>
      <c r="AC8" s="318">
        <v>1114711933</v>
      </c>
      <c r="AD8" s="318">
        <v>104031647</v>
      </c>
      <c r="AE8" s="318">
        <v>131.43</v>
      </c>
      <c r="AF8" s="318">
        <v>36.17</v>
      </c>
      <c r="AG8" s="328">
        <f t="shared" si="1"/>
        <v>0.23678031572382466</v>
      </c>
    </row>
    <row r="9" spans="1:33" x14ac:dyDescent="0.45">
      <c r="A9" s="333" t="s">
        <v>97</v>
      </c>
      <c r="B9" s="318"/>
      <c r="C9" s="318"/>
      <c r="D9" s="318"/>
      <c r="E9" s="318"/>
      <c r="F9" s="318"/>
      <c r="G9" s="318"/>
      <c r="H9" s="318"/>
      <c r="I9" s="318"/>
      <c r="J9" s="318"/>
      <c r="K9" s="318">
        <v>0</v>
      </c>
      <c r="L9" s="318"/>
      <c r="M9" s="318"/>
      <c r="N9" s="318"/>
      <c r="O9" s="318"/>
      <c r="P9" s="318"/>
      <c r="Q9" s="318"/>
      <c r="R9" s="318"/>
      <c r="S9" s="318"/>
      <c r="T9" s="318"/>
      <c r="U9" s="318"/>
      <c r="V9" s="318"/>
      <c r="W9" s="318"/>
      <c r="X9" s="318"/>
      <c r="Y9" s="318"/>
      <c r="Z9" s="318"/>
      <c r="AA9" s="318"/>
      <c r="AB9" s="318"/>
      <c r="AC9" s="318"/>
      <c r="AD9" s="318"/>
      <c r="AE9" s="318"/>
      <c r="AF9" s="318"/>
      <c r="AG9" s="328"/>
    </row>
    <row r="10" spans="1:33" x14ac:dyDescent="0.45">
      <c r="A10" s="333" t="s">
        <v>53</v>
      </c>
      <c r="B10" s="318"/>
      <c r="C10" s="318"/>
      <c r="D10" s="318">
        <v>4629326</v>
      </c>
      <c r="E10" s="318"/>
      <c r="F10" s="318"/>
      <c r="G10" s="318"/>
      <c r="H10" s="318"/>
      <c r="I10" s="318"/>
      <c r="J10" s="318"/>
      <c r="K10" s="318">
        <v>4629326</v>
      </c>
      <c r="L10" s="318">
        <v>3995379</v>
      </c>
      <c r="M10" s="318">
        <v>-937050</v>
      </c>
      <c r="N10" s="318">
        <v>3058329</v>
      </c>
      <c r="O10" s="318">
        <v>457661</v>
      </c>
      <c r="P10" s="318">
        <v>366129</v>
      </c>
      <c r="Q10" s="318">
        <v>10898244.08</v>
      </c>
      <c r="R10" s="318">
        <v>156927</v>
      </c>
      <c r="S10" s="318"/>
      <c r="T10" s="318">
        <v>-8486848.0800000001</v>
      </c>
      <c r="U10" s="318">
        <v>2571331</v>
      </c>
      <c r="V10" s="318">
        <v>1866.68</v>
      </c>
      <c r="W10" s="318">
        <v>-5913650.4000000004</v>
      </c>
      <c r="X10" s="318">
        <v>2149038</v>
      </c>
      <c r="Y10" s="318">
        <v>12788531</v>
      </c>
      <c r="Z10" s="318">
        <v>2825710</v>
      </c>
      <c r="AA10" s="318">
        <v>4640470</v>
      </c>
      <c r="AB10" s="318">
        <v>23120967.620000001</v>
      </c>
      <c r="AC10" s="318">
        <v>5446481</v>
      </c>
      <c r="AD10" s="318">
        <v>5992486</v>
      </c>
      <c r="AE10" s="318">
        <v>274.26</v>
      </c>
      <c r="AF10" s="318">
        <v>279.8</v>
      </c>
      <c r="AG10" s="328">
        <f t="shared" si="1"/>
        <v>1.5176797187718201E-3</v>
      </c>
    </row>
    <row r="11" spans="1:33" x14ac:dyDescent="0.45">
      <c r="A11" s="333" t="s">
        <v>18</v>
      </c>
      <c r="B11" s="318"/>
      <c r="C11" s="318"/>
      <c r="D11" s="318"/>
      <c r="E11" s="318"/>
      <c r="F11" s="318"/>
      <c r="G11" s="318"/>
      <c r="H11" s="318"/>
      <c r="I11" s="318"/>
      <c r="J11" s="318"/>
      <c r="K11" s="318">
        <v>0</v>
      </c>
      <c r="L11" s="318"/>
      <c r="M11" s="318"/>
      <c r="N11" s="318"/>
      <c r="O11" s="318"/>
      <c r="P11" s="318"/>
      <c r="Q11" s="318"/>
      <c r="R11" s="318"/>
      <c r="S11" s="318"/>
      <c r="T11" s="318"/>
      <c r="U11" s="318"/>
      <c r="V11" s="318"/>
      <c r="W11" s="318"/>
      <c r="X11" s="318"/>
      <c r="Y11" s="318"/>
      <c r="Z11" s="318"/>
      <c r="AA11" s="318"/>
      <c r="AB11" s="318"/>
      <c r="AC11" s="318"/>
      <c r="AD11" s="318"/>
      <c r="AE11" s="318"/>
      <c r="AF11" s="318"/>
      <c r="AG11" s="328"/>
    </row>
    <row r="12" spans="1:33" x14ac:dyDescent="0.45">
      <c r="A12" s="333" t="s">
        <v>19</v>
      </c>
      <c r="B12" s="318">
        <v>49363000</v>
      </c>
      <c r="C12" s="318">
        <v>9169000</v>
      </c>
      <c r="D12" s="318"/>
      <c r="E12" s="318">
        <v>2972000</v>
      </c>
      <c r="F12" s="318"/>
      <c r="G12" s="318"/>
      <c r="H12" s="318"/>
      <c r="I12" s="318"/>
      <c r="J12" s="318"/>
      <c r="K12" s="318">
        <v>61504000</v>
      </c>
      <c r="L12" s="318">
        <v>58121000</v>
      </c>
      <c r="M12" s="318">
        <v>-21000000</v>
      </c>
      <c r="N12" s="318">
        <v>37121000</v>
      </c>
      <c r="O12" s="318">
        <v>44198000</v>
      </c>
      <c r="P12" s="318">
        <v>44198000</v>
      </c>
      <c r="Q12" s="318">
        <v>30312000</v>
      </c>
      <c r="R12" s="318">
        <v>5825000</v>
      </c>
      <c r="S12" s="318"/>
      <c r="T12" s="318">
        <v>-43214000</v>
      </c>
      <c r="U12" s="318">
        <v>6319000</v>
      </c>
      <c r="V12" s="318">
        <v>22582000</v>
      </c>
      <c r="W12" s="318">
        <v>-14313000</v>
      </c>
      <c r="X12" s="318">
        <v>48921533</v>
      </c>
      <c r="Y12" s="318">
        <v>48545345</v>
      </c>
      <c r="Z12" s="318">
        <v>1767112</v>
      </c>
      <c r="AA12" s="318">
        <v>7501579</v>
      </c>
      <c r="AB12" s="318">
        <v>108701106</v>
      </c>
      <c r="AC12" s="318">
        <v>56516494</v>
      </c>
      <c r="AD12" s="318">
        <v>7097072</v>
      </c>
      <c r="AE12" s="318">
        <v>172.46</v>
      </c>
      <c r="AF12" s="318">
        <v>62.18</v>
      </c>
      <c r="AG12" s="328">
        <f t="shared" si="1"/>
        <v>2.0163491061839678E-2</v>
      </c>
    </row>
    <row r="13" spans="1:33" x14ac:dyDescent="0.45">
      <c r="A13" s="333" t="s">
        <v>20</v>
      </c>
      <c r="B13" s="318">
        <v>118517981</v>
      </c>
      <c r="C13" s="318">
        <v>49116257</v>
      </c>
      <c r="D13" s="318">
        <v>2650197</v>
      </c>
      <c r="E13" s="318">
        <v>11233793</v>
      </c>
      <c r="F13" s="318">
        <v>25800568</v>
      </c>
      <c r="G13" s="318">
        <v>342185</v>
      </c>
      <c r="H13" s="318"/>
      <c r="I13" s="318"/>
      <c r="J13" s="318"/>
      <c r="K13" s="318">
        <v>207660981.31</v>
      </c>
      <c r="L13" s="318">
        <v>204041872.56999999</v>
      </c>
      <c r="M13" s="318">
        <v>-27521409</v>
      </c>
      <c r="N13" s="318">
        <v>176520463.21000001</v>
      </c>
      <c r="O13" s="318">
        <v>128423482</v>
      </c>
      <c r="P13" s="318">
        <v>128423481.84999999</v>
      </c>
      <c r="Q13" s="318">
        <v>44681059.369999997</v>
      </c>
      <c r="R13" s="318">
        <v>14260797</v>
      </c>
      <c r="S13" s="318"/>
      <c r="T13" s="318">
        <v>-10844875.119999999</v>
      </c>
      <c r="U13" s="318">
        <v>11919907.23</v>
      </c>
      <c r="V13" s="318">
        <v>2459410.35</v>
      </c>
      <c r="W13" s="318">
        <v>3534442.46</v>
      </c>
      <c r="X13" s="318">
        <v>39491613</v>
      </c>
      <c r="Y13" s="318">
        <v>433136774.85000002</v>
      </c>
      <c r="Z13" s="318">
        <v>24472288</v>
      </c>
      <c r="AA13" s="318">
        <v>20969895</v>
      </c>
      <c r="AB13" s="318">
        <v>518070570.27999997</v>
      </c>
      <c r="AC13" s="318">
        <v>227165152</v>
      </c>
      <c r="AD13" s="318">
        <v>65112952</v>
      </c>
      <c r="AE13" s="318">
        <v>208.05</v>
      </c>
      <c r="AF13" s="318">
        <v>28.89</v>
      </c>
      <c r="AG13" s="328">
        <f t="shared" si="1"/>
        <v>6.8079642633601736E-2</v>
      </c>
    </row>
    <row r="14" spans="1:33" x14ac:dyDescent="0.45">
      <c r="A14" s="333" t="s">
        <v>47</v>
      </c>
      <c r="B14" s="318">
        <v>1088738</v>
      </c>
      <c r="C14" s="318">
        <v>91187</v>
      </c>
      <c r="D14" s="318">
        <v>16092</v>
      </c>
      <c r="E14" s="318"/>
      <c r="F14" s="318">
        <v>607913</v>
      </c>
      <c r="G14" s="318"/>
      <c r="H14" s="318"/>
      <c r="I14" s="318"/>
      <c r="J14" s="318"/>
      <c r="K14" s="318">
        <v>1803929.97</v>
      </c>
      <c r="L14" s="318">
        <v>1785738.54</v>
      </c>
      <c r="M14" s="318">
        <v>-357148</v>
      </c>
      <c r="N14" s="318">
        <v>1428590.9</v>
      </c>
      <c r="O14" s="318">
        <v>741702</v>
      </c>
      <c r="P14" s="318">
        <v>741701.8</v>
      </c>
      <c r="Q14" s="318">
        <v>2726179.97</v>
      </c>
      <c r="R14" s="318">
        <v>82521</v>
      </c>
      <c r="S14" s="318">
        <v>3288.94</v>
      </c>
      <c r="T14" s="318">
        <v>-2118523.02</v>
      </c>
      <c r="U14" s="318">
        <v>717215.07</v>
      </c>
      <c r="V14" s="318">
        <v>0</v>
      </c>
      <c r="W14" s="318">
        <v>-1401307.95</v>
      </c>
      <c r="X14" s="318">
        <v>9278973</v>
      </c>
      <c r="Y14" s="318">
        <v>48495345.700000003</v>
      </c>
      <c r="Z14" s="318">
        <v>5488927</v>
      </c>
      <c r="AA14" s="318">
        <v>13635130</v>
      </c>
      <c r="AB14" s="318">
        <v>77389485.489999995</v>
      </c>
      <c r="AC14" s="318">
        <v>18810106</v>
      </c>
      <c r="AD14" s="318">
        <v>5266987</v>
      </c>
      <c r="AE14" s="318">
        <v>307.14999999999998</v>
      </c>
      <c r="AF14" s="318">
        <v>157.29</v>
      </c>
      <c r="AG14" s="328">
        <f t="shared" si="1"/>
        <v>5.9140097922541165E-4</v>
      </c>
    </row>
    <row r="15" spans="1:33" x14ac:dyDescent="0.45">
      <c r="A15" s="333" t="s">
        <v>64</v>
      </c>
      <c r="B15" s="318">
        <v>7287783</v>
      </c>
      <c r="C15" s="318">
        <v>14447997</v>
      </c>
      <c r="D15" s="318"/>
      <c r="E15" s="318">
        <v>5406273</v>
      </c>
      <c r="F15" s="318">
        <v>9594147</v>
      </c>
      <c r="G15" s="318"/>
      <c r="H15" s="318"/>
      <c r="I15" s="318"/>
      <c r="J15" s="318">
        <v>1444020</v>
      </c>
      <c r="K15" s="318">
        <v>38180221.329999998</v>
      </c>
      <c r="L15" s="318">
        <v>29478317.460000001</v>
      </c>
      <c r="M15" s="318">
        <v>-8480419</v>
      </c>
      <c r="N15" s="318">
        <v>20997898.079999998</v>
      </c>
      <c r="O15" s="318">
        <v>11390179</v>
      </c>
      <c r="P15" s="318">
        <v>8700163.0399999991</v>
      </c>
      <c r="Q15" s="318">
        <v>21459143.809999999</v>
      </c>
      <c r="R15" s="318">
        <v>4529243</v>
      </c>
      <c r="S15" s="318">
        <v>1282545.19</v>
      </c>
      <c r="T15" s="318">
        <v>-12408106.720000001</v>
      </c>
      <c r="U15" s="318">
        <v>10804131.890000001</v>
      </c>
      <c r="V15" s="318">
        <v>5988263.0199999996</v>
      </c>
      <c r="W15" s="318">
        <v>3903506.19</v>
      </c>
      <c r="X15" s="318">
        <v>23567660</v>
      </c>
      <c r="Y15" s="318">
        <v>71467426.859999999</v>
      </c>
      <c r="Z15" s="318">
        <v>8842966</v>
      </c>
      <c r="AA15" s="318">
        <v>1564824</v>
      </c>
      <c r="AB15" s="318">
        <v>105442876.18000001</v>
      </c>
      <c r="AC15" s="318">
        <v>15097365</v>
      </c>
      <c r="AD15" s="318">
        <v>26544228</v>
      </c>
      <c r="AE15" s="318">
        <v>629.48</v>
      </c>
      <c r="AF15" s="318">
        <v>88.16</v>
      </c>
      <c r="AG15" s="328">
        <f t="shared" si="1"/>
        <v>1.2517015991260984E-2</v>
      </c>
    </row>
    <row r="16" spans="1:33" x14ac:dyDescent="0.45">
      <c r="A16" s="333" t="s">
        <v>21</v>
      </c>
      <c r="B16" s="318">
        <v>47128751</v>
      </c>
      <c r="C16" s="318">
        <v>11936636</v>
      </c>
      <c r="D16" s="318"/>
      <c r="E16" s="318">
        <v>4894677</v>
      </c>
      <c r="F16" s="318">
        <v>8644400</v>
      </c>
      <c r="G16" s="318"/>
      <c r="H16" s="318"/>
      <c r="I16" s="318"/>
      <c r="J16" s="318">
        <v>37893462</v>
      </c>
      <c r="K16" s="318">
        <v>110497925.84</v>
      </c>
      <c r="L16" s="318">
        <v>108920770.84</v>
      </c>
      <c r="M16" s="318">
        <v>-12616055</v>
      </c>
      <c r="N16" s="318">
        <v>96304715.840000004</v>
      </c>
      <c r="O16" s="318">
        <v>47001148</v>
      </c>
      <c r="P16" s="318">
        <v>46623086.68</v>
      </c>
      <c r="Q16" s="318">
        <v>19677359.510000002</v>
      </c>
      <c r="R16" s="318">
        <v>54941431</v>
      </c>
      <c r="S16" s="318">
        <v>503171.53</v>
      </c>
      <c r="T16" s="318">
        <v>-29950183.050000001</v>
      </c>
      <c r="U16" s="318">
        <v>49017547.990000002</v>
      </c>
      <c r="V16" s="318">
        <v>680579.27</v>
      </c>
      <c r="W16" s="318">
        <v>18561634.109999999</v>
      </c>
      <c r="X16" s="318">
        <v>15333423</v>
      </c>
      <c r="Y16" s="318">
        <v>272364995.98000002</v>
      </c>
      <c r="Z16" s="318">
        <v>2991714</v>
      </c>
      <c r="AA16" s="318">
        <v>2580757</v>
      </c>
      <c r="AB16" s="318">
        <v>293414108.41000003</v>
      </c>
      <c r="AC16" s="318">
        <v>197729319</v>
      </c>
      <c r="AD16" s="318">
        <v>15454148</v>
      </c>
      <c r="AE16" s="318">
        <v>145.5</v>
      </c>
      <c r="AF16" s="318">
        <v>73.569999999999993</v>
      </c>
      <c r="AG16" s="328">
        <f t="shared" si="1"/>
        <v>3.6225675403659334E-2</v>
      </c>
    </row>
    <row r="17" spans="1:33" x14ac:dyDescent="0.45">
      <c r="A17" s="333" t="s">
        <v>91</v>
      </c>
      <c r="B17" s="318">
        <v>64389037</v>
      </c>
      <c r="C17" s="318">
        <v>4895147</v>
      </c>
      <c r="D17" s="318">
        <v>59850449</v>
      </c>
      <c r="E17" s="318">
        <v>1192727</v>
      </c>
      <c r="F17" s="318">
        <v>72879427</v>
      </c>
      <c r="G17" s="318"/>
      <c r="H17" s="318"/>
      <c r="I17" s="318"/>
      <c r="J17" s="318"/>
      <c r="K17" s="318">
        <v>203206787</v>
      </c>
      <c r="L17" s="318">
        <v>200967826.94999999</v>
      </c>
      <c r="M17" s="318">
        <v>-65882725</v>
      </c>
      <c r="N17" s="318">
        <v>135085101.78999999</v>
      </c>
      <c r="O17" s="318">
        <v>71667635</v>
      </c>
      <c r="P17" s="318">
        <v>71371881.620000005</v>
      </c>
      <c r="Q17" s="318">
        <v>36958729.299999997</v>
      </c>
      <c r="R17" s="318">
        <v>24561964</v>
      </c>
      <c r="S17" s="318">
        <v>412012.79999999999</v>
      </c>
      <c r="T17" s="318">
        <v>2604540.13</v>
      </c>
      <c r="U17" s="318">
        <v>23821650.129999999</v>
      </c>
      <c r="V17" s="318">
        <v>4546350.7300000004</v>
      </c>
      <c r="W17" s="318">
        <v>29423913.940000001</v>
      </c>
      <c r="X17" s="318">
        <v>16965627</v>
      </c>
      <c r="Y17" s="318">
        <v>191183521.11000001</v>
      </c>
      <c r="Z17" s="318">
        <v>23347650</v>
      </c>
      <c r="AA17" s="318">
        <v>21521887</v>
      </c>
      <c r="AB17" s="318">
        <v>253018685.43000001</v>
      </c>
      <c r="AC17" s="318">
        <v>142596458</v>
      </c>
      <c r="AD17" s="318">
        <v>9084701</v>
      </c>
      <c r="AE17" s="318">
        <v>145.97</v>
      </c>
      <c r="AF17" s="318">
        <v>30.61</v>
      </c>
      <c r="AG17" s="328">
        <f t="shared" si="1"/>
        <v>6.6619378144180202E-2</v>
      </c>
    </row>
    <row r="18" spans="1:33" x14ac:dyDescent="0.45">
      <c r="A18" s="333" t="s">
        <v>22</v>
      </c>
      <c r="B18" s="318">
        <v>64444747</v>
      </c>
      <c r="C18" s="318">
        <v>32334527</v>
      </c>
      <c r="D18" s="318">
        <v>47159</v>
      </c>
      <c r="E18" s="318">
        <v>2845319</v>
      </c>
      <c r="F18" s="318">
        <v>9139771</v>
      </c>
      <c r="G18" s="318"/>
      <c r="H18" s="318">
        <v>1267070</v>
      </c>
      <c r="I18" s="318">
        <v>102608</v>
      </c>
      <c r="J18" s="318">
        <v>13581181</v>
      </c>
      <c r="K18" s="318">
        <v>123762383.36</v>
      </c>
      <c r="L18" s="318">
        <v>108521397.51000001</v>
      </c>
      <c r="M18" s="318"/>
      <c r="N18" s="318">
        <v>108521397.51000001</v>
      </c>
      <c r="O18" s="318">
        <v>105583589</v>
      </c>
      <c r="P18" s="318">
        <v>105583589.45</v>
      </c>
      <c r="Q18" s="318">
        <v>42543626.119999997</v>
      </c>
      <c r="R18" s="318">
        <v>12966351</v>
      </c>
      <c r="S18" s="318">
        <v>10385909.02</v>
      </c>
      <c r="T18" s="318">
        <v>-42186260.100000001</v>
      </c>
      <c r="U18" s="318">
        <v>60725537.640000001</v>
      </c>
      <c r="V18" s="318">
        <v>710284.28</v>
      </c>
      <c r="W18" s="318">
        <v>15559982.390000001</v>
      </c>
      <c r="X18" s="318">
        <v>44800738</v>
      </c>
      <c r="Y18" s="318">
        <v>379872924.29000002</v>
      </c>
      <c r="Z18" s="318">
        <v>17813894</v>
      </c>
      <c r="AA18" s="318">
        <v>9574215</v>
      </c>
      <c r="AB18" s="318">
        <v>452061770.94</v>
      </c>
      <c r="AC18" s="318">
        <v>309063695</v>
      </c>
      <c r="AD18" s="318">
        <v>40037822</v>
      </c>
      <c r="AE18" s="318">
        <v>137.41</v>
      </c>
      <c r="AF18" s="318">
        <v>51.15</v>
      </c>
      <c r="AG18" s="328">
        <f t="shared" si="1"/>
        <v>4.0574299406076604E-2</v>
      </c>
    </row>
    <row r="19" spans="1:33" x14ac:dyDescent="0.45">
      <c r="A19" s="333" t="s">
        <v>24</v>
      </c>
      <c r="B19" s="318">
        <v>152307560</v>
      </c>
      <c r="C19" s="318">
        <v>14527020</v>
      </c>
      <c r="D19" s="318">
        <v>28378199</v>
      </c>
      <c r="E19" s="318">
        <v>7277370</v>
      </c>
      <c r="F19" s="318">
        <v>91694753</v>
      </c>
      <c r="G19" s="318"/>
      <c r="H19" s="318"/>
      <c r="I19" s="318"/>
      <c r="J19" s="318">
        <v>6252175</v>
      </c>
      <c r="K19" s="318">
        <v>300437078.19999999</v>
      </c>
      <c r="L19" s="318">
        <v>294503341.5</v>
      </c>
      <c r="M19" s="318">
        <v>-134985959</v>
      </c>
      <c r="N19" s="318">
        <v>159517382.56999999</v>
      </c>
      <c r="O19" s="318">
        <v>85867736</v>
      </c>
      <c r="P19" s="318">
        <v>85867736</v>
      </c>
      <c r="Q19" s="318">
        <v>69785371.200000003</v>
      </c>
      <c r="R19" s="318">
        <v>55586625</v>
      </c>
      <c r="S19" s="318">
        <v>71875.039999999994</v>
      </c>
      <c r="T19" s="318">
        <v>-51650474.579999998</v>
      </c>
      <c r="U19" s="318">
        <v>74643619.730000004</v>
      </c>
      <c r="V19" s="318">
        <v>2121680.4500000002</v>
      </c>
      <c r="W19" s="318">
        <v>23859084.300000001</v>
      </c>
      <c r="X19" s="318">
        <v>58675190</v>
      </c>
      <c r="Y19" s="318">
        <v>463315632.35000002</v>
      </c>
      <c r="Z19" s="318">
        <v>19218918</v>
      </c>
      <c r="AA19" s="318">
        <v>13934597</v>
      </c>
      <c r="AB19" s="318">
        <v>577857578.47000003</v>
      </c>
      <c r="AC19" s="318">
        <v>394931755</v>
      </c>
      <c r="AD19" s="318">
        <v>58680845</v>
      </c>
      <c r="AE19" s="318">
        <v>132.16999999999999</v>
      </c>
      <c r="AF19" s="318">
        <v>42.57</v>
      </c>
      <c r="AG19" s="328">
        <f t="shared" si="1"/>
        <v>9.8495387957383718E-2</v>
      </c>
    </row>
    <row r="20" spans="1:33" x14ac:dyDescent="0.45">
      <c r="A20" s="333" t="s">
        <v>25</v>
      </c>
      <c r="B20" s="318">
        <v>13869857</v>
      </c>
      <c r="C20" s="318">
        <v>764768</v>
      </c>
      <c r="D20" s="318"/>
      <c r="E20" s="318">
        <v>1660386</v>
      </c>
      <c r="F20" s="318">
        <v>1040643</v>
      </c>
      <c r="G20" s="318"/>
      <c r="H20" s="318"/>
      <c r="I20" s="318"/>
      <c r="J20" s="318">
        <v>11716381</v>
      </c>
      <c r="K20" s="318">
        <v>29052035</v>
      </c>
      <c r="L20" s="318">
        <v>28953828</v>
      </c>
      <c r="M20" s="318">
        <v>-9844301</v>
      </c>
      <c r="N20" s="318">
        <v>19109527</v>
      </c>
      <c r="O20" s="318">
        <v>21317334</v>
      </c>
      <c r="P20" s="318">
        <v>21317334</v>
      </c>
      <c r="Q20" s="318">
        <v>10584899</v>
      </c>
      <c r="R20" s="318">
        <v>664780</v>
      </c>
      <c r="S20" s="318">
        <v>0</v>
      </c>
      <c r="T20" s="318">
        <v>-13550418</v>
      </c>
      <c r="U20" s="318">
        <v>16958766</v>
      </c>
      <c r="V20" s="318">
        <v>1319517</v>
      </c>
      <c r="W20" s="318">
        <v>4491472</v>
      </c>
      <c r="X20" s="318">
        <v>9838349</v>
      </c>
      <c r="Y20" s="318">
        <v>112597502</v>
      </c>
      <c r="Z20" s="318">
        <v>3331960</v>
      </c>
      <c r="AA20" s="318">
        <v>3403954</v>
      </c>
      <c r="AB20" s="318">
        <v>129568085</v>
      </c>
      <c r="AC20" s="318">
        <v>68758369</v>
      </c>
      <c r="AD20" s="318">
        <v>2226557</v>
      </c>
      <c r="AE20" s="318">
        <v>178.07</v>
      </c>
      <c r="AF20" s="318">
        <v>39.17</v>
      </c>
      <c r="AG20" s="328">
        <f t="shared" si="1"/>
        <v>9.5244284607627714E-3</v>
      </c>
    </row>
    <row r="21" spans="1:33" x14ac:dyDescent="0.45">
      <c r="A21" s="333" t="s">
        <v>141</v>
      </c>
      <c r="B21" s="318">
        <v>5230036</v>
      </c>
      <c r="C21" s="318">
        <v>6392705</v>
      </c>
      <c r="D21" s="318">
        <v>354787</v>
      </c>
      <c r="E21" s="318">
        <v>25650622</v>
      </c>
      <c r="F21" s="318">
        <v>2907389</v>
      </c>
      <c r="G21" s="318"/>
      <c r="H21" s="318"/>
      <c r="I21" s="318"/>
      <c r="J21" s="318">
        <v>20860267</v>
      </c>
      <c r="K21" s="318">
        <v>61395806</v>
      </c>
      <c r="L21" s="318">
        <v>49460747</v>
      </c>
      <c r="M21" s="318">
        <v>-1986764</v>
      </c>
      <c r="N21" s="318">
        <v>47473983</v>
      </c>
      <c r="O21" s="318">
        <v>12051066</v>
      </c>
      <c r="P21" s="318">
        <v>11212751</v>
      </c>
      <c r="Q21" s="318">
        <v>27360482</v>
      </c>
      <c r="R21" s="318">
        <v>27479052</v>
      </c>
      <c r="S21" s="318">
        <v>0</v>
      </c>
      <c r="T21" s="318">
        <v>-18578302</v>
      </c>
      <c r="U21" s="318">
        <v>8863706</v>
      </c>
      <c r="V21" s="318">
        <v>1465016</v>
      </c>
      <c r="W21" s="318">
        <v>-8249580</v>
      </c>
      <c r="X21" s="318">
        <v>4935329</v>
      </c>
      <c r="Y21" s="318">
        <v>49567440.439999998</v>
      </c>
      <c r="Z21" s="318">
        <v>7668784</v>
      </c>
      <c r="AA21" s="318">
        <v>4122256</v>
      </c>
      <c r="AB21" s="318">
        <v>69649873.069999993</v>
      </c>
      <c r="AC21" s="318">
        <v>9284963</v>
      </c>
      <c r="AD21" s="318">
        <v>16476544</v>
      </c>
      <c r="AE21" s="318">
        <v>587</v>
      </c>
      <c r="AF21" s="318">
        <v>110.87</v>
      </c>
      <c r="AG21" s="328">
        <f t="shared" si="1"/>
        <v>2.0128020706221432E-2</v>
      </c>
    </row>
    <row r="22" spans="1:33" x14ac:dyDescent="0.45">
      <c r="A22" s="333" t="s">
        <v>27</v>
      </c>
      <c r="B22" s="318">
        <v>472539889.67000002</v>
      </c>
      <c r="C22" s="318">
        <v>25950217.800000001</v>
      </c>
      <c r="D22" s="318">
        <v>230171.5</v>
      </c>
      <c r="E22" s="318">
        <v>6860867.6299999999</v>
      </c>
      <c r="F22" s="318">
        <v>35752093.240000002</v>
      </c>
      <c r="G22" s="318"/>
      <c r="H22" s="318"/>
      <c r="I22" s="318"/>
      <c r="J22" s="318"/>
      <c r="K22" s="318">
        <v>541333239.84000003</v>
      </c>
      <c r="L22" s="318">
        <v>537097077</v>
      </c>
      <c r="M22" s="318">
        <v>-122176005.75</v>
      </c>
      <c r="N22" s="318">
        <v>414921071.73769939</v>
      </c>
      <c r="O22" s="318">
        <v>402434835</v>
      </c>
      <c r="P22" s="318">
        <v>402129850.30000001</v>
      </c>
      <c r="Q22" s="318">
        <v>105830919.33999999</v>
      </c>
      <c r="R22" s="318">
        <v>32344925</v>
      </c>
      <c r="S22" s="318">
        <v>1070771.02</v>
      </c>
      <c r="T22" s="318">
        <v>-124313851.80230056</v>
      </c>
      <c r="U22" s="318">
        <v>96759016.480000019</v>
      </c>
      <c r="V22" s="318">
        <v>13050638.91</v>
      </c>
      <c r="W22" s="318">
        <v>-14533663.602300538</v>
      </c>
      <c r="X22" s="318">
        <v>24806218.368999999</v>
      </c>
      <c r="Y22" s="318">
        <v>877058972.16899991</v>
      </c>
      <c r="Z22" s="318">
        <v>134795749.699</v>
      </c>
      <c r="AA22" s="318">
        <v>71450394.090000004</v>
      </c>
      <c r="AB22" s="318">
        <v>1108111334.3299999</v>
      </c>
      <c r="AC22" s="318">
        <v>824765069</v>
      </c>
      <c r="AD22" s="318">
        <v>86385168.362000003</v>
      </c>
      <c r="AE22" s="318">
        <v>109</v>
      </c>
      <c r="AF22" s="318">
        <v>26</v>
      </c>
      <c r="AG22" s="328">
        <f t="shared" si="1"/>
        <v>0.17747086275674029</v>
      </c>
    </row>
    <row r="23" spans="1:33" x14ac:dyDescent="0.45">
      <c r="A23" s="333" t="s">
        <v>28</v>
      </c>
      <c r="B23" s="318">
        <v>25588762</v>
      </c>
      <c r="C23" s="318">
        <v>11892134</v>
      </c>
      <c r="D23" s="318">
        <v>87122481</v>
      </c>
      <c r="E23" s="318">
        <v>10127072</v>
      </c>
      <c r="F23" s="318">
        <v>403169667</v>
      </c>
      <c r="G23" s="318"/>
      <c r="H23" s="318"/>
      <c r="I23" s="318"/>
      <c r="J23" s="318"/>
      <c r="K23" s="318">
        <v>537900116</v>
      </c>
      <c r="L23" s="318">
        <v>531488572</v>
      </c>
      <c r="M23" s="318">
        <v>-212031110</v>
      </c>
      <c r="N23" s="318">
        <v>319457462</v>
      </c>
      <c r="O23" s="318">
        <v>261192146</v>
      </c>
      <c r="P23" s="318">
        <v>261192146</v>
      </c>
      <c r="Q23" s="318">
        <v>67186686</v>
      </c>
      <c r="R23" s="318">
        <v>65602910</v>
      </c>
      <c r="S23" s="318">
        <v>2041028</v>
      </c>
      <c r="T23" s="318">
        <v>-72483252</v>
      </c>
      <c r="U23" s="318">
        <v>158643983</v>
      </c>
      <c r="V23" s="318">
        <v>800440</v>
      </c>
      <c r="W23" s="318">
        <v>29473532</v>
      </c>
      <c r="X23" s="318">
        <v>68277608</v>
      </c>
      <c r="Y23" s="318">
        <v>1445418393</v>
      </c>
      <c r="Z23" s="318">
        <v>98141659</v>
      </c>
      <c r="AA23" s="318">
        <v>60155371</v>
      </c>
      <c r="AB23" s="318">
        <v>1672187970</v>
      </c>
      <c r="AC23" s="318">
        <v>977703421</v>
      </c>
      <c r="AD23" s="318">
        <v>185717155</v>
      </c>
      <c r="AE23" s="318">
        <v>154.82</v>
      </c>
      <c r="AF23" s="318">
        <v>24.98</v>
      </c>
      <c r="AG23" s="328">
        <f t="shared" si="1"/>
        <v>0.17634534633728743</v>
      </c>
    </row>
    <row r="24" spans="1:33" x14ac:dyDescent="0.45">
      <c r="A24" s="333" t="s">
        <v>31</v>
      </c>
      <c r="B24" s="318">
        <v>2025486</v>
      </c>
      <c r="C24" s="318">
        <v>4686237</v>
      </c>
      <c r="D24" s="318">
        <v>562156</v>
      </c>
      <c r="E24" s="318">
        <v>147939</v>
      </c>
      <c r="F24" s="318">
        <v>1760427</v>
      </c>
      <c r="G24" s="318"/>
      <c r="H24" s="318"/>
      <c r="I24" s="318"/>
      <c r="J24" s="318">
        <v>5188</v>
      </c>
      <c r="K24" s="318">
        <v>9187432.6600000001</v>
      </c>
      <c r="L24" s="318">
        <v>7171165.6600000001</v>
      </c>
      <c r="M24" s="318">
        <v>-365175</v>
      </c>
      <c r="N24" s="318">
        <v>6805990.6600000001</v>
      </c>
      <c r="O24" s="318">
        <v>5553915</v>
      </c>
      <c r="P24" s="318">
        <v>5553915</v>
      </c>
      <c r="Q24" s="318">
        <v>10386509.83</v>
      </c>
      <c r="R24" s="318">
        <v>1055448</v>
      </c>
      <c r="S24" s="318">
        <v>572228.4</v>
      </c>
      <c r="T24" s="318">
        <v>-9617653.3100000005</v>
      </c>
      <c r="U24" s="318">
        <v>311404</v>
      </c>
      <c r="V24" s="318">
        <v>1767342.5</v>
      </c>
      <c r="W24" s="318">
        <v>-7538906.8099999996</v>
      </c>
      <c r="X24" s="318">
        <v>20009868</v>
      </c>
      <c r="Y24" s="318">
        <v>21090440</v>
      </c>
      <c r="Z24" s="318">
        <v>7422713</v>
      </c>
      <c r="AA24" s="318">
        <v>5093130</v>
      </c>
      <c r="AB24" s="318">
        <v>53616149.880000003</v>
      </c>
      <c r="AC24" s="318">
        <v>11140625</v>
      </c>
      <c r="AD24" s="318">
        <v>7422342</v>
      </c>
      <c r="AE24" s="318">
        <v>368.92</v>
      </c>
      <c r="AF24" s="318">
        <v>159.56</v>
      </c>
      <c r="AG24" s="328">
        <f t="shared" si="1"/>
        <v>3.0120108663040444E-3</v>
      </c>
    </row>
    <row r="25" spans="1:33" s="137" customFormat="1" x14ac:dyDescent="0.45">
      <c r="A25" s="357" t="s">
        <v>67</v>
      </c>
      <c r="B25" s="358">
        <f t="shared" ref="B25:AD25" si="2">SUM(B6:B24)</f>
        <v>1451588185.6700001</v>
      </c>
      <c r="C25" s="358">
        <f t="shared" si="2"/>
        <v>219687989.80000001</v>
      </c>
      <c r="D25" s="358">
        <f t="shared" si="2"/>
        <v>221052998.5</v>
      </c>
      <c r="E25" s="358">
        <f t="shared" si="2"/>
        <v>106183599.63</v>
      </c>
      <c r="F25" s="358">
        <f t="shared" si="2"/>
        <v>903965859.24000001</v>
      </c>
      <c r="G25" s="358">
        <f t="shared" si="2"/>
        <v>342185</v>
      </c>
      <c r="H25" s="358">
        <f t="shared" si="2"/>
        <v>1267070</v>
      </c>
      <c r="I25" s="358">
        <f t="shared" si="2"/>
        <v>102608</v>
      </c>
      <c r="J25" s="358">
        <f t="shared" si="2"/>
        <v>146074942</v>
      </c>
      <c r="K25" s="358">
        <f t="shared" si="2"/>
        <v>3050265443.1899996</v>
      </c>
      <c r="L25" s="358">
        <f t="shared" si="2"/>
        <v>2964525683.3199997</v>
      </c>
      <c r="M25" s="359">
        <f t="shared" si="2"/>
        <v>-851541843.75</v>
      </c>
      <c r="N25" s="358">
        <f t="shared" si="2"/>
        <v>2112983839.1976993</v>
      </c>
      <c r="O25" s="358">
        <f>SUM(O6:O24)</f>
        <v>1596287127</v>
      </c>
      <c r="P25" s="360">
        <f>SUM(P6:P24)</f>
        <v>1585215639.74</v>
      </c>
      <c r="Q25" s="360">
        <f>SUM(Q6:Q24)</f>
        <v>678103121.53000009</v>
      </c>
      <c r="R25" s="360">
        <f>SUM(R6:R24)</f>
        <v>442261008</v>
      </c>
      <c r="S25" s="360">
        <f>SUM(S6:S24)</f>
        <v>17341219.439999998</v>
      </c>
      <c r="T25" s="360">
        <f t="shared" si="2"/>
        <v>-580987712.2523005</v>
      </c>
      <c r="U25" s="360">
        <f t="shared" si="2"/>
        <v>780950274.25999999</v>
      </c>
      <c r="V25" s="360">
        <f t="shared" si="2"/>
        <v>75641126.590000004</v>
      </c>
      <c r="W25" s="360">
        <f t="shared" si="2"/>
        <v>203149562.50769949</v>
      </c>
      <c r="X25" s="360">
        <f t="shared" si="2"/>
        <v>506401395.36900002</v>
      </c>
      <c r="Y25" s="360">
        <f t="shared" si="2"/>
        <v>6008189807.2690001</v>
      </c>
      <c r="Z25" s="360">
        <f t="shared" si="2"/>
        <v>408050636.699</v>
      </c>
      <c r="AA25" s="360">
        <f t="shared" si="2"/>
        <v>290909982.09000003</v>
      </c>
      <c r="AB25" s="360">
        <f>SUM(AB6:AB24)</f>
        <v>7249504218.4599991</v>
      </c>
      <c r="AC25" s="360">
        <f t="shared" si="2"/>
        <v>4494571551</v>
      </c>
      <c r="AD25" s="360">
        <f t="shared" si="2"/>
        <v>654864246.36199999</v>
      </c>
      <c r="AE25" s="361"/>
      <c r="AF25" s="361"/>
      <c r="AG25" s="328">
        <f t="shared" si="1"/>
        <v>1</v>
      </c>
    </row>
    <row r="26" spans="1:33" x14ac:dyDescent="0.45">
      <c r="B26" s="324"/>
      <c r="C26" s="324"/>
      <c r="D26" s="324"/>
      <c r="E26" s="324"/>
      <c r="F26" s="324"/>
      <c r="G26" s="324"/>
      <c r="H26" s="324"/>
      <c r="I26" s="324"/>
      <c r="J26" s="324"/>
      <c r="K26" s="324"/>
      <c r="L26" s="324"/>
      <c r="M26" s="324"/>
      <c r="N26" s="325"/>
      <c r="O26" s="325"/>
      <c r="P26" s="324"/>
      <c r="Q26" s="324"/>
      <c r="R26" s="324"/>
      <c r="S26" s="324"/>
      <c r="T26" s="324"/>
      <c r="U26" s="324"/>
      <c r="V26" s="324"/>
      <c r="W26" s="324"/>
      <c r="X26" s="324"/>
      <c r="Y26" s="324"/>
      <c r="Z26" s="324"/>
      <c r="AA26" s="324"/>
      <c r="AB26" s="324"/>
      <c r="AC26" s="324"/>
      <c r="AD26" s="324"/>
      <c r="AE26" s="324"/>
      <c r="AF26" s="324"/>
      <c r="AG26" s="324"/>
    </row>
    <row r="34" spans="1:1" x14ac:dyDescent="0.45">
      <c r="A34">
        <v>0</v>
      </c>
    </row>
  </sheetData>
  <mergeCells count="1">
    <mergeCell ref="B1:AG1"/>
  </mergeCells>
  <dataValidations count="1">
    <dataValidation type="list" allowBlank="1" showInputMessage="1" showErrorMessage="1" sqref="A3" xr:uid="{00000000-0002-0000-2A00-000000000000}">
      <formula1>$A$6:$A$25</formula1>
    </dataValidation>
  </dataValidations>
  <pageMargins left="0.7" right="0.7" top="0.75" bottom="0.75" header="0.3" footer="0.3"/>
  <pageSetup orientation="portrait" r:id="rId1"/>
  <customProperties>
    <customPr name="LastActive" r:id="rId2"/>
  </customProperties>
  <legacyDrawing r:id="rId3"/>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tabColor theme="3" tint="0.39997558519241921"/>
  </sheetPr>
  <dimension ref="A1:AG33"/>
  <sheetViews>
    <sheetView zoomScale="70" zoomScaleNormal="70" workbookViewId="0">
      <pane xSplit="1" ySplit="2" topLeftCell="F3" activePane="bottomRight" state="frozen"/>
      <selection pane="topRight" activeCell="B1" sqref="B1"/>
      <selection pane="bottomLeft" activeCell="A3" sqref="A3"/>
      <selection pane="bottomRight"/>
    </sheetView>
  </sheetViews>
  <sheetFormatPr defaultRowHeight="14.25" x14ac:dyDescent="0.45"/>
  <cols>
    <col min="1" max="1" width="66.3984375" bestFit="1" customWidth="1"/>
    <col min="2" max="2" width="20.73046875" style="326" customWidth="1"/>
    <col min="3" max="5" width="17.73046875" style="326" bestFit="1" customWidth="1"/>
    <col min="6" max="6" width="19" style="326" customWidth="1"/>
    <col min="7" max="7" width="14.73046875" style="326" bestFit="1" customWidth="1"/>
    <col min="8" max="8" width="14.3984375" style="326" bestFit="1" customWidth="1"/>
    <col min="9" max="9" width="17.73046875" style="326" customWidth="1"/>
    <col min="10" max="10" width="27.3984375" style="326" bestFit="1" customWidth="1"/>
    <col min="11" max="11" width="21.73046875" style="326" bestFit="1" customWidth="1"/>
    <col min="12" max="12" width="22.3984375" style="326" bestFit="1" customWidth="1"/>
    <col min="13" max="13" width="24.265625" style="326" customWidth="1"/>
    <col min="14" max="14" width="20" style="326" bestFit="1" customWidth="1"/>
    <col min="15" max="15" width="22" style="326" customWidth="1"/>
    <col min="16" max="16" width="22.3984375" style="326" customWidth="1"/>
    <col min="17" max="17" width="20.73046875" style="326" bestFit="1" customWidth="1"/>
    <col min="18" max="18" width="22.73046875" style="326" bestFit="1" customWidth="1"/>
    <col min="19" max="19" width="18.265625" style="326" bestFit="1" customWidth="1"/>
    <col min="20" max="20" width="19.265625" style="326" bestFit="1" customWidth="1"/>
    <col min="21" max="21" width="25.265625" style="326" bestFit="1" customWidth="1"/>
    <col min="22" max="22" width="18.73046875" style="326" bestFit="1" customWidth="1"/>
    <col min="23" max="23" width="20" style="326" bestFit="1" customWidth="1"/>
    <col min="24" max="24" width="19.3984375" style="326" bestFit="1" customWidth="1"/>
    <col min="25" max="25" width="21.265625" style="326" bestFit="1" customWidth="1"/>
    <col min="26" max="26" width="17.73046875" style="326" bestFit="1" customWidth="1"/>
    <col min="27" max="27" width="18.265625" style="326" bestFit="1" customWidth="1"/>
    <col min="28" max="28" width="21.265625" style="326" bestFit="1" customWidth="1"/>
    <col min="29" max="29" width="25" style="326" bestFit="1" customWidth="1"/>
    <col min="30" max="30" width="18.73046875" style="326" bestFit="1" customWidth="1"/>
    <col min="31" max="31" width="17.265625" style="326" customWidth="1"/>
    <col min="32" max="32" width="17.265625" style="326" bestFit="1" customWidth="1"/>
    <col min="33" max="33" width="13" style="326" bestFit="1" customWidth="1"/>
  </cols>
  <sheetData>
    <row r="1" spans="1:33" ht="20.65" x14ac:dyDescent="0.55000000000000004">
      <c r="A1" s="341" t="s">
        <v>142</v>
      </c>
      <c r="B1" s="392" t="s">
        <v>99</v>
      </c>
      <c r="C1" s="392"/>
      <c r="D1" s="392"/>
      <c r="E1" s="392"/>
      <c r="F1" s="392"/>
      <c r="G1" s="392"/>
      <c r="H1" s="392"/>
      <c r="I1" s="392"/>
      <c r="J1" s="392"/>
      <c r="K1" s="392"/>
      <c r="L1" s="392"/>
      <c r="M1" s="392"/>
      <c r="N1" s="392"/>
      <c r="O1" s="392"/>
      <c r="P1" s="392"/>
      <c r="Q1" s="392"/>
      <c r="R1" s="392"/>
      <c r="S1" s="392"/>
      <c r="T1" s="392"/>
      <c r="U1" s="392"/>
      <c r="V1" s="392"/>
      <c r="W1" s="392"/>
      <c r="X1" s="392"/>
      <c r="Y1" s="392"/>
      <c r="Z1" s="392"/>
      <c r="AA1" s="392"/>
      <c r="AB1" s="392"/>
      <c r="AC1" s="392"/>
      <c r="AD1" s="392"/>
      <c r="AE1" s="392"/>
      <c r="AF1" s="392"/>
      <c r="AG1" s="392"/>
    </row>
    <row r="2" spans="1:33" ht="27" customHeight="1" x14ac:dyDescent="0.45">
      <c r="A2" s="349"/>
      <c r="B2" s="342" t="s">
        <v>108</v>
      </c>
      <c r="C2" s="342" t="s">
        <v>109</v>
      </c>
      <c r="D2" s="342" t="s">
        <v>110</v>
      </c>
      <c r="E2" s="342" t="s">
        <v>111</v>
      </c>
      <c r="F2" s="342" t="s">
        <v>112</v>
      </c>
      <c r="G2" s="342" t="s">
        <v>113</v>
      </c>
      <c r="H2" s="342" t="s">
        <v>114</v>
      </c>
      <c r="I2" s="342" t="s">
        <v>115</v>
      </c>
      <c r="J2" s="342" t="s">
        <v>116</v>
      </c>
      <c r="K2" s="342" t="s">
        <v>34</v>
      </c>
      <c r="L2" s="342" t="s">
        <v>117</v>
      </c>
      <c r="M2" s="343" t="s">
        <v>118</v>
      </c>
      <c r="N2" s="342" t="s">
        <v>119</v>
      </c>
      <c r="O2" s="342" t="s">
        <v>101</v>
      </c>
      <c r="P2" s="342" t="s">
        <v>74</v>
      </c>
      <c r="Q2" s="342" t="s">
        <v>10</v>
      </c>
      <c r="R2" s="342" t="s">
        <v>102</v>
      </c>
      <c r="S2" s="342" t="s">
        <v>103</v>
      </c>
      <c r="T2" s="342" t="s">
        <v>120</v>
      </c>
      <c r="U2" s="342" t="s">
        <v>121</v>
      </c>
      <c r="V2" s="342" t="s">
        <v>122</v>
      </c>
      <c r="W2" s="342" t="s">
        <v>135</v>
      </c>
      <c r="X2" s="342" t="s">
        <v>128</v>
      </c>
      <c r="Y2" s="342" t="s">
        <v>79</v>
      </c>
      <c r="Z2" s="342" t="s">
        <v>129</v>
      </c>
      <c r="AA2" s="342" t="s">
        <v>130</v>
      </c>
      <c r="AB2" s="343" t="s">
        <v>13</v>
      </c>
      <c r="AC2" s="343" t="s">
        <v>131</v>
      </c>
      <c r="AD2" s="343" t="s">
        <v>132</v>
      </c>
      <c r="AE2" s="344" t="s">
        <v>124</v>
      </c>
      <c r="AF2" s="344" t="s">
        <v>125</v>
      </c>
      <c r="AG2" s="344" t="s">
        <v>12</v>
      </c>
    </row>
    <row r="3" spans="1:33" x14ac:dyDescent="0.45">
      <c r="A3" s="350" t="s">
        <v>91</v>
      </c>
      <c r="B3" s="345">
        <f t="shared" ref="B3:AG3" si="0">INDEX(B6:B24,MATCH($A$3,$A$6:$A$24,0))</f>
        <v>20262297.773718219</v>
      </c>
      <c r="C3" s="345">
        <f t="shared" si="0"/>
        <v>1279715.868501208</v>
      </c>
      <c r="D3" s="345">
        <f t="shared" si="0"/>
        <v>18834069.835968141</v>
      </c>
      <c r="E3" s="345">
        <f t="shared" si="0"/>
        <v>565919.05032267619</v>
      </c>
      <c r="F3" s="345">
        <f t="shared" si="0"/>
        <v>22930415.471489761</v>
      </c>
      <c r="G3" s="345">
        <f t="shared" si="0"/>
        <v>0</v>
      </c>
      <c r="H3" s="345">
        <f t="shared" si="0"/>
        <v>0</v>
      </c>
      <c r="I3" s="345">
        <f t="shared" si="0"/>
        <v>0</v>
      </c>
      <c r="J3" s="345">
        <f t="shared" si="0"/>
        <v>0</v>
      </c>
      <c r="K3" s="345">
        <f t="shared" si="0"/>
        <v>63872417.999999993</v>
      </c>
      <c r="L3" s="345">
        <f t="shared" si="0"/>
        <v>63232676.779999986</v>
      </c>
      <c r="M3" s="345">
        <f t="shared" si="0"/>
        <v>-16637285.77</v>
      </c>
      <c r="N3" s="345">
        <f t="shared" si="0"/>
        <v>46595391.00999999</v>
      </c>
      <c r="O3" s="345">
        <f t="shared" si="0"/>
        <v>23308029.68</v>
      </c>
      <c r="P3" s="345">
        <f t="shared" si="0"/>
        <v>23291721.309999991</v>
      </c>
      <c r="Q3" s="345">
        <f t="shared" si="0"/>
        <v>10787804.99999997</v>
      </c>
      <c r="R3" s="345">
        <f t="shared" si="0"/>
        <v>6796487.7400000002</v>
      </c>
      <c r="S3" s="345">
        <f t="shared" si="0"/>
        <v>110833.39</v>
      </c>
      <c r="T3" s="345">
        <f t="shared" si="0"/>
        <v>5830210.3500000229</v>
      </c>
      <c r="U3" s="345">
        <f t="shared" si="0"/>
        <v>4954100.9000000004</v>
      </c>
      <c r="V3" s="345">
        <f t="shared" si="0"/>
        <v>634560.47</v>
      </c>
      <c r="W3" s="345">
        <f t="shared" si="0"/>
        <v>10847928.13400002</v>
      </c>
      <c r="X3" s="345">
        <f t="shared" si="0"/>
        <v>12057726.02</v>
      </c>
      <c r="Y3" s="345">
        <f t="shared" si="0"/>
        <v>153726949.71000001</v>
      </c>
      <c r="Z3" s="345">
        <f t="shared" si="0"/>
        <v>43210774.969999999</v>
      </c>
      <c r="AA3" s="345">
        <f t="shared" si="0"/>
        <v>22962146.486000001</v>
      </c>
      <c r="AB3" s="345">
        <f t="shared" si="0"/>
        <v>231957597.19</v>
      </c>
      <c r="AC3" s="345">
        <f t="shared" si="0"/>
        <v>147353601.03999999</v>
      </c>
      <c r="AD3" s="345">
        <f t="shared" si="0"/>
        <v>13648880.555749999</v>
      </c>
      <c r="AE3" s="345">
        <f t="shared" si="0"/>
        <v>112.51</v>
      </c>
      <c r="AF3" s="345">
        <f t="shared" si="0"/>
        <v>27.81</v>
      </c>
      <c r="AG3" s="346">
        <f t="shared" si="0"/>
        <v>7.2758599212748173E-2</v>
      </c>
    </row>
    <row r="4" spans="1:33" x14ac:dyDescent="0.45">
      <c r="A4" s="348"/>
      <c r="B4" s="347"/>
      <c r="C4" s="347"/>
      <c r="D4" s="347"/>
      <c r="E4" s="347"/>
      <c r="F4" s="347"/>
      <c r="G4" s="347"/>
      <c r="H4" s="347"/>
      <c r="I4" s="347"/>
      <c r="J4" s="347"/>
      <c r="K4" s="347"/>
      <c r="L4" s="347"/>
      <c r="M4" s="347"/>
      <c r="N4" s="347"/>
      <c r="O4" s="347"/>
      <c r="P4" s="347"/>
      <c r="Q4" s="347"/>
      <c r="R4" s="347"/>
      <c r="S4" s="347"/>
      <c r="T4" s="347"/>
      <c r="U4" s="347"/>
      <c r="V4" s="347"/>
      <c r="W4" s="347"/>
      <c r="X4" s="347"/>
      <c r="Y4" s="347"/>
      <c r="Z4" s="347"/>
      <c r="AA4" s="347"/>
      <c r="AB4" s="347"/>
      <c r="AC4" s="347"/>
      <c r="AD4" s="347"/>
      <c r="AE4" s="347"/>
      <c r="AF4" s="347"/>
      <c r="AG4" s="347"/>
    </row>
    <row r="5" spans="1:33" s="295" customFormat="1" ht="46.15" customHeight="1" x14ac:dyDescent="0.45">
      <c r="A5" s="332" t="s">
        <v>126</v>
      </c>
      <c r="B5" s="335" t="s">
        <v>108</v>
      </c>
      <c r="C5" s="335" t="s">
        <v>109</v>
      </c>
      <c r="D5" s="335" t="s">
        <v>110</v>
      </c>
      <c r="E5" s="335" t="s">
        <v>111</v>
      </c>
      <c r="F5" s="335" t="s">
        <v>112</v>
      </c>
      <c r="G5" s="335" t="s">
        <v>113</v>
      </c>
      <c r="H5" s="335" t="s">
        <v>114</v>
      </c>
      <c r="I5" s="335" t="s">
        <v>115</v>
      </c>
      <c r="J5" s="335" t="s">
        <v>116</v>
      </c>
      <c r="K5" s="335" t="s">
        <v>34</v>
      </c>
      <c r="L5" s="335" t="s">
        <v>117</v>
      </c>
      <c r="M5" s="336" t="s">
        <v>118</v>
      </c>
      <c r="N5" s="335" t="s">
        <v>119</v>
      </c>
      <c r="O5" s="335" t="s">
        <v>101</v>
      </c>
      <c r="P5" s="335" t="s">
        <v>74</v>
      </c>
      <c r="Q5" s="335" t="s">
        <v>10</v>
      </c>
      <c r="R5" s="335" t="s">
        <v>102</v>
      </c>
      <c r="S5" s="335" t="s">
        <v>103</v>
      </c>
      <c r="T5" s="335" t="s">
        <v>120</v>
      </c>
      <c r="U5" s="335" t="s">
        <v>121</v>
      </c>
      <c r="V5" s="335" t="s">
        <v>122</v>
      </c>
      <c r="W5" s="335" t="s">
        <v>135</v>
      </c>
      <c r="X5" s="335" t="s">
        <v>128</v>
      </c>
      <c r="Y5" s="335" t="s">
        <v>79</v>
      </c>
      <c r="Z5" s="335" t="s">
        <v>129</v>
      </c>
      <c r="AA5" s="335" t="s">
        <v>130</v>
      </c>
      <c r="AB5" s="336" t="s">
        <v>13</v>
      </c>
      <c r="AC5" s="336" t="s">
        <v>131</v>
      </c>
      <c r="AD5" s="336" t="s">
        <v>132</v>
      </c>
      <c r="AE5" s="337" t="s">
        <v>124</v>
      </c>
      <c r="AF5" s="337" t="s">
        <v>125</v>
      </c>
      <c r="AG5" s="337" t="s">
        <v>12</v>
      </c>
    </row>
    <row r="6" spans="1:33" x14ac:dyDescent="0.45">
      <c r="A6" s="333" t="s">
        <v>80</v>
      </c>
      <c r="B6" s="363">
        <v>4633300.0910999998</v>
      </c>
      <c r="C6" s="363">
        <v>5355567.057500001</v>
      </c>
      <c r="D6" s="363">
        <v>224736.87849999999</v>
      </c>
      <c r="E6" s="363">
        <v>600006.26811509533</v>
      </c>
      <c r="F6" s="363">
        <v>1227455.5004</v>
      </c>
      <c r="G6" s="363">
        <v>0</v>
      </c>
      <c r="H6" s="363">
        <v>0</v>
      </c>
      <c r="I6" s="363">
        <v>0</v>
      </c>
      <c r="J6" s="363">
        <v>6564552.6200000001</v>
      </c>
      <c r="K6" s="363">
        <v>18605618.420000002</v>
      </c>
      <c r="L6" s="363">
        <v>17572165.5</v>
      </c>
      <c r="M6" s="363">
        <v>-9449637</v>
      </c>
      <c r="N6" s="363">
        <v>8122528.5</v>
      </c>
      <c r="O6" s="363">
        <v>5169639</v>
      </c>
      <c r="P6" s="363">
        <v>5169639</v>
      </c>
      <c r="Q6" s="363">
        <v>8114378.9100000001</v>
      </c>
      <c r="R6" s="363">
        <v>6849887</v>
      </c>
      <c r="S6" s="363">
        <v>283050</v>
      </c>
      <c r="T6" s="363">
        <v>-11728326.41</v>
      </c>
      <c r="U6" s="363">
        <v>4563825.7600000007</v>
      </c>
      <c r="V6" s="363">
        <v>0</v>
      </c>
      <c r="W6" s="363">
        <v>-7164500.6499999994</v>
      </c>
      <c r="X6" s="363">
        <v>13224271</v>
      </c>
      <c r="Y6" s="363">
        <v>80210553.950000003</v>
      </c>
      <c r="Z6" s="363">
        <v>2126001</v>
      </c>
      <c r="AA6" s="363">
        <v>6151368</v>
      </c>
      <c r="AB6" s="363">
        <v>107294380.95</v>
      </c>
      <c r="AC6" s="363">
        <v>55446857.420000002</v>
      </c>
      <c r="AD6" s="363">
        <v>28227299</v>
      </c>
      <c r="AE6" s="318">
        <v>168.51</v>
      </c>
      <c r="AF6" s="318">
        <v>85.16</v>
      </c>
      <c r="AG6" s="364">
        <f>K6/$K$24</f>
        <v>2.1194105000473057E-2</v>
      </c>
    </row>
    <row r="7" spans="1:33" x14ac:dyDescent="0.45">
      <c r="A7" s="333" t="s">
        <v>16</v>
      </c>
      <c r="B7" s="363">
        <v>4636155</v>
      </c>
      <c r="C7" s="363">
        <v>930059</v>
      </c>
      <c r="D7" s="363">
        <v>29717</v>
      </c>
      <c r="E7" s="363">
        <v>262158</v>
      </c>
      <c r="F7" s="363">
        <v>1148201</v>
      </c>
      <c r="G7" s="363">
        <v>0</v>
      </c>
      <c r="H7" s="363">
        <v>0</v>
      </c>
      <c r="I7" s="363">
        <v>0</v>
      </c>
      <c r="J7" s="363">
        <v>0</v>
      </c>
      <c r="K7" s="363">
        <v>7006290</v>
      </c>
      <c r="L7" s="363">
        <v>6990580</v>
      </c>
      <c r="M7" s="363">
        <v>-2802516</v>
      </c>
      <c r="N7" s="363">
        <v>4188064</v>
      </c>
      <c r="O7" s="363">
        <v>2391659</v>
      </c>
      <c r="P7" s="363">
        <v>2391659</v>
      </c>
      <c r="Q7" s="363">
        <v>4129449</v>
      </c>
      <c r="R7" s="363">
        <v>664716</v>
      </c>
      <c r="S7" s="363">
        <v>23067</v>
      </c>
      <c r="T7" s="363">
        <v>-2974693</v>
      </c>
      <c r="U7" s="363">
        <v>1280009</v>
      </c>
      <c r="V7" s="363">
        <v>2793138</v>
      </c>
      <c r="W7" s="363">
        <v>1084122</v>
      </c>
      <c r="X7" s="363">
        <v>1375849</v>
      </c>
      <c r="Y7" s="363">
        <v>195683594</v>
      </c>
      <c r="Z7" s="363">
        <v>2814238</v>
      </c>
      <c r="AA7" s="363">
        <v>6309135</v>
      </c>
      <c r="AB7" s="363">
        <v>206182816</v>
      </c>
      <c r="AC7" s="363">
        <v>73246402</v>
      </c>
      <c r="AD7" s="363">
        <v>28217529</v>
      </c>
      <c r="AE7" s="318">
        <v>269.04000000000002</v>
      </c>
      <c r="AF7" s="318">
        <v>68.58</v>
      </c>
      <c r="AG7" s="364">
        <f>K7/$K$24</f>
        <v>7.9810325339223186E-3</v>
      </c>
    </row>
    <row r="8" spans="1:33" x14ac:dyDescent="0.45">
      <c r="A8" s="333" t="s">
        <v>17</v>
      </c>
      <c r="B8" s="363">
        <v>96702099.647276014</v>
      </c>
      <c r="C8" s="363">
        <v>10822191</v>
      </c>
      <c r="D8" s="363">
        <v>11052800</v>
      </c>
      <c r="E8" s="363">
        <v>11618853</v>
      </c>
      <c r="F8" s="363">
        <v>69474971</v>
      </c>
      <c r="G8" s="363">
        <v>0</v>
      </c>
      <c r="H8" s="363">
        <v>0</v>
      </c>
      <c r="I8" s="363">
        <v>0</v>
      </c>
      <c r="J8" s="363">
        <v>2821978</v>
      </c>
      <c r="K8" s="363">
        <v>202492892.64727631</v>
      </c>
      <c r="L8" s="363">
        <v>192537054.33134171</v>
      </c>
      <c r="M8" s="363">
        <v>-49871221.852096997</v>
      </c>
      <c r="N8" s="363">
        <v>142665832.47924471</v>
      </c>
      <c r="O8" s="363">
        <v>93193744.659718007</v>
      </c>
      <c r="P8" s="363">
        <v>93193744.659718007</v>
      </c>
      <c r="Q8" s="363">
        <v>33477815.3868865</v>
      </c>
      <c r="R8" s="363">
        <v>33038785.136365399</v>
      </c>
      <c r="S8" s="363"/>
      <c r="T8" s="363">
        <v>-17044512.703725219</v>
      </c>
      <c r="U8" s="363">
        <v>62159388.326164991</v>
      </c>
      <c r="V8" s="363">
        <v>-2388896.4158431999</v>
      </c>
      <c r="W8" s="363">
        <v>40589680.25029657</v>
      </c>
      <c r="X8" s="363">
        <v>117431515.868894</v>
      </c>
      <c r="Y8" s="363">
        <v>1157298925.654871</v>
      </c>
      <c r="Z8" s="363">
        <v>24809616.91288757</v>
      </c>
      <c r="AA8" s="363">
        <v>42500027.870262943</v>
      </c>
      <c r="AB8" s="363">
        <v>1342040086.3099999</v>
      </c>
      <c r="AC8" s="363">
        <v>918437717.38885415</v>
      </c>
      <c r="AD8" s="363">
        <v>80194220.450930834</v>
      </c>
      <c r="AE8" s="318">
        <v>138.79</v>
      </c>
      <c r="AF8" s="318">
        <v>34.549999999999997</v>
      </c>
      <c r="AG8" s="364">
        <f>K8/$K$24</f>
        <v>0.23066449777356512</v>
      </c>
    </row>
    <row r="9" spans="1:33" x14ac:dyDescent="0.45">
      <c r="A9" s="333" t="s">
        <v>53</v>
      </c>
      <c r="B9" s="363">
        <v>0</v>
      </c>
      <c r="C9" s="363">
        <v>0</v>
      </c>
      <c r="D9" s="363">
        <v>854706.34</v>
      </c>
      <c r="E9" s="363">
        <v>0</v>
      </c>
      <c r="F9" s="363">
        <v>0</v>
      </c>
      <c r="G9" s="363">
        <v>0</v>
      </c>
      <c r="H9" s="363">
        <v>0</v>
      </c>
      <c r="I9" s="363">
        <v>0</v>
      </c>
      <c r="J9" s="363">
        <v>0</v>
      </c>
      <c r="K9" s="363">
        <v>854706.34</v>
      </c>
      <c r="L9" s="363">
        <v>769235.71</v>
      </c>
      <c r="M9" s="363">
        <v>-78676.38</v>
      </c>
      <c r="N9" s="363">
        <v>690559.33</v>
      </c>
      <c r="O9" s="363"/>
      <c r="P9" s="363">
        <v>0</v>
      </c>
      <c r="Q9" s="363">
        <v>2382914.48</v>
      </c>
      <c r="R9" s="363">
        <v>58992.38</v>
      </c>
      <c r="S9" s="363"/>
      <c r="T9" s="363">
        <v>-1751347.53</v>
      </c>
      <c r="U9" s="363">
        <v>278365.19</v>
      </c>
      <c r="V9" s="363">
        <v>387685.84</v>
      </c>
      <c r="W9" s="363">
        <v>-1085296.5</v>
      </c>
      <c r="X9" s="363">
        <v>6692886</v>
      </c>
      <c r="Y9" s="363">
        <v>7628210.4499999993</v>
      </c>
      <c r="Z9" s="363">
        <v>3238376.36</v>
      </c>
      <c r="AA9" s="363">
        <v>4343364.75</v>
      </c>
      <c r="AB9" s="363">
        <v>22590056.559999999</v>
      </c>
      <c r="AC9" s="363">
        <v>7733607.3799999999</v>
      </c>
      <c r="AD9" s="363">
        <v>6655191.7199999997</v>
      </c>
      <c r="AE9" s="318">
        <v>185.18</v>
      </c>
      <c r="AF9" s="318">
        <v>317.45</v>
      </c>
      <c r="AG9" s="364">
        <f>K9/$K$24</f>
        <v>9.7361643701440704E-4</v>
      </c>
    </row>
    <row r="10" spans="1:33" x14ac:dyDescent="0.45">
      <c r="A10" s="333" t="s">
        <v>18</v>
      </c>
      <c r="B10" s="363"/>
      <c r="C10" s="363"/>
      <c r="D10" s="363"/>
      <c r="E10" s="363"/>
      <c r="F10" s="363"/>
      <c r="G10" s="363"/>
      <c r="H10" s="363"/>
      <c r="I10" s="363"/>
      <c r="J10" s="363"/>
      <c r="K10" s="363"/>
      <c r="L10" s="363"/>
      <c r="M10" s="363"/>
      <c r="N10" s="363"/>
      <c r="O10" s="363"/>
      <c r="P10" s="363"/>
      <c r="Q10" s="363"/>
      <c r="R10" s="363"/>
      <c r="S10" s="363"/>
      <c r="T10" s="363"/>
      <c r="U10" s="363"/>
      <c r="V10" s="363"/>
      <c r="W10" s="363"/>
      <c r="X10" s="363"/>
      <c r="Y10" s="363"/>
      <c r="Z10" s="363"/>
      <c r="AA10" s="363"/>
      <c r="AB10" s="363"/>
      <c r="AC10" s="363"/>
      <c r="AD10" s="363"/>
      <c r="AE10" s="318"/>
      <c r="AF10" s="318"/>
      <c r="AG10" s="364"/>
    </row>
    <row r="11" spans="1:33" x14ac:dyDescent="0.45">
      <c r="A11" s="333" t="s">
        <v>19</v>
      </c>
      <c r="B11" s="363">
        <v>12969875</v>
      </c>
      <c r="C11" s="363">
        <v>2181635</v>
      </c>
      <c r="D11" s="363"/>
      <c r="E11" s="363">
        <v>510355</v>
      </c>
      <c r="F11" s="363"/>
      <c r="G11" s="363"/>
      <c r="H11" s="363"/>
      <c r="I11" s="363"/>
      <c r="J11" s="363"/>
      <c r="K11" s="363">
        <f>SUM(B11:F11)</f>
        <v>15661865</v>
      </c>
      <c r="L11" s="363">
        <v>14899231</v>
      </c>
      <c r="M11" s="363">
        <v>-5100000</v>
      </c>
      <c r="N11" s="363">
        <v>9799231</v>
      </c>
      <c r="O11" s="363">
        <v>7720449</v>
      </c>
      <c r="P11" s="363">
        <v>7020712</v>
      </c>
      <c r="Q11" s="363">
        <v>7775579</v>
      </c>
      <c r="R11" s="363">
        <v>1343233</v>
      </c>
      <c r="S11" s="363">
        <v>221555</v>
      </c>
      <c r="T11" s="363">
        <v>-6118738</v>
      </c>
      <c r="U11" s="363">
        <v>2212965</v>
      </c>
      <c r="V11" s="363">
        <v>18405868</v>
      </c>
      <c r="W11" s="363">
        <v>13775090</v>
      </c>
      <c r="X11" s="363">
        <v>59954325</v>
      </c>
      <c r="Y11" s="363">
        <v>44517104</v>
      </c>
      <c r="Z11" s="363">
        <v>2359169</v>
      </c>
      <c r="AA11" s="363">
        <v>4640374</v>
      </c>
      <c r="AB11" s="363">
        <v>113277325</v>
      </c>
      <c r="AC11" s="363">
        <v>54259323</v>
      </c>
      <c r="AD11" s="363">
        <v>7520109</v>
      </c>
      <c r="AE11" s="318">
        <v>192.54</v>
      </c>
      <c r="AF11" s="318">
        <v>61.2</v>
      </c>
      <c r="AG11" s="364">
        <f t="shared" ref="AG11:AG24" si="1">K11/$K$24</f>
        <v>1.7840805063293021E-2</v>
      </c>
    </row>
    <row r="12" spans="1:33" x14ac:dyDescent="0.45">
      <c r="A12" s="333" t="s">
        <v>20</v>
      </c>
      <c r="B12" s="363">
        <v>45141888.829999998</v>
      </c>
      <c r="C12" s="363">
        <v>16867481</v>
      </c>
      <c r="D12" s="363">
        <v>480461</v>
      </c>
      <c r="E12" s="363">
        <v>1130478</v>
      </c>
      <c r="F12" s="363">
        <v>1200906</v>
      </c>
      <c r="G12" s="363">
        <v>51039</v>
      </c>
      <c r="H12" s="363">
        <v>0</v>
      </c>
      <c r="I12" s="363">
        <v>0</v>
      </c>
      <c r="J12" s="363">
        <v>0</v>
      </c>
      <c r="K12" s="363">
        <v>64872254</v>
      </c>
      <c r="L12" s="363">
        <v>63640547.289999999</v>
      </c>
      <c r="M12" s="363">
        <v>-8433393.0749999899</v>
      </c>
      <c r="N12" s="363">
        <v>55207154.215000011</v>
      </c>
      <c r="O12" s="363">
        <v>39322220.170000002</v>
      </c>
      <c r="P12" s="363">
        <v>39322220.170000002</v>
      </c>
      <c r="Q12" s="363">
        <v>10103063.57519375</v>
      </c>
      <c r="R12" s="363">
        <v>3897840.8</v>
      </c>
      <c r="S12" s="363"/>
      <c r="T12" s="363">
        <v>1884029.6698062569</v>
      </c>
      <c r="U12" s="363">
        <v>4596676.05</v>
      </c>
      <c r="V12" s="363">
        <v>546502.97</v>
      </c>
      <c r="W12" s="363">
        <v>7027208.6898062564</v>
      </c>
      <c r="X12" s="363">
        <v>46953140.460000001</v>
      </c>
      <c r="Y12" s="363">
        <v>445946016.90572822</v>
      </c>
      <c r="Z12" s="363">
        <v>37376777.659999996</v>
      </c>
      <c r="AA12" s="363">
        <v>12018026.630306249</v>
      </c>
      <c r="AB12" s="363">
        <v>542293961.65999997</v>
      </c>
      <c r="AC12" s="363">
        <v>241306705.08000001</v>
      </c>
      <c r="AD12" s="363">
        <v>62879828.590000004</v>
      </c>
      <c r="AE12" s="318">
        <v>204.26</v>
      </c>
      <c r="AF12" s="318">
        <v>22</v>
      </c>
      <c r="AG12" s="364">
        <f t="shared" si="1"/>
        <v>7.3897536317062557E-2</v>
      </c>
    </row>
    <row r="13" spans="1:33" x14ac:dyDescent="0.45">
      <c r="A13" s="333" t="s">
        <v>47</v>
      </c>
      <c r="B13" s="363"/>
      <c r="C13" s="363"/>
      <c r="D13" s="363"/>
      <c r="E13" s="363"/>
      <c r="F13" s="363"/>
      <c r="G13" s="363"/>
      <c r="H13" s="363"/>
      <c r="I13" s="363"/>
      <c r="J13" s="363"/>
      <c r="K13" s="363"/>
      <c r="L13" s="363"/>
      <c r="M13" s="363"/>
      <c r="N13" s="363"/>
      <c r="O13" s="363"/>
      <c r="P13" s="363"/>
      <c r="Q13" s="363"/>
      <c r="R13" s="363"/>
      <c r="S13" s="363"/>
      <c r="T13" s="363"/>
      <c r="U13" s="363"/>
      <c r="V13" s="363"/>
      <c r="W13" s="363"/>
      <c r="X13" s="363"/>
      <c r="Y13" s="363"/>
      <c r="Z13" s="363"/>
      <c r="AA13" s="363"/>
      <c r="AB13" s="363"/>
      <c r="AC13" s="363"/>
      <c r="AD13" s="363"/>
      <c r="AE13" s="318"/>
      <c r="AF13" s="318"/>
      <c r="AG13" s="364">
        <f t="shared" si="1"/>
        <v>0</v>
      </c>
    </row>
    <row r="14" spans="1:33" x14ac:dyDescent="0.45">
      <c r="A14" s="333" t="s">
        <v>64</v>
      </c>
      <c r="B14" s="363">
        <v>2161570.46</v>
      </c>
      <c r="C14" s="363">
        <v>4024991.8999999985</v>
      </c>
      <c r="D14" s="363"/>
      <c r="E14" s="363">
        <v>1309377.5300000003</v>
      </c>
      <c r="F14" s="363">
        <v>2898432.3200000003</v>
      </c>
      <c r="G14" s="363"/>
      <c r="H14" s="363"/>
      <c r="I14" s="363"/>
      <c r="J14" s="363">
        <v>412399</v>
      </c>
      <c r="K14" s="363">
        <v>10806771.210000001</v>
      </c>
      <c r="L14" s="363">
        <v>8507784.5800000001</v>
      </c>
      <c r="M14" s="363">
        <v>-1686949.29408842</v>
      </c>
      <c r="N14" s="363">
        <v>6820835.2859115805</v>
      </c>
      <c r="O14" s="363">
        <v>2209045.21</v>
      </c>
      <c r="P14" s="363">
        <v>2209045.21</v>
      </c>
      <c r="Q14" s="363">
        <v>6130331.1100000003</v>
      </c>
      <c r="R14" s="363">
        <v>1647543.19</v>
      </c>
      <c r="S14" s="363">
        <v>790613.53</v>
      </c>
      <c r="T14" s="363">
        <v>-2375470.6940884208</v>
      </c>
      <c r="U14" s="363">
        <v>2430401.02</v>
      </c>
      <c r="V14" s="363">
        <v>4442757.07</v>
      </c>
      <c r="W14" s="363">
        <v>4497687.395911579</v>
      </c>
      <c r="X14" s="363">
        <v>30701213</v>
      </c>
      <c r="Y14" s="363">
        <v>69675410.399787426</v>
      </c>
      <c r="Z14" s="363">
        <v>11097996.289999999</v>
      </c>
      <c r="AA14" s="363">
        <v>1342599.84</v>
      </c>
      <c r="AB14" s="363">
        <v>112817219.53</v>
      </c>
      <c r="AC14" s="363">
        <v>14092298.289999999</v>
      </c>
      <c r="AD14" s="363">
        <v>35703700.790000007</v>
      </c>
      <c r="AE14" s="318">
        <v>712.28</v>
      </c>
      <c r="AF14" s="318">
        <v>91.42</v>
      </c>
      <c r="AG14" s="364">
        <f t="shared" si="1"/>
        <v>1.2310251590166131E-2</v>
      </c>
    </row>
    <row r="15" spans="1:33" x14ac:dyDescent="0.45">
      <c r="A15" s="333" t="s">
        <v>21</v>
      </c>
      <c r="B15" s="363">
        <v>12798693</v>
      </c>
      <c r="C15" s="363">
        <v>1891412</v>
      </c>
      <c r="D15" s="363">
        <v>0</v>
      </c>
      <c r="E15" s="363">
        <v>1817773</v>
      </c>
      <c r="F15" s="363">
        <v>1904168</v>
      </c>
      <c r="G15" s="363">
        <v>0</v>
      </c>
      <c r="H15" s="363">
        <v>0</v>
      </c>
      <c r="I15" s="363">
        <v>0</v>
      </c>
      <c r="J15" s="363">
        <v>0</v>
      </c>
      <c r="K15" s="363">
        <v>18412046</v>
      </c>
      <c r="L15" s="363">
        <v>18057260</v>
      </c>
      <c r="M15" s="363">
        <v>-3711257</v>
      </c>
      <c r="N15" s="363">
        <v>14346003</v>
      </c>
      <c r="O15" s="363">
        <v>13097660</v>
      </c>
      <c r="P15" s="363">
        <v>12988202</v>
      </c>
      <c r="Q15" s="363">
        <v>5046631</v>
      </c>
      <c r="R15" s="363">
        <v>2525816</v>
      </c>
      <c r="S15" s="363">
        <v>0</v>
      </c>
      <c r="T15" s="363">
        <v>-7582705</v>
      </c>
      <c r="U15" s="363">
        <v>12554999</v>
      </c>
      <c r="V15" s="363">
        <v>2578811</v>
      </c>
      <c r="W15" s="363">
        <v>7551105</v>
      </c>
      <c r="X15" s="363">
        <v>40210442</v>
      </c>
      <c r="Y15" s="363">
        <v>198012988.37999991</v>
      </c>
      <c r="Z15" s="363">
        <v>2852126</v>
      </c>
      <c r="AA15" s="363">
        <v>4084003</v>
      </c>
      <c r="AB15" s="363">
        <v>245278218.38</v>
      </c>
      <c r="AC15" s="363">
        <v>171310997.08000001</v>
      </c>
      <c r="AD15" s="363">
        <v>21637816</v>
      </c>
      <c r="AE15" s="318">
        <v>139.06</v>
      </c>
      <c r="AF15" s="318">
        <v>49.51</v>
      </c>
      <c r="AG15" s="364">
        <f t="shared" si="1"/>
        <v>2.0973602026475392E-2</v>
      </c>
    </row>
    <row r="16" spans="1:33" x14ac:dyDescent="0.45">
      <c r="A16" s="333" t="s">
        <v>91</v>
      </c>
      <c r="B16" s="363">
        <v>20262297.773718219</v>
      </c>
      <c r="C16" s="363">
        <v>1279715.868501208</v>
      </c>
      <c r="D16" s="363">
        <v>18834069.835968141</v>
      </c>
      <c r="E16" s="363">
        <v>565919.05032267619</v>
      </c>
      <c r="F16" s="363">
        <v>22930415.471489761</v>
      </c>
      <c r="G16" s="363">
        <v>0</v>
      </c>
      <c r="H16" s="363">
        <v>0</v>
      </c>
      <c r="I16" s="363">
        <v>0</v>
      </c>
      <c r="J16" s="363">
        <v>0</v>
      </c>
      <c r="K16" s="363">
        <v>63872417.999999993</v>
      </c>
      <c r="L16" s="363">
        <v>63232676.779999986</v>
      </c>
      <c r="M16" s="363">
        <v>-16637285.77</v>
      </c>
      <c r="N16" s="363">
        <v>46595391.00999999</v>
      </c>
      <c r="O16" s="363">
        <v>23308029.68</v>
      </c>
      <c r="P16" s="363">
        <v>23291721.309999991</v>
      </c>
      <c r="Q16" s="363">
        <v>10787804.99999997</v>
      </c>
      <c r="R16" s="363">
        <v>6796487.7400000002</v>
      </c>
      <c r="S16" s="363">
        <v>110833.39</v>
      </c>
      <c r="T16" s="363">
        <v>5830210.3500000229</v>
      </c>
      <c r="U16" s="363">
        <v>4954100.9000000004</v>
      </c>
      <c r="V16" s="363">
        <v>634560.47</v>
      </c>
      <c r="W16" s="363">
        <v>10847928.13400002</v>
      </c>
      <c r="X16" s="363">
        <v>12057726.02</v>
      </c>
      <c r="Y16" s="363">
        <v>153726949.71000001</v>
      </c>
      <c r="Z16" s="363">
        <v>43210774.969999999</v>
      </c>
      <c r="AA16" s="363">
        <v>22962146.486000001</v>
      </c>
      <c r="AB16" s="363">
        <v>231957597.19</v>
      </c>
      <c r="AC16" s="363">
        <v>147353601.03999999</v>
      </c>
      <c r="AD16" s="363">
        <v>13648880.555749999</v>
      </c>
      <c r="AE16" s="318">
        <v>112.51</v>
      </c>
      <c r="AF16" s="318">
        <v>27.81</v>
      </c>
      <c r="AG16" s="364">
        <f t="shared" si="1"/>
        <v>7.2758599212748173E-2</v>
      </c>
    </row>
    <row r="17" spans="1:33" x14ac:dyDescent="0.45">
      <c r="A17" s="333" t="s">
        <v>22</v>
      </c>
      <c r="B17" s="363">
        <v>16658398.489999991</v>
      </c>
      <c r="C17" s="363">
        <v>15705732.24</v>
      </c>
      <c r="D17" s="363">
        <v>26269.31</v>
      </c>
      <c r="E17" s="363">
        <v>390966.94</v>
      </c>
      <c r="F17" s="363">
        <v>2418308.080000001</v>
      </c>
      <c r="G17" s="363">
        <v>0</v>
      </c>
      <c r="H17" s="363">
        <v>1104.6500000000001</v>
      </c>
      <c r="I17" s="363">
        <v>800</v>
      </c>
      <c r="J17" s="363">
        <v>3000596.06</v>
      </c>
      <c r="K17" s="363">
        <v>38202175.769999981</v>
      </c>
      <c r="L17" s="363">
        <v>33486393.48999998</v>
      </c>
      <c r="M17" s="363"/>
      <c r="N17" s="363">
        <v>33486393.48999998</v>
      </c>
      <c r="O17" s="363">
        <v>37619965</v>
      </c>
      <c r="P17" s="363">
        <v>37619965</v>
      </c>
      <c r="Q17" s="363">
        <v>14854213.07</v>
      </c>
      <c r="R17" s="363">
        <v>4577777.09</v>
      </c>
      <c r="S17" s="363"/>
      <c r="T17" s="363">
        <v>-23565561.67000002</v>
      </c>
      <c r="U17" s="363">
        <v>17685355.309999999</v>
      </c>
      <c r="V17" s="363">
        <v>11196722.259301331</v>
      </c>
      <c r="W17" s="363">
        <v>5316515.899301311</v>
      </c>
      <c r="X17" s="363">
        <v>53516641.99000001</v>
      </c>
      <c r="Y17" s="363">
        <v>393627494.30619937</v>
      </c>
      <c r="Z17" s="363">
        <v>22512361.720000241</v>
      </c>
      <c r="AA17" s="363">
        <v>9526710.2999999989</v>
      </c>
      <c r="AB17" s="363">
        <v>479183208.31999999</v>
      </c>
      <c r="AC17" s="363">
        <v>277651733.7486341</v>
      </c>
      <c r="AD17" s="363">
        <v>113402961.86</v>
      </c>
      <c r="AE17" s="318">
        <v>161.04</v>
      </c>
      <c r="AF17" s="318">
        <v>58.03</v>
      </c>
      <c r="AG17" s="364">
        <f t="shared" si="1"/>
        <v>4.3517012239999875E-2</v>
      </c>
    </row>
    <row r="18" spans="1:33" x14ac:dyDescent="0.45">
      <c r="A18" s="333" t="s">
        <v>24</v>
      </c>
      <c r="B18" s="363">
        <v>44198914.478937387</v>
      </c>
      <c r="C18" s="363">
        <v>6717924.7699999996</v>
      </c>
      <c r="D18" s="363">
        <v>8429452.1134216823</v>
      </c>
      <c r="E18" s="363">
        <v>747914.49</v>
      </c>
      <c r="F18" s="363">
        <v>27499580.258085951</v>
      </c>
      <c r="G18" s="363">
        <v>0</v>
      </c>
      <c r="H18" s="363">
        <v>0</v>
      </c>
      <c r="I18" s="363">
        <v>0</v>
      </c>
      <c r="J18" s="363">
        <v>3267755.8895549672</v>
      </c>
      <c r="K18" s="363">
        <v>90861542</v>
      </c>
      <c r="L18" s="363">
        <v>86604783</v>
      </c>
      <c r="M18" s="363">
        <v>-34626007.590783201</v>
      </c>
      <c r="N18" s="363">
        <v>51978775.409216799</v>
      </c>
      <c r="O18" s="363">
        <v>27112607</v>
      </c>
      <c r="P18" s="363">
        <v>27112607</v>
      </c>
      <c r="Q18" s="363">
        <v>17947207.866248749</v>
      </c>
      <c r="R18" s="363">
        <v>15781291</v>
      </c>
      <c r="S18" s="363">
        <v>1469975</v>
      </c>
      <c r="T18" s="363">
        <v>-7392355.4570319578</v>
      </c>
      <c r="U18" s="363">
        <v>14926280</v>
      </c>
      <c r="V18" s="363">
        <v>2295631.69</v>
      </c>
      <c r="W18" s="363">
        <v>9338141.9128196388</v>
      </c>
      <c r="X18" s="363">
        <v>21351844.957825299</v>
      </c>
      <c r="Y18" s="363">
        <v>377732791.33394378</v>
      </c>
      <c r="Z18" s="363">
        <v>17652507.83231809</v>
      </c>
      <c r="AA18" s="363">
        <v>24442925.597051188</v>
      </c>
      <c r="AB18" s="363">
        <v>463868097.67000002</v>
      </c>
      <c r="AC18" s="363">
        <v>323998730.00000012</v>
      </c>
      <c r="AD18" s="363">
        <v>40743539.433021531</v>
      </c>
      <c r="AE18" s="318">
        <v>123.17</v>
      </c>
      <c r="AF18" s="318">
        <v>38.950000000000003</v>
      </c>
      <c r="AG18" s="364">
        <f t="shared" si="1"/>
        <v>0.103502555958196</v>
      </c>
    </row>
    <row r="19" spans="1:33" x14ac:dyDescent="0.45">
      <c r="A19" s="333" t="s">
        <v>25</v>
      </c>
      <c r="B19" s="363">
        <v>2693531</v>
      </c>
      <c r="C19" s="363">
        <v>427811</v>
      </c>
      <c r="D19" s="363">
        <v>0</v>
      </c>
      <c r="E19" s="363">
        <v>608133</v>
      </c>
      <c r="F19" s="363">
        <v>53402</v>
      </c>
      <c r="G19" s="363">
        <v>0</v>
      </c>
      <c r="H19" s="363">
        <v>0</v>
      </c>
      <c r="I19" s="363">
        <v>0</v>
      </c>
      <c r="J19" s="363">
        <v>3390338</v>
      </c>
      <c r="K19" s="363">
        <v>7173215</v>
      </c>
      <c r="L19" s="363">
        <v>7170845</v>
      </c>
      <c r="M19" s="363">
        <v>-2438087</v>
      </c>
      <c r="N19" s="363">
        <v>4732758</v>
      </c>
      <c r="O19" s="363">
        <v>4699552</v>
      </c>
      <c r="P19" s="363">
        <v>4699552</v>
      </c>
      <c r="Q19" s="363">
        <v>2272648</v>
      </c>
      <c r="R19" s="363">
        <v>81572</v>
      </c>
      <c r="S19" s="363"/>
      <c r="T19" s="363">
        <v>-2335686</v>
      </c>
      <c r="U19" s="363">
        <v>3723684</v>
      </c>
      <c r="V19" s="363">
        <v>411209</v>
      </c>
      <c r="W19" s="363">
        <v>1799207</v>
      </c>
      <c r="X19" s="363">
        <v>7444849</v>
      </c>
      <c r="Y19" s="363">
        <v>118039826</v>
      </c>
      <c r="Z19" s="363">
        <v>4133601</v>
      </c>
      <c r="AA19" s="363">
        <v>3193981</v>
      </c>
      <c r="AB19" s="363">
        <v>133125465</v>
      </c>
      <c r="AC19" s="363">
        <v>68392695</v>
      </c>
      <c r="AD19" s="363">
        <v>1324852</v>
      </c>
      <c r="AE19" s="318">
        <v>183.48</v>
      </c>
      <c r="AF19" s="318">
        <v>33.04</v>
      </c>
      <c r="AG19" s="364">
        <f t="shared" si="1"/>
        <v>8.1711807943747085E-3</v>
      </c>
    </row>
    <row r="20" spans="1:33" x14ac:dyDescent="0.45">
      <c r="A20" s="333" t="s">
        <v>141</v>
      </c>
      <c r="B20" s="363">
        <v>872718</v>
      </c>
      <c r="C20" s="363">
        <v>5006941</v>
      </c>
      <c r="D20" s="363">
        <v>74860</v>
      </c>
      <c r="E20" s="363">
        <v>5308491</v>
      </c>
      <c r="F20" s="363">
        <v>550253</v>
      </c>
      <c r="G20" s="363">
        <v>0</v>
      </c>
      <c r="H20" s="363">
        <v>0</v>
      </c>
      <c r="I20" s="363">
        <v>0</v>
      </c>
      <c r="J20" s="363">
        <v>16091701</v>
      </c>
      <c r="K20" s="363">
        <v>27904964</v>
      </c>
      <c r="L20" s="363">
        <v>25676829</v>
      </c>
      <c r="M20" s="363">
        <v>-1292260</v>
      </c>
      <c r="N20" s="363">
        <v>24384569</v>
      </c>
      <c r="O20" s="363">
        <v>3934265</v>
      </c>
      <c r="P20" s="363">
        <v>3617155</v>
      </c>
      <c r="Q20" s="363">
        <v>5654427</v>
      </c>
      <c r="R20" s="363">
        <v>15621797</v>
      </c>
      <c r="S20" s="363">
        <v>0</v>
      </c>
      <c r="T20" s="363">
        <v>-508810</v>
      </c>
      <c r="U20" s="363">
        <v>2749167</v>
      </c>
      <c r="V20" s="363">
        <v>3620</v>
      </c>
      <c r="W20" s="363">
        <v>2131778</v>
      </c>
      <c r="X20" s="363">
        <v>1914118</v>
      </c>
      <c r="Y20" s="363">
        <v>64218245.579999998</v>
      </c>
      <c r="Z20" s="363">
        <v>6757065</v>
      </c>
      <c r="AA20" s="363">
        <v>3931891</v>
      </c>
      <c r="AB20" s="363">
        <v>80448336.579999998</v>
      </c>
      <c r="AC20" s="363">
        <v>10803257</v>
      </c>
      <c r="AD20" s="363">
        <v>16748510.619999999</v>
      </c>
      <c r="AE20" s="318">
        <v>612.15</v>
      </c>
      <c r="AF20" s="318">
        <v>82.86</v>
      </c>
      <c r="AG20" s="364">
        <f t="shared" si="1"/>
        <v>3.1787211996924344E-2</v>
      </c>
    </row>
    <row r="21" spans="1:33" x14ac:dyDescent="0.45">
      <c r="A21" s="333" t="s">
        <v>27</v>
      </c>
      <c r="B21" s="363">
        <v>136125880.9520781</v>
      </c>
      <c r="C21" s="363">
        <v>7184747.5800000001</v>
      </c>
      <c r="D21" s="363">
        <v>3570</v>
      </c>
      <c r="E21" s="363">
        <v>644333.87</v>
      </c>
      <c r="F21" s="363">
        <v>10318532.737921851</v>
      </c>
      <c r="G21" s="363">
        <v>0</v>
      </c>
      <c r="H21" s="363">
        <v>0</v>
      </c>
      <c r="I21" s="363">
        <v>0</v>
      </c>
      <c r="J21" s="363">
        <v>0</v>
      </c>
      <c r="K21" s="363">
        <v>154277065.13999999</v>
      </c>
      <c r="L21" s="363">
        <v>151907649.62</v>
      </c>
      <c r="M21" s="363">
        <v>-26076622.34</v>
      </c>
      <c r="N21" s="363">
        <v>125831027.28</v>
      </c>
      <c r="O21" s="363">
        <v>122853799.64</v>
      </c>
      <c r="P21" s="363">
        <v>122836057.64</v>
      </c>
      <c r="Q21" s="363">
        <v>25890285.100000001</v>
      </c>
      <c r="R21" s="363">
        <v>8222272.1199999992</v>
      </c>
      <c r="S21" s="363">
        <v>638062.78</v>
      </c>
      <c r="T21" s="363">
        <v>-30479524.800000042</v>
      </c>
      <c r="U21" s="363">
        <v>27301949.829999998</v>
      </c>
      <c r="V21" s="363">
        <v>587728.59</v>
      </c>
      <c r="W21" s="363">
        <v>-2589846.3800000399</v>
      </c>
      <c r="X21" s="363">
        <v>7293383.838999995</v>
      </c>
      <c r="Y21" s="363">
        <v>891912403.89899993</v>
      </c>
      <c r="Z21" s="363">
        <v>136490491.77900001</v>
      </c>
      <c r="AA21" s="363">
        <v>71796031.980000004</v>
      </c>
      <c r="AB21" s="363">
        <v>1107492311.5</v>
      </c>
      <c r="AC21" s="363">
        <v>828103986.12800002</v>
      </c>
      <c r="AD21" s="363">
        <v>84953868.450000003</v>
      </c>
      <c r="AE21" s="318">
        <v>108.59</v>
      </c>
      <c r="AF21" s="318">
        <v>22.46</v>
      </c>
      <c r="AG21" s="364">
        <f t="shared" si="1"/>
        <v>0.17574069530670192</v>
      </c>
    </row>
    <row r="22" spans="1:33" x14ac:dyDescent="0.45">
      <c r="A22" s="333" t="s">
        <v>28</v>
      </c>
      <c r="B22" s="363">
        <v>6790409</v>
      </c>
      <c r="C22" s="363">
        <v>5305957</v>
      </c>
      <c r="D22" s="363">
        <v>23866271</v>
      </c>
      <c r="E22" s="363">
        <v>3723896</v>
      </c>
      <c r="F22" s="363">
        <v>111512470</v>
      </c>
      <c r="G22" s="363">
        <v>0</v>
      </c>
      <c r="H22" s="363">
        <v>0</v>
      </c>
      <c r="I22" s="363">
        <v>0</v>
      </c>
      <c r="J22" s="363">
        <v>0</v>
      </c>
      <c r="K22" s="363">
        <v>151199003</v>
      </c>
      <c r="L22" s="363">
        <v>149723110</v>
      </c>
      <c r="M22" s="363">
        <v>-49408626</v>
      </c>
      <c r="N22" s="363">
        <v>100314484</v>
      </c>
      <c r="O22" s="363">
        <v>70749190</v>
      </c>
      <c r="P22" s="363">
        <v>70749190</v>
      </c>
      <c r="Q22" s="363">
        <v>20879880</v>
      </c>
      <c r="R22" s="363">
        <v>17065155</v>
      </c>
      <c r="S22" s="363">
        <v>376160</v>
      </c>
      <c r="T22" s="363">
        <v>-8003581</v>
      </c>
      <c r="U22" s="363">
        <v>3922185</v>
      </c>
      <c r="V22" s="363">
        <v>9405996</v>
      </c>
      <c r="W22" s="363">
        <v>10600782</v>
      </c>
      <c r="X22" s="363">
        <v>36824215</v>
      </c>
      <c r="Y22" s="363">
        <v>1545070809</v>
      </c>
      <c r="Z22" s="363">
        <v>136098290.06</v>
      </c>
      <c r="AA22" s="363">
        <v>60667069</v>
      </c>
      <c r="AB22" s="363">
        <v>1778818783.0599999</v>
      </c>
      <c r="AC22" s="363">
        <v>1002482028</v>
      </c>
      <c r="AD22" s="363">
        <v>204962858</v>
      </c>
      <c r="AE22" s="318">
        <v>157.80000000000001</v>
      </c>
      <c r="AF22" s="318">
        <v>25.34</v>
      </c>
      <c r="AG22" s="364">
        <f t="shared" si="1"/>
        <v>0.17223440109381971</v>
      </c>
    </row>
    <row r="23" spans="1:33" x14ac:dyDescent="0.45">
      <c r="A23" s="333" t="s">
        <v>31</v>
      </c>
      <c r="B23" s="363">
        <v>750341</v>
      </c>
      <c r="C23" s="363">
        <v>4022573.34</v>
      </c>
      <c r="D23" s="363">
        <v>270834.32717009599</v>
      </c>
      <c r="E23" s="363">
        <v>20588.572881772088</v>
      </c>
      <c r="F23" s="363">
        <v>600451.61333868478</v>
      </c>
      <c r="G23" s="363">
        <v>0</v>
      </c>
      <c r="H23" s="363">
        <v>0</v>
      </c>
      <c r="I23" s="363">
        <v>0</v>
      </c>
      <c r="J23" s="363">
        <v>0</v>
      </c>
      <c r="K23" s="363">
        <v>5664789</v>
      </c>
      <c r="L23" s="363">
        <v>4558879</v>
      </c>
      <c r="M23" s="363"/>
      <c r="N23" s="363">
        <v>4558879</v>
      </c>
      <c r="O23" s="363">
        <v>2125012</v>
      </c>
      <c r="P23" s="363">
        <v>2125012</v>
      </c>
      <c r="Q23" s="363">
        <v>3687161.43</v>
      </c>
      <c r="R23" s="363">
        <v>607873</v>
      </c>
      <c r="S23" s="363">
        <v>221552</v>
      </c>
      <c r="T23" s="363">
        <v>-1639615.43</v>
      </c>
      <c r="U23" s="363">
        <v>176781</v>
      </c>
      <c r="V23" s="363">
        <v>1357523</v>
      </c>
      <c r="W23" s="363">
        <v>-105311.4299999997</v>
      </c>
      <c r="X23" s="363">
        <v>15711368</v>
      </c>
      <c r="Y23" s="363">
        <v>21723641</v>
      </c>
      <c r="Z23" s="363">
        <v>7340146</v>
      </c>
      <c r="AA23" s="363">
        <v>6079702</v>
      </c>
      <c r="AB23" s="363">
        <v>50854857</v>
      </c>
      <c r="AC23" s="363">
        <v>9723372</v>
      </c>
      <c r="AD23" s="363">
        <v>2581128</v>
      </c>
      <c r="AE23" s="318">
        <v>385</v>
      </c>
      <c r="AF23" s="318">
        <v>94.21</v>
      </c>
      <c r="AG23" s="364">
        <f t="shared" si="1"/>
        <v>6.4528966552633814E-3</v>
      </c>
    </row>
    <row r="24" spans="1:33" s="137" customFormat="1" x14ac:dyDescent="0.45">
      <c r="A24" s="357" t="s">
        <v>67</v>
      </c>
      <c r="B24" s="358">
        <f t="shared" ref="B24:AD24" si="2">SUM(B6:B23)</f>
        <v>407396072.72310972</v>
      </c>
      <c r="C24" s="358">
        <f t="shared" si="2"/>
        <v>87724739.756001219</v>
      </c>
      <c r="D24" s="358">
        <f t="shared" si="2"/>
        <v>64147747.805059917</v>
      </c>
      <c r="E24" s="358">
        <f t="shared" si="2"/>
        <v>29259243.721319549</v>
      </c>
      <c r="F24" s="358">
        <f t="shared" si="2"/>
        <v>253737546.98123625</v>
      </c>
      <c r="G24" s="358">
        <f t="shared" si="2"/>
        <v>51039</v>
      </c>
      <c r="H24" s="358">
        <f t="shared" si="2"/>
        <v>1104.6500000000001</v>
      </c>
      <c r="I24" s="358">
        <f t="shared" si="2"/>
        <v>800</v>
      </c>
      <c r="J24" s="358">
        <f t="shared" si="2"/>
        <v>35549320.56955497</v>
      </c>
      <c r="K24" s="358">
        <f t="shared" si="2"/>
        <v>877867615.52727616</v>
      </c>
      <c r="L24" s="358">
        <f t="shared" si="2"/>
        <v>845335024.30134165</v>
      </c>
      <c r="M24" s="359">
        <f t="shared" si="2"/>
        <v>-211612539.3019686</v>
      </c>
      <c r="N24" s="358">
        <f t="shared" si="2"/>
        <v>633722484.9993732</v>
      </c>
      <c r="O24" s="358">
        <f>SUM(O6:O23)</f>
        <v>455506837.35971802</v>
      </c>
      <c r="P24" s="360">
        <f>SUM(P6:P23)</f>
        <v>454346481.98971802</v>
      </c>
      <c r="Q24" s="360">
        <f>SUM(Q6:Q23)</f>
        <v>179133789.92832899</v>
      </c>
      <c r="R24" s="360">
        <f>SUM(R6:R23)</f>
        <v>118781038.45636541</v>
      </c>
      <c r="S24" s="360">
        <f>SUM(S6:S23)</f>
        <v>4134868.7</v>
      </c>
      <c r="T24" s="360">
        <f t="shared" si="2"/>
        <v>-115786687.67503938</v>
      </c>
      <c r="U24" s="360">
        <f t="shared" si="2"/>
        <v>165516132.38616499</v>
      </c>
      <c r="V24" s="360">
        <f t="shared" si="2"/>
        <v>52658857.473458126</v>
      </c>
      <c r="W24" s="360">
        <f t="shared" si="2"/>
        <v>103614291.32213533</v>
      </c>
      <c r="X24" s="360">
        <f t="shared" si="2"/>
        <v>472657789.1357193</v>
      </c>
      <c r="Y24" s="360">
        <f t="shared" si="2"/>
        <v>5765024964.5695305</v>
      </c>
      <c r="Z24" s="360">
        <f t="shared" si="2"/>
        <v>460869539.58420593</v>
      </c>
      <c r="AA24" s="360">
        <f t="shared" si="2"/>
        <v>283989356.45362037</v>
      </c>
      <c r="AB24" s="360">
        <f>SUM(AB6:AB23)</f>
        <v>7017522720.710001</v>
      </c>
      <c r="AC24" s="360">
        <f t="shared" si="2"/>
        <v>4204343310.5554886</v>
      </c>
      <c r="AD24" s="360">
        <f t="shared" si="2"/>
        <v>749402293.46970248</v>
      </c>
      <c r="AE24" s="318"/>
      <c r="AF24" s="361"/>
      <c r="AG24" s="364">
        <f t="shared" si="1"/>
        <v>1</v>
      </c>
    </row>
    <row r="25" spans="1:33" x14ac:dyDescent="0.45">
      <c r="B25" s="324"/>
      <c r="C25" s="324"/>
      <c r="D25" s="324"/>
      <c r="E25" s="324"/>
      <c r="F25" s="324"/>
      <c r="G25" s="324"/>
      <c r="H25" s="324"/>
      <c r="I25" s="324"/>
      <c r="J25" s="324"/>
      <c r="K25" s="324"/>
      <c r="L25" s="324"/>
      <c r="M25" s="324"/>
      <c r="N25" s="325"/>
      <c r="O25" s="325"/>
      <c r="P25" s="324"/>
      <c r="Q25" s="324"/>
      <c r="R25" s="324"/>
      <c r="S25" s="324"/>
      <c r="T25" s="324"/>
      <c r="U25" s="324"/>
      <c r="V25" s="324"/>
      <c r="W25" s="324"/>
      <c r="X25" s="324"/>
      <c r="Y25" s="324"/>
      <c r="Z25" s="324"/>
      <c r="AA25" s="324"/>
      <c r="AB25" s="324"/>
      <c r="AC25" s="324"/>
      <c r="AD25" s="324"/>
      <c r="AE25" s="324"/>
      <c r="AF25" s="324"/>
      <c r="AG25" s="324"/>
    </row>
    <row r="33" spans="1:1" x14ac:dyDescent="0.45">
      <c r="A33">
        <v>0</v>
      </c>
    </row>
  </sheetData>
  <mergeCells count="1">
    <mergeCell ref="B1:AG1"/>
  </mergeCells>
  <dataValidations disablePrompts="1" count="1">
    <dataValidation type="list" allowBlank="1" showInputMessage="1" showErrorMessage="1" sqref="A3" xr:uid="{00000000-0002-0000-2B00-000000000000}">
      <formula1>$A$6:$A$24</formula1>
    </dataValidation>
  </dataValidations>
  <pageMargins left="0.7" right="0.7" top="0.75" bottom="0.75" header="0.3" footer="0.3"/>
  <pageSetup orientation="portrait" r:id="rId1"/>
  <customProperties>
    <customPr name="LastActive" r:id="rId2"/>
  </customProperties>
  <legacyDrawing r:id="rId3"/>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AG25"/>
  <sheetViews>
    <sheetView topLeftCell="G7" zoomScale="79" workbookViewId="0">
      <selection activeCell="J29" sqref="J29"/>
    </sheetView>
  </sheetViews>
  <sheetFormatPr defaultRowHeight="14.25" x14ac:dyDescent="0.45"/>
  <cols>
    <col min="1" max="1" width="66.3984375" bestFit="1" customWidth="1"/>
    <col min="2" max="2" width="20.73046875" style="326" customWidth="1"/>
    <col min="3" max="5" width="17.73046875" style="326" bestFit="1" customWidth="1"/>
    <col min="6" max="6" width="19" style="326" customWidth="1"/>
    <col min="7" max="7" width="19.3984375" style="326" bestFit="1" customWidth="1"/>
    <col min="8" max="8" width="14.3984375" style="326" bestFit="1" customWidth="1"/>
    <col min="9" max="9" width="17.73046875" style="326" customWidth="1"/>
    <col min="10" max="10" width="27.3984375" style="326" bestFit="1" customWidth="1"/>
    <col min="11" max="11" width="21.73046875" style="326" bestFit="1" customWidth="1"/>
    <col min="12" max="12" width="22.3984375" style="326" bestFit="1" customWidth="1"/>
    <col min="13" max="13" width="24.265625" style="326" customWidth="1"/>
    <col min="14" max="14" width="20" style="326" bestFit="1" customWidth="1"/>
    <col min="15" max="15" width="22" style="326" customWidth="1"/>
    <col min="16" max="16" width="22.3984375" style="326" customWidth="1"/>
    <col min="17" max="17" width="20.73046875" style="326" bestFit="1" customWidth="1"/>
    <col min="18" max="18" width="22.73046875" style="326" bestFit="1" customWidth="1"/>
    <col min="19" max="19" width="18.265625" style="326" bestFit="1" customWidth="1"/>
    <col min="20" max="20" width="19.265625" style="326" bestFit="1" customWidth="1"/>
    <col min="21" max="21" width="25.265625" style="326" bestFit="1" customWidth="1"/>
    <col min="22" max="22" width="18.73046875" style="326" bestFit="1" customWidth="1"/>
    <col min="23" max="23" width="20" style="326" bestFit="1" customWidth="1"/>
    <col min="24" max="24" width="19.3984375" style="326" bestFit="1" customWidth="1"/>
    <col min="25" max="25" width="21.265625" style="326" bestFit="1" customWidth="1"/>
    <col min="26" max="26" width="17.73046875" style="326" bestFit="1" customWidth="1"/>
    <col min="27" max="27" width="18.265625" style="326" bestFit="1" customWidth="1"/>
    <col min="28" max="28" width="21.265625" style="326" bestFit="1" customWidth="1"/>
    <col min="29" max="29" width="25" style="326" bestFit="1" customWidth="1"/>
    <col min="30" max="30" width="18.73046875" style="326" bestFit="1" customWidth="1"/>
    <col min="31" max="31" width="17.265625" style="326" customWidth="1"/>
    <col min="32" max="32" width="17.265625" style="326" bestFit="1" customWidth="1"/>
    <col min="33" max="33" width="13" style="326" bestFit="1" customWidth="1"/>
  </cols>
  <sheetData>
    <row r="1" spans="1:33" ht="20.65" x14ac:dyDescent="0.55000000000000004">
      <c r="A1" s="341" t="s">
        <v>143</v>
      </c>
      <c r="B1" s="392" t="s">
        <v>99</v>
      </c>
      <c r="C1" s="392"/>
      <c r="D1" s="392"/>
      <c r="E1" s="392"/>
      <c r="F1" s="392"/>
      <c r="G1" s="392"/>
      <c r="H1" s="392"/>
      <c r="I1" s="392"/>
      <c r="J1" s="392"/>
      <c r="K1" s="392"/>
      <c r="L1" s="392"/>
      <c r="M1" s="392"/>
      <c r="N1" s="392"/>
      <c r="O1" s="392"/>
      <c r="P1" s="392"/>
      <c r="Q1" s="392"/>
      <c r="R1" s="392"/>
      <c r="S1" s="392"/>
      <c r="T1" s="392"/>
      <c r="U1" s="392"/>
      <c r="V1" s="392"/>
      <c r="W1" s="392"/>
      <c r="X1" s="392"/>
      <c r="Y1" s="392"/>
      <c r="Z1" s="392"/>
      <c r="AA1" s="392"/>
      <c r="AB1" s="392"/>
      <c r="AC1" s="392"/>
      <c r="AD1" s="392"/>
      <c r="AE1" s="392"/>
      <c r="AF1" s="392"/>
      <c r="AG1" s="392"/>
    </row>
    <row r="2" spans="1:33" ht="27" customHeight="1" x14ac:dyDescent="0.45">
      <c r="A2" s="349"/>
      <c r="B2" s="342" t="s">
        <v>108</v>
      </c>
      <c r="C2" s="342" t="s">
        <v>109</v>
      </c>
      <c r="D2" s="342" t="s">
        <v>110</v>
      </c>
      <c r="E2" s="342" t="s">
        <v>111</v>
      </c>
      <c r="F2" s="342" t="s">
        <v>112</v>
      </c>
      <c r="G2" s="342" t="s">
        <v>113</v>
      </c>
      <c r="H2" s="342" t="s">
        <v>114</v>
      </c>
      <c r="I2" s="342" t="s">
        <v>115</v>
      </c>
      <c r="J2" s="342" t="s">
        <v>116</v>
      </c>
      <c r="K2" s="342" t="s">
        <v>34</v>
      </c>
      <c r="L2" s="342" t="s">
        <v>117</v>
      </c>
      <c r="M2" s="343" t="s">
        <v>118</v>
      </c>
      <c r="N2" s="342" t="s">
        <v>119</v>
      </c>
      <c r="O2" s="342" t="s">
        <v>101</v>
      </c>
      <c r="P2" s="342" t="s">
        <v>74</v>
      </c>
      <c r="Q2" s="342" t="s">
        <v>10</v>
      </c>
      <c r="R2" s="342" t="s">
        <v>102</v>
      </c>
      <c r="S2" s="342" t="s">
        <v>103</v>
      </c>
      <c r="T2" s="342" t="s">
        <v>120</v>
      </c>
      <c r="U2" s="342" t="s">
        <v>121</v>
      </c>
      <c r="V2" s="342" t="s">
        <v>122</v>
      </c>
      <c r="W2" s="342" t="s">
        <v>135</v>
      </c>
      <c r="X2" s="342" t="s">
        <v>128</v>
      </c>
      <c r="Y2" s="342" t="s">
        <v>79</v>
      </c>
      <c r="Z2" s="342" t="s">
        <v>129</v>
      </c>
      <c r="AA2" s="342" t="s">
        <v>130</v>
      </c>
      <c r="AB2" s="343" t="s">
        <v>13</v>
      </c>
      <c r="AC2" s="343" t="s">
        <v>131</v>
      </c>
      <c r="AD2" s="343" t="s">
        <v>132</v>
      </c>
      <c r="AE2" s="344" t="s">
        <v>124</v>
      </c>
      <c r="AF2" s="344" t="s">
        <v>125</v>
      </c>
      <c r="AG2" s="344" t="s">
        <v>12</v>
      </c>
    </row>
    <row r="3" spans="1:33" x14ac:dyDescent="0.45">
      <c r="A3" s="350" t="s">
        <v>91</v>
      </c>
      <c r="B3" s="345">
        <f t="shared" ref="B3:AG3" si="0">INDEX(B6:B24,MATCH($A$3,$A$6:$A$24,0))</f>
        <v>42522208.213712066</v>
      </c>
      <c r="C3" s="345">
        <f t="shared" si="0"/>
        <v>2198322</v>
      </c>
      <c r="D3" s="345">
        <f t="shared" si="0"/>
        <v>39524946.677835181</v>
      </c>
      <c r="E3" s="345">
        <f t="shared" si="0"/>
        <v>887357</v>
      </c>
      <c r="F3" s="345">
        <f t="shared" si="0"/>
        <v>48121487.228452742</v>
      </c>
      <c r="G3" s="345">
        <f t="shared" si="0"/>
        <v>0</v>
      </c>
      <c r="H3" s="345">
        <f t="shared" si="0"/>
        <v>0</v>
      </c>
      <c r="I3" s="345">
        <f t="shared" si="0"/>
        <v>0</v>
      </c>
      <c r="J3" s="345">
        <f t="shared" si="0"/>
        <v>0</v>
      </c>
      <c r="K3" s="345">
        <f t="shared" si="0"/>
        <v>133254321.12</v>
      </c>
      <c r="L3" s="345">
        <f t="shared" si="0"/>
        <v>132467998.05</v>
      </c>
      <c r="M3" s="345">
        <f t="shared" si="0"/>
        <v>-24538674.050000001</v>
      </c>
      <c r="N3" s="345">
        <f t="shared" si="0"/>
        <v>107929324</v>
      </c>
      <c r="O3" s="345">
        <f t="shared" si="0"/>
        <v>58006009.539999999</v>
      </c>
      <c r="P3" s="345">
        <f t="shared" si="0"/>
        <v>57989701.170000002</v>
      </c>
      <c r="Q3" s="345">
        <f t="shared" si="0"/>
        <v>23399592.760000002</v>
      </c>
      <c r="R3" s="345">
        <f t="shared" si="0"/>
        <v>14347879.835000001</v>
      </c>
      <c r="S3" s="345">
        <f t="shared" si="0"/>
        <v>141346.54999999999</v>
      </c>
      <c r="T3" s="345">
        <f t="shared" si="0"/>
        <v>12333496.785000021</v>
      </c>
      <c r="U3" s="345">
        <f t="shared" si="0"/>
        <v>11770637.710000001</v>
      </c>
      <c r="V3" s="345">
        <f t="shared" si="0"/>
        <v>3543998.32</v>
      </c>
      <c r="W3" s="345">
        <f t="shared" si="0"/>
        <v>26265726.17425001</v>
      </c>
      <c r="X3" s="345">
        <f t="shared" si="0"/>
        <v>10479141.880000001</v>
      </c>
      <c r="Y3" s="345">
        <f t="shared" si="0"/>
        <v>185869845.97</v>
      </c>
      <c r="Z3" s="345">
        <f t="shared" si="0"/>
        <v>43634726.280000001</v>
      </c>
      <c r="AA3" s="345">
        <f t="shared" si="0"/>
        <v>22180555.835999999</v>
      </c>
      <c r="AB3" s="345">
        <f t="shared" si="0"/>
        <v>262164269.97</v>
      </c>
      <c r="AC3" s="345">
        <f t="shared" si="0"/>
        <v>162067768.58000001</v>
      </c>
      <c r="AD3" s="345">
        <f t="shared" si="0"/>
        <v>13709502.07375</v>
      </c>
      <c r="AE3" s="345">
        <f t="shared" si="0"/>
        <v>121.15</v>
      </c>
      <c r="AF3" s="345">
        <f t="shared" si="0"/>
        <v>28.5</v>
      </c>
      <c r="AG3" s="346">
        <f t="shared" si="0"/>
        <v>7.346200658552722E-2</v>
      </c>
    </row>
    <row r="4" spans="1:33" x14ac:dyDescent="0.45">
      <c r="A4" s="348"/>
      <c r="B4" s="347"/>
      <c r="C4" s="347"/>
      <c r="D4" s="347"/>
      <c r="E4" s="347"/>
      <c r="F4" s="347"/>
      <c r="G4" s="347"/>
      <c r="H4" s="347"/>
      <c r="I4" s="347"/>
      <c r="J4" s="347"/>
      <c r="K4" s="347"/>
      <c r="L4" s="347"/>
      <c r="M4" s="347"/>
      <c r="N4" s="347"/>
      <c r="O4" s="347"/>
      <c r="P4" s="347"/>
      <c r="Q4" s="347"/>
      <c r="R4" s="347"/>
      <c r="S4" s="347"/>
      <c r="T4" s="347"/>
      <c r="U4" s="347"/>
      <c r="V4" s="347"/>
      <c r="W4" s="347"/>
      <c r="X4" s="347"/>
      <c r="Y4" s="347"/>
      <c r="Z4" s="347"/>
      <c r="AA4" s="347"/>
      <c r="AB4" s="347"/>
      <c r="AC4" s="347"/>
      <c r="AD4" s="347"/>
      <c r="AE4" s="347"/>
      <c r="AF4" s="347"/>
      <c r="AG4" s="347"/>
    </row>
    <row r="5" spans="1:33" s="295" customFormat="1" ht="46.15" customHeight="1" x14ac:dyDescent="0.45">
      <c r="A5" s="332" t="s">
        <v>126</v>
      </c>
      <c r="B5" s="335" t="s">
        <v>108</v>
      </c>
      <c r="C5" s="335" t="s">
        <v>109</v>
      </c>
      <c r="D5" s="335" t="s">
        <v>110</v>
      </c>
      <c r="E5" s="335" t="s">
        <v>111</v>
      </c>
      <c r="F5" s="335" t="s">
        <v>112</v>
      </c>
      <c r="G5" s="335" t="s">
        <v>113</v>
      </c>
      <c r="H5" s="335" t="s">
        <v>114</v>
      </c>
      <c r="I5" s="335" t="s">
        <v>115</v>
      </c>
      <c r="J5" s="335" t="s">
        <v>116</v>
      </c>
      <c r="K5" s="335" t="s">
        <v>34</v>
      </c>
      <c r="L5" s="335" t="s">
        <v>117</v>
      </c>
      <c r="M5" s="336" t="s">
        <v>118</v>
      </c>
      <c r="N5" s="335" t="s">
        <v>119</v>
      </c>
      <c r="O5" s="335" t="s">
        <v>101</v>
      </c>
      <c r="P5" s="335" t="s">
        <v>74</v>
      </c>
      <c r="Q5" s="335" t="s">
        <v>10</v>
      </c>
      <c r="R5" s="335" t="s">
        <v>102</v>
      </c>
      <c r="S5" s="335" t="s">
        <v>103</v>
      </c>
      <c r="T5" s="335" t="s">
        <v>120</v>
      </c>
      <c r="U5" s="335" t="s">
        <v>121</v>
      </c>
      <c r="V5" s="335" t="s">
        <v>122</v>
      </c>
      <c r="W5" s="335" t="s">
        <v>135</v>
      </c>
      <c r="X5" s="335" t="s">
        <v>128</v>
      </c>
      <c r="Y5" s="335" t="s">
        <v>79</v>
      </c>
      <c r="Z5" s="335" t="s">
        <v>129</v>
      </c>
      <c r="AA5" s="335" t="s">
        <v>130</v>
      </c>
      <c r="AB5" s="336" t="s">
        <v>13</v>
      </c>
      <c r="AC5" s="336" t="s">
        <v>131</v>
      </c>
      <c r="AD5" s="336" t="s">
        <v>132</v>
      </c>
      <c r="AE5" s="337" t="s">
        <v>124</v>
      </c>
      <c r="AF5" s="337" t="s">
        <v>125</v>
      </c>
      <c r="AG5" s="337" t="s">
        <v>12</v>
      </c>
    </row>
    <row r="6" spans="1:33" x14ac:dyDescent="0.45">
      <c r="A6" s="333" t="s">
        <v>80</v>
      </c>
      <c r="B6" s="363">
        <v>10306559.502900001</v>
      </c>
      <c r="C6" s="363">
        <v>9705386</v>
      </c>
      <c r="D6" s="363">
        <v>518036.73899999988</v>
      </c>
      <c r="E6" s="363">
        <v>1964983.69</v>
      </c>
      <c r="F6" s="363">
        <v>2763459.8481000001</v>
      </c>
      <c r="G6" s="363">
        <v>0</v>
      </c>
      <c r="H6" s="363">
        <v>0</v>
      </c>
      <c r="I6" s="363">
        <v>0</v>
      </c>
      <c r="J6" s="363">
        <v>19033241.219999999</v>
      </c>
      <c r="K6" s="363">
        <v>44291667</v>
      </c>
      <c r="L6" s="363">
        <v>42048929</v>
      </c>
      <c r="M6" s="363">
        <v>-12794430</v>
      </c>
      <c r="N6" s="363">
        <v>29254499</v>
      </c>
      <c r="O6" s="363">
        <v>12434659</v>
      </c>
      <c r="P6" s="363">
        <v>12434659</v>
      </c>
      <c r="Q6" s="363">
        <v>17129067</v>
      </c>
      <c r="R6" s="363">
        <v>17191071</v>
      </c>
      <c r="S6" s="363">
        <v>535847</v>
      </c>
      <c r="T6" s="363">
        <v>-16964451</v>
      </c>
      <c r="U6" s="363">
        <v>10325803</v>
      </c>
      <c r="V6" s="363">
        <v>1088896</v>
      </c>
      <c r="W6" s="363">
        <v>-5549752</v>
      </c>
      <c r="X6" s="363">
        <v>6252136.4000000004</v>
      </c>
      <c r="Y6" s="363">
        <v>80676382</v>
      </c>
      <c r="Z6" s="363">
        <v>6579766</v>
      </c>
      <c r="AA6" s="363">
        <v>11084668</v>
      </c>
      <c r="AB6" s="363">
        <v>104592952.40000001</v>
      </c>
      <c r="AC6" s="363">
        <v>63078577</v>
      </c>
      <c r="AD6" s="363">
        <v>16455124</v>
      </c>
      <c r="AE6" s="318">
        <v>137.81</v>
      </c>
      <c r="AF6" s="318">
        <v>81.62</v>
      </c>
      <c r="AG6" s="364">
        <f>K6/$K$24</f>
        <v>2.4417630178820714E-2</v>
      </c>
    </row>
    <row r="7" spans="1:33" x14ac:dyDescent="0.45">
      <c r="A7" s="333" t="s">
        <v>16</v>
      </c>
      <c r="B7" s="363">
        <v>10346350</v>
      </c>
      <c r="C7" s="363">
        <v>1734876</v>
      </c>
      <c r="D7" s="363">
        <v>85184</v>
      </c>
      <c r="E7" s="363">
        <v>537960</v>
      </c>
      <c r="F7" s="363">
        <v>2314419</v>
      </c>
      <c r="G7" s="363"/>
      <c r="H7" s="363"/>
      <c r="I7" s="363"/>
      <c r="J7" s="363"/>
      <c r="K7" s="363">
        <v>15018789</v>
      </c>
      <c r="L7" s="363">
        <v>14981914</v>
      </c>
      <c r="M7" s="363">
        <v>-4355449</v>
      </c>
      <c r="N7" s="363">
        <v>10626465</v>
      </c>
      <c r="O7" s="363">
        <v>5479996</v>
      </c>
      <c r="P7" s="363">
        <v>5461124</v>
      </c>
      <c r="Q7" s="363">
        <v>8696895</v>
      </c>
      <c r="R7" s="363">
        <v>1535963</v>
      </c>
      <c r="S7" s="363">
        <v>15626</v>
      </c>
      <c r="T7" s="363">
        <v>-5051891</v>
      </c>
      <c r="U7" s="363">
        <v>2722965</v>
      </c>
      <c r="V7" s="363">
        <v>2742946</v>
      </c>
      <c r="W7" s="363">
        <v>329310</v>
      </c>
      <c r="X7" s="363">
        <v>724269</v>
      </c>
      <c r="Y7" s="363">
        <v>194866597</v>
      </c>
      <c r="Z7" s="363">
        <v>3237852</v>
      </c>
      <c r="AA7" s="363">
        <v>6059357</v>
      </c>
      <c r="AB7" s="363">
        <v>204888075</v>
      </c>
      <c r="AC7" s="363">
        <v>74799335</v>
      </c>
      <c r="AD7" s="363">
        <v>26124666</v>
      </c>
      <c r="AE7" s="318">
        <v>261.49</v>
      </c>
      <c r="AF7" s="318">
        <v>68.3</v>
      </c>
      <c r="AG7" s="364">
        <f>K7/$K$24</f>
        <v>8.2797343241955788E-3</v>
      </c>
    </row>
    <row r="8" spans="1:33" x14ac:dyDescent="0.45">
      <c r="A8" s="333" t="s">
        <v>17</v>
      </c>
      <c r="B8" s="363">
        <v>198687751.7548188</v>
      </c>
      <c r="C8" s="363">
        <v>27873486.833941001</v>
      </c>
      <c r="D8" s="363">
        <v>22661160.599551748</v>
      </c>
      <c r="E8" s="363">
        <v>11404704.891311949</v>
      </c>
      <c r="F8" s="363">
        <v>153259138.47312689</v>
      </c>
      <c r="G8" s="363"/>
      <c r="H8" s="363"/>
      <c r="I8" s="363"/>
      <c r="J8" s="363">
        <v>6456187.3089880003</v>
      </c>
      <c r="K8" s="363">
        <v>420342429.86173803</v>
      </c>
      <c r="L8" s="363">
        <v>404867147.7620247</v>
      </c>
      <c r="M8" s="363">
        <v>-134537761.421377</v>
      </c>
      <c r="N8" s="363">
        <v>270329386.3406477</v>
      </c>
      <c r="O8" s="363">
        <v>193839410.26813799</v>
      </c>
      <c r="P8" s="363">
        <v>193593576.538138</v>
      </c>
      <c r="Q8" s="363">
        <v>71131927.903957888</v>
      </c>
      <c r="R8" s="363">
        <v>69998343.555288002</v>
      </c>
      <c r="S8" s="363"/>
      <c r="T8" s="363">
        <v>-64394461.656736143</v>
      </c>
      <c r="U8" s="363">
        <v>102650003.12860499</v>
      </c>
      <c r="V8" s="363">
        <v>3350572.9559999998</v>
      </c>
      <c r="W8" s="363">
        <v>39525808.709268861</v>
      </c>
      <c r="X8" s="363">
        <v>133926571.194801</v>
      </c>
      <c r="Y8" s="363">
        <v>1209624022.623764</v>
      </c>
      <c r="Z8" s="363">
        <v>23938968.980173782</v>
      </c>
      <c r="AA8" s="363">
        <v>44823442.973862924</v>
      </c>
      <c r="AB8" s="363">
        <v>1412313005.77</v>
      </c>
      <c r="AC8" s="363">
        <v>1003104256.281171</v>
      </c>
      <c r="AD8" s="363">
        <v>108206780.5058267</v>
      </c>
      <c r="AE8" s="318">
        <v>133.94</v>
      </c>
      <c r="AF8" s="318">
        <v>34.86</v>
      </c>
      <c r="AG8" s="364">
        <f>K8/$K$24</f>
        <v>0.23173130965765648</v>
      </c>
    </row>
    <row r="9" spans="1:33" x14ac:dyDescent="0.45">
      <c r="A9" s="333" t="s">
        <v>53</v>
      </c>
      <c r="B9" s="363"/>
      <c r="C9" s="363"/>
      <c r="D9" s="363">
        <v>1687402.58</v>
      </c>
      <c r="E9" s="363"/>
      <c r="F9" s="363"/>
      <c r="G9" s="363"/>
      <c r="H9" s="363"/>
      <c r="I9" s="363"/>
      <c r="J9" s="363"/>
      <c r="K9" s="363">
        <v>1687402.58</v>
      </c>
      <c r="L9" s="363">
        <v>1518662.33</v>
      </c>
      <c r="M9" s="363">
        <v>-157776.64000000001</v>
      </c>
      <c r="N9" s="363">
        <v>1360885.69</v>
      </c>
      <c r="O9" s="363">
        <v>94482.51</v>
      </c>
      <c r="P9" s="363">
        <v>94482.51</v>
      </c>
      <c r="Q9" s="363">
        <v>4567390.8599999994</v>
      </c>
      <c r="R9" s="363">
        <v>70656.5</v>
      </c>
      <c r="S9" s="363"/>
      <c r="T9" s="363">
        <v>-3431644.1799999988</v>
      </c>
      <c r="U9" s="363">
        <v>523515.22</v>
      </c>
      <c r="V9" s="363">
        <v>410556.46</v>
      </c>
      <c r="W9" s="363">
        <v>-2497572.4999999991</v>
      </c>
      <c r="X9" s="363">
        <v>3845823.03</v>
      </c>
      <c r="Y9" s="363">
        <v>6234657.2599999998</v>
      </c>
      <c r="Z9" s="363">
        <v>7444734.2999999998</v>
      </c>
      <c r="AA9" s="363">
        <v>4046026</v>
      </c>
      <c r="AB9" s="363">
        <v>22228459.59</v>
      </c>
      <c r="AC9" s="363">
        <v>7812707.6399999997</v>
      </c>
      <c r="AD9" s="363">
        <v>6881666.25</v>
      </c>
      <c r="AE9" s="318">
        <v>129.03</v>
      </c>
      <c r="AF9" s="318">
        <v>309.35000000000002</v>
      </c>
      <c r="AG9" s="364">
        <f>K9/$K$24</f>
        <v>9.3025110482357635E-4</v>
      </c>
    </row>
    <row r="10" spans="1:33" x14ac:dyDescent="0.45">
      <c r="A10" s="333" t="s">
        <v>18</v>
      </c>
      <c r="B10" s="363"/>
      <c r="C10" s="363"/>
      <c r="D10" s="363"/>
      <c r="E10" s="363"/>
      <c r="F10" s="363"/>
      <c r="G10" s="363"/>
      <c r="H10" s="363"/>
      <c r="I10" s="363"/>
      <c r="J10" s="363"/>
      <c r="K10" s="363"/>
      <c r="L10" s="363"/>
      <c r="M10" s="363"/>
      <c r="N10" s="363"/>
      <c r="O10" s="363"/>
      <c r="P10" s="363"/>
      <c r="Q10" s="363"/>
      <c r="R10" s="363"/>
      <c r="S10" s="363"/>
      <c r="T10" s="363"/>
      <c r="U10" s="363"/>
      <c r="V10" s="363"/>
      <c r="W10" s="363"/>
      <c r="X10" s="363"/>
      <c r="Y10" s="363"/>
      <c r="Z10" s="363"/>
      <c r="AA10" s="363"/>
      <c r="AB10" s="363"/>
      <c r="AC10" s="363"/>
      <c r="AD10" s="363"/>
      <c r="AE10" s="318"/>
      <c r="AF10" s="318"/>
      <c r="AG10" s="364"/>
    </row>
    <row r="11" spans="1:33" x14ac:dyDescent="0.45">
      <c r="A11" s="333" t="s">
        <v>20</v>
      </c>
      <c r="B11" s="363">
        <v>71930109</v>
      </c>
      <c r="C11" s="363">
        <v>34807647.800000012</v>
      </c>
      <c r="D11" s="363">
        <v>3571077</v>
      </c>
      <c r="E11" s="363">
        <v>4290159</v>
      </c>
      <c r="F11" s="363">
        <v>5093128</v>
      </c>
      <c r="G11" s="363">
        <v>194362</v>
      </c>
      <c r="H11" s="363"/>
      <c r="I11" s="363"/>
      <c r="J11" s="363"/>
      <c r="K11" s="363">
        <v>119886482.8</v>
      </c>
      <c r="L11" s="363">
        <v>117801880.22</v>
      </c>
      <c r="M11" s="363">
        <v>-15292677.408600001</v>
      </c>
      <c r="N11" s="363">
        <v>102509202.8114</v>
      </c>
      <c r="O11" s="363">
        <v>72098932.25999999</v>
      </c>
      <c r="P11" s="363">
        <v>72098932.25999999</v>
      </c>
      <c r="Q11" s="363">
        <v>23512937.650850002</v>
      </c>
      <c r="R11" s="363">
        <v>6988328.6300000008</v>
      </c>
      <c r="S11" s="363">
        <v>242922.59</v>
      </c>
      <c r="T11" s="363">
        <v>151926.86055001261</v>
      </c>
      <c r="U11" s="363">
        <v>8115060.0899999999</v>
      </c>
      <c r="V11" s="363">
        <v>1435002.74</v>
      </c>
      <c r="W11" s="363">
        <v>9701989.6905500125</v>
      </c>
      <c r="X11" s="363">
        <v>31963833.390000001</v>
      </c>
      <c r="Y11" s="363">
        <v>462222615.20999992</v>
      </c>
      <c r="Z11" s="363">
        <v>47913108.350000001</v>
      </c>
      <c r="AA11" s="363">
        <v>9989518.3591500018</v>
      </c>
      <c r="AB11" s="363">
        <v>552089075.30999994</v>
      </c>
      <c r="AC11" s="363">
        <v>248165989</v>
      </c>
      <c r="AD11" s="363">
        <v>63140817.450000003</v>
      </c>
      <c r="AE11" s="318">
        <v>199.14</v>
      </c>
      <c r="AF11" s="318">
        <v>25.89</v>
      </c>
      <c r="AG11" s="364">
        <f>K11/$K$24</f>
        <v>6.6092427734768949E-2</v>
      </c>
    </row>
    <row r="12" spans="1:33" x14ac:dyDescent="0.45">
      <c r="A12" s="333" t="s">
        <v>47</v>
      </c>
      <c r="B12" s="363"/>
      <c r="C12" s="363"/>
      <c r="D12" s="363"/>
      <c r="E12" s="363"/>
      <c r="F12" s="363"/>
      <c r="G12" s="363"/>
      <c r="H12" s="363"/>
      <c r="I12" s="363"/>
      <c r="J12" s="363"/>
      <c r="K12" s="363"/>
      <c r="L12" s="363"/>
      <c r="M12" s="363"/>
      <c r="N12" s="363"/>
      <c r="O12" s="363"/>
      <c r="P12" s="363"/>
      <c r="Q12" s="363"/>
      <c r="R12" s="363"/>
      <c r="S12" s="363"/>
      <c r="T12" s="363"/>
      <c r="U12" s="363"/>
      <c r="V12" s="363"/>
      <c r="W12" s="363"/>
      <c r="X12" s="363"/>
      <c r="Y12" s="363"/>
      <c r="Z12" s="363"/>
      <c r="AA12" s="363"/>
      <c r="AB12" s="363"/>
      <c r="AC12" s="363"/>
      <c r="AD12" s="363"/>
      <c r="AE12" s="318"/>
      <c r="AF12" s="318"/>
      <c r="AG12" s="364">
        <f t="shared" ref="AG12:AG24" si="1">K12/$K$24</f>
        <v>0</v>
      </c>
    </row>
    <row r="13" spans="1:33" x14ac:dyDescent="0.45">
      <c r="A13" s="333" t="s">
        <v>64</v>
      </c>
      <c r="B13" s="363">
        <v>4475115.9349999987</v>
      </c>
      <c r="C13" s="363">
        <v>9204626.7800000049</v>
      </c>
      <c r="D13" s="363"/>
      <c r="E13" s="363">
        <v>2366000.54</v>
      </c>
      <c r="F13" s="363">
        <v>5872649.4550000019</v>
      </c>
      <c r="G13" s="363"/>
      <c r="H13" s="363"/>
      <c r="I13" s="363"/>
      <c r="J13" s="363">
        <v>859089.01</v>
      </c>
      <c r="K13" s="363">
        <v>22777481.72000001</v>
      </c>
      <c r="L13" s="363">
        <v>17455105.210000008</v>
      </c>
      <c r="M13" s="363">
        <v>-3185470.21</v>
      </c>
      <c r="N13" s="363">
        <v>14269635.000000009</v>
      </c>
      <c r="O13" s="363">
        <v>4769153.6399999997</v>
      </c>
      <c r="P13" s="363">
        <v>4769153.6399999997</v>
      </c>
      <c r="Q13" s="363">
        <v>12916939.720000001</v>
      </c>
      <c r="R13" s="363">
        <v>4048244.55</v>
      </c>
      <c r="S13" s="363">
        <v>1902929</v>
      </c>
      <c r="T13" s="363">
        <v>-5561773.9099999964</v>
      </c>
      <c r="U13" s="363">
        <v>4753757.9400000004</v>
      </c>
      <c r="V13" s="363">
        <v>4827193.47</v>
      </c>
      <c r="W13" s="363">
        <v>4019177.5000000042</v>
      </c>
      <c r="X13" s="363">
        <v>29129502.909999989</v>
      </c>
      <c r="Y13" s="363">
        <v>74296869.070000008</v>
      </c>
      <c r="Z13" s="363">
        <v>12921082.210000001</v>
      </c>
      <c r="AA13" s="363">
        <v>1317260.459999999</v>
      </c>
      <c r="AB13" s="363">
        <v>117664714.65000001</v>
      </c>
      <c r="AC13" s="363">
        <v>15590819.210000001</v>
      </c>
      <c r="AD13" s="363">
        <v>39531184.75</v>
      </c>
      <c r="AE13" s="318">
        <v>663.38</v>
      </c>
      <c r="AF13" s="318">
        <v>97.19</v>
      </c>
      <c r="AG13" s="364">
        <f t="shared" si="1"/>
        <v>1.2557037535837371E-2</v>
      </c>
    </row>
    <row r="14" spans="1:33" x14ac:dyDescent="0.45">
      <c r="A14" s="333" t="s">
        <v>144</v>
      </c>
      <c r="B14" s="363">
        <v>25104068</v>
      </c>
      <c r="C14" s="363">
        <v>3889723</v>
      </c>
      <c r="D14" s="363"/>
      <c r="E14" s="363">
        <v>1302389</v>
      </c>
      <c r="F14" s="363"/>
      <c r="G14" s="363"/>
      <c r="H14" s="363"/>
      <c r="I14" s="363"/>
      <c r="J14" s="363"/>
      <c r="K14" s="363">
        <v>30296180</v>
      </c>
      <c r="L14" s="363">
        <v>29041439</v>
      </c>
      <c r="M14" s="363">
        <v>-10200000</v>
      </c>
      <c r="N14" s="363">
        <v>18841439</v>
      </c>
      <c r="O14" s="363">
        <v>28512423</v>
      </c>
      <c r="P14" s="363">
        <v>27379221</v>
      </c>
      <c r="Q14" s="363">
        <v>16029844</v>
      </c>
      <c r="R14" s="363">
        <v>3086972</v>
      </c>
      <c r="S14" s="363">
        <v>342128</v>
      </c>
      <c r="T14" s="363">
        <v>-27312470</v>
      </c>
      <c r="U14" s="363">
        <v>4321813</v>
      </c>
      <c r="V14" s="363">
        <v>19710255</v>
      </c>
      <c r="W14" s="363">
        <v>-3280402</v>
      </c>
      <c r="X14" s="363">
        <v>46534849</v>
      </c>
      <c r="Y14" s="363">
        <v>48907378</v>
      </c>
      <c r="Z14" s="363">
        <v>2568224</v>
      </c>
      <c r="AA14" s="363">
        <v>5110668</v>
      </c>
      <c r="AB14" s="363">
        <v>105332273</v>
      </c>
      <c r="AC14" s="363">
        <v>59359323</v>
      </c>
      <c r="AD14" s="363">
        <v>11530549</v>
      </c>
      <c r="AE14" s="318">
        <v>160.79</v>
      </c>
      <c r="AF14" s="318">
        <v>65.83</v>
      </c>
      <c r="AG14" s="364">
        <f t="shared" si="1"/>
        <v>1.6702033795002218E-2</v>
      </c>
    </row>
    <row r="15" spans="1:33" x14ac:dyDescent="0.45">
      <c r="A15" s="333" t="s">
        <v>21</v>
      </c>
      <c r="B15" s="363">
        <v>28484472</v>
      </c>
      <c r="C15" s="363">
        <v>4448178</v>
      </c>
      <c r="D15" s="363"/>
      <c r="E15" s="363">
        <v>2648254</v>
      </c>
      <c r="F15" s="363">
        <v>5146283</v>
      </c>
      <c r="G15" s="363"/>
      <c r="H15" s="363"/>
      <c r="I15" s="363"/>
      <c r="J15" s="363">
        <v>0</v>
      </c>
      <c r="K15" s="363">
        <v>40727187</v>
      </c>
      <c r="L15" s="363">
        <v>39128074</v>
      </c>
      <c r="M15" s="363">
        <v>-27565748</v>
      </c>
      <c r="N15" s="363">
        <v>11562326</v>
      </c>
      <c r="O15" s="363">
        <v>23937879</v>
      </c>
      <c r="P15" s="363">
        <v>23739400</v>
      </c>
      <c r="Q15" s="363">
        <v>10552464.630000001</v>
      </c>
      <c r="R15" s="363">
        <v>4279819</v>
      </c>
      <c r="S15" s="363">
        <v>724536</v>
      </c>
      <c r="T15" s="363">
        <v>-29200124.629999999</v>
      </c>
      <c r="U15" s="363">
        <v>20970659</v>
      </c>
      <c r="V15" s="363">
        <v>3133935</v>
      </c>
      <c r="W15" s="363">
        <v>-5095530.6299999952</v>
      </c>
      <c r="X15" s="363">
        <v>17947466</v>
      </c>
      <c r="Y15" s="363">
        <v>225137431.06214041</v>
      </c>
      <c r="Z15" s="363">
        <v>5117771.4800000004</v>
      </c>
      <c r="AA15" s="363">
        <v>8176964</v>
      </c>
      <c r="AB15" s="363">
        <v>256481790.53999999</v>
      </c>
      <c r="AC15" s="363">
        <v>195390779</v>
      </c>
      <c r="AD15" s="363">
        <v>20897076.379999999</v>
      </c>
      <c r="AE15" s="318">
        <v>124.41</v>
      </c>
      <c r="AF15" s="318">
        <v>45.36</v>
      </c>
      <c r="AG15" s="364">
        <f t="shared" si="1"/>
        <v>2.2452561796549104E-2</v>
      </c>
    </row>
    <row r="16" spans="1:33" x14ac:dyDescent="0.45">
      <c r="A16" s="333" t="s">
        <v>91</v>
      </c>
      <c r="B16" s="363">
        <v>42522208.213712066</v>
      </c>
      <c r="C16" s="363">
        <v>2198322</v>
      </c>
      <c r="D16" s="363">
        <v>39524946.677835181</v>
      </c>
      <c r="E16" s="363">
        <v>887357</v>
      </c>
      <c r="F16" s="363">
        <v>48121487.228452742</v>
      </c>
      <c r="G16" s="363"/>
      <c r="H16" s="363"/>
      <c r="I16" s="363"/>
      <c r="J16" s="363"/>
      <c r="K16" s="363">
        <v>133254321.12</v>
      </c>
      <c r="L16" s="363">
        <v>132467998.05</v>
      </c>
      <c r="M16" s="363">
        <v>-24538674.050000001</v>
      </c>
      <c r="N16" s="363">
        <v>107929324</v>
      </c>
      <c r="O16" s="363">
        <v>58006009.539999999</v>
      </c>
      <c r="P16" s="363">
        <v>57989701.170000002</v>
      </c>
      <c r="Q16" s="363">
        <v>23399592.760000002</v>
      </c>
      <c r="R16" s="363">
        <v>14347879.835000001</v>
      </c>
      <c r="S16" s="363">
        <v>141346.54999999999</v>
      </c>
      <c r="T16" s="363">
        <v>12333496.785000021</v>
      </c>
      <c r="U16" s="363">
        <v>11770637.710000001</v>
      </c>
      <c r="V16" s="363">
        <v>3543998.32</v>
      </c>
      <c r="W16" s="363">
        <v>26265726.17425001</v>
      </c>
      <c r="X16" s="363">
        <v>10479141.880000001</v>
      </c>
      <c r="Y16" s="363">
        <v>185869845.97</v>
      </c>
      <c r="Z16" s="363">
        <v>43634726.280000001</v>
      </c>
      <c r="AA16" s="363">
        <v>22180555.835999999</v>
      </c>
      <c r="AB16" s="363">
        <v>262164269.97</v>
      </c>
      <c r="AC16" s="363">
        <v>162067768.58000001</v>
      </c>
      <c r="AD16" s="363">
        <v>13709502.07375</v>
      </c>
      <c r="AE16" s="318">
        <v>121.15</v>
      </c>
      <c r="AF16" s="318">
        <v>28.5</v>
      </c>
      <c r="AG16" s="364">
        <f t="shared" si="1"/>
        <v>7.346200658552722E-2</v>
      </c>
    </row>
    <row r="17" spans="1:33" x14ac:dyDescent="0.45">
      <c r="A17" s="333" t="s">
        <v>22</v>
      </c>
      <c r="B17" s="363">
        <v>33377802.48</v>
      </c>
      <c r="C17" s="363">
        <v>30901839.52</v>
      </c>
      <c r="D17" s="363">
        <v>31066.34</v>
      </c>
      <c r="E17" s="363">
        <v>792154.26</v>
      </c>
      <c r="F17" s="363">
        <v>7116483.3799999868</v>
      </c>
      <c r="G17" s="363">
        <v>0</v>
      </c>
      <c r="H17" s="363">
        <v>103124.65</v>
      </c>
      <c r="I17" s="363">
        <v>89471.61</v>
      </c>
      <c r="J17" s="363">
        <v>6146365.7599999998</v>
      </c>
      <c r="K17" s="363">
        <v>78558308</v>
      </c>
      <c r="L17" s="363">
        <v>71002717.370000005</v>
      </c>
      <c r="M17" s="363">
        <v>-55641974.759999998</v>
      </c>
      <c r="N17" s="363">
        <v>15360742.610000011</v>
      </c>
      <c r="O17" s="363">
        <v>35014270.539999999</v>
      </c>
      <c r="P17" s="363">
        <v>35014270.539999999</v>
      </c>
      <c r="Q17" s="363">
        <v>30663429.351406559</v>
      </c>
      <c r="R17" s="363">
        <v>7635999.9900000002</v>
      </c>
      <c r="S17" s="363"/>
      <c r="T17" s="363">
        <v>-57952957.271406539</v>
      </c>
      <c r="U17" s="363">
        <v>41409095.57</v>
      </c>
      <c r="V17" s="363">
        <v>13841968.041406561</v>
      </c>
      <c r="W17" s="363">
        <v>-1415481.579999978</v>
      </c>
      <c r="X17" s="363">
        <v>49815785.18</v>
      </c>
      <c r="Y17" s="363">
        <v>343486790.17023611</v>
      </c>
      <c r="Z17" s="363">
        <v>21690823.050000001</v>
      </c>
      <c r="AA17" s="363">
        <v>14666899.58</v>
      </c>
      <c r="AB17" s="363">
        <v>429660297.98000002</v>
      </c>
      <c r="AC17" s="363">
        <v>306405645.10000002</v>
      </c>
      <c r="AD17" s="363">
        <v>47085042.780000001</v>
      </c>
      <c r="AE17" s="318">
        <v>128.36000000000001</v>
      </c>
      <c r="AF17" s="318">
        <v>53.94</v>
      </c>
      <c r="AG17" s="364">
        <f t="shared" si="1"/>
        <v>4.3308546328091307E-2</v>
      </c>
    </row>
    <row r="18" spans="1:33" x14ac:dyDescent="0.45">
      <c r="A18" s="333" t="s">
        <v>24</v>
      </c>
      <c r="B18" s="363">
        <v>96895715.565578297</v>
      </c>
      <c r="C18" s="363">
        <v>10301619.9</v>
      </c>
      <c r="D18" s="363">
        <v>18365722.675012439</v>
      </c>
      <c r="E18" s="363">
        <v>2457093.19</v>
      </c>
      <c r="F18" s="363">
        <v>59460072.54324434</v>
      </c>
      <c r="G18" s="363"/>
      <c r="H18" s="363"/>
      <c r="I18" s="363"/>
      <c r="J18" s="363">
        <v>3064464.1261648652</v>
      </c>
      <c r="K18" s="363">
        <v>190544688</v>
      </c>
      <c r="L18" s="363">
        <v>184973944</v>
      </c>
      <c r="M18" s="363">
        <v>-83408571.131812602</v>
      </c>
      <c r="N18" s="363">
        <v>101565372.8681874</v>
      </c>
      <c r="O18" s="363">
        <v>48849756</v>
      </c>
      <c r="P18" s="363">
        <v>48849756</v>
      </c>
      <c r="Q18" s="363">
        <v>37674244.950000003</v>
      </c>
      <c r="R18" s="363">
        <v>34034037</v>
      </c>
      <c r="S18" s="363">
        <v>1334663</v>
      </c>
      <c r="T18" s="363">
        <v>-17658002.08181259</v>
      </c>
      <c r="U18" s="363">
        <v>30914811</v>
      </c>
      <c r="V18" s="363">
        <v>2283139.42</v>
      </c>
      <c r="W18" s="363">
        <v>14762950.933388</v>
      </c>
      <c r="X18" s="363">
        <v>45211861.344063282</v>
      </c>
      <c r="Y18" s="363">
        <v>420904816.00162369</v>
      </c>
      <c r="Z18" s="363">
        <v>15765091.99231809</v>
      </c>
      <c r="AA18" s="363">
        <v>25179098.754080549</v>
      </c>
      <c r="AB18" s="363">
        <v>528138993.13999999</v>
      </c>
      <c r="AC18" s="363">
        <v>372781293.54102957</v>
      </c>
      <c r="AD18" s="363">
        <v>43607198.617634721</v>
      </c>
      <c r="AE18" s="318">
        <v>125.04</v>
      </c>
      <c r="AF18" s="318">
        <v>38.770000000000003</v>
      </c>
      <c r="AG18" s="364">
        <f t="shared" si="1"/>
        <v>0.10504571264212696</v>
      </c>
    </row>
    <row r="19" spans="1:33" x14ac:dyDescent="0.45">
      <c r="A19" s="333" t="s">
        <v>25</v>
      </c>
      <c r="B19" s="363">
        <v>5219281</v>
      </c>
      <c r="C19" s="363">
        <v>282630</v>
      </c>
      <c r="D19" s="363"/>
      <c r="E19" s="363">
        <v>958820</v>
      </c>
      <c r="F19" s="363">
        <v>452367</v>
      </c>
      <c r="G19" s="363"/>
      <c r="H19" s="363"/>
      <c r="I19" s="363"/>
      <c r="J19" s="363">
        <v>8031321</v>
      </c>
      <c r="K19" s="363">
        <v>14944419</v>
      </c>
      <c r="L19" s="363">
        <v>14890772</v>
      </c>
      <c r="M19" s="363">
        <v>-5062862</v>
      </c>
      <c r="N19" s="363">
        <v>9827910</v>
      </c>
      <c r="O19" s="363">
        <v>11918857</v>
      </c>
      <c r="P19" s="363">
        <v>11918857</v>
      </c>
      <c r="Q19" s="363">
        <v>5408119</v>
      </c>
      <c r="R19" s="363">
        <v>291376</v>
      </c>
      <c r="S19" s="363"/>
      <c r="T19" s="363">
        <v>-7832022</v>
      </c>
      <c r="U19" s="363">
        <v>6380903</v>
      </c>
      <c r="V19" s="363">
        <v>919487</v>
      </c>
      <c r="W19" s="363">
        <v>-531632</v>
      </c>
      <c r="X19" s="363">
        <v>5796234</v>
      </c>
      <c r="Y19" s="363">
        <v>116358123</v>
      </c>
      <c r="Z19" s="363">
        <v>3581518</v>
      </c>
      <c r="AA19" s="363">
        <v>3025435</v>
      </c>
      <c r="AB19" s="363">
        <v>129024798</v>
      </c>
      <c r="AC19" s="363">
        <v>70768314</v>
      </c>
      <c r="AD19" s="363">
        <v>1540539</v>
      </c>
      <c r="AE19" s="318">
        <v>172.61</v>
      </c>
      <c r="AF19" s="318">
        <v>38.549999999999997</v>
      </c>
      <c r="AG19" s="364">
        <f t="shared" si="1"/>
        <v>8.2387347574734929E-3</v>
      </c>
    </row>
    <row r="20" spans="1:33" x14ac:dyDescent="0.45">
      <c r="A20" s="333" t="s">
        <v>141</v>
      </c>
      <c r="B20" s="363">
        <v>2309883</v>
      </c>
      <c r="C20" s="363">
        <v>10425856</v>
      </c>
      <c r="D20" s="363">
        <v>215883</v>
      </c>
      <c r="E20" s="363">
        <v>12444296</v>
      </c>
      <c r="F20" s="363">
        <v>1683280</v>
      </c>
      <c r="G20" s="363"/>
      <c r="H20" s="363"/>
      <c r="I20" s="363"/>
      <c r="J20" s="363">
        <v>29667347</v>
      </c>
      <c r="K20" s="363">
        <v>56746545</v>
      </c>
      <c r="L20" s="363">
        <v>49111728</v>
      </c>
      <c r="M20" s="363">
        <v>-2248693</v>
      </c>
      <c r="N20" s="363">
        <v>46863035</v>
      </c>
      <c r="O20" s="363">
        <v>9164198</v>
      </c>
      <c r="P20" s="363">
        <v>8829209</v>
      </c>
      <c r="Q20" s="363">
        <v>11963659</v>
      </c>
      <c r="R20" s="363">
        <v>31483151</v>
      </c>
      <c r="S20" s="363"/>
      <c r="T20" s="363">
        <v>-5412984</v>
      </c>
      <c r="U20" s="363">
        <v>5182372</v>
      </c>
      <c r="V20" s="363">
        <v>635609</v>
      </c>
      <c r="W20" s="363">
        <v>384747</v>
      </c>
      <c r="X20" s="363">
        <v>1669510</v>
      </c>
      <c r="Y20" s="363">
        <v>59540979.579999998</v>
      </c>
      <c r="Z20" s="363">
        <v>13270926</v>
      </c>
      <c r="AA20" s="363">
        <v>4795257</v>
      </c>
      <c r="AB20" s="363">
        <v>82910220.579999998</v>
      </c>
      <c r="AC20" s="363">
        <v>11993274</v>
      </c>
      <c r="AD20" s="363">
        <v>19767409</v>
      </c>
      <c r="AE20" s="318">
        <v>510.37</v>
      </c>
      <c r="AF20" s="318">
        <v>88.47</v>
      </c>
      <c r="AG20" s="364">
        <f>K20/$K$24</f>
        <v>3.1283901545990755E-2</v>
      </c>
    </row>
    <row r="21" spans="1:33" x14ac:dyDescent="0.45">
      <c r="A21" s="333" t="s">
        <v>27</v>
      </c>
      <c r="B21" s="363">
        <v>281378154.93016469</v>
      </c>
      <c r="C21" s="363">
        <v>15280264.67505735</v>
      </c>
      <c r="D21" s="363">
        <v>7483.0004102955882</v>
      </c>
      <c r="E21" s="363">
        <v>2305382.1894923612</v>
      </c>
      <c r="F21" s="363">
        <v>19998576.95487532</v>
      </c>
      <c r="G21" s="363"/>
      <c r="H21" s="363"/>
      <c r="I21" s="363"/>
      <c r="J21" s="363"/>
      <c r="K21" s="363">
        <v>318969861.75</v>
      </c>
      <c r="L21" s="363">
        <v>314300838.35000002</v>
      </c>
      <c r="M21" s="363">
        <v>-69258615.030000001</v>
      </c>
      <c r="N21" s="363">
        <v>245042223.31999999</v>
      </c>
      <c r="O21" s="363">
        <v>227060960.24000001</v>
      </c>
      <c r="P21" s="363">
        <v>226979276.97999999</v>
      </c>
      <c r="Q21" s="363">
        <v>53626029.88000001</v>
      </c>
      <c r="R21" s="363">
        <v>17298380.850000001</v>
      </c>
      <c r="S21" s="363">
        <v>1291310.25</v>
      </c>
      <c r="T21" s="363">
        <v>-51570154.140000023</v>
      </c>
      <c r="U21" s="363">
        <v>52509743.799999997</v>
      </c>
      <c r="V21" s="363">
        <v>1560316.4</v>
      </c>
      <c r="W21" s="363">
        <v>2374910.7599999821</v>
      </c>
      <c r="X21" s="363">
        <v>9940417.6599999927</v>
      </c>
      <c r="Y21" s="363">
        <v>930303198.78900003</v>
      </c>
      <c r="Z21" s="363">
        <v>145395003.86899999</v>
      </c>
      <c r="AA21" s="363">
        <v>71443253.679999992</v>
      </c>
      <c r="AB21" s="363">
        <v>1157081874</v>
      </c>
      <c r="AC21" s="363">
        <v>871441857.81800008</v>
      </c>
      <c r="AD21" s="363">
        <v>83221992.599999994</v>
      </c>
      <c r="AE21" s="318">
        <v>107.9</v>
      </c>
      <c r="AF21" s="318">
        <v>22.57</v>
      </c>
      <c r="AG21" s="364">
        <f t="shared" si="1"/>
        <v>0.17584545017014311</v>
      </c>
    </row>
    <row r="22" spans="1:33" x14ac:dyDescent="0.45">
      <c r="A22" s="333" t="s">
        <v>28</v>
      </c>
      <c r="B22" s="363">
        <v>13838484</v>
      </c>
      <c r="C22" s="363">
        <v>9213387</v>
      </c>
      <c r="D22" s="363">
        <v>53912472</v>
      </c>
      <c r="E22" s="363">
        <v>8924486</v>
      </c>
      <c r="F22" s="363">
        <v>230884065</v>
      </c>
      <c r="G22" s="363"/>
      <c r="H22" s="363"/>
      <c r="I22" s="363"/>
      <c r="J22" s="363"/>
      <c r="K22" s="363">
        <v>316772894</v>
      </c>
      <c r="L22" s="363">
        <v>312841096</v>
      </c>
      <c r="M22" s="363">
        <v>-103237562</v>
      </c>
      <c r="N22" s="363">
        <v>209603534</v>
      </c>
      <c r="O22" s="363">
        <v>149322192</v>
      </c>
      <c r="P22" s="363">
        <v>149322192</v>
      </c>
      <c r="Q22" s="363">
        <v>43868455</v>
      </c>
      <c r="R22" s="363">
        <v>37449644</v>
      </c>
      <c r="S22" s="363">
        <v>1073931</v>
      </c>
      <c r="T22" s="363">
        <v>-19962826</v>
      </c>
      <c r="U22" s="363">
        <v>55192858.918733679</v>
      </c>
      <c r="V22" s="363">
        <v>27110458</v>
      </c>
      <c r="W22" s="363">
        <v>58336842.843733683</v>
      </c>
      <c r="X22" s="363">
        <v>36534876</v>
      </c>
      <c r="Y22" s="363">
        <v>1636776871</v>
      </c>
      <c r="Z22" s="363">
        <v>139175472.06</v>
      </c>
      <c r="AA22" s="363">
        <v>60332367</v>
      </c>
      <c r="AB22" s="363">
        <v>1873041499.0599999</v>
      </c>
      <c r="AC22" s="363">
        <v>1056310964</v>
      </c>
      <c r="AD22" s="363">
        <v>164036534</v>
      </c>
      <c r="AE22" s="318">
        <v>158.41</v>
      </c>
      <c r="AF22" s="318">
        <v>25.99</v>
      </c>
      <c r="AG22" s="364">
        <f t="shared" si="1"/>
        <v>0.17463427999598152</v>
      </c>
    </row>
    <row r="23" spans="1:33" x14ac:dyDescent="0.45">
      <c r="A23" s="333" t="s">
        <v>31</v>
      </c>
      <c r="B23" s="363">
        <v>2008915.9931999999</v>
      </c>
      <c r="C23" s="363">
        <v>5040663.0199999996</v>
      </c>
      <c r="D23" s="363">
        <v>573595.63100000005</v>
      </c>
      <c r="E23" s="363">
        <v>30295.66</v>
      </c>
      <c r="F23" s="363">
        <v>1449480.9657999999</v>
      </c>
      <c r="G23" s="363"/>
      <c r="H23" s="363"/>
      <c r="I23" s="363"/>
      <c r="J23" s="363"/>
      <c r="K23" s="363">
        <v>9102951.2699999996</v>
      </c>
      <c r="L23" s="363">
        <v>7881837.2699999996</v>
      </c>
      <c r="M23" s="363">
        <v>-1292728.18</v>
      </c>
      <c r="N23" s="363">
        <v>6589109.0899999999</v>
      </c>
      <c r="O23" s="363">
        <v>3761108</v>
      </c>
      <c r="P23" s="363">
        <v>3711939.52</v>
      </c>
      <c r="Q23" s="363">
        <v>7385706.1800000006</v>
      </c>
      <c r="R23" s="363">
        <v>900986.89</v>
      </c>
      <c r="S23" s="363">
        <v>331995.03000000003</v>
      </c>
      <c r="T23" s="363">
        <v>-5077528.47</v>
      </c>
      <c r="U23" s="363">
        <v>251851.04</v>
      </c>
      <c r="V23" s="363">
        <v>4060006.4449999998</v>
      </c>
      <c r="W23" s="363">
        <v>-765670.98499999987</v>
      </c>
      <c r="X23" s="363">
        <v>16632951.975</v>
      </c>
      <c r="Y23" s="363">
        <v>21798710.719999999</v>
      </c>
      <c r="Z23" s="363">
        <v>7341147.0599999996</v>
      </c>
      <c r="AA23" s="363">
        <v>6307850.0599999996</v>
      </c>
      <c r="AB23" s="363">
        <v>52080659.82</v>
      </c>
      <c r="AC23" s="363">
        <v>11016100.18</v>
      </c>
      <c r="AD23" s="363">
        <v>3174554.81</v>
      </c>
      <c r="AE23" s="318">
        <v>348.87</v>
      </c>
      <c r="AF23" s="318">
        <v>105.14</v>
      </c>
      <c r="AG23" s="364">
        <f t="shared" si="1"/>
        <v>5.0183818470116819E-3</v>
      </c>
    </row>
    <row r="24" spans="1:33" s="137" customFormat="1" x14ac:dyDescent="0.45">
      <c r="A24" s="357" t="s">
        <v>67</v>
      </c>
      <c r="B24" s="358">
        <f t="shared" ref="B24:AD24" si="2">SUM(B6:B23)</f>
        <v>826884871.37537372</v>
      </c>
      <c r="C24" s="358">
        <f t="shared" si="2"/>
        <v>175308506.52899837</v>
      </c>
      <c r="D24" s="358">
        <f t="shared" si="2"/>
        <v>141154030.24280968</v>
      </c>
      <c r="E24" s="358">
        <f t="shared" si="2"/>
        <v>53314335.420804307</v>
      </c>
      <c r="F24" s="358">
        <f t="shared" si="2"/>
        <v>543614890.84859931</v>
      </c>
      <c r="G24" s="358">
        <f t="shared" si="2"/>
        <v>194362</v>
      </c>
      <c r="H24" s="358">
        <f t="shared" si="2"/>
        <v>103124.65</v>
      </c>
      <c r="I24" s="358">
        <f t="shared" si="2"/>
        <v>89471.61</v>
      </c>
      <c r="J24" s="358">
        <f t="shared" si="2"/>
        <v>73258015.425152868</v>
      </c>
      <c r="K24" s="358">
        <f t="shared" si="2"/>
        <v>1813921608.101738</v>
      </c>
      <c r="L24" s="358">
        <f t="shared" si="2"/>
        <v>1754314082.5620246</v>
      </c>
      <c r="M24" s="359">
        <f t="shared" si="2"/>
        <v>-552778992.83178949</v>
      </c>
      <c r="N24" s="358">
        <f t="shared" si="2"/>
        <v>1201535089.7302351</v>
      </c>
      <c r="O24" s="358">
        <f>SUM(O6:O23)</f>
        <v>884264286.99813795</v>
      </c>
      <c r="P24" s="360">
        <f>SUM(P6:P23)</f>
        <v>882185751.15813804</v>
      </c>
      <c r="Q24" s="360">
        <f>SUM(Q6:Q23)</f>
        <v>378526702.88621444</v>
      </c>
      <c r="R24" s="360">
        <f>SUM(R6:R23)</f>
        <v>250640853.80028799</v>
      </c>
      <c r="S24" s="360">
        <f>SUM(S6:S23)</f>
        <v>7937234.4199999999</v>
      </c>
      <c r="T24" s="360">
        <f t="shared" si="2"/>
        <v>-304897866.69440526</v>
      </c>
      <c r="U24" s="360">
        <f t="shared" si="2"/>
        <v>357995849.41733867</v>
      </c>
      <c r="V24" s="360">
        <f t="shared" si="2"/>
        <v>90654340.252406567</v>
      </c>
      <c r="W24" s="360">
        <f t="shared" si="2"/>
        <v>136565421.91619056</v>
      </c>
      <c r="X24" s="360">
        <f t="shared" si="2"/>
        <v>446405228.96386427</v>
      </c>
      <c r="Y24" s="360">
        <f t="shared" si="2"/>
        <v>6017005287.4567633</v>
      </c>
      <c r="Z24" s="360">
        <f t="shared" si="2"/>
        <v>499576215.6314919</v>
      </c>
      <c r="AA24" s="360">
        <f t="shared" si="2"/>
        <v>298538621.70309347</v>
      </c>
      <c r="AB24" s="360">
        <f>SUM(AB6:AB23)</f>
        <v>7289692958.8099995</v>
      </c>
      <c r="AC24" s="360">
        <f t="shared" si="2"/>
        <v>4530087003.3502007</v>
      </c>
      <c r="AD24" s="360">
        <f t="shared" si="2"/>
        <v>668910637.21721137</v>
      </c>
      <c r="AE24" s="361">
        <f>SUM(AE6:AE23)/COUNT(AE6:AE23)</f>
        <v>217.66874999999999</v>
      </c>
      <c r="AF24" s="361">
        <f>SUM(AF6:AF23)/COUNT(AF6:AF23)</f>
        <v>70.64562500000001</v>
      </c>
      <c r="AG24" s="364">
        <f t="shared" si="1"/>
        <v>1</v>
      </c>
    </row>
    <row r="25" spans="1:33" x14ac:dyDescent="0.45">
      <c r="B25" s="324"/>
      <c r="C25" s="324"/>
      <c r="D25" s="324"/>
      <c r="E25" s="324"/>
      <c r="F25" s="324"/>
      <c r="G25" s="324"/>
      <c r="H25" s="324"/>
      <c r="I25" s="324"/>
      <c r="J25" s="324"/>
      <c r="K25" s="324"/>
      <c r="L25" s="324"/>
      <c r="M25" s="324"/>
      <c r="N25" s="325"/>
      <c r="O25" s="325"/>
      <c r="P25" s="324"/>
      <c r="Q25" s="324"/>
      <c r="R25" s="324"/>
      <c r="S25" s="324"/>
      <c r="T25" s="324"/>
      <c r="U25" s="324"/>
      <c r="V25" s="324"/>
      <c r="W25" s="324"/>
      <c r="X25" s="324"/>
      <c r="Y25" s="324"/>
      <c r="Z25" s="324"/>
      <c r="AA25" s="324"/>
      <c r="AB25" s="324"/>
      <c r="AC25" s="324"/>
      <c r="AD25" s="324"/>
      <c r="AE25" s="324"/>
      <c r="AF25" s="324"/>
      <c r="AG25" s="324"/>
    </row>
  </sheetData>
  <sortState xmlns:xlrd2="http://schemas.microsoft.com/office/spreadsheetml/2017/richdata2" ref="A6:A23">
    <sortCondition ref="A6"/>
  </sortState>
  <mergeCells count="1">
    <mergeCell ref="B1:AG1"/>
  </mergeCells>
  <dataValidations count="1">
    <dataValidation type="list" allowBlank="1" showInputMessage="1" showErrorMessage="1" sqref="A3" xr:uid="{00000000-0002-0000-2C00-000000000000}">
      <formula1>$A$6:$A$24</formula1>
    </dataValidation>
  </dataValidations>
  <pageMargins left="0.7" right="0.7" top="0.75" bottom="0.75" header="0.3" footer="0.3"/>
  <customProperties>
    <customPr name="LastActive" r:id="rId1"/>
  </customProperties>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AG24"/>
  <sheetViews>
    <sheetView zoomScaleNormal="100" workbookViewId="0">
      <selection activeCell="A3" sqref="A3"/>
    </sheetView>
  </sheetViews>
  <sheetFormatPr defaultRowHeight="14.25" x14ac:dyDescent="0.45"/>
  <cols>
    <col min="1" max="1" width="42.3984375" bestFit="1" customWidth="1"/>
    <col min="2" max="2" width="20.73046875" style="326" customWidth="1"/>
    <col min="3" max="5" width="17.73046875" style="326" bestFit="1" customWidth="1"/>
    <col min="6" max="6" width="19" style="326" customWidth="1"/>
    <col min="7" max="7" width="19.3984375" style="326" bestFit="1" customWidth="1"/>
    <col min="8" max="8" width="14.3984375" style="326" bestFit="1" customWidth="1"/>
    <col min="9" max="9" width="17.73046875" style="326" customWidth="1"/>
    <col min="10" max="10" width="27.3984375" style="326" bestFit="1" customWidth="1"/>
    <col min="11" max="11" width="21.73046875" style="326" bestFit="1" customWidth="1"/>
    <col min="12" max="12" width="22.3984375" style="326" bestFit="1" customWidth="1"/>
    <col min="13" max="13" width="24.265625" style="326" customWidth="1"/>
    <col min="14" max="14" width="20" style="326" bestFit="1" customWidth="1"/>
    <col min="15" max="15" width="22" style="326" customWidth="1"/>
    <col min="16" max="16" width="22.3984375" style="326" customWidth="1"/>
    <col min="17" max="17" width="20.73046875" style="326" bestFit="1" customWidth="1"/>
    <col min="18" max="18" width="22.73046875" style="326" bestFit="1" customWidth="1"/>
    <col min="19" max="19" width="18.265625" style="326" bestFit="1" customWidth="1"/>
    <col min="20" max="20" width="19.265625" style="326" bestFit="1" customWidth="1"/>
    <col min="21" max="21" width="25.265625" style="326" bestFit="1" customWidth="1"/>
    <col min="22" max="22" width="18.73046875" style="326" bestFit="1" customWidth="1"/>
    <col min="23" max="23" width="20" style="326" bestFit="1" customWidth="1"/>
    <col min="24" max="24" width="19.3984375" style="326" bestFit="1" customWidth="1"/>
    <col min="25" max="25" width="21.265625" style="326" bestFit="1" customWidth="1"/>
    <col min="26" max="26" width="17.73046875" style="326" bestFit="1" customWidth="1"/>
    <col min="27" max="27" width="18.265625" style="326" bestFit="1" customWidth="1"/>
    <col min="28" max="28" width="21.265625" style="326" bestFit="1" customWidth="1"/>
    <col min="29" max="29" width="22.265625" style="326" bestFit="1" customWidth="1"/>
    <col min="30" max="30" width="18.73046875" style="326" bestFit="1" customWidth="1"/>
    <col min="31" max="31" width="17.265625" style="326" customWidth="1"/>
    <col min="32" max="32" width="17.265625" style="326" bestFit="1" customWidth="1"/>
    <col min="33" max="33" width="13" style="326" bestFit="1" customWidth="1"/>
  </cols>
  <sheetData>
    <row r="1" spans="1:33" ht="20.65" x14ac:dyDescent="0.55000000000000004">
      <c r="A1" s="341" t="s">
        <v>145</v>
      </c>
      <c r="B1" s="392" t="s">
        <v>99</v>
      </c>
      <c r="C1" s="392"/>
      <c r="D1" s="392"/>
      <c r="E1" s="392"/>
      <c r="F1" s="392"/>
      <c r="G1" s="392"/>
      <c r="H1" s="392"/>
      <c r="I1" s="392"/>
      <c r="J1" s="392"/>
      <c r="K1" s="392"/>
      <c r="L1" s="392"/>
      <c r="M1" s="392"/>
      <c r="N1" s="392"/>
      <c r="O1" s="392"/>
      <c r="P1" s="392"/>
      <c r="Q1" s="392"/>
      <c r="R1" s="392"/>
      <c r="S1" s="392"/>
      <c r="T1" s="392"/>
      <c r="U1" s="392"/>
      <c r="V1" s="392"/>
      <c r="W1" s="392"/>
      <c r="X1" s="392"/>
      <c r="Y1" s="392"/>
      <c r="Z1" s="392"/>
      <c r="AA1" s="392"/>
      <c r="AB1" s="392"/>
      <c r="AC1" s="392"/>
      <c r="AD1" s="392"/>
      <c r="AE1" s="392"/>
      <c r="AF1" s="392"/>
      <c r="AG1" s="392"/>
    </row>
    <row r="2" spans="1:33" ht="27" customHeight="1" x14ac:dyDescent="0.45">
      <c r="A2" s="349"/>
      <c r="B2" s="342" t="s">
        <v>108</v>
      </c>
      <c r="C2" s="342" t="s">
        <v>109</v>
      </c>
      <c r="D2" s="342" t="s">
        <v>110</v>
      </c>
      <c r="E2" s="342" t="s">
        <v>111</v>
      </c>
      <c r="F2" s="342" t="s">
        <v>112</v>
      </c>
      <c r="G2" s="342" t="s">
        <v>113</v>
      </c>
      <c r="H2" s="342" t="s">
        <v>114</v>
      </c>
      <c r="I2" s="342" t="s">
        <v>115</v>
      </c>
      <c r="J2" s="342" t="s">
        <v>116</v>
      </c>
      <c r="K2" s="342" t="s">
        <v>34</v>
      </c>
      <c r="L2" s="342" t="s">
        <v>117</v>
      </c>
      <c r="M2" s="343" t="s">
        <v>118</v>
      </c>
      <c r="N2" s="342" t="s">
        <v>119</v>
      </c>
      <c r="O2" s="342" t="s">
        <v>101</v>
      </c>
      <c r="P2" s="342" t="s">
        <v>74</v>
      </c>
      <c r="Q2" s="342" t="s">
        <v>10</v>
      </c>
      <c r="R2" s="342" t="s">
        <v>102</v>
      </c>
      <c r="S2" s="342" t="s">
        <v>103</v>
      </c>
      <c r="T2" s="342" t="s">
        <v>120</v>
      </c>
      <c r="U2" s="342" t="s">
        <v>121</v>
      </c>
      <c r="V2" s="342" t="s">
        <v>122</v>
      </c>
      <c r="W2" s="342" t="s">
        <v>135</v>
      </c>
      <c r="X2" s="342" t="s">
        <v>128</v>
      </c>
      <c r="Y2" s="342" t="s">
        <v>79</v>
      </c>
      <c r="Z2" s="342" t="s">
        <v>129</v>
      </c>
      <c r="AA2" s="342" t="s">
        <v>130</v>
      </c>
      <c r="AB2" s="343" t="s">
        <v>13</v>
      </c>
      <c r="AC2" s="343" t="s">
        <v>131</v>
      </c>
      <c r="AD2" s="343" t="s">
        <v>132</v>
      </c>
      <c r="AE2" s="344" t="s">
        <v>124</v>
      </c>
      <c r="AF2" s="344" t="s">
        <v>125</v>
      </c>
      <c r="AG2" s="344" t="s">
        <v>12</v>
      </c>
    </row>
    <row r="3" spans="1:33" x14ac:dyDescent="0.45">
      <c r="A3" s="350" t="s">
        <v>91</v>
      </c>
      <c r="B3" s="345">
        <f t="shared" ref="B3:AG3" si="0">INDEX(B6:B23,MATCH($A$3,$A$6:$A$23,0))</f>
        <v>67394346</v>
      </c>
      <c r="C3" s="345">
        <f t="shared" si="0"/>
        <v>5868148</v>
      </c>
      <c r="D3" s="345">
        <f t="shared" si="0"/>
        <v>62643923</v>
      </c>
      <c r="E3" s="345">
        <f t="shared" si="0"/>
        <v>1394468</v>
      </c>
      <c r="F3" s="345">
        <f t="shared" si="0"/>
        <v>76267691</v>
      </c>
      <c r="G3" s="345">
        <f t="shared" si="0"/>
        <v>0</v>
      </c>
      <c r="H3" s="345">
        <f t="shared" si="0"/>
        <v>0</v>
      </c>
      <c r="I3" s="345">
        <f t="shared" si="0"/>
        <v>0</v>
      </c>
      <c r="J3" s="345">
        <f t="shared" si="0"/>
        <v>0</v>
      </c>
      <c r="K3" s="345">
        <f t="shared" si="0"/>
        <v>213568575</v>
      </c>
      <c r="L3" s="345">
        <f t="shared" si="0"/>
        <v>210469259.46000001</v>
      </c>
      <c r="M3" s="345">
        <f t="shared" si="0"/>
        <v>-43723261</v>
      </c>
      <c r="N3" s="345">
        <f t="shared" si="0"/>
        <v>166745998.53</v>
      </c>
      <c r="O3" s="345">
        <f t="shared" si="0"/>
        <v>92541482</v>
      </c>
      <c r="P3" s="345">
        <f t="shared" si="0"/>
        <v>92488154</v>
      </c>
      <c r="Q3" s="345">
        <f t="shared" si="0"/>
        <v>35977163.579999998</v>
      </c>
      <c r="R3" s="345">
        <f t="shared" si="0"/>
        <v>23061775.640000001</v>
      </c>
      <c r="S3" s="345">
        <f t="shared" si="0"/>
        <v>607342.41</v>
      </c>
      <c r="T3" s="345">
        <f t="shared" si="0"/>
        <v>15826247.609999999</v>
      </c>
      <c r="U3" s="345">
        <f t="shared" si="0"/>
        <v>20375115.449999999</v>
      </c>
      <c r="V3" s="345">
        <f t="shared" si="0"/>
        <v>4046923.41</v>
      </c>
      <c r="W3" s="345">
        <f t="shared" si="0"/>
        <v>38235872.149999999</v>
      </c>
      <c r="X3" s="345">
        <f t="shared" si="0"/>
        <v>12333450</v>
      </c>
      <c r="Y3" s="345">
        <f t="shared" si="0"/>
        <v>214460830.21000001</v>
      </c>
      <c r="Z3" s="345">
        <f t="shared" si="0"/>
        <v>46343730</v>
      </c>
      <c r="AA3" s="345">
        <f t="shared" si="0"/>
        <v>22609447</v>
      </c>
      <c r="AB3" s="345">
        <f t="shared" si="0"/>
        <v>295747457.16000003</v>
      </c>
      <c r="AC3" s="345">
        <f t="shared" si="0"/>
        <v>183129564</v>
      </c>
      <c r="AD3" s="345">
        <f t="shared" si="0"/>
        <v>14216900</v>
      </c>
      <c r="AE3" s="345">
        <f t="shared" si="0"/>
        <v>123.84</v>
      </c>
      <c r="AF3" s="345">
        <f t="shared" si="0"/>
        <v>28.05</v>
      </c>
      <c r="AG3" s="346">
        <f t="shared" si="0"/>
        <v>7.5745899824959148E-2</v>
      </c>
    </row>
    <row r="4" spans="1:33" x14ac:dyDescent="0.45">
      <c r="A4" s="348"/>
      <c r="B4" s="347"/>
      <c r="C4" s="347"/>
      <c r="D4" s="347"/>
      <c r="E4" s="347"/>
      <c r="F4" s="347"/>
      <c r="G4" s="347"/>
      <c r="H4" s="347"/>
      <c r="I4" s="347"/>
      <c r="J4" s="347"/>
      <c r="K4" s="347"/>
      <c r="L4" s="347"/>
      <c r="M4" s="347"/>
      <c r="N4" s="347"/>
      <c r="O4" s="347"/>
      <c r="P4" s="347"/>
      <c r="Q4" s="347"/>
      <c r="R4" s="347"/>
      <c r="S4" s="347"/>
      <c r="T4" s="347"/>
      <c r="U4" s="347"/>
      <c r="V4" s="347"/>
      <c r="W4" s="347"/>
      <c r="X4" s="347"/>
      <c r="Y4" s="347"/>
      <c r="Z4" s="347"/>
      <c r="AA4" s="347"/>
      <c r="AB4" s="347"/>
      <c r="AC4" s="347"/>
      <c r="AD4" s="347"/>
      <c r="AE4" s="347"/>
      <c r="AF4" s="347"/>
      <c r="AG4" s="347"/>
    </row>
    <row r="5" spans="1:33" s="295" customFormat="1" ht="46.15" customHeight="1" x14ac:dyDescent="0.45">
      <c r="A5" s="332" t="s">
        <v>126</v>
      </c>
      <c r="B5" s="335" t="s">
        <v>108</v>
      </c>
      <c r="C5" s="335" t="s">
        <v>109</v>
      </c>
      <c r="D5" s="335" t="s">
        <v>110</v>
      </c>
      <c r="E5" s="335" t="s">
        <v>111</v>
      </c>
      <c r="F5" s="335" t="s">
        <v>112</v>
      </c>
      <c r="G5" s="335" t="s">
        <v>113</v>
      </c>
      <c r="H5" s="335" t="s">
        <v>114</v>
      </c>
      <c r="I5" s="335" t="s">
        <v>115</v>
      </c>
      <c r="J5" s="335" t="s">
        <v>116</v>
      </c>
      <c r="K5" s="335" t="s">
        <v>34</v>
      </c>
      <c r="L5" s="335" t="s">
        <v>117</v>
      </c>
      <c r="M5" s="336" t="s">
        <v>118</v>
      </c>
      <c r="N5" s="335" t="s">
        <v>119</v>
      </c>
      <c r="O5" s="335" t="s">
        <v>101</v>
      </c>
      <c r="P5" s="335" t="s">
        <v>74</v>
      </c>
      <c r="Q5" s="335" t="s">
        <v>10</v>
      </c>
      <c r="R5" s="335" t="s">
        <v>102</v>
      </c>
      <c r="S5" s="335" t="s">
        <v>103</v>
      </c>
      <c r="T5" s="335" t="s">
        <v>120</v>
      </c>
      <c r="U5" s="335" t="s">
        <v>121</v>
      </c>
      <c r="V5" s="335" t="s">
        <v>122</v>
      </c>
      <c r="W5" s="335" t="s">
        <v>135</v>
      </c>
      <c r="X5" s="335" t="s">
        <v>128</v>
      </c>
      <c r="Y5" s="335" t="s">
        <v>79</v>
      </c>
      <c r="Z5" s="335" t="s">
        <v>129</v>
      </c>
      <c r="AA5" s="335" t="s">
        <v>130</v>
      </c>
      <c r="AB5" s="336" t="s">
        <v>13</v>
      </c>
      <c r="AC5" s="336" t="s">
        <v>131</v>
      </c>
      <c r="AD5" s="336" t="s">
        <v>132</v>
      </c>
      <c r="AE5" s="337" t="s">
        <v>124</v>
      </c>
      <c r="AF5" s="337" t="s">
        <v>125</v>
      </c>
      <c r="AG5" s="337" t="s">
        <v>12</v>
      </c>
    </row>
    <row r="6" spans="1:33" x14ac:dyDescent="0.45">
      <c r="A6" s="333" t="s">
        <v>80</v>
      </c>
      <c r="B6" s="363">
        <v>16544935</v>
      </c>
      <c r="C6" s="363">
        <v>13590971</v>
      </c>
      <c r="D6" s="363">
        <v>812607</v>
      </c>
      <c r="E6" s="363">
        <v>2908879</v>
      </c>
      <c r="F6" s="363">
        <v>4401507</v>
      </c>
      <c r="G6" s="363"/>
      <c r="H6" s="363">
        <v>0</v>
      </c>
      <c r="I6" s="363"/>
      <c r="J6" s="363">
        <v>29129913</v>
      </c>
      <c r="K6" s="363">
        <v>67388812</v>
      </c>
      <c r="L6" s="363">
        <v>63846908</v>
      </c>
      <c r="M6" s="363">
        <v>-17234363</v>
      </c>
      <c r="N6" s="363">
        <v>46612545</v>
      </c>
      <c r="O6" s="363">
        <v>20156332</v>
      </c>
      <c r="P6" s="363">
        <v>20156332</v>
      </c>
      <c r="Q6" s="363">
        <v>26188239</v>
      </c>
      <c r="R6" s="363">
        <v>24125841</v>
      </c>
      <c r="S6" s="363">
        <v>798990</v>
      </c>
      <c r="T6" s="363">
        <v>-23058877</v>
      </c>
      <c r="U6" s="363">
        <v>7839227</v>
      </c>
      <c r="V6" s="363">
        <v>1230933</v>
      </c>
      <c r="W6" s="363">
        <v>-13988717</v>
      </c>
      <c r="X6" s="363">
        <v>6815601</v>
      </c>
      <c r="Y6" s="363">
        <v>85574866.799999997</v>
      </c>
      <c r="Z6" s="363">
        <v>6178774</v>
      </c>
      <c r="AA6" s="363">
        <v>10800968</v>
      </c>
      <c r="AB6" s="363">
        <v>109370209.8</v>
      </c>
      <c r="AC6" s="363">
        <v>66942333</v>
      </c>
      <c r="AD6" s="363">
        <v>25807591</v>
      </c>
      <c r="AE6" s="365">
        <v>138.02000000000001</v>
      </c>
      <c r="AF6" s="365">
        <v>78.8</v>
      </c>
      <c r="AG6" s="364">
        <f>K6/$K$23</f>
        <v>2.3900642700242791E-2</v>
      </c>
    </row>
    <row r="7" spans="1:33" x14ac:dyDescent="0.45">
      <c r="A7" s="333" t="s">
        <v>16</v>
      </c>
      <c r="B7" s="363">
        <v>15810625</v>
      </c>
      <c r="C7" s="363">
        <v>2375258</v>
      </c>
      <c r="D7" s="363">
        <v>186327</v>
      </c>
      <c r="E7" s="363">
        <v>1500105</v>
      </c>
      <c r="F7" s="363">
        <v>3539818</v>
      </c>
      <c r="G7" s="363"/>
      <c r="H7" s="363"/>
      <c r="I7" s="363"/>
      <c r="J7" s="363"/>
      <c r="K7" s="363">
        <v>23412133</v>
      </c>
      <c r="L7" s="363">
        <v>23312485</v>
      </c>
      <c r="M7" s="363">
        <v>-6555397</v>
      </c>
      <c r="N7" s="363">
        <v>16757088</v>
      </c>
      <c r="O7" s="363">
        <v>10368433</v>
      </c>
      <c r="P7" s="363">
        <v>10349561</v>
      </c>
      <c r="Q7" s="363">
        <v>13276535</v>
      </c>
      <c r="R7" s="363">
        <v>2454823</v>
      </c>
      <c r="S7" s="363">
        <v>78193</v>
      </c>
      <c r="T7" s="363">
        <v>-9245638</v>
      </c>
      <c r="U7" s="363">
        <v>6535760</v>
      </c>
      <c r="V7" s="363">
        <v>3266361</v>
      </c>
      <c r="W7" s="363">
        <v>452573</v>
      </c>
      <c r="X7" s="363">
        <v>1412570</v>
      </c>
      <c r="Y7" s="363">
        <v>195902636</v>
      </c>
      <c r="Z7" s="363">
        <v>3707967</v>
      </c>
      <c r="AA7" s="363">
        <v>5776007</v>
      </c>
      <c r="AB7" s="363">
        <v>206799180</v>
      </c>
      <c r="AC7" s="363">
        <v>76902015</v>
      </c>
      <c r="AD7" s="363">
        <v>26309828</v>
      </c>
      <c r="AE7" s="365">
        <v>256.58</v>
      </c>
      <c r="AF7" s="365">
        <v>67.48</v>
      </c>
      <c r="AG7" s="364">
        <f>K7/$K$23</f>
        <v>8.3035300530830448E-3</v>
      </c>
    </row>
    <row r="8" spans="1:33" x14ac:dyDescent="0.45">
      <c r="A8" s="333" t="s">
        <v>17</v>
      </c>
      <c r="B8" s="363">
        <v>301271886</v>
      </c>
      <c r="C8" s="363">
        <v>36966738</v>
      </c>
      <c r="D8" s="363">
        <v>37011793</v>
      </c>
      <c r="E8" s="363">
        <v>18114625</v>
      </c>
      <c r="F8" s="363">
        <v>242432954</v>
      </c>
      <c r="G8" s="363"/>
      <c r="H8" s="363"/>
      <c r="I8" s="363"/>
      <c r="J8" s="363">
        <v>12031026</v>
      </c>
      <c r="K8" s="363">
        <v>647829022.8499999</v>
      </c>
      <c r="L8" s="363">
        <v>627176782.42999995</v>
      </c>
      <c r="M8" s="363">
        <v>-200026287</v>
      </c>
      <c r="N8" s="363">
        <v>427150495.60000002</v>
      </c>
      <c r="O8" s="363">
        <v>310912315</v>
      </c>
      <c r="P8" s="363">
        <v>310693327</v>
      </c>
      <c r="Q8" s="363">
        <v>102386564.67</v>
      </c>
      <c r="R8" s="363">
        <v>104494273.02</v>
      </c>
      <c r="S8" s="363"/>
      <c r="T8" s="363">
        <v>-90423669.260000005</v>
      </c>
      <c r="U8" s="363">
        <v>168112992.97999999</v>
      </c>
      <c r="V8" s="363">
        <v>10587330.65</v>
      </c>
      <c r="W8" s="363">
        <v>83862821.629999995</v>
      </c>
      <c r="X8" s="363">
        <v>146051930</v>
      </c>
      <c r="Y8" s="363">
        <v>1311666528.8199999</v>
      </c>
      <c r="Z8" s="363">
        <v>29789474</v>
      </c>
      <c r="AA8" s="363">
        <v>47877750</v>
      </c>
      <c r="AB8" s="363">
        <v>1535385682.6099999</v>
      </c>
      <c r="AC8" s="363">
        <v>1068592548.8200001</v>
      </c>
      <c r="AD8" s="363">
        <v>121453918</v>
      </c>
      <c r="AE8" s="365">
        <v>136.41</v>
      </c>
      <c r="AF8" s="365">
        <v>32.99</v>
      </c>
      <c r="AG8" s="364">
        <f>K8/$K$23</f>
        <v>0.22976410395816549</v>
      </c>
    </row>
    <row r="9" spans="1:33" x14ac:dyDescent="0.45">
      <c r="A9" s="333" t="s">
        <v>53</v>
      </c>
      <c r="B9" s="363"/>
      <c r="C9" s="363"/>
      <c r="D9" s="363">
        <v>2478532</v>
      </c>
      <c r="E9" s="363"/>
      <c r="F9" s="363"/>
      <c r="G9" s="363"/>
      <c r="H9" s="363"/>
      <c r="I9" s="363"/>
      <c r="J9" s="363"/>
      <c r="K9" s="363">
        <v>2478532.14</v>
      </c>
      <c r="L9" s="363">
        <v>2230708.08</v>
      </c>
      <c r="M9" s="363"/>
      <c r="N9" s="363">
        <v>2230708.08</v>
      </c>
      <c r="O9" s="363">
        <v>238010</v>
      </c>
      <c r="P9" s="363">
        <v>238010</v>
      </c>
      <c r="Q9" s="363">
        <v>7287819.9199999999</v>
      </c>
      <c r="R9" s="363">
        <v>185728.54</v>
      </c>
      <c r="S9" s="363"/>
      <c r="T9" s="363">
        <v>-5480850.4199999999</v>
      </c>
      <c r="U9" s="363">
        <v>753818.4</v>
      </c>
      <c r="V9" s="363">
        <v>412978.01</v>
      </c>
      <c r="W9" s="363">
        <v>-4314054.01</v>
      </c>
      <c r="X9" s="363">
        <v>883252</v>
      </c>
      <c r="Y9" s="363">
        <v>6363897</v>
      </c>
      <c r="Z9" s="363">
        <v>9144759</v>
      </c>
      <c r="AA9" s="363">
        <v>3748688</v>
      </c>
      <c r="AB9" s="363">
        <v>20767815.239999998</v>
      </c>
      <c r="AC9" s="363">
        <v>7892941.04</v>
      </c>
      <c r="AD9" s="363">
        <v>6543094</v>
      </c>
      <c r="AE9" s="365">
        <v>91.82</v>
      </c>
      <c r="AF9" s="365">
        <v>335.03</v>
      </c>
      <c r="AG9" s="364">
        <f>K9/$K$23</f>
        <v>8.7905557823467998E-4</v>
      </c>
    </row>
    <row r="10" spans="1:33" x14ac:dyDescent="0.45">
      <c r="A10" s="333" t="s">
        <v>20</v>
      </c>
      <c r="B10" s="363">
        <v>112868879</v>
      </c>
      <c r="C10" s="363">
        <v>65742280</v>
      </c>
      <c r="D10" s="363">
        <v>5891888</v>
      </c>
      <c r="E10" s="363">
        <v>6469034</v>
      </c>
      <c r="F10" s="363">
        <v>8648421</v>
      </c>
      <c r="G10" s="363">
        <v>325872</v>
      </c>
      <c r="H10" s="363"/>
      <c r="I10" s="363"/>
      <c r="J10" s="363"/>
      <c r="K10" s="363">
        <v>199946373.50999999</v>
      </c>
      <c r="L10" s="363">
        <v>196567117.53999999</v>
      </c>
      <c r="M10" s="363">
        <v>-30592942</v>
      </c>
      <c r="N10" s="363">
        <v>165974175.97999999</v>
      </c>
      <c r="O10" s="363">
        <v>109489119</v>
      </c>
      <c r="P10" s="363">
        <v>109489119</v>
      </c>
      <c r="Q10" s="363">
        <v>36248885.170000002</v>
      </c>
      <c r="R10" s="363">
        <v>12829438.529999999</v>
      </c>
      <c r="S10" s="363">
        <v>411862.62</v>
      </c>
      <c r="T10" s="363">
        <v>7818595.6500000004</v>
      </c>
      <c r="U10" s="363">
        <v>18068355.59</v>
      </c>
      <c r="V10" s="363">
        <v>1846988.74</v>
      </c>
      <c r="W10" s="363">
        <v>27733939.98</v>
      </c>
      <c r="X10" s="363">
        <v>47704906</v>
      </c>
      <c r="Y10" s="363">
        <v>475094973.49000001</v>
      </c>
      <c r="Z10" s="363">
        <v>47706193</v>
      </c>
      <c r="AA10" s="363">
        <v>12536060</v>
      </c>
      <c r="AB10" s="363">
        <v>583042132.54999995</v>
      </c>
      <c r="AC10" s="363">
        <v>263466254</v>
      </c>
      <c r="AD10" s="363">
        <v>60761660</v>
      </c>
      <c r="AE10" s="365">
        <v>198.43</v>
      </c>
      <c r="AF10" s="365">
        <v>24.97</v>
      </c>
      <c r="AG10" s="364">
        <f>K10/$K$23</f>
        <v>7.0914543388475221E-2</v>
      </c>
    </row>
    <row r="11" spans="1:33" x14ac:dyDescent="0.45">
      <c r="A11" s="333" t="s">
        <v>47</v>
      </c>
      <c r="B11" s="363"/>
      <c r="C11" s="363"/>
      <c r="D11" s="363"/>
      <c r="E11" s="363"/>
      <c r="F11" s="363"/>
      <c r="G11" s="363"/>
      <c r="H11" s="363"/>
      <c r="I11" s="363"/>
      <c r="J11" s="363"/>
      <c r="K11" s="363">
        <v>0</v>
      </c>
      <c r="L11" s="363"/>
      <c r="M11" s="363"/>
      <c r="N11" s="363"/>
      <c r="O11" s="363"/>
      <c r="P11" s="363"/>
      <c r="Q11" s="363"/>
      <c r="R11" s="363"/>
      <c r="S11" s="363"/>
      <c r="T11" s="363"/>
      <c r="U11" s="363"/>
      <c r="V11" s="363"/>
      <c r="W11" s="363"/>
      <c r="X11" s="363"/>
      <c r="Y11" s="363"/>
      <c r="Z11" s="363"/>
      <c r="AA11" s="363"/>
      <c r="AB11" s="363"/>
      <c r="AC11" s="363"/>
      <c r="AD11" s="363"/>
      <c r="AE11" s="365"/>
      <c r="AF11" s="365"/>
      <c r="AG11" s="364"/>
    </row>
    <row r="12" spans="1:33" x14ac:dyDescent="0.45">
      <c r="A12" s="333" t="s">
        <v>64</v>
      </c>
      <c r="B12" s="363">
        <v>7143573</v>
      </c>
      <c r="C12" s="363">
        <v>14249919</v>
      </c>
      <c r="D12" s="363"/>
      <c r="E12" s="363">
        <v>3012087</v>
      </c>
      <c r="F12" s="363">
        <v>9362297</v>
      </c>
      <c r="G12" s="363"/>
      <c r="H12" s="363"/>
      <c r="I12" s="363"/>
      <c r="J12" s="363">
        <v>1357050</v>
      </c>
      <c r="K12" s="363">
        <v>35124925.350000001</v>
      </c>
      <c r="L12" s="363">
        <v>26870364.600000001</v>
      </c>
      <c r="M12" s="363">
        <v>-5697109</v>
      </c>
      <c r="N12" s="363">
        <v>21173255.809999999</v>
      </c>
      <c r="O12" s="363">
        <v>6055029</v>
      </c>
      <c r="P12" s="363">
        <v>6055029</v>
      </c>
      <c r="Q12" s="363">
        <v>18437857.100000001</v>
      </c>
      <c r="R12" s="363">
        <v>4953480.3499999996</v>
      </c>
      <c r="S12" s="363"/>
      <c r="T12" s="363">
        <v>-8273110.21</v>
      </c>
      <c r="U12" s="363">
        <v>5739995.5099999998</v>
      </c>
      <c r="V12" s="363">
        <v>7730948.7300000004</v>
      </c>
      <c r="W12" s="363">
        <v>5032534.03</v>
      </c>
      <c r="X12" s="363">
        <v>33726716</v>
      </c>
      <c r="Y12" s="363">
        <v>69938426.900000006</v>
      </c>
      <c r="Z12" s="363">
        <v>8012972</v>
      </c>
      <c r="AA12" s="363">
        <v>756333</v>
      </c>
      <c r="AB12" s="363">
        <v>115791566.81</v>
      </c>
      <c r="AC12" s="363">
        <v>18102458</v>
      </c>
      <c r="AD12" s="363">
        <v>34133042</v>
      </c>
      <c r="AE12" s="365">
        <v>572.66</v>
      </c>
      <c r="AF12" s="365">
        <v>87.05</v>
      </c>
      <c r="AG12" s="364">
        <f t="shared" ref="AG12:AG22" si="1">K12/$K$23</f>
        <v>1.2457680522147362E-2</v>
      </c>
    </row>
    <row r="13" spans="1:33" x14ac:dyDescent="0.45">
      <c r="A13" s="333" t="s">
        <v>144</v>
      </c>
      <c r="B13" s="363">
        <v>36242792</v>
      </c>
      <c r="C13" s="363">
        <v>8824788</v>
      </c>
      <c r="D13" s="363"/>
      <c r="E13" s="363">
        <v>2431989</v>
      </c>
      <c r="F13" s="363"/>
      <c r="G13" s="363"/>
      <c r="H13" s="363"/>
      <c r="I13" s="363"/>
      <c r="J13" s="363"/>
      <c r="K13" s="363">
        <v>47499569</v>
      </c>
      <c r="L13" s="363">
        <v>43846487</v>
      </c>
      <c r="M13" s="363">
        <v>-12300000</v>
      </c>
      <c r="N13" s="363">
        <v>31546487</v>
      </c>
      <c r="O13" s="363">
        <v>39785480</v>
      </c>
      <c r="P13" s="363">
        <v>38375272</v>
      </c>
      <c r="Q13" s="363">
        <v>24108058.920000002</v>
      </c>
      <c r="R13" s="363">
        <v>5666198</v>
      </c>
      <c r="S13" s="363">
        <v>1068091</v>
      </c>
      <c r="T13" s="363">
        <v>-35534950.920000002</v>
      </c>
      <c r="U13" s="363">
        <v>6493565</v>
      </c>
      <c r="V13" s="363">
        <v>20800783</v>
      </c>
      <c r="W13" s="363">
        <v>-8240602.9199999999</v>
      </c>
      <c r="X13" s="363">
        <v>42657102</v>
      </c>
      <c r="Y13" s="363">
        <v>49072913</v>
      </c>
      <c r="Z13" s="363">
        <v>2689448</v>
      </c>
      <c r="AA13" s="363">
        <v>4590433</v>
      </c>
      <c r="AB13" s="363">
        <v>101107357</v>
      </c>
      <c r="AC13" s="363">
        <v>61459323</v>
      </c>
      <c r="AD13" s="363">
        <v>10165834</v>
      </c>
      <c r="AE13" s="365">
        <v>149.25</v>
      </c>
      <c r="AF13" s="365">
        <v>67.91</v>
      </c>
      <c r="AG13" s="364">
        <f t="shared" si="1"/>
        <v>1.6846568345566453E-2</v>
      </c>
    </row>
    <row r="14" spans="1:33" x14ac:dyDescent="0.45">
      <c r="A14" s="333" t="s">
        <v>21</v>
      </c>
      <c r="B14" s="363">
        <v>40344861</v>
      </c>
      <c r="C14" s="363">
        <v>8753837</v>
      </c>
      <c r="D14" s="363"/>
      <c r="E14" s="363">
        <v>4403979</v>
      </c>
      <c r="F14" s="363">
        <v>7540990</v>
      </c>
      <c r="G14" s="363"/>
      <c r="H14" s="363"/>
      <c r="I14" s="363"/>
      <c r="J14" s="363">
        <v>0</v>
      </c>
      <c r="K14" s="363">
        <v>61043667</v>
      </c>
      <c r="L14" s="363">
        <v>58574818</v>
      </c>
      <c r="M14" s="363">
        <v>-41552147</v>
      </c>
      <c r="N14" s="363">
        <v>17022671</v>
      </c>
      <c r="O14" s="363">
        <v>34087304</v>
      </c>
      <c r="P14" s="363">
        <v>33835726</v>
      </c>
      <c r="Q14" s="363">
        <v>14043799</v>
      </c>
      <c r="R14" s="363">
        <v>13052296</v>
      </c>
      <c r="S14" s="363">
        <v>848208</v>
      </c>
      <c r="T14" s="363">
        <v>-43060942</v>
      </c>
      <c r="U14" s="363">
        <v>32889110</v>
      </c>
      <c r="V14" s="363">
        <v>2789025</v>
      </c>
      <c r="W14" s="363">
        <v>-7609404</v>
      </c>
      <c r="X14" s="363">
        <v>19971784</v>
      </c>
      <c r="Y14" s="363">
        <v>236507376.12</v>
      </c>
      <c r="Z14" s="363">
        <v>3883925</v>
      </c>
      <c r="AA14" s="363">
        <v>8693137</v>
      </c>
      <c r="AB14" s="363">
        <v>269132816.76999998</v>
      </c>
      <c r="AC14" s="363">
        <v>209377177</v>
      </c>
      <c r="AD14" s="363">
        <v>22586745</v>
      </c>
      <c r="AE14" s="365">
        <v>122.5</v>
      </c>
      <c r="AF14" s="365">
        <v>46.26</v>
      </c>
      <c r="AG14" s="364">
        <f t="shared" si="1"/>
        <v>2.1650223987916595E-2</v>
      </c>
    </row>
    <row r="15" spans="1:33" x14ac:dyDescent="0.45">
      <c r="A15" s="333" t="s">
        <v>91</v>
      </c>
      <c r="B15" s="363">
        <v>67394346</v>
      </c>
      <c r="C15" s="363">
        <v>5868148</v>
      </c>
      <c r="D15" s="363">
        <v>62643923</v>
      </c>
      <c r="E15" s="363">
        <v>1394468</v>
      </c>
      <c r="F15" s="363">
        <v>76267691</v>
      </c>
      <c r="G15" s="363"/>
      <c r="H15" s="363"/>
      <c r="I15" s="363"/>
      <c r="J15" s="363"/>
      <c r="K15" s="363">
        <v>213568575</v>
      </c>
      <c r="L15" s="363">
        <v>210469259.46000001</v>
      </c>
      <c r="M15" s="363">
        <v>-43723261</v>
      </c>
      <c r="N15" s="363">
        <v>166745998.53</v>
      </c>
      <c r="O15" s="363">
        <v>92541482</v>
      </c>
      <c r="P15" s="363">
        <v>92488154</v>
      </c>
      <c r="Q15" s="363">
        <v>35977163.579999998</v>
      </c>
      <c r="R15" s="363">
        <v>23061775.640000001</v>
      </c>
      <c r="S15" s="363">
        <v>607342.41</v>
      </c>
      <c r="T15" s="363">
        <v>15826247.609999999</v>
      </c>
      <c r="U15" s="363">
        <v>20375115.449999999</v>
      </c>
      <c r="V15" s="363">
        <v>4046923.41</v>
      </c>
      <c r="W15" s="363">
        <v>38235872.149999999</v>
      </c>
      <c r="X15" s="363">
        <v>12333450</v>
      </c>
      <c r="Y15" s="363">
        <v>214460830.21000001</v>
      </c>
      <c r="Z15" s="363">
        <v>46343730</v>
      </c>
      <c r="AA15" s="363">
        <v>22609447</v>
      </c>
      <c r="AB15" s="363">
        <v>295747457.16000003</v>
      </c>
      <c r="AC15" s="363">
        <v>183129564</v>
      </c>
      <c r="AD15" s="363">
        <v>14216900</v>
      </c>
      <c r="AE15" s="365">
        <v>123.84</v>
      </c>
      <c r="AF15" s="365">
        <v>28.05</v>
      </c>
      <c r="AG15" s="364">
        <f t="shared" si="1"/>
        <v>7.5745899824959148E-2</v>
      </c>
    </row>
    <row r="16" spans="1:33" x14ac:dyDescent="0.45">
      <c r="A16" s="333" t="s">
        <v>22</v>
      </c>
      <c r="B16" s="363">
        <v>65132979</v>
      </c>
      <c r="C16" s="363">
        <v>44441814</v>
      </c>
      <c r="D16" s="363">
        <v>20452</v>
      </c>
      <c r="E16" s="363">
        <v>2461630</v>
      </c>
      <c r="F16" s="363">
        <v>7291957</v>
      </c>
      <c r="G16" s="363"/>
      <c r="H16" s="363">
        <v>292194</v>
      </c>
      <c r="I16" s="363">
        <v>12424.031720638275</v>
      </c>
      <c r="J16" s="363">
        <v>3161994</v>
      </c>
      <c r="K16" s="363">
        <v>122815444.21000001</v>
      </c>
      <c r="L16" s="363">
        <v>104674318.68000001</v>
      </c>
      <c r="M16" s="363">
        <v>-83462963</v>
      </c>
      <c r="N16" s="363">
        <v>21211356.18</v>
      </c>
      <c r="O16" s="363">
        <v>62229082</v>
      </c>
      <c r="P16" s="363">
        <v>56657952</v>
      </c>
      <c r="Q16" s="363">
        <v>50072330.539999999</v>
      </c>
      <c r="R16" s="363">
        <v>12002562.1</v>
      </c>
      <c r="S16" s="363">
        <v>13120.57</v>
      </c>
      <c r="T16" s="363">
        <v>-97508368.180000007</v>
      </c>
      <c r="U16" s="363">
        <v>54833548.32</v>
      </c>
      <c r="V16" s="363">
        <v>25328620.719999999</v>
      </c>
      <c r="W16" s="363">
        <v>-17346199.140000001</v>
      </c>
      <c r="X16" s="363">
        <v>36247056</v>
      </c>
      <c r="Y16" s="363">
        <v>431105655.99000001</v>
      </c>
      <c r="Z16" s="363">
        <v>26341591</v>
      </c>
      <c r="AA16" s="363">
        <v>15023868</v>
      </c>
      <c r="AB16" s="363">
        <v>508718169.92000002</v>
      </c>
      <c r="AC16" s="363">
        <v>401708870.43000001</v>
      </c>
      <c r="AD16" s="363">
        <v>43219604</v>
      </c>
      <c r="AE16" s="365">
        <v>116.34</v>
      </c>
      <c r="AF16" s="365">
        <v>59.3</v>
      </c>
      <c r="AG16" s="364">
        <f t="shared" si="1"/>
        <v>4.3558685233014822E-2</v>
      </c>
    </row>
    <row r="17" spans="1:33" x14ac:dyDescent="0.45">
      <c r="A17" s="333" t="s">
        <v>24</v>
      </c>
      <c r="B17" s="363">
        <v>149841593</v>
      </c>
      <c r="C17" s="363">
        <v>16044265</v>
      </c>
      <c r="D17" s="363">
        <v>28516522</v>
      </c>
      <c r="E17" s="363">
        <v>4915468</v>
      </c>
      <c r="F17" s="363">
        <v>94823417</v>
      </c>
      <c r="G17" s="363"/>
      <c r="H17" s="363"/>
      <c r="I17" s="363"/>
      <c r="J17" s="363">
        <v>4552391</v>
      </c>
      <c r="K17" s="363">
        <v>298693657</v>
      </c>
      <c r="L17" s="363">
        <v>290910390</v>
      </c>
      <c r="M17" s="363">
        <v>-129394263</v>
      </c>
      <c r="N17" s="363">
        <v>161516127.46000001</v>
      </c>
      <c r="O17" s="363">
        <v>72765192</v>
      </c>
      <c r="P17" s="363">
        <v>72765192</v>
      </c>
      <c r="Q17" s="363">
        <v>57159741.640000001</v>
      </c>
      <c r="R17" s="363">
        <v>53770875</v>
      </c>
      <c r="S17" s="363">
        <v>1168532</v>
      </c>
      <c r="T17" s="363">
        <v>-21011149.18</v>
      </c>
      <c r="U17" s="363">
        <v>48199930</v>
      </c>
      <c r="V17" s="363">
        <v>-227929.87</v>
      </c>
      <c r="W17" s="363">
        <v>25612808.329999998</v>
      </c>
      <c r="X17" s="363">
        <v>72051676</v>
      </c>
      <c r="Y17" s="363">
        <v>484292884.30000001</v>
      </c>
      <c r="Z17" s="363">
        <v>17170484</v>
      </c>
      <c r="AA17" s="363">
        <v>25487990</v>
      </c>
      <c r="AB17" s="363">
        <v>619664242.04999995</v>
      </c>
      <c r="AC17" s="363">
        <v>418766984.94999999</v>
      </c>
      <c r="AD17" s="363">
        <v>86396898</v>
      </c>
      <c r="AE17" s="365">
        <v>132.85</v>
      </c>
      <c r="AF17" s="365">
        <v>38.130000000000003</v>
      </c>
      <c r="AG17" s="364">
        <f t="shared" si="1"/>
        <v>0.10593702665044567</v>
      </c>
    </row>
    <row r="18" spans="1:33" x14ac:dyDescent="0.45">
      <c r="A18" s="333" t="s">
        <v>25</v>
      </c>
      <c r="B18" s="363">
        <v>8661051</v>
      </c>
      <c r="C18" s="363">
        <v>500089</v>
      </c>
      <c r="D18" s="363"/>
      <c r="E18" s="363">
        <v>1656234</v>
      </c>
      <c r="F18" s="363">
        <v>641933</v>
      </c>
      <c r="G18" s="363"/>
      <c r="H18" s="363"/>
      <c r="I18" s="363"/>
      <c r="J18" s="363">
        <v>12738769</v>
      </c>
      <c r="K18" s="363">
        <v>24198076</v>
      </c>
      <c r="L18" s="363">
        <v>24136811</v>
      </c>
      <c r="M18" s="363">
        <v>-8206516</v>
      </c>
      <c r="N18" s="363">
        <v>15930295</v>
      </c>
      <c r="O18" s="363">
        <v>18175304</v>
      </c>
      <c r="P18" s="363">
        <v>18175304</v>
      </c>
      <c r="Q18" s="363">
        <v>8464930</v>
      </c>
      <c r="R18" s="363">
        <v>499079</v>
      </c>
      <c r="S18" s="363"/>
      <c r="T18" s="363">
        <v>-11209018</v>
      </c>
      <c r="U18" s="363">
        <v>10281985</v>
      </c>
      <c r="V18" s="363">
        <v>1204300</v>
      </c>
      <c r="W18" s="363">
        <v>277267</v>
      </c>
      <c r="X18" s="363">
        <v>3698313</v>
      </c>
      <c r="Y18" s="363">
        <v>117860288</v>
      </c>
      <c r="Z18" s="363">
        <v>8623136</v>
      </c>
      <c r="AA18" s="363">
        <v>2822045</v>
      </c>
      <c r="AB18" s="363">
        <v>133217694</v>
      </c>
      <c r="AC18" s="363">
        <v>74161124</v>
      </c>
      <c r="AD18" s="363">
        <v>1118649</v>
      </c>
      <c r="AE18" s="365">
        <v>163.91</v>
      </c>
      <c r="AF18" s="365">
        <v>37.14</v>
      </c>
      <c r="AG18" s="364">
        <f t="shared" si="1"/>
        <v>8.5822787395231168E-3</v>
      </c>
    </row>
    <row r="19" spans="1:33" x14ac:dyDescent="0.45">
      <c r="A19" s="333" t="s">
        <v>141</v>
      </c>
      <c r="B19" s="363">
        <v>3474377</v>
      </c>
      <c r="C19" s="363">
        <v>11461327</v>
      </c>
      <c r="D19" s="363">
        <v>345869</v>
      </c>
      <c r="E19" s="363">
        <v>21492164</v>
      </c>
      <c r="F19" s="363">
        <v>2696799</v>
      </c>
      <c r="G19" s="363"/>
      <c r="H19" s="363"/>
      <c r="I19" s="363"/>
      <c r="J19" s="363">
        <v>44608506</v>
      </c>
      <c r="K19" s="363">
        <v>84079042</v>
      </c>
      <c r="L19" s="363">
        <v>71100141</v>
      </c>
      <c r="M19" s="363">
        <v>-2864513</v>
      </c>
      <c r="N19" s="363">
        <v>68235628</v>
      </c>
      <c r="O19" s="363">
        <v>13547410</v>
      </c>
      <c r="P19" s="363">
        <v>11081434</v>
      </c>
      <c r="Q19" s="363">
        <v>17035600</v>
      </c>
      <c r="R19" s="363">
        <v>46520259</v>
      </c>
      <c r="S19" s="363"/>
      <c r="T19" s="363">
        <v>-6401665</v>
      </c>
      <c r="U19" s="363">
        <v>8139216</v>
      </c>
      <c r="V19" s="363">
        <v>771819.93</v>
      </c>
      <c r="W19" s="363">
        <v>2383901.9300000002</v>
      </c>
      <c r="X19" s="363">
        <v>1321296</v>
      </c>
      <c r="Y19" s="363">
        <v>68959586.340000004</v>
      </c>
      <c r="Z19" s="363">
        <v>15332224</v>
      </c>
      <c r="AA19" s="363">
        <v>4554743</v>
      </c>
      <c r="AB19" s="363">
        <v>91528045.819999993</v>
      </c>
      <c r="AC19" s="363">
        <v>10543442.380000001</v>
      </c>
      <c r="AD19" s="363">
        <v>27835911</v>
      </c>
      <c r="AE19" s="365">
        <v>666.58</v>
      </c>
      <c r="AF19" s="365">
        <v>89.39</v>
      </c>
      <c r="AG19" s="364">
        <f>K19/$K$23</f>
        <v>2.9820130104396363E-2</v>
      </c>
    </row>
    <row r="20" spans="1:33" x14ac:dyDescent="0.45">
      <c r="A20" s="333" t="s">
        <v>27</v>
      </c>
      <c r="B20" s="363">
        <v>423547446</v>
      </c>
      <c r="C20" s="363">
        <v>27461192</v>
      </c>
      <c r="D20" s="363">
        <v>48199</v>
      </c>
      <c r="E20" s="363">
        <v>3825804</v>
      </c>
      <c r="F20" s="363">
        <v>29429439</v>
      </c>
      <c r="G20" s="363"/>
      <c r="H20" s="363"/>
      <c r="I20" s="363"/>
      <c r="J20" s="363"/>
      <c r="K20" s="363">
        <v>484312081.25999999</v>
      </c>
      <c r="L20" s="363">
        <v>478291076.37</v>
      </c>
      <c r="M20" s="363">
        <v>-113672723</v>
      </c>
      <c r="N20" s="363">
        <v>364618353.66000003</v>
      </c>
      <c r="O20" s="363">
        <v>339890545</v>
      </c>
      <c r="P20" s="363">
        <v>338622156</v>
      </c>
      <c r="Q20" s="363">
        <v>85994637.579999998</v>
      </c>
      <c r="R20" s="363">
        <v>25818221.800000001</v>
      </c>
      <c r="S20" s="363">
        <v>1697190.8</v>
      </c>
      <c r="T20" s="363">
        <v>-84119470.540000007</v>
      </c>
      <c r="U20" s="363">
        <v>78828697.349999994</v>
      </c>
      <c r="V20" s="363">
        <v>2380316.21</v>
      </c>
      <c r="W20" s="363">
        <v>-2910456.98</v>
      </c>
      <c r="X20" s="363">
        <v>6944869</v>
      </c>
      <c r="Y20" s="363">
        <v>967316547.92999995</v>
      </c>
      <c r="Z20" s="363">
        <v>152202521</v>
      </c>
      <c r="AA20" s="363">
        <v>74064618</v>
      </c>
      <c r="AB20" s="363">
        <v>1200528556.4200001</v>
      </c>
      <c r="AC20" s="363">
        <v>915855965.5</v>
      </c>
      <c r="AD20" s="363">
        <v>87529151</v>
      </c>
      <c r="AE20" s="365">
        <v>106.38</v>
      </c>
      <c r="AF20" s="365">
        <v>23.38</v>
      </c>
      <c r="AG20" s="364">
        <f t="shared" si="1"/>
        <v>0.17176990758653249</v>
      </c>
    </row>
    <row r="21" spans="1:33" x14ac:dyDescent="0.45">
      <c r="A21" s="333" t="s">
        <v>28</v>
      </c>
      <c r="B21" s="363">
        <v>21328947</v>
      </c>
      <c r="C21" s="363">
        <v>27167780</v>
      </c>
      <c r="D21" s="363">
        <v>77394297</v>
      </c>
      <c r="E21" s="363">
        <v>7643101</v>
      </c>
      <c r="F21" s="363">
        <v>361432297</v>
      </c>
      <c r="G21" s="363"/>
      <c r="H21" s="363"/>
      <c r="I21" s="363"/>
      <c r="J21" s="363"/>
      <c r="K21" s="363">
        <v>494966422</v>
      </c>
      <c r="L21" s="363">
        <v>486589692</v>
      </c>
      <c r="M21" s="363">
        <v>-173142376</v>
      </c>
      <c r="N21" s="363">
        <v>313447316</v>
      </c>
      <c r="O21" s="363">
        <v>235873755</v>
      </c>
      <c r="P21" s="363">
        <v>235873755</v>
      </c>
      <c r="Q21" s="363">
        <v>64373426</v>
      </c>
      <c r="R21" s="363">
        <v>60222195</v>
      </c>
      <c r="S21" s="363">
        <v>2296141</v>
      </c>
      <c r="T21" s="363">
        <v>-44725919</v>
      </c>
      <c r="U21" s="363">
        <v>81819219</v>
      </c>
      <c r="V21" s="363">
        <v>24368414</v>
      </c>
      <c r="W21" s="363">
        <v>56230814</v>
      </c>
      <c r="X21" s="363">
        <v>41072314</v>
      </c>
      <c r="Y21" s="363">
        <v>1633877176</v>
      </c>
      <c r="Z21" s="363">
        <v>144996528</v>
      </c>
      <c r="AA21" s="363">
        <v>59523361</v>
      </c>
      <c r="AB21" s="363">
        <v>1879669099.0599999</v>
      </c>
      <c r="AC21" s="363">
        <v>1126215778</v>
      </c>
      <c r="AD21" s="363">
        <v>145787571</v>
      </c>
      <c r="AE21" s="365">
        <v>148.72</v>
      </c>
      <c r="AF21" s="365">
        <v>25.61</v>
      </c>
      <c r="AG21" s="364">
        <f t="shared" si="1"/>
        <v>0.17554865933590863</v>
      </c>
    </row>
    <row r="22" spans="1:33" x14ac:dyDescent="0.45">
      <c r="A22" s="333" t="s">
        <v>31</v>
      </c>
      <c r="B22" s="363">
        <v>3314181</v>
      </c>
      <c r="C22" s="363">
        <v>5572306</v>
      </c>
      <c r="D22" s="363">
        <v>924820</v>
      </c>
      <c r="E22" s="363">
        <v>68848</v>
      </c>
      <c r="F22" s="363">
        <v>2303257</v>
      </c>
      <c r="G22" s="363"/>
      <c r="H22" s="363"/>
      <c r="I22" s="363"/>
      <c r="J22" s="363"/>
      <c r="K22" s="363">
        <v>12183411.66</v>
      </c>
      <c r="L22" s="363">
        <v>10355411.619999999</v>
      </c>
      <c r="M22" s="363">
        <v>-122522</v>
      </c>
      <c r="N22" s="363">
        <v>10232890.02</v>
      </c>
      <c r="O22" s="363">
        <v>4502107</v>
      </c>
      <c r="P22" s="363">
        <v>4449106</v>
      </c>
      <c r="Q22" s="363">
        <v>11286533.369999999</v>
      </c>
      <c r="R22" s="363">
        <v>1098208.04</v>
      </c>
      <c r="S22" s="363">
        <v>496508.51</v>
      </c>
      <c r="T22" s="363">
        <v>-6104448.4199999999</v>
      </c>
      <c r="U22" s="363">
        <v>435729.36</v>
      </c>
      <c r="V22" s="363">
        <v>3811981.04</v>
      </c>
      <c r="W22" s="363">
        <v>-1856738.02</v>
      </c>
      <c r="X22" s="363">
        <v>13518622</v>
      </c>
      <c r="Y22" s="363">
        <v>21973241.039999999</v>
      </c>
      <c r="Z22" s="363">
        <v>7365160</v>
      </c>
      <c r="AA22" s="363">
        <v>6113452</v>
      </c>
      <c r="AB22" s="363">
        <v>48970474.82</v>
      </c>
      <c r="AC22" s="363">
        <v>9845893.5999999996</v>
      </c>
      <c r="AD22" s="363">
        <v>2325643</v>
      </c>
      <c r="AE22" s="365">
        <v>360.47</v>
      </c>
      <c r="AF22" s="365">
        <v>119.6</v>
      </c>
      <c r="AG22" s="364">
        <f t="shared" si="1"/>
        <v>4.3210639913882423E-3</v>
      </c>
    </row>
    <row r="23" spans="1:33" s="137" customFormat="1" x14ac:dyDescent="0.45">
      <c r="A23" s="357" t="s">
        <v>67</v>
      </c>
      <c r="B23" s="358">
        <f t="shared" ref="B23:AD23" si="2">SUM(B6:B22)</f>
        <v>1272922471</v>
      </c>
      <c r="C23" s="358">
        <f t="shared" si="2"/>
        <v>289020712</v>
      </c>
      <c r="D23" s="358">
        <f t="shared" si="2"/>
        <v>216275229</v>
      </c>
      <c r="E23" s="358">
        <f t="shared" si="2"/>
        <v>82298415</v>
      </c>
      <c r="F23" s="358">
        <f t="shared" si="2"/>
        <v>850812777</v>
      </c>
      <c r="G23" s="358">
        <f t="shared" si="2"/>
        <v>325872</v>
      </c>
      <c r="H23" s="358">
        <f t="shared" si="2"/>
        <v>292194</v>
      </c>
      <c r="I23" s="358">
        <f t="shared" si="2"/>
        <v>12424.031720638275</v>
      </c>
      <c r="J23" s="358">
        <f t="shared" si="2"/>
        <v>107579649</v>
      </c>
      <c r="K23" s="358">
        <f t="shared" si="2"/>
        <v>2819539743.9799995</v>
      </c>
      <c r="L23" s="358">
        <f t="shared" si="2"/>
        <v>2718952770.7799997</v>
      </c>
      <c r="M23" s="359">
        <f t="shared" si="2"/>
        <v>-868547382</v>
      </c>
      <c r="N23" s="358">
        <f t="shared" si="2"/>
        <v>1850405391.3199999</v>
      </c>
      <c r="O23" s="358">
        <f>SUM(O6:O22)</f>
        <v>1370616899</v>
      </c>
      <c r="P23" s="360">
        <f>SUM(P6:P22)</f>
        <v>1359305429</v>
      </c>
      <c r="Q23" s="360">
        <f>SUM(Q6:Q22)</f>
        <v>572342121.48999989</v>
      </c>
      <c r="R23" s="360">
        <f>SUM(R6:R22)</f>
        <v>390755254.01999998</v>
      </c>
      <c r="S23" s="360">
        <f>SUM(S6:S22)</f>
        <v>9484179.9099999983</v>
      </c>
      <c r="T23" s="360">
        <f t="shared" si="2"/>
        <v>-462513232.87000006</v>
      </c>
      <c r="U23" s="360">
        <f t="shared" si="2"/>
        <v>549346264.96000004</v>
      </c>
      <c r="V23" s="360">
        <f t="shared" si="2"/>
        <v>110349793.56999999</v>
      </c>
      <c r="W23" s="360">
        <f t="shared" si="2"/>
        <v>183556359.97999999</v>
      </c>
      <c r="X23" s="360">
        <f t="shared" si="2"/>
        <v>486411457</v>
      </c>
      <c r="Y23" s="360">
        <f t="shared" si="2"/>
        <v>6369967827.9400005</v>
      </c>
      <c r="Z23" s="360">
        <f t="shared" si="2"/>
        <v>529488886</v>
      </c>
      <c r="AA23" s="360">
        <f t="shared" si="2"/>
        <v>304978900</v>
      </c>
      <c r="AB23" s="360">
        <f>SUM(AB6:AB22)</f>
        <v>7719440500.0299988</v>
      </c>
      <c r="AC23" s="360">
        <f t="shared" si="2"/>
        <v>4912962672.7200003</v>
      </c>
      <c r="AD23" s="360">
        <f t="shared" si="2"/>
        <v>716192039</v>
      </c>
      <c r="AE23" s="361">
        <f>SUM(AE6:AE22)/COUNT(AE6:AE22)</f>
        <v>217.79749999999996</v>
      </c>
      <c r="AF23" s="361">
        <f>SUM(AF6:AF22)/COUNT(AF6:AF22)</f>
        <v>72.568124999999981</v>
      </c>
      <c r="AG23" s="364"/>
    </row>
    <row r="24" spans="1:33" x14ac:dyDescent="0.45">
      <c r="B24" s="324"/>
      <c r="C24" s="324"/>
      <c r="D24" s="324"/>
      <c r="E24" s="324"/>
      <c r="F24" s="324"/>
      <c r="G24" s="324"/>
      <c r="H24" s="324"/>
      <c r="I24" s="324"/>
      <c r="J24" s="324"/>
      <c r="K24" s="324"/>
      <c r="L24" s="324"/>
      <c r="M24" s="324"/>
      <c r="N24" s="325"/>
      <c r="O24" s="325"/>
      <c r="P24" s="324"/>
      <c r="Q24" s="324"/>
      <c r="R24" s="324"/>
      <c r="S24" s="324"/>
      <c r="T24" s="324"/>
      <c r="U24" s="324"/>
      <c r="V24" s="324"/>
      <c r="W24" s="324"/>
      <c r="X24" s="324"/>
      <c r="Y24" s="324"/>
      <c r="Z24" s="324"/>
      <c r="AA24" s="324"/>
      <c r="AB24" s="324"/>
      <c r="AC24" s="324"/>
      <c r="AD24" s="324"/>
      <c r="AE24" s="324"/>
      <c r="AF24" s="324"/>
      <c r="AG24" s="324"/>
    </row>
  </sheetData>
  <mergeCells count="1">
    <mergeCell ref="B1:AG1"/>
  </mergeCells>
  <dataValidations count="1">
    <dataValidation type="list" allowBlank="1" showInputMessage="1" showErrorMessage="1" sqref="A3" xr:uid="{00000000-0002-0000-2D00-000000000000}">
      <formula1>$A$6:$A$23</formula1>
    </dataValidation>
  </dataValidations>
  <pageMargins left="0.7" right="0.7" top="0.75" bottom="0.75" header="0.3" footer="0.3"/>
  <pageSetup orientation="portrait" horizontalDpi="4294967295" verticalDpi="4294967295" r:id="rId1"/>
  <customProperties>
    <customPr name="LastActive" r:id="rId2"/>
  </customProperties>
  <legacyDrawing r:id="rId3"/>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AG24"/>
  <sheetViews>
    <sheetView topLeftCell="A6" workbookViewId="0">
      <selection activeCell="A3" sqref="A3"/>
    </sheetView>
  </sheetViews>
  <sheetFormatPr defaultRowHeight="14.25" x14ac:dyDescent="0.45"/>
  <cols>
    <col min="1" max="1" width="42.3984375" bestFit="1" customWidth="1"/>
    <col min="2" max="2" width="20.73046875" style="326" customWidth="1"/>
    <col min="3" max="5" width="17.73046875" style="326" bestFit="1" customWidth="1"/>
    <col min="6" max="6" width="19" style="326" customWidth="1"/>
    <col min="7" max="7" width="19.3984375" style="326" bestFit="1" customWidth="1"/>
    <col min="8" max="8" width="14.3984375" style="326" bestFit="1" customWidth="1"/>
    <col min="9" max="9" width="17.73046875" style="326" customWidth="1"/>
    <col min="10" max="10" width="27.3984375" style="326" bestFit="1" customWidth="1"/>
    <col min="11" max="11" width="21.73046875" style="326" bestFit="1" customWidth="1"/>
    <col min="12" max="12" width="22.3984375" style="326" bestFit="1" customWidth="1"/>
    <col min="13" max="13" width="24.265625" style="326" customWidth="1"/>
    <col min="14" max="14" width="20" style="326" bestFit="1" customWidth="1"/>
    <col min="15" max="15" width="22" style="326" customWidth="1"/>
    <col min="16" max="16" width="22.3984375" style="326" customWidth="1"/>
    <col min="17" max="17" width="20.73046875" style="326" bestFit="1" customWidth="1"/>
    <col min="18" max="18" width="22.73046875" style="326" bestFit="1" customWidth="1"/>
    <col min="19" max="19" width="18.265625" style="326" bestFit="1" customWidth="1"/>
    <col min="20" max="20" width="19.265625" style="326" bestFit="1" customWidth="1"/>
    <col min="21" max="21" width="25.265625" style="326" bestFit="1" customWidth="1"/>
    <col min="22" max="22" width="18.73046875" style="326" bestFit="1" customWidth="1"/>
    <col min="23" max="23" width="20" style="326" bestFit="1" customWidth="1"/>
    <col min="24" max="24" width="19.3984375" style="326" bestFit="1" customWidth="1"/>
    <col min="25" max="25" width="21.265625" style="326" bestFit="1" customWidth="1"/>
    <col min="26" max="26" width="17.73046875" style="326" bestFit="1" customWidth="1"/>
    <col min="27" max="27" width="18.265625" style="326" bestFit="1" customWidth="1"/>
    <col min="28" max="28" width="21.265625" style="326" bestFit="1" customWidth="1"/>
    <col min="29" max="29" width="22.265625" style="326" bestFit="1" customWidth="1"/>
    <col min="30" max="30" width="18.73046875" style="326" bestFit="1" customWidth="1"/>
    <col min="31" max="31" width="17.265625" style="326" customWidth="1"/>
    <col min="32" max="32" width="17.265625" style="326" bestFit="1" customWidth="1"/>
    <col min="33" max="33" width="13" style="326" bestFit="1" customWidth="1"/>
  </cols>
  <sheetData>
    <row r="1" spans="1:33" ht="20.65" x14ac:dyDescent="0.55000000000000004">
      <c r="A1" s="341" t="s">
        <v>146</v>
      </c>
      <c r="B1" s="392" t="s">
        <v>99</v>
      </c>
      <c r="C1" s="392"/>
      <c r="D1" s="392"/>
      <c r="E1" s="392"/>
      <c r="F1" s="392"/>
      <c r="G1" s="392"/>
      <c r="H1" s="392"/>
      <c r="I1" s="392"/>
      <c r="J1" s="392"/>
      <c r="K1" s="392"/>
      <c r="L1" s="392"/>
      <c r="M1" s="392"/>
      <c r="N1" s="392"/>
      <c r="O1" s="392"/>
      <c r="P1" s="392"/>
      <c r="Q1" s="392"/>
      <c r="R1" s="392"/>
      <c r="S1" s="392"/>
      <c r="T1" s="392"/>
      <c r="U1" s="392"/>
      <c r="V1" s="392"/>
      <c r="W1" s="392"/>
      <c r="X1" s="392"/>
      <c r="Y1" s="392"/>
      <c r="Z1" s="392"/>
      <c r="AA1" s="392"/>
      <c r="AB1" s="392"/>
      <c r="AC1" s="392"/>
      <c r="AD1" s="392"/>
      <c r="AE1" s="392"/>
      <c r="AF1" s="392"/>
      <c r="AG1" s="392"/>
    </row>
    <row r="2" spans="1:33" ht="27" customHeight="1" x14ac:dyDescent="0.45">
      <c r="A2" s="349"/>
      <c r="B2" s="342" t="s">
        <v>108</v>
      </c>
      <c r="C2" s="342" t="s">
        <v>109</v>
      </c>
      <c r="D2" s="342" t="s">
        <v>110</v>
      </c>
      <c r="E2" s="342" t="s">
        <v>111</v>
      </c>
      <c r="F2" s="342" t="s">
        <v>112</v>
      </c>
      <c r="G2" s="342" t="s">
        <v>113</v>
      </c>
      <c r="H2" s="342" t="s">
        <v>114</v>
      </c>
      <c r="I2" s="342" t="s">
        <v>115</v>
      </c>
      <c r="J2" s="342" t="s">
        <v>116</v>
      </c>
      <c r="K2" s="342" t="s">
        <v>34</v>
      </c>
      <c r="L2" s="342" t="s">
        <v>117</v>
      </c>
      <c r="M2" s="343" t="s">
        <v>118</v>
      </c>
      <c r="N2" s="342" t="s">
        <v>119</v>
      </c>
      <c r="O2" s="342" t="s">
        <v>101</v>
      </c>
      <c r="P2" s="342" t="s">
        <v>74</v>
      </c>
      <c r="Q2" s="342" t="s">
        <v>10</v>
      </c>
      <c r="R2" s="342" t="s">
        <v>102</v>
      </c>
      <c r="S2" s="342" t="s">
        <v>103</v>
      </c>
      <c r="T2" s="342" t="s">
        <v>120</v>
      </c>
      <c r="U2" s="342" t="s">
        <v>121</v>
      </c>
      <c r="V2" s="342" t="s">
        <v>122</v>
      </c>
      <c r="W2" s="342" t="s">
        <v>135</v>
      </c>
      <c r="X2" s="342" t="s">
        <v>128</v>
      </c>
      <c r="Y2" s="342" t="s">
        <v>79</v>
      </c>
      <c r="Z2" s="342" t="s">
        <v>129</v>
      </c>
      <c r="AA2" s="342" t="s">
        <v>130</v>
      </c>
      <c r="AB2" s="343" t="s">
        <v>13</v>
      </c>
      <c r="AC2" s="343" t="s">
        <v>131</v>
      </c>
      <c r="AD2" s="343" t="s">
        <v>132</v>
      </c>
      <c r="AE2" s="344" t="s">
        <v>124</v>
      </c>
      <c r="AF2" s="344" t="s">
        <v>125</v>
      </c>
      <c r="AG2" s="344" t="s">
        <v>12</v>
      </c>
    </row>
    <row r="3" spans="1:33" x14ac:dyDescent="0.45">
      <c r="A3" s="350" t="s">
        <v>91</v>
      </c>
      <c r="B3" s="345">
        <f t="shared" ref="B3:AG3" si="0">INDEX(B6:B23,MATCH($A$3,$A$6:$A$23,0))</f>
        <v>93683032</v>
      </c>
      <c r="C3" s="345">
        <f t="shared" si="0"/>
        <v>6924296</v>
      </c>
      <c r="D3" s="345">
        <f t="shared" si="0"/>
        <v>87079599</v>
      </c>
      <c r="E3" s="345">
        <f t="shared" si="0"/>
        <v>1645444</v>
      </c>
      <c r="F3" s="345">
        <f t="shared" si="0"/>
        <v>107543449</v>
      </c>
      <c r="G3" s="345">
        <f t="shared" si="0"/>
        <v>0</v>
      </c>
      <c r="H3" s="345">
        <f t="shared" si="0"/>
        <v>0</v>
      </c>
      <c r="I3" s="345">
        <f t="shared" si="0"/>
        <v>0</v>
      </c>
      <c r="J3" s="345">
        <f t="shared" si="0"/>
        <v>0</v>
      </c>
      <c r="K3" s="345">
        <f t="shared" si="0"/>
        <v>296875820.38999999</v>
      </c>
      <c r="L3" s="345">
        <f t="shared" si="0"/>
        <v>292988574.88999999</v>
      </c>
      <c r="M3" s="345">
        <f t="shared" si="0"/>
        <v>-69077252</v>
      </c>
      <c r="N3" s="345">
        <f t="shared" si="0"/>
        <v>223911322.72999999</v>
      </c>
      <c r="O3" s="345">
        <f t="shared" si="0"/>
        <v>129382249</v>
      </c>
      <c r="P3" s="345">
        <f t="shared" si="0"/>
        <v>129328920.59999999</v>
      </c>
      <c r="Q3" s="345">
        <f t="shared" si="0"/>
        <v>49807518.670000002</v>
      </c>
      <c r="R3" s="345">
        <f t="shared" si="0"/>
        <v>31613998.239999998</v>
      </c>
      <c r="S3" s="345">
        <f t="shared" si="0"/>
        <v>779194.12</v>
      </c>
      <c r="T3" s="345">
        <f t="shared" si="0"/>
        <v>13940079.34</v>
      </c>
      <c r="U3" s="345">
        <f t="shared" si="0"/>
        <v>32093791.350000001</v>
      </c>
      <c r="V3" s="345">
        <f t="shared" si="0"/>
        <v>5159272.63</v>
      </c>
      <c r="W3" s="345">
        <f t="shared" si="0"/>
        <v>48633486.149999999</v>
      </c>
      <c r="X3" s="345">
        <f t="shared" si="0"/>
        <v>22462890</v>
      </c>
      <c r="Y3" s="345">
        <f t="shared" si="0"/>
        <v>243201685.28</v>
      </c>
      <c r="Z3" s="345">
        <f t="shared" si="0"/>
        <v>46435779</v>
      </c>
      <c r="AA3" s="345">
        <f t="shared" si="0"/>
        <v>21866220</v>
      </c>
      <c r="AB3" s="345">
        <f t="shared" si="0"/>
        <v>333966574.49000001</v>
      </c>
      <c r="AC3" s="345">
        <f t="shared" si="0"/>
        <v>211647823</v>
      </c>
      <c r="AD3" s="345">
        <f t="shared" si="0"/>
        <v>13506429</v>
      </c>
      <c r="AE3" s="345">
        <f t="shared" si="0"/>
        <v>125.52</v>
      </c>
      <c r="AF3" s="345">
        <f t="shared" si="0"/>
        <v>27.79</v>
      </c>
      <c r="AG3" s="346">
        <f t="shared" si="0"/>
        <v>7.733728825483295E-2</v>
      </c>
    </row>
    <row r="4" spans="1:33" x14ac:dyDescent="0.45">
      <c r="A4" s="348"/>
      <c r="B4" s="347"/>
      <c r="C4" s="347"/>
      <c r="D4" s="347"/>
      <c r="E4" s="347"/>
      <c r="F4" s="347"/>
      <c r="G4" s="347"/>
      <c r="H4" s="347"/>
      <c r="I4" s="347"/>
      <c r="J4" s="347"/>
      <c r="K4" s="347"/>
      <c r="L4" s="347"/>
      <c r="M4" s="347"/>
      <c r="N4" s="347"/>
      <c r="O4" s="347"/>
      <c r="P4" s="347"/>
      <c r="Q4" s="347"/>
      <c r="R4" s="347"/>
      <c r="S4" s="347"/>
      <c r="T4" s="347"/>
      <c r="U4" s="347"/>
      <c r="V4" s="347"/>
      <c r="W4" s="347"/>
      <c r="X4" s="347"/>
      <c r="Y4" s="347"/>
      <c r="Z4" s="347"/>
      <c r="AA4" s="347"/>
      <c r="AB4" s="347"/>
      <c r="AC4" s="347"/>
      <c r="AD4" s="347"/>
      <c r="AE4" s="347"/>
      <c r="AF4" s="347"/>
      <c r="AG4" s="347"/>
    </row>
    <row r="5" spans="1:33" s="295" customFormat="1" ht="46.15" customHeight="1" x14ac:dyDescent="0.45">
      <c r="A5" s="332" t="s">
        <v>126</v>
      </c>
      <c r="B5" s="335" t="s">
        <v>108</v>
      </c>
      <c r="C5" s="335" t="s">
        <v>109</v>
      </c>
      <c r="D5" s="335" t="s">
        <v>110</v>
      </c>
      <c r="E5" s="335" t="s">
        <v>111</v>
      </c>
      <c r="F5" s="335" t="s">
        <v>112</v>
      </c>
      <c r="G5" s="335" t="s">
        <v>113</v>
      </c>
      <c r="H5" s="335" t="s">
        <v>114</v>
      </c>
      <c r="I5" s="335" t="s">
        <v>115</v>
      </c>
      <c r="J5" s="335" t="s">
        <v>116</v>
      </c>
      <c r="K5" s="335" t="s">
        <v>34</v>
      </c>
      <c r="L5" s="335" t="s">
        <v>117</v>
      </c>
      <c r="M5" s="336" t="s">
        <v>118</v>
      </c>
      <c r="N5" s="335" t="s">
        <v>119</v>
      </c>
      <c r="O5" s="335" t="s">
        <v>101</v>
      </c>
      <c r="P5" s="335" t="s">
        <v>74</v>
      </c>
      <c r="Q5" s="335" t="s">
        <v>10</v>
      </c>
      <c r="R5" s="335" t="s">
        <v>102</v>
      </c>
      <c r="S5" s="335" t="s">
        <v>103</v>
      </c>
      <c r="T5" s="335" t="s">
        <v>120</v>
      </c>
      <c r="U5" s="335" t="s">
        <v>121</v>
      </c>
      <c r="V5" s="335" t="s">
        <v>122</v>
      </c>
      <c r="W5" s="335" t="s">
        <v>135</v>
      </c>
      <c r="X5" s="335" t="s">
        <v>128</v>
      </c>
      <c r="Y5" s="335" t="s">
        <v>79</v>
      </c>
      <c r="Z5" s="335" t="s">
        <v>129</v>
      </c>
      <c r="AA5" s="335" t="s">
        <v>130</v>
      </c>
      <c r="AB5" s="336" t="s">
        <v>13</v>
      </c>
      <c r="AC5" s="336" t="s">
        <v>131</v>
      </c>
      <c r="AD5" s="336" t="s">
        <v>132</v>
      </c>
      <c r="AE5" s="337" t="s">
        <v>124</v>
      </c>
      <c r="AF5" s="337" t="s">
        <v>125</v>
      </c>
      <c r="AG5" s="337" t="s">
        <v>12</v>
      </c>
    </row>
    <row r="6" spans="1:33" x14ac:dyDescent="0.45">
      <c r="A6" s="333" t="s">
        <v>80</v>
      </c>
      <c r="B6" s="363">
        <v>23176001</v>
      </c>
      <c r="C6" s="363">
        <v>17108744</v>
      </c>
      <c r="D6" s="363">
        <v>1175107</v>
      </c>
      <c r="E6" s="363">
        <v>5158287</v>
      </c>
      <c r="F6" s="363">
        <v>6165163</v>
      </c>
      <c r="G6" s="363"/>
      <c r="H6" s="363"/>
      <c r="I6" s="363"/>
      <c r="J6" s="363">
        <v>39801680</v>
      </c>
      <c r="K6" s="363">
        <v>92584981.799999997</v>
      </c>
      <c r="L6" s="363">
        <v>88341024.359999999</v>
      </c>
      <c r="M6" s="363">
        <v>-23083472</v>
      </c>
      <c r="N6" s="363">
        <v>65257552.009999998</v>
      </c>
      <c r="O6" s="363">
        <v>27919110</v>
      </c>
      <c r="P6" s="363">
        <v>27919109.879999999</v>
      </c>
      <c r="Q6" s="363">
        <v>34957862.640000001</v>
      </c>
      <c r="R6" s="363">
        <v>31684623.390000001</v>
      </c>
      <c r="S6" s="363">
        <v>934115</v>
      </c>
      <c r="T6" s="363">
        <v>-28369928.899999999</v>
      </c>
      <c r="U6" s="363">
        <v>12157716.560000001</v>
      </c>
      <c r="V6" s="363">
        <v>1626603.38</v>
      </c>
      <c r="W6" s="363">
        <v>-14585608.960000001</v>
      </c>
      <c r="X6" s="363">
        <v>10436282</v>
      </c>
      <c r="Y6" s="363">
        <v>93302383</v>
      </c>
      <c r="Z6" s="363">
        <v>6234752</v>
      </c>
      <c r="AA6" s="363">
        <v>6274239</v>
      </c>
      <c r="AB6" s="363">
        <v>116247655.73999999</v>
      </c>
      <c r="AC6" s="363">
        <v>72764897</v>
      </c>
      <c r="AD6" s="363">
        <v>27459365</v>
      </c>
      <c r="AE6" s="318">
        <v>142.57</v>
      </c>
      <c r="AF6" s="318">
        <v>75.44</v>
      </c>
      <c r="AG6" s="364">
        <f t="shared" ref="AG6:AG11" si="1">K6/$K$23</f>
        <v>2.4118742362139001E-2</v>
      </c>
    </row>
    <row r="7" spans="1:33" x14ac:dyDescent="0.45">
      <c r="A7" s="333" t="s">
        <v>16</v>
      </c>
      <c r="B7" s="363">
        <v>21340974</v>
      </c>
      <c r="C7" s="363">
        <v>2900761</v>
      </c>
      <c r="D7" s="363">
        <v>186327</v>
      </c>
      <c r="E7" s="363">
        <v>1857258</v>
      </c>
      <c r="F7" s="363">
        <v>5107980</v>
      </c>
      <c r="G7" s="363"/>
      <c r="H7" s="363"/>
      <c r="I7" s="363"/>
      <c r="J7" s="363"/>
      <c r="K7" s="363">
        <v>31393300</v>
      </c>
      <c r="L7" s="363">
        <v>31270022</v>
      </c>
      <c r="M7" s="363">
        <v>-8790124</v>
      </c>
      <c r="N7" s="363">
        <v>22479898</v>
      </c>
      <c r="O7" s="363">
        <v>13683021</v>
      </c>
      <c r="P7" s="363">
        <v>13635920</v>
      </c>
      <c r="Q7" s="363">
        <v>18266568</v>
      </c>
      <c r="R7" s="363">
        <v>3358314</v>
      </c>
      <c r="S7" s="363">
        <v>83592</v>
      </c>
      <c r="T7" s="363">
        <v>-12697312</v>
      </c>
      <c r="U7" s="363">
        <v>7777408</v>
      </c>
      <c r="V7" s="363">
        <v>3332675</v>
      </c>
      <c r="W7" s="363">
        <v>-1691139</v>
      </c>
      <c r="X7" s="363">
        <v>1709531</v>
      </c>
      <c r="Y7" s="363">
        <v>196906038</v>
      </c>
      <c r="Z7" s="363">
        <v>3676201</v>
      </c>
      <c r="AA7" s="363">
        <v>5549188</v>
      </c>
      <c r="AB7" s="363">
        <v>207840958</v>
      </c>
      <c r="AC7" s="363">
        <v>79136742</v>
      </c>
      <c r="AD7" s="363">
        <v>27260591</v>
      </c>
      <c r="AE7" s="318">
        <v>250.98</v>
      </c>
      <c r="AF7" s="318">
        <v>69.16</v>
      </c>
      <c r="AG7" s="364">
        <f t="shared" si="1"/>
        <v>8.1780748872744106E-3</v>
      </c>
    </row>
    <row r="8" spans="1:33" x14ac:dyDescent="0.45">
      <c r="A8" s="333" t="s">
        <v>17</v>
      </c>
      <c r="B8" s="363">
        <v>404618921</v>
      </c>
      <c r="C8" s="363">
        <v>49141941</v>
      </c>
      <c r="D8" s="363">
        <v>55001225</v>
      </c>
      <c r="E8" s="363">
        <v>25730062</v>
      </c>
      <c r="F8" s="363">
        <v>336682497</v>
      </c>
      <c r="G8" s="363"/>
      <c r="H8" s="363"/>
      <c r="I8" s="363"/>
      <c r="J8" s="363">
        <v>18158156</v>
      </c>
      <c r="K8" s="363">
        <v>889332802</v>
      </c>
      <c r="L8" s="363">
        <v>864729906.03999996</v>
      </c>
      <c r="M8" s="363">
        <v>-281986476</v>
      </c>
      <c r="N8" s="363">
        <v>582743430.45000005</v>
      </c>
      <c r="O8" s="363">
        <v>423854797</v>
      </c>
      <c r="P8" s="363">
        <v>422623264.63</v>
      </c>
      <c r="Q8" s="363">
        <v>139872249.08000001</v>
      </c>
      <c r="R8" s="363">
        <v>142928385.47</v>
      </c>
      <c r="S8" s="363">
        <v>769521.96</v>
      </c>
      <c r="T8" s="363">
        <v>-121910946.76000001</v>
      </c>
      <c r="U8" s="363">
        <v>256802718.94999999</v>
      </c>
      <c r="V8" s="363">
        <v>16213440.119999999</v>
      </c>
      <c r="W8" s="363">
        <v>143473346.03</v>
      </c>
      <c r="X8" s="363">
        <v>123428760</v>
      </c>
      <c r="Y8" s="363">
        <v>1402563930.3699999</v>
      </c>
      <c r="Z8" s="363">
        <v>46807613</v>
      </c>
      <c r="AA8" s="363">
        <v>48388730</v>
      </c>
      <c r="AB8" s="363">
        <v>1621189032.9400001</v>
      </c>
      <c r="AC8" s="363">
        <v>1150552737.6099999</v>
      </c>
      <c r="AD8" s="363">
        <v>104186216</v>
      </c>
      <c r="AE8" s="318">
        <v>132.63</v>
      </c>
      <c r="AF8" s="318">
        <v>32.700000000000003</v>
      </c>
      <c r="AG8" s="364">
        <f t="shared" si="1"/>
        <v>0.23167460109213064</v>
      </c>
    </row>
    <row r="9" spans="1:33" x14ac:dyDescent="0.45">
      <c r="A9" s="333" t="s">
        <v>53</v>
      </c>
      <c r="B9" s="363"/>
      <c r="C9" s="363"/>
      <c r="D9" s="363">
        <v>3241520</v>
      </c>
      <c r="E9" s="363"/>
      <c r="F9" s="363"/>
      <c r="G9" s="363"/>
      <c r="H9" s="363"/>
      <c r="I9" s="363"/>
      <c r="J9" s="363"/>
      <c r="K9" s="363">
        <v>3241520.28</v>
      </c>
      <c r="L9" s="363">
        <v>2917397.41</v>
      </c>
      <c r="M9" s="363">
        <v>-318035</v>
      </c>
      <c r="N9" s="363">
        <v>2599362.4</v>
      </c>
      <c r="O9" s="363">
        <v>154636</v>
      </c>
      <c r="P9" s="363">
        <v>123708.8</v>
      </c>
      <c r="Q9" s="363">
        <v>9288233.5600000005</v>
      </c>
      <c r="R9" s="363">
        <v>216956.54</v>
      </c>
      <c r="S9" s="363"/>
      <c r="T9" s="363">
        <v>-7029536.5</v>
      </c>
      <c r="U9" s="363">
        <v>942506.3</v>
      </c>
      <c r="V9" s="363">
        <v>413002.03</v>
      </c>
      <c r="W9" s="363">
        <v>-5674028.1699999999</v>
      </c>
      <c r="X9" s="363">
        <v>464747</v>
      </c>
      <c r="Y9" s="363">
        <v>5468156</v>
      </c>
      <c r="Z9" s="363">
        <v>6388920</v>
      </c>
      <c r="AA9" s="363">
        <v>7018355</v>
      </c>
      <c r="AB9" s="363">
        <v>19937397.449999999</v>
      </c>
      <c r="AC9" s="363">
        <v>7972966.0099999998</v>
      </c>
      <c r="AD9" s="363">
        <v>6826706</v>
      </c>
      <c r="AE9" s="318">
        <v>74.41</v>
      </c>
      <c r="AF9" s="318">
        <v>325.81</v>
      </c>
      <c r="AG9" s="364">
        <f t="shared" si="1"/>
        <v>8.4442844805925825E-4</v>
      </c>
    </row>
    <row r="10" spans="1:33" x14ac:dyDescent="0.45">
      <c r="A10" s="333" t="s">
        <v>20</v>
      </c>
      <c r="B10" s="363">
        <v>159226757</v>
      </c>
      <c r="C10" s="363">
        <v>82644932</v>
      </c>
      <c r="D10" s="363">
        <v>6141226</v>
      </c>
      <c r="E10" s="363">
        <v>7273604</v>
      </c>
      <c r="F10" s="363">
        <v>9388820</v>
      </c>
      <c r="G10" s="363">
        <v>493297</v>
      </c>
      <c r="H10" s="363"/>
      <c r="I10" s="363"/>
      <c r="J10" s="363"/>
      <c r="K10" s="363">
        <v>265168635.45999998</v>
      </c>
      <c r="L10" s="363">
        <v>259638569.13</v>
      </c>
      <c r="M10" s="363">
        <v>-38669556</v>
      </c>
      <c r="N10" s="363">
        <v>220969013.22999999</v>
      </c>
      <c r="O10" s="363">
        <v>147970231</v>
      </c>
      <c r="P10" s="363">
        <v>147970231.47999999</v>
      </c>
      <c r="Q10" s="363">
        <v>54376573.090000004</v>
      </c>
      <c r="R10" s="363">
        <v>16975343.93</v>
      </c>
      <c r="S10" s="363">
        <v>606408.69999999995</v>
      </c>
      <c r="T10" s="363">
        <v>2253273.4300000002</v>
      </c>
      <c r="U10" s="363">
        <v>23164114.73</v>
      </c>
      <c r="V10" s="363">
        <v>6141972.0499999998</v>
      </c>
      <c r="W10" s="363">
        <v>31559360.210000001</v>
      </c>
      <c r="X10" s="363">
        <v>39235549</v>
      </c>
      <c r="Y10" s="363">
        <v>501139063.86000001</v>
      </c>
      <c r="Z10" s="363">
        <v>48325676</v>
      </c>
      <c r="AA10" s="363">
        <v>12400616</v>
      </c>
      <c r="AB10" s="363">
        <v>601100905.82000005</v>
      </c>
      <c r="AC10" s="363">
        <v>271542867.89999998</v>
      </c>
      <c r="AD10" s="363">
        <v>66694035</v>
      </c>
      <c r="AE10" s="318">
        <v>199</v>
      </c>
      <c r="AF10" s="318">
        <v>27.48</v>
      </c>
      <c r="AG10" s="364">
        <f t="shared" si="1"/>
        <v>6.9077445141104893E-2</v>
      </c>
    </row>
    <row r="11" spans="1:33" x14ac:dyDescent="0.45">
      <c r="A11" s="333" t="s">
        <v>47</v>
      </c>
      <c r="B11" s="363">
        <v>648805</v>
      </c>
      <c r="C11" s="363">
        <v>101711</v>
      </c>
      <c r="D11" s="363">
        <v>9990</v>
      </c>
      <c r="E11" s="363"/>
      <c r="F11" s="363">
        <v>276381</v>
      </c>
      <c r="G11" s="363"/>
      <c r="H11" s="363"/>
      <c r="I11" s="363"/>
      <c r="J11" s="363"/>
      <c r="K11" s="363">
        <v>1036886.53</v>
      </c>
      <c r="L11" s="363">
        <v>1030503.57</v>
      </c>
      <c r="M11" s="363">
        <v>-206101</v>
      </c>
      <c r="N11" s="363">
        <v>824402.85</v>
      </c>
      <c r="O11" s="363">
        <v>1168839</v>
      </c>
      <c r="P11" s="363">
        <v>1168838.96</v>
      </c>
      <c r="Q11" s="363">
        <v>2382566.0099999998</v>
      </c>
      <c r="R11" s="363">
        <v>7257.61</v>
      </c>
      <c r="S11" s="363"/>
      <c r="T11" s="363">
        <v>-2734259.73</v>
      </c>
      <c r="U11" s="363">
        <v>924807.91</v>
      </c>
      <c r="V11" s="363">
        <v>0</v>
      </c>
      <c r="W11" s="363">
        <v>-1809451.82</v>
      </c>
      <c r="X11" s="363">
        <v>7383250</v>
      </c>
      <c r="Y11" s="363">
        <v>49195691.560000002</v>
      </c>
      <c r="Z11" s="363">
        <v>5080308</v>
      </c>
      <c r="AA11" s="363">
        <v>13292284</v>
      </c>
      <c r="AB11" s="363">
        <v>74952464.549999997</v>
      </c>
      <c r="AC11" s="363">
        <v>19508446.960000001</v>
      </c>
      <c r="AD11" s="363">
        <v>5212414</v>
      </c>
      <c r="AE11" s="318">
        <v>290.02</v>
      </c>
      <c r="AF11" s="318">
        <v>231.91</v>
      </c>
      <c r="AG11" s="366">
        <f t="shared" si="1"/>
        <v>2.7011291237130549E-4</v>
      </c>
    </row>
    <row r="12" spans="1:33" x14ac:dyDescent="0.45">
      <c r="A12" s="333" t="s">
        <v>64</v>
      </c>
      <c r="B12" s="363">
        <v>9893296</v>
      </c>
      <c r="C12" s="363">
        <v>20058566</v>
      </c>
      <c r="D12" s="363"/>
      <c r="E12" s="363">
        <v>3664888</v>
      </c>
      <c r="F12" s="363">
        <v>13055571</v>
      </c>
      <c r="G12" s="363"/>
      <c r="H12" s="363"/>
      <c r="I12" s="363"/>
      <c r="J12" s="363">
        <v>1848281</v>
      </c>
      <c r="K12" s="363">
        <v>48520601.670000002</v>
      </c>
      <c r="L12" s="363">
        <v>36972094.560000002</v>
      </c>
      <c r="M12" s="363">
        <v>-7344249</v>
      </c>
      <c r="N12" s="363">
        <v>29627845.899999999</v>
      </c>
      <c r="O12" s="363">
        <v>12178441</v>
      </c>
      <c r="P12" s="363">
        <v>8842699.2400000002</v>
      </c>
      <c r="Q12" s="363">
        <v>26525887.59</v>
      </c>
      <c r="R12" s="363">
        <v>8700882.4299999997</v>
      </c>
      <c r="S12" s="363">
        <v>3101211.57</v>
      </c>
      <c r="T12" s="363">
        <v>-11340411.789999999</v>
      </c>
      <c r="U12" s="363">
        <v>7691875.2999999998</v>
      </c>
      <c r="V12" s="363">
        <v>8559788.75</v>
      </c>
      <c r="W12" s="363">
        <v>4745802.26</v>
      </c>
      <c r="X12" s="363">
        <v>34669674</v>
      </c>
      <c r="Y12" s="363">
        <v>71777090.150000006</v>
      </c>
      <c r="Z12" s="363">
        <v>9639492</v>
      </c>
      <c r="AA12" s="363">
        <v>1074030</v>
      </c>
      <c r="AB12" s="363">
        <v>117160285.40000001</v>
      </c>
      <c r="AC12" s="363">
        <v>20355339.23</v>
      </c>
      <c r="AD12" s="363">
        <v>33535562</v>
      </c>
      <c r="AE12" s="318">
        <v>522.94000000000005</v>
      </c>
      <c r="AF12" s="318">
        <v>95.28</v>
      </c>
      <c r="AG12" s="364">
        <f t="shared" ref="AG12:AG22" si="2">K12/$K$23</f>
        <v>1.263980257038514E-2</v>
      </c>
    </row>
    <row r="13" spans="1:33" x14ac:dyDescent="0.45">
      <c r="A13" s="333" t="s">
        <v>144</v>
      </c>
      <c r="B13" s="363">
        <v>45782669</v>
      </c>
      <c r="C13" s="363">
        <v>11147661</v>
      </c>
      <c r="D13" s="363"/>
      <c r="E13" s="363">
        <v>3072140</v>
      </c>
      <c r="F13" s="363"/>
      <c r="G13" s="363"/>
      <c r="H13" s="363"/>
      <c r="I13" s="363"/>
      <c r="J13" s="363"/>
      <c r="K13" s="363">
        <v>60002470</v>
      </c>
      <c r="L13" s="363">
        <v>55547549</v>
      </c>
      <c r="M13" s="363">
        <v>-4541949</v>
      </c>
      <c r="N13" s="363">
        <v>51005600</v>
      </c>
      <c r="O13" s="363">
        <v>52144074</v>
      </c>
      <c r="P13" s="363">
        <v>52144074</v>
      </c>
      <c r="Q13" s="363">
        <v>31182901</v>
      </c>
      <c r="R13" s="363">
        <v>5874285</v>
      </c>
      <c r="S13" s="363"/>
      <c r="T13" s="363">
        <v>-38195660</v>
      </c>
      <c r="U13" s="363">
        <v>8553913</v>
      </c>
      <c r="V13" s="363">
        <v>25622196</v>
      </c>
      <c r="W13" s="363">
        <v>-4019551</v>
      </c>
      <c r="X13" s="363">
        <v>32538920</v>
      </c>
      <c r="Y13" s="363">
        <v>53096490</v>
      </c>
      <c r="Z13" s="363">
        <v>3445903</v>
      </c>
      <c r="AA13" s="363">
        <v>5717399</v>
      </c>
      <c r="AB13" s="363">
        <v>96769768</v>
      </c>
      <c r="AC13" s="363">
        <v>53701272</v>
      </c>
      <c r="AD13" s="363">
        <v>9365244</v>
      </c>
      <c r="AE13" s="318">
        <v>159.47</v>
      </c>
      <c r="AF13" s="318">
        <v>66.709999999999994</v>
      </c>
      <c r="AG13" s="364">
        <f t="shared" si="2"/>
        <v>1.5630873246247963E-2</v>
      </c>
    </row>
    <row r="14" spans="1:33" x14ac:dyDescent="0.45">
      <c r="A14" s="333" t="s">
        <v>21</v>
      </c>
      <c r="B14" s="363">
        <v>52897087</v>
      </c>
      <c r="C14" s="363">
        <v>11734954</v>
      </c>
      <c r="D14" s="363"/>
      <c r="E14" s="363">
        <v>4342265</v>
      </c>
      <c r="F14" s="363">
        <v>10067194</v>
      </c>
      <c r="G14" s="363"/>
      <c r="H14" s="363"/>
      <c r="I14" s="363"/>
      <c r="J14" s="363"/>
      <c r="K14" s="363">
        <v>79041500</v>
      </c>
      <c r="L14" s="363">
        <v>75619747</v>
      </c>
      <c r="M14" s="363">
        <v>-51725249</v>
      </c>
      <c r="N14" s="363">
        <v>23894498.18</v>
      </c>
      <c r="O14" s="363">
        <v>44470397</v>
      </c>
      <c r="P14" s="363">
        <v>44067229</v>
      </c>
      <c r="Q14" s="363">
        <v>18754733</v>
      </c>
      <c r="R14" s="363">
        <v>18044807</v>
      </c>
      <c r="S14" s="363">
        <v>871131</v>
      </c>
      <c r="T14" s="363">
        <v>-56101139.82</v>
      </c>
      <c r="U14" s="363">
        <v>41364142.219999999</v>
      </c>
      <c r="V14" s="363">
        <v>1931510</v>
      </c>
      <c r="W14" s="363">
        <v>-13061268.6</v>
      </c>
      <c r="X14" s="363">
        <v>17868002</v>
      </c>
      <c r="Y14" s="363">
        <v>245899244.74000001</v>
      </c>
      <c r="Z14" s="363">
        <v>4091766</v>
      </c>
      <c r="AA14" s="363">
        <v>8343925</v>
      </c>
      <c r="AB14" s="363">
        <v>276256248.35000002</v>
      </c>
      <c r="AC14" s="363">
        <v>219520119.34999999</v>
      </c>
      <c r="AD14" s="363">
        <v>25019099</v>
      </c>
      <c r="AE14" s="318">
        <v>120.16</v>
      </c>
      <c r="AF14" s="318">
        <v>48.66</v>
      </c>
      <c r="AG14" s="364">
        <f t="shared" si="2"/>
        <v>2.059061348130016E-2</v>
      </c>
    </row>
    <row r="15" spans="1:33" x14ac:dyDescent="0.45">
      <c r="A15" s="333" t="s">
        <v>91</v>
      </c>
      <c r="B15" s="363">
        <v>93683032</v>
      </c>
      <c r="C15" s="363">
        <v>6924296</v>
      </c>
      <c r="D15" s="363">
        <v>87079599</v>
      </c>
      <c r="E15" s="363">
        <v>1645444</v>
      </c>
      <c r="F15" s="363">
        <v>107543449</v>
      </c>
      <c r="G15" s="363"/>
      <c r="H15" s="363"/>
      <c r="I15" s="363"/>
      <c r="J15" s="363"/>
      <c r="K15" s="363">
        <v>296875820.38999999</v>
      </c>
      <c r="L15" s="363">
        <v>292988574.88999999</v>
      </c>
      <c r="M15" s="363">
        <v>-69077252</v>
      </c>
      <c r="N15" s="363">
        <v>223911322.72999999</v>
      </c>
      <c r="O15" s="363">
        <v>129382249</v>
      </c>
      <c r="P15" s="363">
        <v>129328920.59999999</v>
      </c>
      <c r="Q15" s="363">
        <v>49807518.670000002</v>
      </c>
      <c r="R15" s="363">
        <v>31613998.239999998</v>
      </c>
      <c r="S15" s="363">
        <v>779194.12</v>
      </c>
      <c r="T15" s="363">
        <v>13940079.34</v>
      </c>
      <c r="U15" s="363">
        <v>32093791.350000001</v>
      </c>
      <c r="V15" s="363">
        <v>5159272.63</v>
      </c>
      <c r="W15" s="363">
        <v>48633486.149999999</v>
      </c>
      <c r="X15" s="363">
        <v>22462890</v>
      </c>
      <c r="Y15" s="363">
        <v>243201685.28</v>
      </c>
      <c r="Z15" s="363">
        <v>46435779</v>
      </c>
      <c r="AA15" s="363">
        <v>21866220</v>
      </c>
      <c r="AB15" s="363">
        <v>333966574.49000001</v>
      </c>
      <c r="AC15" s="363">
        <v>211647823</v>
      </c>
      <c r="AD15" s="363">
        <v>13506429</v>
      </c>
      <c r="AE15" s="318">
        <v>125.52</v>
      </c>
      <c r="AF15" s="318">
        <v>27.79</v>
      </c>
      <c r="AG15" s="364">
        <f t="shared" si="2"/>
        <v>7.733728825483295E-2</v>
      </c>
    </row>
    <row r="16" spans="1:33" x14ac:dyDescent="0.45">
      <c r="A16" s="333" t="s">
        <v>22</v>
      </c>
      <c r="B16" s="363">
        <v>78151418</v>
      </c>
      <c r="C16" s="363">
        <v>53181918</v>
      </c>
      <c r="D16" s="363">
        <v>61185</v>
      </c>
      <c r="E16" s="363">
        <v>2134671</v>
      </c>
      <c r="F16" s="363">
        <v>10013389</v>
      </c>
      <c r="G16" s="363"/>
      <c r="H16" s="363">
        <v>362874.07000002265</v>
      </c>
      <c r="I16" s="363">
        <v>142840.32000000001</v>
      </c>
      <c r="J16" s="363">
        <v>15890110</v>
      </c>
      <c r="K16" s="363">
        <v>159938404.18000001</v>
      </c>
      <c r="L16" s="363">
        <v>139521537.25999999</v>
      </c>
      <c r="M16" s="363">
        <v>-85283951</v>
      </c>
      <c r="N16" s="363">
        <v>54237586.590000004</v>
      </c>
      <c r="O16" s="363">
        <v>86313717</v>
      </c>
      <c r="P16" s="363">
        <v>71754667.310000002</v>
      </c>
      <c r="Q16" s="363">
        <v>58730940.490000002</v>
      </c>
      <c r="R16" s="363">
        <v>14501122.140000001</v>
      </c>
      <c r="S16" s="363">
        <v>52814.92</v>
      </c>
      <c r="T16" s="363">
        <v>-90696328.430000007</v>
      </c>
      <c r="U16" s="363">
        <v>76547786.769999996</v>
      </c>
      <c r="V16" s="363">
        <v>40165089.57</v>
      </c>
      <c r="W16" s="363">
        <v>24715720.52</v>
      </c>
      <c r="X16" s="363">
        <v>44192561</v>
      </c>
      <c r="Y16" s="363">
        <v>442523314.47000003</v>
      </c>
      <c r="Z16" s="363">
        <v>15129014</v>
      </c>
      <c r="AA16" s="363">
        <v>14049847</v>
      </c>
      <c r="AB16" s="363">
        <v>515894736.19999999</v>
      </c>
      <c r="AC16" s="363">
        <v>391952757.38</v>
      </c>
      <c r="AD16" s="363">
        <v>17666294</v>
      </c>
      <c r="AE16" s="318">
        <v>124.18</v>
      </c>
      <c r="AF16" s="318">
        <v>52.49</v>
      </c>
      <c r="AG16" s="364">
        <f t="shared" si="2"/>
        <v>4.1664566857743612E-2</v>
      </c>
    </row>
    <row r="17" spans="1:33" x14ac:dyDescent="0.45">
      <c r="A17" s="333" t="s">
        <v>24</v>
      </c>
      <c r="B17" s="363">
        <v>204993206</v>
      </c>
      <c r="C17" s="363">
        <v>20087106</v>
      </c>
      <c r="D17" s="363">
        <v>39832600</v>
      </c>
      <c r="E17" s="363">
        <v>8549707</v>
      </c>
      <c r="F17" s="363">
        <v>132620850</v>
      </c>
      <c r="G17" s="363"/>
      <c r="H17" s="363"/>
      <c r="I17" s="363"/>
      <c r="J17" s="363">
        <v>6065463</v>
      </c>
      <c r="K17" s="363">
        <v>412148931</v>
      </c>
      <c r="L17" s="363">
        <v>399898493</v>
      </c>
      <c r="M17" s="363">
        <v>-176439083</v>
      </c>
      <c r="N17" s="363">
        <v>223459410</v>
      </c>
      <c r="O17" s="363">
        <v>104921837</v>
      </c>
      <c r="P17" s="363">
        <v>104921837</v>
      </c>
      <c r="Q17" s="363">
        <v>81709809.959999993</v>
      </c>
      <c r="R17" s="363">
        <v>70925985</v>
      </c>
      <c r="S17" s="363"/>
      <c r="T17" s="363">
        <v>-34098221.960000001</v>
      </c>
      <c r="U17" s="363">
        <v>73472801</v>
      </c>
      <c r="V17" s="363">
        <v>-3187549.93</v>
      </c>
      <c r="W17" s="363">
        <v>34377677.630000003</v>
      </c>
      <c r="X17" s="363">
        <v>50799352</v>
      </c>
      <c r="Y17" s="363">
        <v>559430227.5</v>
      </c>
      <c r="Z17" s="363">
        <v>14355470</v>
      </c>
      <c r="AA17" s="363">
        <v>24053664</v>
      </c>
      <c r="AB17" s="363">
        <v>668663449.75</v>
      </c>
      <c r="AC17" s="363">
        <v>465811805.12</v>
      </c>
      <c r="AD17" s="363">
        <v>79586417</v>
      </c>
      <c r="AE17" s="318">
        <v>131</v>
      </c>
      <c r="AF17" s="318">
        <v>38.17</v>
      </c>
      <c r="AG17" s="364">
        <f t="shared" si="2"/>
        <v>0.10736637506818632</v>
      </c>
    </row>
    <row r="18" spans="1:33" x14ac:dyDescent="0.45">
      <c r="A18" s="333" t="s">
        <v>25</v>
      </c>
      <c r="B18" s="363">
        <v>10450290</v>
      </c>
      <c r="C18" s="363">
        <v>1371531</v>
      </c>
      <c r="D18" s="363"/>
      <c r="E18" s="363">
        <v>1638497</v>
      </c>
      <c r="F18" s="363">
        <v>660412</v>
      </c>
      <c r="G18" s="363"/>
      <c r="H18" s="363"/>
      <c r="I18" s="363"/>
      <c r="J18" s="363">
        <v>22310838</v>
      </c>
      <c r="K18" s="363">
        <v>36431568</v>
      </c>
      <c r="L18" s="363">
        <v>36330259</v>
      </c>
      <c r="M18" s="363">
        <v>-11771173</v>
      </c>
      <c r="N18" s="363">
        <v>24559086</v>
      </c>
      <c r="O18" s="363">
        <v>25585346</v>
      </c>
      <c r="P18" s="363">
        <v>25585346</v>
      </c>
      <c r="Q18" s="363">
        <v>11978493</v>
      </c>
      <c r="R18" s="363">
        <v>737390</v>
      </c>
      <c r="S18" s="363"/>
      <c r="T18" s="363">
        <v>-13742143</v>
      </c>
      <c r="U18" s="363">
        <v>10545652</v>
      </c>
      <c r="V18" s="363">
        <v>5505845</v>
      </c>
      <c r="W18" s="363">
        <v>2193886</v>
      </c>
      <c r="X18" s="363">
        <v>3850987</v>
      </c>
      <c r="Y18" s="363">
        <v>125390086</v>
      </c>
      <c r="Z18" s="363">
        <v>7000508</v>
      </c>
      <c r="AA18" s="363">
        <v>2686893</v>
      </c>
      <c r="AB18" s="363">
        <v>139311597</v>
      </c>
      <c r="AC18" s="363">
        <v>77144665</v>
      </c>
      <c r="AD18" s="363">
        <v>2090939</v>
      </c>
      <c r="AE18" s="318">
        <v>167.53</v>
      </c>
      <c r="AF18" s="318">
        <v>35</v>
      </c>
      <c r="AG18" s="364">
        <f t="shared" si="2"/>
        <v>9.4905629979909721E-3</v>
      </c>
    </row>
    <row r="19" spans="1:33" x14ac:dyDescent="0.45">
      <c r="A19" s="333" t="s">
        <v>141</v>
      </c>
      <c r="B19" s="363">
        <v>4825792</v>
      </c>
      <c r="C19" s="363">
        <v>14692053</v>
      </c>
      <c r="D19" s="363">
        <v>510653</v>
      </c>
      <c r="E19" s="363">
        <v>30628046</v>
      </c>
      <c r="F19" s="363">
        <v>3969654</v>
      </c>
      <c r="G19" s="363"/>
      <c r="H19" s="363"/>
      <c r="I19" s="363"/>
      <c r="J19" s="363">
        <v>60624038</v>
      </c>
      <c r="K19" s="363">
        <v>115250237.13</v>
      </c>
      <c r="L19" s="363">
        <v>96302989.129999995</v>
      </c>
      <c r="M19" s="363">
        <v>-6790763</v>
      </c>
      <c r="N19" s="363">
        <v>89512226.129999995</v>
      </c>
      <c r="O19" s="363">
        <v>20043789</v>
      </c>
      <c r="P19" s="363">
        <v>16188706</v>
      </c>
      <c r="Q19" s="363">
        <v>27108277.23</v>
      </c>
      <c r="R19" s="363">
        <v>57068307</v>
      </c>
      <c r="S19" s="363">
        <v>895604.68</v>
      </c>
      <c r="T19" s="363">
        <v>-9957459.4199999999</v>
      </c>
      <c r="U19" s="363">
        <v>11104982</v>
      </c>
      <c r="V19" s="363">
        <v>2598229.06</v>
      </c>
      <c r="W19" s="363">
        <v>3558463.64</v>
      </c>
      <c r="X19" s="363">
        <v>4380250</v>
      </c>
      <c r="Y19" s="363">
        <v>67323929.689999998</v>
      </c>
      <c r="Z19" s="363">
        <v>12534770</v>
      </c>
      <c r="AA19" s="363">
        <v>4468253</v>
      </c>
      <c r="AB19" s="363">
        <v>92264362.140000001</v>
      </c>
      <c r="AC19" s="363">
        <v>16873256.760000002</v>
      </c>
      <c r="AD19" s="363">
        <v>21067850</v>
      </c>
      <c r="AE19" s="318">
        <v>424.96</v>
      </c>
      <c r="AF19" s="318">
        <v>87.41</v>
      </c>
      <c r="AG19" s="364">
        <f>K19/$K$23</f>
        <v>3.0023128184207257E-2</v>
      </c>
    </row>
    <row r="20" spans="1:33" x14ac:dyDescent="0.45">
      <c r="A20" s="333" t="s">
        <v>27</v>
      </c>
      <c r="B20" s="363">
        <v>582380089</v>
      </c>
      <c r="C20" s="363">
        <v>29271696</v>
      </c>
      <c r="D20" s="363">
        <v>124660</v>
      </c>
      <c r="E20" s="363">
        <v>5548150</v>
      </c>
      <c r="F20" s="363">
        <v>38767316</v>
      </c>
      <c r="G20" s="363"/>
      <c r="H20" s="363"/>
      <c r="I20" s="363"/>
      <c r="J20" s="363"/>
      <c r="K20" s="363">
        <v>656091909.51999998</v>
      </c>
      <c r="L20" s="363">
        <v>649441044.28999996</v>
      </c>
      <c r="M20" s="363">
        <v>-154229903</v>
      </c>
      <c r="N20" s="363">
        <v>495211141.68000001</v>
      </c>
      <c r="O20" s="363">
        <v>465303011</v>
      </c>
      <c r="P20" s="363">
        <v>464034621.16000003</v>
      </c>
      <c r="Q20" s="363">
        <v>122709009.98999999</v>
      </c>
      <c r="R20" s="363">
        <v>36156560.420000002</v>
      </c>
      <c r="S20" s="363">
        <v>1795964.95</v>
      </c>
      <c r="T20" s="363">
        <v>-125893084.94</v>
      </c>
      <c r="U20" s="363">
        <v>114002534.81</v>
      </c>
      <c r="V20" s="363">
        <v>18512548.620000001</v>
      </c>
      <c r="W20" s="363">
        <v>6290898.5599999996</v>
      </c>
      <c r="X20" s="363">
        <v>25915249</v>
      </c>
      <c r="Y20" s="363">
        <v>973927331.72000003</v>
      </c>
      <c r="Z20" s="363">
        <v>204713515</v>
      </c>
      <c r="AA20" s="363">
        <v>72625622</v>
      </c>
      <c r="AB20" s="363">
        <v>1277181718.48</v>
      </c>
      <c r="AC20" s="363">
        <v>956413145.39999998</v>
      </c>
      <c r="AD20" s="363">
        <v>102697729</v>
      </c>
      <c r="AE20" s="318">
        <v>104.54</v>
      </c>
      <c r="AF20" s="318">
        <v>24.46</v>
      </c>
      <c r="AG20" s="364">
        <f t="shared" si="2"/>
        <v>0.17091445528152269</v>
      </c>
    </row>
    <row r="21" spans="1:33" x14ac:dyDescent="0.45">
      <c r="A21" s="333" t="s">
        <v>28</v>
      </c>
      <c r="B21" s="363">
        <v>29663524</v>
      </c>
      <c r="C21" s="363">
        <v>11565068</v>
      </c>
      <c r="D21" s="363">
        <v>112463161</v>
      </c>
      <c r="E21" s="363">
        <v>12022182</v>
      </c>
      <c r="F21" s="363">
        <v>510653068</v>
      </c>
      <c r="G21" s="363"/>
      <c r="H21" s="363"/>
      <c r="I21" s="363"/>
      <c r="J21" s="363"/>
      <c r="K21" s="363">
        <v>676367003</v>
      </c>
      <c r="L21" s="363">
        <v>666118512</v>
      </c>
      <c r="M21" s="363">
        <v>-235175861</v>
      </c>
      <c r="N21" s="363">
        <v>430942651</v>
      </c>
      <c r="O21" s="363">
        <v>311767097</v>
      </c>
      <c r="P21" s="363">
        <v>311767097</v>
      </c>
      <c r="Q21" s="363">
        <v>86807322</v>
      </c>
      <c r="R21" s="363">
        <v>86174969</v>
      </c>
      <c r="S21" s="363">
        <v>2800332</v>
      </c>
      <c r="T21" s="363">
        <v>-51006405</v>
      </c>
      <c r="U21" s="363">
        <v>370814721</v>
      </c>
      <c r="V21" s="363">
        <v>26734838</v>
      </c>
      <c r="W21" s="363">
        <v>263759909</v>
      </c>
      <c r="X21" s="363">
        <v>80875798</v>
      </c>
      <c r="Y21" s="363">
        <v>2011359617</v>
      </c>
      <c r="Z21" s="363">
        <v>120545263</v>
      </c>
      <c r="AA21" s="363">
        <v>58924640</v>
      </c>
      <c r="AB21" s="363">
        <v>2271911787.0599999</v>
      </c>
      <c r="AC21" s="363">
        <v>1188249263</v>
      </c>
      <c r="AD21" s="363">
        <v>234744142</v>
      </c>
      <c r="AE21" s="318">
        <v>176.08</v>
      </c>
      <c r="AF21" s="318">
        <v>25.97</v>
      </c>
      <c r="AG21" s="364">
        <f t="shared" si="2"/>
        <v>0.17619619478727486</v>
      </c>
    </row>
    <row r="22" spans="1:33" x14ac:dyDescent="0.45">
      <c r="A22" s="333" t="s">
        <v>31</v>
      </c>
      <c r="B22" s="363">
        <v>4562933</v>
      </c>
      <c r="C22" s="363">
        <v>6139591</v>
      </c>
      <c r="D22" s="363">
        <v>1278736</v>
      </c>
      <c r="E22" s="363">
        <v>121792</v>
      </c>
      <c r="F22" s="363">
        <v>3185531</v>
      </c>
      <c r="G22" s="363"/>
      <c r="H22" s="363"/>
      <c r="I22" s="363"/>
      <c r="J22" s="363"/>
      <c r="K22" s="363">
        <v>15288583</v>
      </c>
      <c r="L22" s="363">
        <v>13438691.810000001</v>
      </c>
      <c r="M22" s="363">
        <v>-3111212</v>
      </c>
      <c r="N22" s="363">
        <v>10327479.810000001</v>
      </c>
      <c r="O22" s="363">
        <v>6468042</v>
      </c>
      <c r="P22" s="363">
        <v>6521043</v>
      </c>
      <c r="Q22" s="363">
        <v>14867390.439999999</v>
      </c>
      <c r="R22" s="363">
        <v>1278044.1200000001</v>
      </c>
      <c r="S22" s="363">
        <v>498295</v>
      </c>
      <c r="T22" s="363">
        <v>-11840702.75</v>
      </c>
      <c r="U22" s="363">
        <v>242980.5</v>
      </c>
      <c r="V22" s="363">
        <v>4736924.3</v>
      </c>
      <c r="W22" s="363">
        <v>-6860797.9500000002</v>
      </c>
      <c r="X22" s="363">
        <v>12790602</v>
      </c>
      <c r="Y22" s="363">
        <v>21780492</v>
      </c>
      <c r="Z22" s="363">
        <v>7341046</v>
      </c>
      <c r="AA22" s="363">
        <v>6800996</v>
      </c>
      <c r="AB22" s="363">
        <v>48713135.539999999</v>
      </c>
      <c r="AC22" s="363">
        <v>12834583.970000001</v>
      </c>
      <c r="AD22" s="363">
        <v>3977670</v>
      </c>
      <c r="AE22" s="318">
        <v>269.36</v>
      </c>
      <c r="AF22" s="318">
        <v>120.14</v>
      </c>
      <c r="AG22" s="364">
        <f t="shared" si="2"/>
        <v>3.9827344272284357E-3</v>
      </c>
    </row>
    <row r="23" spans="1:33" s="137" customFormat="1" x14ac:dyDescent="0.45">
      <c r="A23" s="357" t="s">
        <v>67</v>
      </c>
      <c r="B23" s="358">
        <f t="shared" ref="B23:AD23" si="3">SUM(B6:B22)</f>
        <v>1726294794</v>
      </c>
      <c r="C23" s="358">
        <f t="shared" si="3"/>
        <v>338072529</v>
      </c>
      <c r="D23" s="358">
        <f t="shared" si="3"/>
        <v>307105989</v>
      </c>
      <c r="E23" s="358">
        <f t="shared" si="3"/>
        <v>113386993</v>
      </c>
      <c r="F23" s="358">
        <f t="shared" si="3"/>
        <v>1188157275</v>
      </c>
      <c r="G23" s="358">
        <f t="shared" si="3"/>
        <v>493297</v>
      </c>
      <c r="H23" s="358">
        <f t="shared" si="3"/>
        <v>362874.07000002265</v>
      </c>
      <c r="I23" s="358">
        <f t="shared" si="3"/>
        <v>142840.32000000001</v>
      </c>
      <c r="J23" s="358">
        <f t="shared" si="3"/>
        <v>164698566</v>
      </c>
      <c r="K23" s="358">
        <f t="shared" si="3"/>
        <v>3838715153.9600005</v>
      </c>
      <c r="L23" s="358">
        <f t="shared" si="3"/>
        <v>3710106914.4500003</v>
      </c>
      <c r="M23" s="359">
        <f t="shared" si="3"/>
        <v>-1158544409</v>
      </c>
      <c r="N23" s="358">
        <f t="shared" si="3"/>
        <v>2551562506.9599996</v>
      </c>
      <c r="O23" s="358">
        <f>SUM(O6:O22)</f>
        <v>1873328634</v>
      </c>
      <c r="P23" s="360">
        <f>SUM(P6:P22)</f>
        <v>1848597314.0600002</v>
      </c>
      <c r="Q23" s="360">
        <f>SUM(Q6:Q22)</f>
        <v>789326335.75000012</v>
      </c>
      <c r="R23" s="360">
        <f>SUM(R6:R22)</f>
        <v>526247231.29000008</v>
      </c>
      <c r="S23" s="360">
        <f>SUM(S6:S22)</f>
        <v>13188185.9</v>
      </c>
      <c r="T23" s="360">
        <f t="shared" si="3"/>
        <v>-599420188.23000002</v>
      </c>
      <c r="U23" s="360">
        <f t="shared" si="3"/>
        <v>1048204452.4000001</v>
      </c>
      <c r="V23" s="360">
        <f t="shared" si="3"/>
        <v>164066384.58000001</v>
      </c>
      <c r="W23" s="360">
        <f t="shared" si="3"/>
        <v>515606704.5</v>
      </c>
      <c r="X23" s="360">
        <f t="shared" si="3"/>
        <v>513002404</v>
      </c>
      <c r="Y23" s="360">
        <f t="shared" si="3"/>
        <v>7064284771.3400002</v>
      </c>
      <c r="Z23" s="360">
        <f t="shared" si="3"/>
        <v>561745996</v>
      </c>
      <c r="AA23" s="360">
        <f t="shared" si="3"/>
        <v>313534901</v>
      </c>
      <c r="AB23" s="360">
        <f>SUM(AB6:AB22)</f>
        <v>8479362076.9100008</v>
      </c>
      <c r="AC23" s="360">
        <f t="shared" si="3"/>
        <v>5215982687.6900005</v>
      </c>
      <c r="AD23" s="360">
        <f t="shared" si="3"/>
        <v>780896702</v>
      </c>
      <c r="AE23" s="361">
        <f>SUM(AE6:AE22)/COUNT(AE6:AE22)</f>
        <v>200.90294117647062</v>
      </c>
      <c r="AF23" s="361">
        <f>SUM(AF6:AF22)/COUNT(AF6:AF22)</f>
        <v>81.445882352941183</v>
      </c>
      <c r="AG23" s="364"/>
    </row>
    <row r="24" spans="1:33" x14ac:dyDescent="0.45">
      <c r="B24" s="324"/>
      <c r="C24" s="324"/>
      <c r="D24" s="324"/>
      <c r="E24" s="324"/>
      <c r="F24" s="324"/>
      <c r="G24" s="324"/>
      <c r="H24" s="324"/>
      <c r="I24" s="324"/>
      <c r="J24" s="324"/>
      <c r="K24" s="324"/>
      <c r="L24" s="324"/>
      <c r="M24" s="324"/>
      <c r="N24" s="325"/>
      <c r="O24" s="325"/>
      <c r="P24" s="324"/>
      <c r="Q24" s="324"/>
      <c r="R24" s="324"/>
      <c r="S24" s="324"/>
      <c r="T24" s="324"/>
      <c r="U24" s="324"/>
      <c r="V24" s="324"/>
      <c r="W24" s="324"/>
      <c r="X24" s="324"/>
      <c r="Y24" s="324"/>
      <c r="Z24" s="324"/>
      <c r="AA24" s="324"/>
      <c r="AB24" s="324"/>
      <c r="AC24" s="324"/>
      <c r="AD24" s="324"/>
      <c r="AE24" s="324"/>
      <c r="AF24" s="324"/>
      <c r="AG24" s="324"/>
    </row>
  </sheetData>
  <mergeCells count="1">
    <mergeCell ref="B1:AG1"/>
  </mergeCells>
  <dataValidations count="1">
    <dataValidation type="list" allowBlank="1" showInputMessage="1" showErrorMessage="1" sqref="A3" xr:uid="{00000000-0002-0000-2E00-000000000000}">
      <formula1>$A$6:$A$23</formula1>
    </dataValidation>
  </dataValidations>
  <pageMargins left="0.7" right="0.7" top="0.75" bottom="0.75" header="0.3" footer="0.3"/>
  <customProperties>
    <customPr name="LastActive" r:id="rId1"/>
  </customProperties>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AQ24"/>
  <sheetViews>
    <sheetView topLeftCell="A5" workbookViewId="0">
      <pane xSplit="1" topLeftCell="B1" activePane="topRight" state="frozen"/>
      <selection pane="topRight" activeCell="C12" sqref="C12"/>
    </sheetView>
  </sheetViews>
  <sheetFormatPr defaultRowHeight="14.25" x14ac:dyDescent="0.45"/>
  <cols>
    <col min="1" max="1" width="42.3984375" bestFit="1" customWidth="1"/>
    <col min="2" max="2" width="20.73046875" style="326" customWidth="1"/>
    <col min="3" max="5" width="17.73046875" style="326" bestFit="1" customWidth="1"/>
    <col min="6" max="10" width="19" style="326" customWidth="1"/>
    <col min="11" max="11" width="19.3984375" style="326" bestFit="1" customWidth="1"/>
    <col min="12" max="12" width="14.3984375" style="326" bestFit="1" customWidth="1"/>
    <col min="13" max="13" width="17.73046875" style="326" customWidth="1"/>
    <col min="14" max="14" width="27.3984375" style="326" bestFit="1" customWidth="1"/>
    <col min="15" max="15" width="21.73046875" style="326" bestFit="1" customWidth="1"/>
    <col min="16" max="16" width="21.73046875" style="326" customWidth="1"/>
    <col min="17" max="17" width="20" style="326" bestFit="1" customWidth="1"/>
    <col min="18" max="18" width="22" style="326" customWidth="1"/>
    <col min="19" max="19" width="20.73046875" style="326" bestFit="1" customWidth="1"/>
    <col min="20" max="20" width="20.73046875" style="326" customWidth="1"/>
    <col min="21" max="21" width="22.73046875" style="326" bestFit="1" customWidth="1"/>
    <col min="22" max="22" width="22.73046875" style="326" customWidth="1"/>
    <col min="23" max="23" width="19.265625" style="326" bestFit="1" customWidth="1"/>
    <col min="24" max="24" width="25.265625" style="326" bestFit="1" customWidth="1"/>
    <col min="25" max="25" width="18.73046875" style="326" bestFit="1" customWidth="1"/>
    <col min="26" max="26" width="20" style="326" bestFit="1" customWidth="1"/>
    <col min="27" max="27" width="20" style="326" customWidth="1"/>
    <col min="28" max="28" width="19.3984375" style="326" bestFit="1" customWidth="1"/>
    <col min="29" max="30" width="19.3984375" style="326" customWidth="1"/>
    <col min="31" max="31" width="21.265625" style="326" bestFit="1" customWidth="1"/>
    <col min="32" max="32" width="17.73046875" style="326" bestFit="1" customWidth="1"/>
    <col min="33" max="33" width="18.265625" style="326" bestFit="1" customWidth="1"/>
    <col min="34" max="34" width="21.265625" style="326" bestFit="1" customWidth="1"/>
    <col min="35" max="35" width="22.265625" style="326" bestFit="1" customWidth="1"/>
    <col min="36" max="36" width="18.73046875" style="326" bestFit="1" customWidth="1"/>
    <col min="37" max="38" width="18.73046875" style="326" customWidth="1"/>
    <col min="39" max="39" width="18.73046875" style="373" customWidth="1"/>
    <col min="40" max="40" width="17.265625" style="326" bestFit="1" customWidth="1"/>
    <col min="41" max="42" width="17.265625" style="326" customWidth="1"/>
    <col min="43" max="43" width="13" style="326" bestFit="1" customWidth="1"/>
  </cols>
  <sheetData>
    <row r="1" spans="1:43" ht="20.65" x14ac:dyDescent="0.55000000000000004">
      <c r="A1" s="341" t="s">
        <v>147</v>
      </c>
      <c r="B1" s="388" t="s">
        <v>99</v>
      </c>
      <c r="C1" s="388"/>
      <c r="D1" s="388"/>
      <c r="E1" s="388"/>
      <c r="F1" s="388"/>
      <c r="G1" s="388"/>
      <c r="H1" s="388"/>
      <c r="I1" s="388"/>
      <c r="J1" s="388"/>
      <c r="K1" s="388"/>
      <c r="L1" s="388"/>
      <c r="M1" s="388"/>
      <c r="N1" s="388"/>
      <c r="O1" s="388"/>
      <c r="P1" s="388"/>
      <c r="Q1" s="388"/>
      <c r="R1" s="388"/>
      <c r="S1" s="388"/>
      <c r="T1" s="388"/>
      <c r="U1" s="388"/>
      <c r="V1" s="388"/>
      <c r="W1" s="388"/>
      <c r="X1" s="388"/>
      <c r="Y1" s="388"/>
      <c r="Z1" s="388"/>
      <c r="AA1" s="388"/>
      <c r="AB1" s="388"/>
      <c r="AC1" s="388"/>
      <c r="AD1" s="388"/>
      <c r="AE1" s="388"/>
      <c r="AF1" s="388"/>
      <c r="AG1" s="388"/>
      <c r="AH1" s="388"/>
      <c r="AI1" s="388"/>
      <c r="AJ1" s="388"/>
      <c r="AK1" s="388"/>
      <c r="AL1" s="388"/>
      <c r="AM1" s="388"/>
      <c r="AN1" s="388"/>
      <c r="AO1" s="388"/>
      <c r="AP1" s="388"/>
      <c r="AQ1" s="388"/>
    </row>
    <row r="2" spans="1:43" ht="68.25" x14ac:dyDescent="0.45">
      <c r="A2" s="349"/>
      <c r="B2" s="342" t="s">
        <v>148</v>
      </c>
      <c r="C2" s="342" t="s">
        <v>149</v>
      </c>
      <c r="D2" s="342" t="s">
        <v>150</v>
      </c>
      <c r="E2" s="342" t="s">
        <v>151</v>
      </c>
      <c r="F2" s="342" t="s">
        <v>152</v>
      </c>
      <c r="G2" s="342" t="s">
        <v>111</v>
      </c>
      <c r="H2" s="342" t="s">
        <v>153</v>
      </c>
      <c r="I2" s="342" t="s">
        <v>154</v>
      </c>
      <c r="J2" s="342" t="s">
        <v>114</v>
      </c>
      <c r="K2" s="342" t="s">
        <v>155</v>
      </c>
      <c r="L2" s="342" t="s">
        <v>156</v>
      </c>
      <c r="M2" s="342" t="s">
        <v>157</v>
      </c>
      <c r="N2" s="342" t="s">
        <v>116</v>
      </c>
      <c r="O2" s="342" t="s">
        <v>158</v>
      </c>
      <c r="P2" s="342" t="s">
        <v>159</v>
      </c>
      <c r="Q2" s="342" t="s">
        <v>160</v>
      </c>
      <c r="R2" s="342" t="s">
        <v>161</v>
      </c>
      <c r="S2" s="342" t="s">
        <v>162</v>
      </c>
      <c r="T2" s="342" t="s">
        <v>163</v>
      </c>
      <c r="U2" s="342" t="s">
        <v>164</v>
      </c>
      <c r="V2" s="342" t="s">
        <v>165</v>
      </c>
      <c r="W2" s="342" t="s">
        <v>166</v>
      </c>
      <c r="X2" s="342" t="s">
        <v>121</v>
      </c>
      <c r="Y2" s="342" t="s">
        <v>167</v>
      </c>
      <c r="Z2" s="342" t="s">
        <v>168</v>
      </c>
      <c r="AA2" s="342" t="s">
        <v>169</v>
      </c>
      <c r="AB2" s="342" t="s">
        <v>128</v>
      </c>
      <c r="AC2" s="342" t="s">
        <v>170</v>
      </c>
      <c r="AD2" s="342" t="s">
        <v>171</v>
      </c>
      <c r="AE2" s="342" t="s">
        <v>79</v>
      </c>
      <c r="AF2" s="342" t="s">
        <v>129</v>
      </c>
      <c r="AG2" s="342" t="s">
        <v>130</v>
      </c>
      <c r="AH2" s="343" t="s">
        <v>13</v>
      </c>
      <c r="AI2" s="343" t="s">
        <v>172</v>
      </c>
      <c r="AJ2" s="343" t="s">
        <v>173</v>
      </c>
      <c r="AK2" s="343" t="s">
        <v>174</v>
      </c>
      <c r="AL2" s="343" t="s">
        <v>175</v>
      </c>
      <c r="AM2" s="375" t="s">
        <v>176</v>
      </c>
      <c r="AN2" s="344" t="s">
        <v>177</v>
      </c>
      <c r="AO2" s="344" t="s">
        <v>178</v>
      </c>
      <c r="AP2" s="344" t="s">
        <v>179</v>
      </c>
      <c r="AQ2" s="344" t="s">
        <v>12</v>
      </c>
    </row>
    <row r="3" spans="1:43" x14ac:dyDescent="0.45">
      <c r="A3" s="350" t="s">
        <v>21</v>
      </c>
      <c r="B3" s="345">
        <f t="shared" ref="B3:AQ3" si="0">INDEX(B6:B23,MATCH($A$3,$A$6:$A$23,0))</f>
        <v>0</v>
      </c>
      <c r="C3" s="345">
        <f t="shared" si="0"/>
        <v>1372861</v>
      </c>
      <c r="D3" s="345">
        <f t="shared" si="0"/>
        <v>0</v>
      </c>
      <c r="E3" s="345">
        <f t="shared" si="0"/>
        <v>2949065</v>
      </c>
      <c r="F3" s="345">
        <f t="shared" si="0"/>
        <v>2391823</v>
      </c>
      <c r="G3" s="345">
        <f t="shared" si="0"/>
        <v>2294864</v>
      </c>
      <c r="H3" s="345">
        <f t="shared" si="0"/>
        <v>0</v>
      </c>
      <c r="I3" s="345">
        <f t="shared" si="0"/>
        <v>0</v>
      </c>
      <c r="J3" s="345">
        <f t="shared" si="0"/>
        <v>0</v>
      </c>
      <c r="K3" s="345">
        <f t="shared" si="0"/>
        <v>0</v>
      </c>
      <c r="L3" s="345">
        <f t="shared" si="0"/>
        <v>0</v>
      </c>
      <c r="M3" s="345">
        <f t="shared" si="0"/>
        <v>0</v>
      </c>
      <c r="N3" s="345">
        <f t="shared" si="0"/>
        <v>0</v>
      </c>
      <c r="O3" s="345">
        <f t="shared" si="0"/>
        <v>9008613</v>
      </c>
      <c r="P3" s="345"/>
      <c r="Q3" s="345">
        <f t="shared" si="0"/>
        <v>12128056</v>
      </c>
      <c r="R3" s="345">
        <f t="shared" si="0"/>
        <v>-3119443</v>
      </c>
      <c r="S3" s="345">
        <f t="shared" si="0"/>
        <v>604749</v>
      </c>
      <c r="T3" s="345">
        <f t="shared" si="0"/>
        <v>12128056</v>
      </c>
      <c r="U3" s="345">
        <f t="shared" si="0"/>
        <v>3037497</v>
      </c>
      <c r="V3" s="345">
        <f t="shared" si="0"/>
        <v>10413632</v>
      </c>
      <c r="W3" s="345">
        <f t="shared" si="0"/>
        <v>-3842662</v>
      </c>
      <c r="X3" s="345">
        <f t="shared" si="0"/>
        <v>13634326</v>
      </c>
      <c r="Y3" s="345">
        <f t="shared" si="0"/>
        <v>-3895904</v>
      </c>
      <c r="Z3" s="345">
        <f t="shared" si="0"/>
        <v>-604749</v>
      </c>
      <c r="AA3" s="345">
        <f t="shared" si="0"/>
        <v>5291011</v>
      </c>
      <c r="AB3" s="345">
        <f t="shared" si="0"/>
        <v>30827948</v>
      </c>
      <c r="AC3" s="345">
        <f t="shared" si="0"/>
        <v>0</v>
      </c>
      <c r="AD3" s="345">
        <f t="shared" si="0"/>
        <v>1350727</v>
      </c>
      <c r="AE3" s="345">
        <f t="shared" si="0"/>
        <v>256520956</v>
      </c>
      <c r="AF3" s="345">
        <f t="shared" si="0"/>
        <v>2836446</v>
      </c>
      <c r="AG3" s="345">
        <f t="shared" si="0"/>
        <v>7844575</v>
      </c>
      <c r="AH3" s="345">
        <f t="shared" si="0"/>
        <v>299411233</v>
      </c>
      <c r="AI3" s="345">
        <f t="shared" si="0"/>
        <v>220995873</v>
      </c>
      <c r="AJ3" s="345">
        <f t="shared" si="0"/>
        <v>0</v>
      </c>
      <c r="AK3" s="345">
        <f t="shared" si="0"/>
        <v>410</v>
      </c>
      <c r="AL3" s="345">
        <f t="shared" si="0"/>
        <v>1784208</v>
      </c>
      <c r="AM3" s="346">
        <f t="shared" si="0"/>
        <v>0.44440293276364401</v>
      </c>
      <c r="AN3" s="346">
        <f t="shared" si="0"/>
        <v>-0.46885637664765401</v>
      </c>
      <c r="AO3" s="346">
        <f t="shared" si="0"/>
        <v>0.37061543208799502</v>
      </c>
      <c r="AP3" s="346">
        <f t="shared" si="0"/>
        <v>7.3787500675649306E-2</v>
      </c>
      <c r="AQ3" s="346">
        <f t="shared" si="0"/>
        <v>0.11002549010269722</v>
      </c>
    </row>
    <row r="4" spans="1:43" x14ac:dyDescent="0.45">
      <c r="A4" s="348"/>
      <c r="B4" s="347"/>
      <c r="C4" s="347"/>
      <c r="D4" s="347"/>
      <c r="E4" s="347"/>
      <c r="F4" s="347"/>
      <c r="G4" s="347"/>
      <c r="H4" s="347"/>
      <c r="I4" s="347"/>
      <c r="J4" s="347"/>
      <c r="K4" s="347"/>
      <c r="L4" s="347"/>
      <c r="M4" s="347"/>
      <c r="N4" s="347"/>
      <c r="O4" s="347"/>
      <c r="P4" s="347"/>
      <c r="Q4" s="347"/>
      <c r="R4" s="347"/>
      <c r="S4" s="347"/>
      <c r="T4" s="347"/>
      <c r="U4" s="347"/>
      <c r="V4" s="347"/>
      <c r="W4" s="347"/>
      <c r="X4" s="347"/>
      <c r="Y4" s="347"/>
      <c r="Z4" s="347"/>
      <c r="AA4" s="347"/>
      <c r="AB4" s="347"/>
      <c r="AC4" s="347"/>
      <c r="AD4" s="347"/>
      <c r="AE4" s="347"/>
      <c r="AF4" s="347"/>
      <c r="AG4" s="347"/>
      <c r="AH4" s="347"/>
      <c r="AI4" s="347"/>
      <c r="AJ4" s="347"/>
      <c r="AK4" s="347"/>
      <c r="AL4" s="347"/>
      <c r="AM4" s="370"/>
      <c r="AN4" s="347"/>
      <c r="AO4" s="347"/>
      <c r="AP4" s="347"/>
      <c r="AQ4" s="347"/>
    </row>
    <row r="5" spans="1:43" s="295" customFormat="1" ht="71.25" x14ac:dyDescent="0.45">
      <c r="A5" s="332" t="s">
        <v>126</v>
      </c>
      <c r="B5" s="332" t="s">
        <v>148</v>
      </c>
      <c r="C5" s="332" t="s">
        <v>149</v>
      </c>
      <c r="D5" s="332" t="s">
        <v>150</v>
      </c>
      <c r="E5" s="332" t="s">
        <v>151</v>
      </c>
      <c r="F5" s="332" t="s">
        <v>152</v>
      </c>
      <c r="G5" s="332" t="s">
        <v>111</v>
      </c>
      <c r="H5" s="332" t="s">
        <v>153</v>
      </c>
      <c r="I5" s="332" t="s">
        <v>154</v>
      </c>
      <c r="J5" s="332" t="s">
        <v>114</v>
      </c>
      <c r="K5" s="332" t="s">
        <v>155</v>
      </c>
      <c r="L5" s="332" t="s">
        <v>156</v>
      </c>
      <c r="M5" s="332" t="s">
        <v>157</v>
      </c>
      <c r="N5" s="332" t="s">
        <v>116</v>
      </c>
      <c r="O5" s="335" t="s">
        <v>158</v>
      </c>
      <c r="P5" s="335" t="s">
        <v>159</v>
      </c>
      <c r="Q5" s="335" t="s">
        <v>160</v>
      </c>
      <c r="R5" s="335" t="s">
        <v>161</v>
      </c>
      <c r="S5" s="335" t="s">
        <v>162</v>
      </c>
      <c r="T5" s="335" t="s">
        <v>163</v>
      </c>
      <c r="U5" s="335" t="s">
        <v>164</v>
      </c>
      <c r="V5" s="335" t="s">
        <v>165</v>
      </c>
      <c r="W5" s="335" t="s">
        <v>166</v>
      </c>
      <c r="X5" s="335" t="s">
        <v>121</v>
      </c>
      <c r="Y5" s="335" t="s">
        <v>167</v>
      </c>
      <c r="Z5" s="335" t="s">
        <v>168</v>
      </c>
      <c r="AA5" s="335" t="s">
        <v>169</v>
      </c>
      <c r="AB5" s="335" t="s">
        <v>128</v>
      </c>
      <c r="AC5" s="335" t="s">
        <v>170</v>
      </c>
      <c r="AD5" s="335" t="s">
        <v>171</v>
      </c>
      <c r="AE5" s="335" t="s">
        <v>79</v>
      </c>
      <c r="AF5" s="335" t="s">
        <v>129</v>
      </c>
      <c r="AG5" s="335" t="s">
        <v>130</v>
      </c>
      <c r="AH5" s="336" t="s">
        <v>13</v>
      </c>
      <c r="AI5" s="336" t="s">
        <v>172</v>
      </c>
      <c r="AJ5" s="336" t="s">
        <v>173</v>
      </c>
      <c r="AK5" s="336" t="s">
        <v>174</v>
      </c>
      <c r="AL5" s="336" t="s">
        <v>175</v>
      </c>
      <c r="AM5" s="376" t="s">
        <v>176</v>
      </c>
      <c r="AN5" s="336" t="s">
        <v>177</v>
      </c>
      <c r="AO5" s="336" t="s">
        <v>178</v>
      </c>
      <c r="AP5" s="336" t="s">
        <v>179</v>
      </c>
      <c r="AQ5" s="337" t="s">
        <v>12</v>
      </c>
    </row>
    <row r="6" spans="1:43" x14ac:dyDescent="0.45">
      <c r="A6" s="333" t="s">
        <v>80</v>
      </c>
      <c r="B6" s="363"/>
      <c r="C6" s="363"/>
      <c r="D6" s="363"/>
      <c r="E6" s="363"/>
      <c r="F6" s="363"/>
      <c r="G6" s="363"/>
      <c r="H6" s="363"/>
      <c r="I6" s="363"/>
      <c r="J6" s="363"/>
      <c r="K6" s="363"/>
      <c r="L6" s="363"/>
      <c r="M6" s="363"/>
      <c r="N6" s="363"/>
      <c r="O6" s="363"/>
      <c r="P6" s="363"/>
      <c r="Q6" s="363"/>
      <c r="R6" s="363"/>
      <c r="S6" s="363"/>
      <c r="T6" s="363"/>
      <c r="U6" s="363"/>
      <c r="V6" s="363"/>
      <c r="W6" s="363"/>
      <c r="X6" s="363"/>
      <c r="Y6" s="363"/>
      <c r="Z6" s="363"/>
      <c r="AA6" s="363"/>
      <c r="AB6" s="363"/>
      <c r="AC6" s="363"/>
      <c r="AD6" s="363"/>
      <c r="AE6" s="363"/>
      <c r="AF6" s="363"/>
      <c r="AG6" s="363"/>
      <c r="AH6" s="363"/>
      <c r="AI6" s="363"/>
      <c r="AJ6" s="363"/>
      <c r="AK6" s="318"/>
      <c r="AL6" s="318"/>
      <c r="AM6" s="367"/>
      <c r="AN6" s="367"/>
      <c r="AO6" s="367"/>
      <c r="AP6" s="367"/>
      <c r="AQ6" s="364"/>
    </row>
    <row r="7" spans="1:43" x14ac:dyDescent="0.45">
      <c r="A7" s="333" t="s">
        <v>16</v>
      </c>
      <c r="B7" s="363"/>
      <c r="C7" s="363"/>
      <c r="D7" s="363"/>
      <c r="E7" s="363"/>
      <c r="F7" s="363"/>
      <c r="G7" s="363"/>
      <c r="H7" s="363"/>
      <c r="I7" s="363"/>
      <c r="J7" s="363"/>
      <c r="K7" s="363"/>
      <c r="L7" s="363"/>
      <c r="M7" s="363"/>
      <c r="N7" s="363"/>
      <c r="O7" s="363"/>
      <c r="P7" s="363"/>
      <c r="Q7" s="363"/>
      <c r="R7" s="363"/>
      <c r="S7" s="363"/>
      <c r="T7" s="363"/>
      <c r="U7" s="363"/>
      <c r="V7" s="363"/>
      <c r="W7" s="363"/>
      <c r="X7" s="363"/>
      <c r="Y7" s="363"/>
      <c r="Z7" s="363"/>
      <c r="AA7" s="363"/>
      <c r="AB7" s="363"/>
      <c r="AC7" s="363"/>
      <c r="AD7" s="363"/>
      <c r="AE7" s="363"/>
      <c r="AF7" s="363"/>
      <c r="AG7" s="363"/>
      <c r="AH7" s="363"/>
      <c r="AI7" s="363"/>
      <c r="AJ7" s="363"/>
      <c r="AK7" s="318"/>
      <c r="AL7" s="318"/>
      <c r="AM7" s="367"/>
      <c r="AN7" s="367"/>
      <c r="AO7" s="367"/>
      <c r="AP7" s="367"/>
      <c r="AQ7" s="364"/>
    </row>
    <row r="8" spans="1:43" x14ac:dyDescent="0.45">
      <c r="A8" s="333" t="s">
        <v>17</v>
      </c>
      <c r="B8" s="363"/>
      <c r="C8" s="363"/>
      <c r="D8" s="363"/>
      <c r="E8" s="363"/>
      <c r="F8" s="363"/>
      <c r="G8" s="363"/>
      <c r="H8" s="363"/>
      <c r="I8" s="363"/>
      <c r="J8" s="363"/>
      <c r="K8" s="363"/>
      <c r="L8" s="363"/>
      <c r="M8" s="363"/>
      <c r="N8" s="363"/>
      <c r="O8" s="363"/>
      <c r="P8" s="363"/>
      <c r="Q8" s="363"/>
      <c r="R8" s="363"/>
      <c r="S8" s="363"/>
      <c r="T8" s="363"/>
      <c r="U8" s="363"/>
      <c r="V8" s="363"/>
      <c r="W8" s="363"/>
      <c r="X8" s="363"/>
      <c r="Y8" s="363"/>
      <c r="Z8" s="363"/>
      <c r="AA8" s="363"/>
      <c r="AB8" s="363"/>
      <c r="AC8" s="363"/>
      <c r="AD8" s="363"/>
      <c r="AE8" s="363"/>
      <c r="AF8" s="363"/>
      <c r="AG8" s="363"/>
      <c r="AH8" s="363"/>
      <c r="AI8" s="363"/>
      <c r="AJ8" s="363"/>
      <c r="AK8" s="318"/>
      <c r="AL8" s="318"/>
      <c r="AM8" s="367"/>
      <c r="AN8" s="367"/>
      <c r="AO8" s="367"/>
      <c r="AP8" s="367"/>
      <c r="AQ8" s="364"/>
    </row>
    <row r="9" spans="1:43" x14ac:dyDescent="0.45">
      <c r="A9" s="333" t="s">
        <v>53</v>
      </c>
      <c r="B9" s="363">
        <v>0</v>
      </c>
      <c r="C9" s="363">
        <v>0</v>
      </c>
      <c r="D9" s="363">
        <v>0</v>
      </c>
      <c r="E9" s="363">
        <v>0</v>
      </c>
      <c r="F9" s="363">
        <v>1039815.33499999</v>
      </c>
      <c r="G9" s="363">
        <v>0</v>
      </c>
      <c r="H9" s="363">
        <v>0</v>
      </c>
      <c r="I9" s="363">
        <v>0</v>
      </c>
      <c r="J9" s="363">
        <v>0</v>
      </c>
      <c r="K9" s="363">
        <v>0</v>
      </c>
      <c r="L9" s="363">
        <v>0</v>
      </c>
      <c r="M9" s="363">
        <v>0</v>
      </c>
      <c r="N9" s="363">
        <v>0</v>
      </c>
      <c r="O9" s="363">
        <v>1039815.33499999</v>
      </c>
      <c r="P9" s="363">
        <v>1037502.73499999</v>
      </c>
      <c r="Q9" s="363">
        <v>45222</v>
      </c>
      <c r="R9" s="363">
        <v>994593.33499999903</v>
      </c>
      <c r="S9" s="363">
        <v>1780336.78</v>
      </c>
      <c r="T9" s="363">
        <v>45222</v>
      </c>
      <c r="U9" s="363">
        <v>0</v>
      </c>
      <c r="V9" s="363">
        <v>0</v>
      </c>
      <c r="W9" s="363">
        <v>996905.93499999901</v>
      </c>
      <c r="X9" s="363">
        <v>288838.63</v>
      </c>
      <c r="Y9" s="363">
        <v>-417854</v>
      </c>
      <c r="Z9" s="363">
        <v>-1780336.78</v>
      </c>
      <c r="AA9" s="363">
        <v>-912446.21499999997</v>
      </c>
      <c r="AB9" s="363">
        <v>737589.01</v>
      </c>
      <c r="AC9" s="363">
        <v>0</v>
      </c>
      <c r="AD9" s="363">
        <v>0</v>
      </c>
      <c r="AE9" s="363">
        <v>4985992.1899999902</v>
      </c>
      <c r="AF9" s="363">
        <v>7727570.0300000003</v>
      </c>
      <c r="AG9" s="363">
        <v>6541693.5499999998</v>
      </c>
      <c r="AH9" s="363">
        <v>20022344.780000001</v>
      </c>
      <c r="AI9" s="363">
        <v>14972132.1785424</v>
      </c>
      <c r="AJ9" s="363">
        <v>0</v>
      </c>
      <c r="AK9" s="318">
        <v>703957.32145758497</v>
      </c>
      <c r="AL9" s="318">
        <v>0</v>
      </c>
      <c r="AM9" s="367">
        <v>1.7159827342527401</v>
      </c>
      <c r="AN9" s="367">
        <v>0.96087065736747101</v>
      </c>
      <c r="AO9" s="367">
        <v>0</v>
      </c>
      <c r="AP9" s="367">
        <v>1.7159827342527401</v>
      </c>
      <c r="AQ9" s="364">
        <f t="shared" ref="AQ9:AQ10" si="1">O9/$O$23</f>
        <v>1.2699645533632556E-2</v>
      </c>
    </row>
    <row r="10" spans="1:43" x14ac:dyDescent="0.45">
      <c r="A10" s="333" t="s">
        <v>20</v>
      </c>
      <c r="B10" s="363">
        <v>4347487</v>
      </c>
      <c r="C10" s="363">
        <v>0</v>
      </c>
      <c r="D10" s="363">
        <v>0</v>
      </c>
      <c r="E10" s="363">
        <v>9825696</v>
      </c>
      <c r="F10" s="363">
        <v>0</v>
      </c>
      <c r="G10" s="363">
        <v>1470124</v>
      </c>
      <c r="H10" s="363">
        <v>0</v>
      </c>
      <c r="I10" s="363">
        <v>0</v>
      </c>
      <c r="J10" s="363">
        <v>0</v>
      </c>
      <c r="K10" s="363">
        <v>0</v>
      </c>
      <c r="L10" s="363">
        <v>0</v>
      </c>
      <c r="M10" s="363">
        <v>226936</v>
      </c>
      <c r="N10" s="363">
        <v>260945</v>
      </c>
      <c r="O10" s="363">
        <v>16131188</v>
      </c>
      <c r="P10" s="363">
        <v>16131188</v>
      </c>
      <c r="Q10" s="363">
        <v>19208080</v>
      </c>
      <c r="R10" s="363">
        <v>-3076892</v>
      </c>
      <c r="S10" s="363">
        <v>0</v>
      </c>
      <c r="T10" s="363">
        <v>19208080</v>
      </c>
      <c r="U10" s="363">
        <v>2120978</v>
      </c>
      <c r="V10" s="363">
        <v>18718933</v>
      </c>
      <c r="W10" s="363">
        <v>-3076892</v>
      </c>
      <c r="X10" s="363">
        <v>5542482.0999999996</v>
      </c>
      <c r="Y10" s="363">
        <v>-1586179</v>
      </c>
      <c r="Z10" s="363">
        <v>0</v>
      </c>
      <c r="AA10" s="363">
        <v>879411.09999999905</v>
      </c>
      <c r="AB10" s="363">
        <v>48747365.329999998</v>
      </c>
      <c r="AC10" s="363">
        <v>0</v>
      </c>
      <c r="AD10" s="363">
        <v>0</v>
      </c>
      <c r="AE10" s="363">
        <v>506595955.99000001</v>
      </c>
      <c r="AF10" s="363">
        <v>65371749.149999902</v>
      </c>
      <c r="AG10" s="363">
        <v>10797103.5436083</v>
      </c>
      <c r="AH10" s="363">
        <v>633146911.17999995</v>
      </c>
      <c r="AI10" s="363">
        <v>73362334</v>
      </c>
      <c r="AJ10" s="363">
        <v>219763305.558</v>
      </c>
      <c r="AK10" s="318">
        <v>0</v>
      </c>
      <c r="AL10" s="318">
        <v>0</v>
      </c>
      <c r="AM10" s="367">
        <v>0.13148306249979799</v>
      </c>
      <c r="AN10" s="367">
        <v>-0.19074181021261399</v>
      </c>
      <c r="AO10" s="367">
        <v>0.13148306249979799</v>
      </c>
      <c r="AP10" s="367">
        <v>0</v>
      </c>
      <c r="AQ10" s="364">
        <f t="shared" si="1"/>
        <v>0.19701610732293062</v>
      </c>
    </row>
    <row r="11" spans="1:43" x14ac:dyDescent="0.45">
      <c r="A11" s="333" t="s">
        <v>47</v>
      </c>
      <c r="B11" s="363"/>
      <c r="C11" s="363"/>
      <c r="D11" s="363"/>
      <c r="E11" s="363"/>
      <c r="F11" s="363"/>
      <c r="G11" s="363"/>
      <c r="H11" s="363"/>
      <c r="I11" s="363"/>
      <c r="J11" s="363"/>
      <c r="K11" s="363"/>
      <c r="L11" s="363"/>
      <c r="M11" s="363"/>
      <c r="N11" s="363"/>
      <c r="O11" s="363"/>
      <c r="P11" s="363"/>
      <c r="Q11" s="363"/>
      <c r="R11" s="363"/>
      <c r="S11" s="363"/>
      <c r="T11" s="363"/>
      <c r="U11" s="363"/>
      <c r="V11" s="363"/>
      <c r="W11" s="363"/>
      <c r="X11" s="363"/>
      <c r="Y11" s="363"/>
      <c r="Z11" s="363"/>
      <c r="AA11" s="363"/>
      <c r="AB11" s="363"/>
      <c r="AC11" s="363"/>
      <c r="AD11" s="363"/>
      <c r="AE11" s="363"/>
      <c r="AF11" s="363"/>
      <c r="AG11" s="363"/>
      <c r="AH11" s="363"/>
      <c r="AI11" s="363"/>
      <c r="AJ11" s="363"/>
      <c r="AK11" s="318"/>
      <c r="AL11" s="318"/>
      <c r="AM11" s="367"/>
      <c r="AN11" s="367"/>
      <c r="AO11" s="367"/>
      <c r="AP11" s="367"/>
      <c r="AQ11" s="364"/>
    </row>
    <row r="12" spans="1:43" x14ac:dyDescent="0.45">
      <c r="A12" s="333" t="s">
        <v>64</v>
      </c>
      <c r="B12" s="363"/>
      <c r="C12" s="363"/>
      <c r="D12" s="363"/>
      <c r="E12" s="363"/>
      <c r="F12" s="363"/>
      <c r="G12" s="363"/>
      <c r="H12" s="363"/>
      <c r="I12" s="363"/>
      <c r="J12" s="363"/>
      <c r="K12" s="363"/>
      <c r="L12" s="363"/>
      <c r="M12" s="363"/>
      <c r="N12" s="363"/>
      <c r="O12" s="363"/>
      <c r="P12" s="363"/>
      <c r="Q12" s="363"/>
      <c r="R12" s="363"/>
      <c r="S12" s="363"/>
      <c r="T12" s="363"/>
      <c r="U12" s="363"/>
      <c r="V12" s="363"/>
      <c r="W12" s="363"/>
      <c r="X12" s="363"/>
      <c r="Y12" s="363"/>
      <c r="Z12" s="363"/>
      <c r="AA12" s="363"/>
      <c r="AB12" s="363"/>
      <c r="AC12" s="363"/>
      <c r="AD12" s="363"/>
      <c r="AE12" s="363"/>
      <c r="AF12" s="363"/>
      <c r="AG12" s="363"/>
      <c r="AH12" s="363"/>
      <c r="AI12" s="363"/>
      <c r="AJ12" s="363"/>
      <c r="AK12" s="318"/>
      <c r="AL12" s="318"/>
      <c r="AM12" s="367"/>
      <c r="AN12" s="367"/>
      <c r="AO12" s="367"/>
      <c r="AP12" s="367"/>
      <c r="AQ12" s="364"/>
    </row>
    <row r="13" spans="1:43" x14ac:dyDescent="0.45">
      <c r="A13" s="333" t="s">
        <v>144</v>
      </c>
      <c r="B13" s="363"/>
      <c r="C13" s="363"/>
      <c r="D13" s="363"/>
      <c r="E13" s="363"/>
      <c r="F13" s="363"/>
      <c r="G13" s="363"/>
      <c r="H13" s="363"/>
      <c r="I13" s="363"/>
      <c r="J13" s="363"/>
      <c r="K13" s="363"/>
      <c r="L13" s="363"/>
      <c r="M13" s="363"/>
      <c r="N13" s="363"/>
      <c r="O13" s="363"/>
      <c r="P13" s="363"/>
      <c r="Q13" s="363"/>
      <c r="R13" s="363"/>
      <c r="S13" s="363"/>
      <c r="T13" s="363"/>
      <c r="U13" s="363"/>
      <c r="V13" s="363"/>
      <c r="W13" s="363"/>
      <c r="X13" s="363"/>
      <c r="Y13" s="363"/>
      <c r="Z13" s="363"/>
      <c r="AA13" s="363"/>
      <c r="AB13" s="363"/>
      <c r="AC13" s="363"/>
      <c r="AD13" s="363"/>
      <c r="AE13" s="363"/>
      <c r="AF13" s="363"/>
      <c r="AG13" s="363"/>
      <c r="AH13" s="363"/>
      <c r="AI13" s="363"/>
      <c r="AJ13" s="363"/>
      <c r="AK13" s="318"/>
      <c r="AL13" s="318"/>
      <c r="AM13" s="367"/>
      <c r="AN13" s="367"/>
      <c r="AO13" s="367"/>
      <c r="AP13" s="367"/>
      <c r="AQ13" s="364"/>
    </row>
    <row r="14" spans="1:43" x14ac:dyDescent="0.45">
      <c r="A14" s="333" t="s">
        <v>21</v>
      </c>
      <c r="B14" s="363">
        <v>0</v>
      </c>
      <c r="C14" s="363">
        <v>1372861</v>
      </c>
      <c r="D14" s="363">
        <v>0</v>
      </c>
      <c r="E14" s="363">
        <v>2949065</v>
      </c>
      <c r="F14" s="363">
        <v>2391823</v>
      </c>
      <c r="G14" s="363">
        <v>2294864</v>
      </c>
      <c r="H14" s="363">
        <v>0</v>
      </c>
      <c r="I14" s="363">
        <v>0</v>
      </c>
      <c r="J14" s="363">
        <v>0</v>
      </c>
      <c r="K14" s="363">
        <v>0</v>
      </c>
      <c r="L14" s="363">
        <v>0</v>
      </c>
      <c r="M14" s="363">
        <v>0</v>
      </c>
      <c r="N14" s="363">
        <v>0</v>
      </c>
      <c r="O14" s="363">
        <v>9008613</v>
      </c>
      <c r="P14" s="363">
        <v>8195819</v>
      </c>
      <c r="Q14" s="363">
        <v>12128056</v>
      </c>
      <c r="R14" s="363">
        <v>-3119443</v>
      </c>
      <c r="S14" s="363">
        <v>604749</v>
      </c>
      <c r="T14" s="363">
        <v>12128056</v>
      </c>
      <c r="U14" s="363">
        <v>3037497</v>
      </c>
      <c r="V14" s="363">
        <v>10413632</v>
      </c>
      <c r="W14" s="363">
        <v>-3842662</v>
      </c>
      <c r="X14" s="363">
        <v>13634326</v>
      </c>
      <c r="Y14" s="363">
        <v>-3895904</v>
      </c>
      <c r="Z14" s="363">
        <v>-604749</v>
      </c>
      <c r="AA14" s="363">
        <v>5291011</v>
      </c>
      <c r="AB14" s="363">
        <v>30827948</v>
      </c>
      <c r="AC14" s="363">
        <v>0</v>
      </c>
      <c r="AD14" s="363">
        <v>1350727</v>
      </c>
      <c r="AE14" s="363">
        <v>256520956</v>
      </c>
      <c r="AF14" s="363">
        <v>2836446</v>
      </c>
      <c r="AG14" s="363">
        <v>7844575</v>
      </c>
      <c r="AH14" s="363">
        <v>299411233</v>
      </c>
      <c r="AI14" s="363">
        <v>220995873</v>
      </c>
      <c r="AJ14" s="363">
        <v>0</v>
      </c>
      <c r="AK14" s="318">
        <v>410</v>
      </c>
      <c r="AL14" s="318">
        <v>1784208</v>
      </c>
      <c r="AM14" s="367">
        <v>0.44440293276364401</v>
      </c>
      <c r="AN14" s="367">
        <v>-0.46885637664765401</v>
      </c>
      <c r="AO14" s="367">
        <v>0.37061543208799502</v>
      </c>
      <c r="AP14" s="367">
        <v>7.3787500675649306E-2</v>
      </c>
      <c r="AQ14" s="364">
        <f>O14/$O$23</f>
        <v>0.11002549010269722</v>
      </c>
    </row>
    <row r="15" spans="1:43" x14ac:dyDescent="0.45">
      <c r="A15" s="333" t="s">
        <v>91</v>
      </c>
      <c r="B15" s="363">
        <v>0</v>
      </c>
      <c r="C15" s="363">
        <v>0</v>
      </c>
      <c r="D15" s="363">
        <v>5091878.0093318196</v>
      </c>
      <c r="E15" s="363">
        <v>0</v>
      </c>
      <c r="F15" s="363">
        <v>1378630.49920696</v>
      </c>
      <c r="G15" s="363">
        <v>0</v>
      </c>
      <c r="H15" s="363">
        <v>11133911.628265001</v>
      </c>
      <c r="I15" s="363">
        <v>5935913.8821718898</v>
      </c>
      <c r="J15" s="363">
        <v>0</v>
      </c>
      <c r="K15" s="363">
        <v>0</v>
      </c>
      <c r="L15" s="363">
        <v>0</v>
      </c>
      <c r="M15" s="363">
        <v>7217460.5810242603</v>
      </c>
      <c r="N15" s="363">
        <v>0</v>
      </c>
      <c r="O15" s="363">
        <v>30757794.600000001</v>
      </c>
      <c r="P15" s="363">
        <v>29870604</v>
      </c>
      <c r="Q15" s="363">
        <v>24538230.999999899</v>
      </c>
      <c r="R15" s="363">
        <v>6219563.5999999996</v>
      </c>
      <c r="S15" s="363">
        <v>2076150.6</v>
      </c>
      <c r="T15" s="363">
        <v>24538230.999999899</v>
      </c>
      <c r="U15" s="363">
        <v>3003049.6670444701</v>
      </c>
      <c r="V15" s="363">
        <v>22927906.515003201</v>
      </c>
      <c r="W15" s="363">
        <v>5373787.4000000004</v>
      </c>
      <c r="X15" s="363">
        <v>0</v>
      </c>
      <c r="Y15" s="363">
        <v>6303521.7268838501</v>
      </c>
      <c r="Z15" s="363">
        <v>-1056967</v>
      </c>
      <c r="AA15" s="363">
        <v>10089324.9268838</v>
      </c>
      <c r="AB15" s="363">
        <v>11565424</v>
      </c>
      <c r="AC15" s="363">
        <v>0</v>
      </c>
      <c r="AD15" s="363">
        <v>0</v>
      </c>
      <c r="AE15" s="363">
        <v>296601932.01999903</v>
      </c>
      <c r="AF15" s="363">
        <v>56093411.8699999</v>
      </c>
      <c r="AG15" s="363">
        <v>24371476.581999999</v>
      </c>
      <c r="AH15" s="363">
        <v>388632244.47000003</v>
      </c>
      <c r="AI15" s="363">
        <v>133056256</v>
      </c>
      <c r="AJ15" s="363">
        <v>0</v>
      </c>
      <c r="AK15" s="318">
        <v>66751300.749849901</v>
      </c>
      <c r="AL15" s="318">
        <v>232983657.40000001</v>
      </c>
      <c r="AM15" s="367">
        <v>0.17004009249509899</v>
      </c>
      <c r="AN15" s="367">
        <v>0.17990220083932701</v>
      </c>
      <c r="AO15" s="367">
        <v>0.100535284356636</v>
      </c>
      <c r="AP15" s="367">
        <v>6.9504808138462798E-2</v>
      </c>
      <c r="AQ15" s="364">
        <f>O15/$O$23</f>
        <v>0.37565621093314744</v>
      </c>
    </row>
    <row r="16" spans="1:43" x14ac:dyDescent="0.45">
      <c r="A16" s="333" t="s">
        <v>22</v>
      </c>
      <c r="B16" s="363">
        <v>7833900.1500000004</v>
      </c>
      <c r="C16" s="363">
        <v>0</v>
      </c>
      <c r="D16" s="363">
        <v>0</v>
      </c>
      <c r="E16" s="363">
        <v>17106197.405000001</v>
      </c>
      <c r="F16" s="363">
        <v>0</v>
      </c>
      <c r="G16" s="363">
        <v>0</v>
      </c>
      <c r="H16" s="363">
        <v>0</v>
      </c>
      <c r="I16" s="363">
        <v>0</v>
      </c>
      <c r="J16" s="363">
        <v>0</v>
      </c>
      <c r="K16" s="363">
        <v>0</v>
      </c>
      <c r="L16" s="363">
        <v>0</v>
      </c>
      <c r="M16" s="363">
        <v>0</v>
      </c>
      <c r="N16" s="363">
        <v>0</v>
      </c>
      <c r="O16" s="363">
        <v>24940097.555</v>
      </c>
      <c r="P16" s="363">
        <v>18318932.91</v>
      </c>
      <c r="Q16" s="363">
        <v>21071508.68</v>
      </c>
      <c r="R16" s="363">
        <v>3868588.875</v>
      </c>
      <c r="S16" s="363">
        <v>3920000</v>
      </c>
      <c r="T16" s="363">
        <v>21071508.68</v>
      </c>
      <c r="U16" s="363">
        <v>13949133.454999899</v>
      </c>
      <c r="V16" s="363">
        <v>10306325.2999999</v>
      </c>
      <c r="W16" s="363">
        <v>-2752575.77</v>
      </c>
      <c r="X16" s="363">
        <v>23190387.090050001</v>
      </c>
      <c r="Y16" s="363">
        <v>-9120160.0700000003</v>
      </c>
      <c r="Z16" s="363">
        <v>-8980000</v>
      </c>
      <c r="AA16" s="363">
        <v>2337651.2500499999</v>
      </c>
      <c r="AB16" s="363">
        <v>33689611.609999999</v>
      </c>
      <c r="AC16" s="363">
        <v>0</v>
      </c>
      <c r="AD16" s="363">
        <v>18289949</v>
      </c>
      <c r="AE16" s="363">
        <v>405299250.49999899</v>
      </c>
      <c r="AF16" s="363">
        <v>11765000.26915</v>
      </c>
      <c r="AG16" s="363">
        <v>14920344.52</v>
      </c>
      <c r="AH16" s="363">
        <v>483964155.89999998</v>
      </c>
      <c r="AI16" s="363">
        <v>350956264.27322799</v>
      </c>
      <c r="AJ16" s="363">
        <v>73882431.900000006</v>
      </c>
      <c r="AK16" s="318">
        <v>0</v>
      </c>
      <c r="AL16" s="318">
        <v>0</v>
      </c>
      <c r="AM16" s="367">
        <v>0.97544619781021902</v>
      </c>
      <c r="AN16" s="367">
        <v>-0.150258521253572</v>
      </c>
      <c r="AO16" s="367">
        <v>0.76145993456777095</v>
      </c>
      <c r="AP16" s="367">
        <v>0.21398626324244699</v>
      </c>
      <c r="AQ16" s="364">
        <f>O16/$O$23</f>
        <v>0.3046025461075923</v>
      </c>
    </row>
    <row r="17" spans="1:43" x14ac:dyDescent="0.45">
      <c r="A17" s="333" t="s">
        <v>24</v>
      </c>
      <c r="B17" s="363"/>
      <c r="C17" s="363"/>
      <c r="D17" s="363"/>
      <c r="E17" s="363"/>
      <c r="F17" s="363"/>
      <c r="G17" s="363"/>
      <c r="H17" s="363"/>
      <c r="I17" s="363"/>
      <c r="J17" s="363"/>
      <c r="K17" s="363"/>
      <c r="L17" s="363"/>
      <c r="M17" s="363"/>
      <c r="N17" s="363"/>
      <c r="O17" s="363"/>
      <c r="P17" s="363"/>
      <c r="Q17" s="363"/>
      <c r="R17" s="363"/>
      <c r="S17" s="363"/>
      <c r="T17" s="363"/>
      <c r="U17" s="363"/>
      <c r="V17" s="363"/>
      <c r="W17" s="363"/>
      <c r="X17" s="363"/>
      <c r="Y17" s="363"/>
      <c r="Z17" s="363"/>
      <c r="AA17" s="363"/>
      <c r="AB17" s="363"/>
      <c r="AC17" s="363"/>
      <c r="AD17" s="363"/>
      <c r="AE17" s="363"/>
      <c r="AF17" s="363"/>
      <c r="AG17" s="363"/>
      <c r="AH17" s="363"/>
      <c r="AI17" s="363"/>
      <c r="AJ17" s="363"/>
      <c r="AK17" s="318"/>
      <c r="AL17" s="318"/>
      <c r="AM17" s="367"/>
      <c r="AN17" s="367"/>
      <c r="AO17" s="367"/>
      <c r="AP17" s="367"/>
      <c r="AQ17" s="364"/>
    </row>
    <row r="18" spans="1:43" x14ac:dyDescent="0.45">
      <c r="A18" s="333" t="s">
        <v>25</v>
      </c>
      <c r="B18" s="363"/>
      <c r="C18" s="363"/>
      <c r="D18" s="363"/>
      <c r="E18" s="363"/>
      <c r="F18" s="363"/>
      <c r="G18" s="363"/>
      <c r="H18" s="363"/>
      <c r="I18" s="363"/>
      <c r="J18" s="363"/>
      <c r="K18" s="363"/>
      <c r="L18" s="363"/>
      <c r="M18" s="363"/>
      <c r="N18" s="363"/>
      <c r="O18" s="363"/>
      <c r="P18" s="363"/>
      <c r="Q18" s="363"/>
      <c r="R18" s="363"/>
      <c r="S18" s="363"/>
      <c r="T18" s="363"/>
      <c r="U18" s="363"/>
      <c r="V18" s="363"/>
      <c r="W18" s="363"/>
      <c r="X18" s="363"/>
      <c r="Y18" s="363"/>
      <c r="Z18" s="363"/>
      <c r="AA18" s="363"/>
      <c r="AB18" s="363"/>
      <c r="AC18" s="363"/>
      <c r="AD18" s="363"/>
      <c r="AE18" s="363"/>
      <c r="AF18" s="363"/>
      <c r="AG18" s="363"/>
      <c r="AH18" s="363"/>
      <c r="AI18" s="363"/>
      <c r="AJ18" s="363"/>
      <c r="AK18" s="318"/>
      <c r="AL18" s="318"/>
      <c r="AM18" s="378"/>
      <c r="AN18" s="367"/>
      <c r="AO18" s="367"/>
      <c r="AP18" s="367"/>
      <c r="AQ18" s="364"/>
    </row>
    <row r="19" spans="1:43" x14ac:dyDescent="0.45">
      <c r="A19" s="333" t="s">
        <v>141</v>
      </c>
      <c r="B19" s="363"/>
      <c r="C19" s="363"/>
      <c r="D19" s="363"/>
      <c r="E19" s="363"/>
      <c r="F19" s="363"/>
      <c r="G19" s="363"/>
      <c r="H19" s="363"/>
      <c r="I19" s="363"/>
      <c r="J19" s="363"/>
      <c r="K19" s="363"/>
      <c r="L19" s="363"/>
      <c r="M19" s="363"/>
      <c r="N19" s="363"/>
      <c r="O19" s="363"/>
      <c r="P19" s="363"/>
      <c r="Q19" s="363"/>
      <c r="R19" s="363"/>
      <c r="S19" s="363"/>
      <c r="T19" s="363"/>
      <c r="U19" s="363"/>
      <c r="V19" s="363"/>
      <c r="W19" s="363"/>
      <c r="X19" s="363"/>
      <c r="Y19" s="363"/>
      <c r="Z19" s="363"/>
      <c r="AA19" s="363"/>
      <c r="AB19" s="363"/>
      <c r="AC19" s="363"/>
      <c r="AD19" s="363"/>
      <c r="AE19" s="363"/>
      <c r="AF19" s="363"/>
      <c r="AG19" s="363"/>
      <c r="AH19" s="363"/>
      <c r="AI19" s="363"/>
      <c r="AJ19" s="363"/>
      <c r="AK19" s="318"/>
      <c r="AL19" s="318"/>
      <c r="AM19" s="378"/>
      <c r="AN19" s="367"/>
      <c r="AO19" s="367"/>
      <c r="AP19" s="367"/>
      <c r="AQ19" s="364"/>
    </row>
    <row r="20" spans="1:43" x14ac:dyDescent="0.45">
      <c r="A20" s="333" t="s">
        <v>27</v>
      </c>
      <c r="B20" s="363"/>
      <c r="C20" s="363"/>
      <c r="D20" s="363"/>
      <c r="E20" s="363"/>
      <c r="F20" s="363"/>
      <c r="G20" s="363"/>
      <c r="H20" s="363"/>
      <c r="I20" s="363"/>
      <c r="J20" s="363"/>
      <c r="K20" s="363"/>
      <c r="L20" s="363"/>
      <c r="M20" s="363"/>
      <c r="N20" s="363"/>
      <c r="O20" s="363"/>
      <c r="P20" s="363"/>
      <c r="Q20" s="363"/>
      <c r="R20" s="363"/>
      <c r="S20" s="363"/>
      <c r="T20" s="363"/>
      <c r="U20" s="363"/>
      <c r="V20" s="363"/>
      <c r="W20" s="363"/>
      <c r="X20" s="363"/>
      <c r="Y20" s="363"/>
      <c r="Z20" s="363"/>
      <c r="AA20" s="363"/>
      <c r="AB20" s="363"/>
      <c r="AC20" s="363"/>
      <c r="AD20" s="363"/>
      <c r="AE20" s="363"/>
      <c r="AF20" s="363"/>
      <c r="AG20" s="363"/>
      <c r="AH20" s="363"/>
      <c r="AI20" s="363"/>
      <c r="AJ20" s="363"/>
      <c r="AK20" s="318"/>
      <c r="AL20" s="318"/>
      <c r="AM20" s="378"/>
      <c r="AN20" s="367"/>
      <c r="AO20" s="367"/>
      <c r="AP20" s="367"/>
      <c r="AQ20" s="364"/>
    </row>
    <row r="21" spans="1:43" x14ac:dyDescent="0.45">
      <c r="A21" s="333" t="s">
        <v>28</v>
      </c>
      <c r="B21" s="363"/>
      <c r="C21" s="363"/>
      <c r="D21" s="363"/>
      <c r="E21" s="363"/>
      <c r="F21" s="363"/>
      <c r="G21" s="363"/>
      <c r="H21" s="363"/>
      <c r="I21" s="363"/>
      <c r="J21" s="363"/>
      <c r="K21" s="363"/>
      <c r="L21" s="363"/>
      <c r="M21" s="363"/>
      <c r="N21" s="363"/>
      <c r="O21" s="363"/>
      <c r="P21" s="363"/>
      <c r="Q21" s="363"/>
      <c r="R21" s="363"/>
      <c r="S21" s="363"/>
      <c r="T21" s="363"/>
      <c r="U21" s="363"/>
      <c r="V21" s="363"/>
      <c r="W21" s="363"/>
      <c r="X21" s="363"/>
      <c r="Y21" s="363"/>
      <c r="Z21" s="363"/>
      <c r="AA21" s="363"/>
      <c r="AB21" s="363"/>
      <c r="AC21" s="363"/>
      <c r="AD21" s="363"/>
      <c r="AE21" s="363"/>
      <c r="AF21" s="363"/>
      <c r="AG21" s="363"/>
      <c r="AH21" s="363"/>
      <c r="AI21" s="363"/>
      <c r="AJ21" s="363"/>
      <c r="AK21" s="318"/>
      <c r="AL21" s="318"/>
      <c r="AM21" s="378"/>
      <c r="AN21" s="367"/>
      <c r="AO21" s="367"/>
      <c r="AP21" s="367"/>
      <c r="AQ21" s="364"/>
    </row>
    <row r="22" spans="1:43" x14ac:dyDescent="0.45">
      <c r="A22" s="333" t="s">
        <v>31</v>
      </c>
      <c r="B22" s="363"/>
      <c r="C22" s="363"/>
      <c r="D22" s="363"/>
      <c r="E22" s="363"/>
      <c r="F22" s="363"/>
      <c r="G22" s="363"/>
      <c r="H22" s="363"/>
      <c r="I22" s="363"/>
      <c r="J22" s="363"/>
      <c r="K22" s="363"/>
      <c r="L22" s="363"/>
      <c r="M22" s="363"/>
      <c r="N22" s="363"/>
      <c r="O22" s="363"/>
      <c r="P22" s="363"/>
      <c r="Q22" s="363"/>
      <c r="R22" s="363"/>
      <c r="S22" s="363"/>
      <c r="T22" s="363"/>
      <c r="U22" s="363"/>
      <c r="V22" s="363"/>
      <c r="W22" s="363"/>
      <c r="X22" s="363"/>
      <c r="Y22" s="363"/>
      <c r="Z22" s="363"/>
      <c r="AA22" s="363"/>
      <c r="AB22" s="363"/>
      <c r="AC22" s="363"/>
      <c r="AD22" s="363"/>
      <c r="AE22" s="363"/>
      <c r="AF22" s="363"/>
      <c r="AG22" s="363"/>
      <c r="AH22" s="363"/>
      <c r="AI22" s="363"/>
      <c r="AJ22" s="363"/>
      <c r="AK22" s="318"/>
      <c r="AL22" s="318"/>
      <c r="AM22" s="378"/>
      <c r="AN22" s="367"/>
      <c r="AO22" s="367"/>
      <c r="AP22" s="367"/>
      <c r="AQ22" s="364"/>
    </row>
    <row r="23" spans="1:43" s="137" customFormat="1" x14ac:dyDescent="0.45">
      <c r="A23" s="357" t="s">
        <v>67</v>
      </c>
      <c r="B23" s="358">
        <f t="shared" ref="B23:AL23" si="2">SUM(B6:B22)</f>
        <v>12181387.15</v>
      </c>
      <c r="C23" s="358">
        <f t="shared" si="2"/>
        <v>1372861</v>
      </c>
      <c r="D23" s="358">
        <f t="shared" si="2"/>
        <v>5091878.0093318196</v>
      </c>
      <c r="E23" s="358">
        <f t="shared" si="2"/>
        <v>29880958.405000001</v>
      </c>
      <c r="F23" s="358">
        <f t="shared" si="2"/>
        <v>4810268.8342069499</v>
      </c>
      <c r="G23" s="358">
        <f t="shared" si="2"/>
        <v>3764988</v>
      </c>
      <c r="H23" s="358">
        <f t="shared" si="2"/>
        <v>11133911.628265001</v>
      </c>
      <c r="I23" s="358">
        <f t="shared" si="2"/>
        <v>5935913.8821718898</v>
      </c>
      <c r="J23" s="358">
        <f t="shared" si="2"/>
        <v>0</v>
      </c>
      <c r="K23" s="358">
        <f t="shared" si="2"/>
        <v>0</v>
      </c>
      <c r="L23" s="358">
        <f t="shared" si="2"/>
        <v>0</v>
      </c>
      <c r="M23" s="358">
        <f t="shared" si="2"/>
        <v>7444396.5810242603</v>
      </c>
      <c r="N23" s="358">
        <f t="shared" si="2"/>
        <v>260945</v>
      </c>
      <c r="O23" s="358">
        <f t="shared" si="2"/>
        <v>81877508.48999998</v>
      </c>
      <c r="P23" s="358"/>
      <c r="Q23" s="358">
        <f t="shared" si="2"/>
        <v>76991097.679999888</v>
      </c>
      <c r="R23" s="358">
        <f t="shared" si="2"/>
        <v>4886410.8099999987</v>
      </c>
      <c r="S23" s="358">
        <f t="shared" si="2"/>
        <v>8381236.3800000008</v>
      </c>
      <c r="T23" s="358">
        <f t="shared" si="2"/>
        <v>76991097.679999888</v>
      </c>
      <c r="U23" s="358">
        <f t="shared" si="2"/>
        <v>22110658.12204437</v>
      </c>
      <c r="V23" s="358">
        <f t="shared" si="2"/>
        <v>62366796.815003105</v>
      </c>
      <c r="W23" s="358">
        <f t="shared" si="2"/>
        <v>-3301436.435000001</v>
      </c>
      <c r="X23" s="358">
        <f t="shared" si="2"/>
        <v>42656033.820050001</v>
      </c>
      <c r="Y23" s="358">
        <f t="shared" si="2"/>
        <v>-8716575.3431161493</v>
      </c>
      <c r="Z23" s="358">
        <f t="shared" si="2"/>
        <v>-12422052.780000001</v>
      </c>
      <c r="AA23" s="358">
        <f t="shared" si="2"/>
        <v>17684952.061933801</v>
      </c>
      <c r="AB23" s="358">
        <f t="shared" si="2"/>
        <v>125567937.95</v>
      </c>
      <c r="AC23" s="358">
        <f t="shared" si="2"/>
        <v>0</v>
      </c>
      <c r="AD23" s="358">
        <f t="shared" si="2"/>
        <v>19640676</v>
      </c>
      <c r="AE23" s="358">
        <f t="shared" si="2"/>
        <v>1470004086.6999981</v>
      </c>
      <c r="AF23" s="358">
        <f t="shared" si="2"/>
        <v>143794177.31914979</v>
      </c>
      <c r="AG23" s="358">
        <f t="shared" si="2"/>
        <v>64475193.195608303</v>
      </c>
      <c r="AH23" s="358">
        <f t="shared" si="2"/>
        <v>1825176889.3299999</v>
      </c>
      <c r="AI23" s="358">
        <f t="shared" si="2"/>
        <v>793342859.45177031</v>
      </c>
      <c r="AJ23" s="360">
        <f t="shared" si="2"/>
        <v>293645737.458</v>
      </c>
      <c r="AK23" s="360">
        <f t="shared" si="2"/>
        <v>67455668.07130748</v>
      </c>
      <c r="AL23" s="360">
        <f t="shared" si="2"/>
        <v>234767865.40000001</v>
      </c>
      <c r="AM23" s="368">
        <f>SUM(AM6:AM22)/COUNT(AM6:AM22)</f>
        <v>0.68747100396430005</v>
      </c>
      <c r="AN23" s="368">
        <f>SUM(AN6:AN22)/COUNT(AN6:AN22)</f>
        <v>6.618323001859161E-2</v>
      </c>
      <c r="AO23" s="368">
        <f t="shared" ref="AO23:AP23" si="3">SUM(AO6:AO22)/COUNT(AO6:AO22)</f>
        <v>0.27281874270244</v>
      </c>
      <c r="AP23" s="368">
        <f t="shared" si="3"/>
        <v>0.41465226126185983</v>
      </c>
      <c r="AQ23" s="364">
        <f>SUM(AQ6:AQ22)</f>
        <v>1.0000000000000002</v>
      </c>
    </row>
    <row r="24" spans="1:43" x14ac:dyDescent="0.45">
      <c r="B24" s="324"/>
      <c r="C24" s="324"/>
      <c r="D24" s="324"/>
      <c r="E24" s="324"/>
      <c r="F24" s="324"/>
      <c r="G24" s="324"/>
      <c r="H24" s="324"/>
      <c r="I24" s="324"/>
      <c r="J24" s="324"/>
      <c r="K24" s="324"/>
      <c r="L24" s="324"/>
      <c r="M24" s="324"/>
      <c r="N24" s="324"/>
      <c r="O24" s="324"/>
      <c r="P24" s="324"/>
      <c r="Q24" s="325"/>
      <c r="R24" s="325"/>
      <c r="S24" s="324"/>
      <c r="T24" s="324"/>
      <c r="U24" s="324"/>
      <c r="V24" s="324"/>
      <c r="W24" s="324"/>
      <c r="X24" s="324"/>
      <c r="Y24" s="324"/>
      <c r="Z24" s="324"/>
      <c r="AA24" s="324"/>
      <c r="AB24" s="324"/>
      <c r="AC24" s="324"/>
      <c r="AD24" s="324"/>
      <c r="AE24" s="324"/>
      <c r="AF24" s="324"/>
      <c r="AG24" s="324"/>
      <c r="AH24" s="324"/>
      <c r="AI24" s="324"/>
      <c r="AJ24" s="324"/>
      <c r="AK24" s="324"/>
      <c r="AL24" s="324"/>
      <c r="AM24" s="372"/>
      <c r="AN24" s="324"/>
      <c r="AO24" s="324"/>
      <c r="AP24" s="324"/>
      <c r="AQ24" s="324"/>
    </row>
  </sheetData>
  <mergeCells count="1">
    <mergeCell ref="B1:AQ1"/>
  </mergeCells>
  <dataValidations count="1">
    <dataValidation type="list" allowBlank="1" showInputMessage="1" showErrorMessage="1" sqref="A3" xr:uid="{00000000-0002-0000-2F00-000000000000}">
      <formula1>$A$6:$A$23</formula1>
    </dataValidation>
  </dataValidations>
  <pageMargins left="0.7" right="0.7" top="0.75" bottom="0.75" header="0.3" footer="0.3"/>
  <customProperties>
    <customPr name="LastActive" r:id="rId1"/>
  </customProperties>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dimension ref="A1:AQ24"/>
  <sheetViews>
    <sheetView topLeftCell="A5" workbookViewId="0">
      <pane xSplit="1" topLeftCell="B1" activePane="topRight" state="frozen"/>
      <selection activeCell="A5" sqref="A5"/>
      <selection pane="topRight" activeCell="A10" sqref="A10"/>
    </sheetView>
  </sheetViews>
  <sheetFormatPr defaultRowHeight="14.25" x14ac:dyDescent="0.45"/>
  <cols>
    <col min="1" max="1" width="42.3984375" bestFit="1" customWidth="1"/>
    <col min="2" max="2" width="20.73046875" style="326" customWidth="1"/>
    <col min="3" max="5" width="17.73046875" style="326" bestFit="1" customWidth="1"/>
    <col min="6" max="10" width="19" style="326" customWidth="1"/>
    <col min="11" max="11" width="19.3984375" style="326" bestFit="1" customWidth="1"/>
    <col min="12" max="12" width="14.3984375" style="326" bestFit="1" customWidth="1"/>
    <col min="13" max="13" width="17.73046875" style="326" customWidth="1"/>
    <col min="14" max="14" width="27.3984375" style="326" bestFit="1" customWidth="1"/>
    <col min="15" max="15" width="21.73046875" style="326" bestFit="1" customWidth="1"/>
    <col min="16" max="16" width="21.73046875" style="326" customWidth="1"/>
    <col min="17" max="17" width="20" style="326" bestFit="1" customWidth="1"/>
    <col min="18" max="18" width="22" style="326" customWidth="1"/>
    <col min="19" max="19" width="20.73046875" style="326" bestFit="1" customWidth="1"/>
    <col min="20" max="20" width="20.73046875" style="326" customWidth="1"/>
    <col min="21" max="21" width="22.73046875" style="326" bestFit="1" customWidth="1"/>
    <col min="22" max="22" width="22.73046875" style="326" customWidth="1"/>
    <col min="23" max="23" width="19.265625" style="326" bestFit="1" customWidth="1"/>
    <col min="24" max="24" width="25.265625" style="326" bestFit="1" customWidth="1"/>
    <col min="25" max="25" width="18.73046875" style="326" bestFit="1" customWidth="1"/>
    <col min="26" max="26" width="20" style="326" bestFit="1" customWidth="1"/>
    <col min="27" max="27" width="20" style="326" customWidth="1"/>
    <col min="28" max="28" width="19.3984375" style="326" bestFit="1" customWidth="1"/>
    <col min="29" max="30" width="19.3984375" style="326" customWidth="1"/>
    <col min="31" max="31" width="21.265625" style="326" bestFit="1" customWidth="1"/>
    <col min="32" max="32" width="17.73046875" style="326" bestFit="1" customWidth="1"/>
    <col min="33" max="33" width="18.265625" style="326" bestFit="1" customWidth="1"/>
    <col min="34" max="34" width="21.265625" style="326" bestFit="1" customWidth="1"/>
    <col min="35" max="35" width="22.265625" style="326" bestFit="1" customWidth="1"/>
    <col min="36" max="36" width="18.73046875" style="326" bestFit="1" customWidth="1"/>
    <col min="37" max="38" width="18.73046875" style="326" customWidth="1"/>
    <col min="39" max="39" width="17.265625" style="373" bestFit="1" customWidth="1"/>
    <col min="40" max="42" width="20.3984375" style="373" customWidth="1"/>
    <col min="43" max="43" width="13" style="326" bestFit="1" customWidth="1"/>
  </cols>
  <sheetData>
    <row r="1" spans="1:43" ht="20.65" x14ac:dyDescent="0.55000000000000004">
      <c r="A1" s="341" t="s">
        <v>180</v>
      </c>
      <c r="B1" s="388" t="s">
        <v>99</v>
      </c>
      <c r="C1" s="388"/>
      <c r="D1" s="388"/>
      <c r="E1" s="388"/>
      <c r="F1" s="388"/>
      <c r="G1" s="388"/>
      <c r="H1" s="388"/>
      <c r="I1" s="388"/>
      <c r="J1" s="388"/>
      <c r="K1" s="388"/>
      <c r="L1" s="388"/>
      <c r="M1" s="388"/>
      <c r="N1" s="388"/>
      <c r="O1" s="388"/>
      <c r="P1" s="388"/>
      <c r="Q1" s="388"/>
      <c r="R1" s="388"/>
      <c r="S1" s="388"/>
      <c r="T1" s="388"/>
      <c r="U1" s="388"/>
      <c r="V1" s="388"/>
      <c r="W1" s="388"/>
      <c r="X1" s="388"/>
      <c r="Y1" s="388"/>
      <c r="Z1" s="388"/>
      <c r="AA1" s="388"/>
      <c r="AB1" s="388"/>
      <c r="AC1" s="388"/>
      <c r="AD1" s="388"/>
      <c r="AE1" s="388"/>
      <c r="AF1" s="388"/>
      <c r="AG1" s="388"/>
      <c r="AH1" s="388"/>
      <c r="AI1" s="388"/>
      <c r="AJ1" s="388"/>
      <c r="AK1" s="388"/>
      <c r="AL1" s="388"/>
      <c r="AM1" s="388"/>
      <c r="AN1" s="388"/>
      <c r="AO1" s="388"/>
      <c r="AP1" s="388"/>
      <c r="AQ1" s="388"/>
    </row>
    <row r="2" spans="1:43" ht="68.25" x14ac:dyDescent="0.45">
      <c r="A2" s="349"/>
      <c r="B2" s="342" t="s">
        <v>148</v>
      </c>
      <c r="C2" s="342" t="s">
        <v>149</v>
      </c>
      <c r="D2" s="342" t="s">
        <v>150</v>
      </c>
      <c r="E2" s="342" t="s">
        <v>151</v>
      </c>
      <c r="F2" s="342" t="s">
        <v>152</v>
      </c>
      <c r="G2" s="342" t="s">
        <v>111</v>
      </c>
      <c r="H2" s="342" t="s">
        <v>153</v>
      </c>
      <c r="I2" s="342" t="s">
        <v>154</v>
      </c>
      <c r="J2" s="342" t="s">
        <v>114</v>
      </c>
      <c r="K2" s="342" t="s">
        <v>155</v>
      </c>
      <c r="L2" s="342" t="s">
        <v>156</v>
      </c>
      <c r="M2" s="342" t="s">
        <v>157</v>
      </c>
      <c r="N2" s="342" t="s">
        <v>116</v>
      </c>
      <c r="O2" s="342" t="s">
        <v>158</v>
      </c>
      <c r="P2" s="342" t="s">
        <v>159</v>
      </c>
      <c r="Q2" s="342" t="s">
        <v>160</v>
      </c>
      <c r="R2" s="342" t="s">
        <v>161</v>
      </c>
      <c r="S2" s="342" t="s">
        <v>162</v>
      </c>
      <c r="T2" s="342" t="s">
        <v>163</v>
      </c>
      <c r="U2" s="342" t="s">
        <v>164</v>
      </c>
      <c r="V2" s="342" t="s">
        <v>165</v>
      </c>
      <c r="W2" s="342" t="s">
        <v>166</v>
      </c>
      <c r="X2" s="342" t="s">
        <v>121</v>
      </c>
      <c r="Y2" s="342" t="s">
        <v>167</v>
      </c>
      <c r="Z2" s="342" t="s">
        <v>168</v>
      </c>
      <c r="AA2" s="342" t="s">
        <v>169</v>
      </c>
      <c r="AB2" s="342" t="s">
        <v>128</v>
      </c>
      <c r="AC2" s="342" t="s">
        <v>170</v>
      </c>
      <c r="AD2" s="342" t="s">
        <v>171</v>
      </c>
      <c r="AE2" s="342" t="s">
        <v>79</v>
      </c>
      <c r="AF2" s="342" t="s">
        <v>129</v>
      </c>
      <c r="AG2" s="342" t="s">
        <v>130</v>
      </c>
      <c r="AH2" s="343" t="s">
        <v>13</v>
      </c>
      <c r="AI2" s="343" t="s">
        <v>172</v>
      </c>
      <c r="AJ2" s="343" t="s">
        <v>173</v>
      </c>
      <c r="AK2" s="343" t="s">
        <v>174</v>
      </c>
      <c r="AL2" s="343" t="s">
        <v>175</v>
      </c>
      <c r="AM2" s="369" t="s">
        <v>176</v>
      </c>
      <c r="AN2" s="369" t="s">
        <v>181</v>
      </c>
      <c r="AO2" s="369" t="s">
        <v>182</v>
      </c>
      <c r="AP2" s="369" t="s">
        <v>183</v>
      </c>
      <c r="AQ2" s="344" t="s">
        <v>12</v>
      </c>
    </row>
    <row r="3" spans="1:43" x14ac:dyDescent="0.45">
      <c r="A3" s="350" t="s">
        <v>24</v>
      </c>
      <c r="B3" s="345">
        <f t="shared" ref="B3:AQ3" si="0">INDEX(B6:B23,MATCH($A$3,$A$6:$A$23,0))</f>
        <v>85546199.253011301</v>
      </c>
      <c r="C3" s="345">
        <f t="shared" si="0"/>
        <v>0</v>
      </c>
      <c r="D3" s="345">
        <f t="shared" si="0"/>
        <v>0</v>
      </c>
      <c r="E3" s="345">
        <f t="shared" si="0"/>
        <v>18135007.064174801</v>
      </c>
      <c r="F3" s="345">
        <f t="shared" si="0"/>
        <v>-8453920.1674185693</v>
      </c>
      <c r="G3" s="345">
        <f t="shared" si="0"/>
        <v>-83218.272423529997</v>
      </c>
      <c r="H3" s="345">
        <f t="shared" si="0"/>
        <v>49228126.3785595</v>
      </c>
      <c r="I3" s="345">
        <f t="shared" si="0"/>
        <v>18358740.661438499</v>
      </c>
      <c r="J3" s="345">
        <f t="shared" si="0"/>
        <v>0</v>
      </c>
      <c r="K3" s="345">
        <f t="shared" si="0"/>
        <v>0</v>
      </c>
      <c r="L3" s="345">
        <f t="shared" si="0"/>
        <v>566803.02110447304</v>
      </c>
      <c r="M3" s="345">
        <f t="shared" si="0"/>
        <v>0</v>
      </c>
      <c r="N3" s="345">
        <f t="shared" si="0"/>
        <v>0</v>
      </c>
      <c r="O3" s="345">
        <f t="shared" si="0"/>
        <v>163297737.93844599</v>
      </c>
      <c r="P3" s="345">
        <f t="shared" si="0"/>
        <v>158006829.12975201</v>
      </c>
      <c r="Q3" s="345">
        <f t="shared" si="0"/>
        <v>105951292.17630599</v>
      </c>
      <c r="R3" s="345">
        <f t="shared" si="0"/>
        <v>57346445.762139902</v>
      </c>
      <c r="S3" s="345">
        <f t="shared" si="0"/>
        <v>3817023.6399999899</v>
      </c>
      <c r="T3" s="345">
        <f t="shared" si="0"/>
        <v>105951292.17630599</v>
      </c>
      <c r="U3" s="345">
        <f t="shared" si="0"/>
        <v>46602216.111107998</v>
      </c>
      <c r="V3" s="345">
        <f t="shared" si="0"/>
        <v>59475196.180622697</v>
      </c>
      <c r="W3" s="345">
        <f t="shared" si="0"/>
        <v>55225892.845289402</v>
      </c>
      <c r="X3" s="345">
        <f t="shared" si="0"/>
        <v>39840942.3596268</v>
      </c>
      <c r="Y3" s="345">
        <f t="shared" si="0"/>
        <v>-91274198.051255599</v>
      </c>
      <c r="Z3" s="345">
        <f t="shared" si="0"/>
        <v>-3722950.8866666602</v>
      </c>
      <c r="AA3" s="345">
        <f t="shared" si="0"/>
        <v>66201.953935020298</v>
      </c>
      <c r="AB3" s="345">
        <f t="shared" si="0"/>
        <v>59286333.321562298</v>
      </c>
      <c r="AC3" s="345">
        <f t="shared" si="0"/>
        <v>4653778.0245990101</v>
      </c>
      <c r="AD3" s="345">
        <f t="shared" si="0"/>
        <v>6913179.9934108397</v>
      </c>
      <c r="AE3" s="345">
        <f t="shared" si="0"/>
        <v>693344538.86940801</v>
      </c>
      <c r="AF3" s="345">
        <f t="shared" si="0"/>
        <v>11127512.42</v>
      </c>
      <c r="AG3" s="345">
        <f t="shared" si="0"/>
        <v>11773272.703472501</v>
      </c>
      <c r="AH3" s="345">
        <f t="shared" si="0"/>
        <v>802146776.44000006</v>
      </c>
      <c r="AI3" s="345">
        <f t="shared" si="0"/>
        <v>656090992.30257595</v>
      </c>
      <c r="AJ3" s="345">
        <f t="shared" si="0"/>
        <v>0</v>
      </c>
      <c r="AK3" s="345">
        <f t="shared" si="0"/>
        <v>0</v>
      </c>
      <c r="AL3" s="345">
        <f t="shared" si="0"/>
        <v>503391650.33999997</v>
      </c>
      <c r="AM3" s="346">
        <f t="shared" si="0"/>
        <v>0.31909532030229298</v>
      </c>
      <c r="AN3" s="346">
        <f t="shared" si="0"/>
        <v>0.34951586048181998</v>
      </c>
      <c r="AO3" s="346">
        <f t="shared" si="0"/>
        <v>0.29493798697041801</v>
      </c>
      <c r="AP3" s="346">
        <f t="shared" si="0"/>
        <v>2.4157333331874701E-2</v>
      </c>
      <c r="AQ3" s="346">
        <f t="shared" si="0"/>
        <v>0.24218017982516349</v>
      </c>
    </row>
    <row r="4" spans="1:43" x14ac:dyDescent="0.45">
      <c r="A4" s="348"/>
      <c r="B4" s="347"/>
      <c r="C4" s="347"/>
      <c r="D4" s="347"/>
      <c r="E4" s="347"/>
      <c r="F4" s="347"/>
      <c r="G4" s="347"/>
      <c r="H4" s="347"/>
      <c r="I4" s="347"/>
      <c r="J4" s="347"/>
      <c r="K4" s="347"/>
      <c r="L4" s="347"/>
      <c r="M4" s="347"/>
      <c r="N4" s="347"/>
      <c r="O4" s="347"/>
      <c r="P4" s="347"/>
      <c r="Q4" s="347"/>
      <c r="R4" s="347"/>
      <c r="S4" s="347"/>
      <c r="T4" s="347"/>
      <c r="U4" s="347"/>
      <c r="V4" s="347"/>
      <c r="W4" s="347"/>
      <c r="X4" s="347"/>
      <c r="Y4" s="347"/>
      <c r="Z4" s="347"/>
      <c r="AA4" s="347"/>
      <c r="AB4" s="347"/>
      <c r="AC4" s="347"/>
      <c r="AD4" s="347"/>
      <c r="AE4" s="347"/>
      <c r="AF4" s="347"/>
      <c r="AG4" s="347"/>
      <c r="AH4" s="347"/>
      <c r="AI4" s="347"/>
      <c r="AJ4" s="347"/>
      <c r="AK4" s="347"/>
      <c r="AL4" s="347"/>
      <c r="AM4" s="370"/>
      <c r="AN4" s="370"/>
      <c r="AO4" s="370"/>
      <c r="AP4" s="370"/>
      <c r="AQ4" s="347"/>
    </row>
    <row r="5" spans="1:43" s="295" customFormat="1" ht="71.25" x14ac:dyDescent="0.45">
      <c r="A5" s="332" t="s">
        <v>126</v>
      </c>
      <c r="B5" s="332" t="s">
        <v>148</v>
      </c>
      <c r="C5" s="332" t="s">
        <v>149</v>
      </c>
      <c r="D5" s="332" t="s">
        <v>150</v>
      </c>
      <c r="E5" s="332" t="s">
        <v>151</v>
      </c>
      <c r="F5" s="332" t="s">
        <v>152</v>
      </c>
      <c r="G5" s="332" t="s">
        <v>111</v>
      </c>
      <c r="H5" s="332" t="s">
        <v>153</v>
      </c>
      <c r="I5" s="332" t="s">
        <v>154</v>
      </c>
      <c r="J5" s="374" t="s">
        <v>114</v>
      </c>
      <c r="K5" s="332" t="s">
        <v>155</v>
      </c>
      <c r="L5" s="332" t="s">
        <v>156</v>
      </c>
      <c r="M5" s="332" t="s">
        <v>157</v>
      </c>
      <c r="N5" s="332" t="s">
        <v>116</v>
      </c>
      <c r="O5" s="335" t="s">
        <v>158</v>
      </c>
      <c r="P5" s="335" t="s">
        <v>159</v>
      </c>
      <c r="Q5" s="335" t="s">
        <v>160</v>
      </c>
      <c r="R5" s="335" t="s">
        <v>161</v>
      </c>
      <c r="S5" s="335" t="s">
        <v>162</v>
      </c>
      <c r="T5" s="335" t="s">
        <v>163</v>
      </c>
      <c r="U5" s="335" t="s">
        <v>164</v>
      </c>
      <c r="V5" s="335" t="s">
        <v>165</v>
      </c>
      <c r="W5" s="335" t="s">
        <v>166</v>
      </c>
      <c r="X5" s="335" t="s">
        <v>121</v>
      </c>
      <c r="Y5" s="335" t="s">
        <v>167</v>
      </c>
      <c r="Z5" s="335" t="s">
        <v>168</v>
      </c>
      <c r="AA5" s="335" t="s">
        <v>169</v>
      </c>
      <c r="AB5" s="335" t="s">
        <v>128</v>
      </c>
      <c r="AC5" s="335" t="s">
        <v>170</v>
      </c>
      <c r="AD5" s="335" t="s">
        <v>171</v>
      </c>
      <c r="AE5" s="335" t="s">
        <v>79</v>
      </c>
      <c r="AF5" s="335" t="s">
        <v>129</v>
      </c>
      <c r="AG5" s="335" t="s">
        <v>130</v>
      </c>
      <c r="AH5" s="336" t="s">
        <v>13</v>
      </c>
      <c r="AI5" s="336" t="s">
        <v>172</v>
      </c>
      <c r="AJ5" s="336" t="s">
        <v>173</v>
      </c>
      <c r="AK5" s="336" t="s">
        <v>174</v>
      </c>
      <c r="AL5" s="336" t="s">
        <v>175</v>
      </c>
      <c r="AM5" s="371" t="s">
        <v>176</v>
      </c>
      <c r="AN5" s="371" t="s">
        <v>181</v>
      </c>
      <c r="AO5" s="371" t="s">
        <v>182</v>
      </c>
      <c r="AP5" s="371" t="s">
        <v>183</v>
      </c>
      <c r="AQ5" s="337" t="s">
        <v>12</v>
      </c>
    </row>
    <row r="6" spans="1:43" x14ac:dyDescent="0.45">
      <c r="A6" s="333" t="s">
        <v>80</v>
      </c>
      <c r="B6" s="363"/>
      <c r="C6" s="363"/>
      <c r="D6" s="363"/>
      <c r="E6" s="363"/>
      <c r="F6" s="363"/>
      <c r="G6" s="363"/>
      <c r="H6" s="363"/>
      <c r="I6" s="363"/>
      <c r="J6" s="363"/>
      <c r="K6" s="363"/>
      <c r="L6" s="363"/>
      <c r="M6" s="363"/>
      <c r="N6" s="363"/>
      <c r="O6" s="363"/>
      <c r="P6" s="363"/>
      <c r="Q6" s="363"/>
      <c r="R6" s="363"/>
      <c r="S6" s="363"/>
      <c r="T6" s="363"/>
      <c r="U6" s="363"/>
      <c r="V6" s="363"/>
      <c r="W6" s="363"/>
      <c r="X6" s="363"/>
      <c r="Y6" s="363"/>
      <c r="Z6" s="363"/>
      <c r="AA6" s="363"/>
      <c r="AB6" s="363"/>
      <c r="AC6" s="363"/>
      <c r="AD6" s="363"/>
      <c r="AE6" s="363"/>
      <c r="AF6" s="363"/>
      <c r="AG6" s="363"/>
      <c r="AH6" s="363"/>
      <c r="AI6" s="363"/>
      <c r="AJ6" s="363"/>
      <c r="AK6" s="318"/>
      <c r="AL6" s="318"/>
      <c r="AM6" s="367"/>
      <c r="AN6" s="367"/>
      <c r="AO6" s="367"/>
      <c r="AP6" s="367"/>
      <c r="AQ6" s="364"/>
    </row>
    <row r="7" spans="1:43" x14ac:dyDescent="0.45">
      <c r="A7" s="333" t="s">
        <v>16</v>
      </c>
      <c r="B7" s="363"/>
      <c r="C7" s="363"/>
      <c r="D7" s="363"/>
      <c r="E7" s="363"/>
      <c r="F7" s="363"/>
      <c r="G7" s="363"/>
      <c r="H7" s="363"/>
      <c r="I7" s="363"/>
      <c r="J7" s="363"/>
      <c r="K7" s="363"/>
      <c r="L7" s="363"/>
      <c r="M7" s="363"/>
      <c r="N7" s="363"/>
      <c r="O7" s="363"/>
      <c r="P7" s="363"/>
      <c r="Q7" s="363"/>
      <c r="R7" s="363"/>
      <c r="S7" s="363"/>
      <c r="T7" s="363"/>
      <c r="U7" s="363"/>
      <c r="V7" s="363"/>
      <c r="W7" s="363"/>
      <c r="X7" s="363"/>
      <c r="Y7" s="363"/>
      <c r="Z7" s="363"/>
      <c r="AA7" s="363"/>
      <c r="AB7" s="363"/>
      <c r="AC7" s="363"/>
      <c r="AD7" s="363"/>
      <c r="AE7" s="363"/>
      <c r="AF7" s="363"/>
      <c r="AG7" s="363"/>
      <c r="AH7" s="363"/>
      <c r="AI7" s="363"/>
      <c r="AJ7" s="363"/>
      <c r="AK7" s="318"/>
      <c r="AL7" s="318"/>
      <c r="AM7" s="367"/>
      <c r="AN7" s="367"/>
      <c r="AO7" s="367"/>
      <c r="AP7" s="367"/>
      <c r="AQ7" s="364"/>
    </row>
    <row r="8" spans="1:43" x14ac:dyDescent="0.45">
      <c r="A8" s="333" t="s">
        <v>17</v>
      </c>
      <c r="B8" s="363">
        <v>0</v>
      </c>
      <c r="C8" s="363">
        <v>22337821.169650301</v>
      </c>
      <c r="D8" s="363">
        <v>103426656.72292399</v>
      </c>
      <c r="E8" s="363">
        <v>16311928.6502611</v>
      </c>
      <c r="F8" s="363">
        <v>0</v>
      </c>
      <c r="G8" s="363">
        <v>18718113.317308001</v>
      </c>
      <c r="H8" s="363">
        <v>157139754.49301001</v>
      </c>
      <c r="I8" s="363">
        <v>0</v>
      </c>
      <c r="J8" s="363">
        <v>0</v>
      </c>
      <c r="K8" s="363">
        <v>0</v>
      </c>
      <c r="L8" s="363">
        <v>0</v>
      </c>
      <c r="M8" s="363">
        <v>2611642.9189446699</v>
      </c>
      <c r="N8" s="363">
        <v>0</v>
      </c>
      <c r="O8" s="363">
        <v>320545917.272098</v>
      </c>
      <c r="P8" s="363">
        <v>315296874.68304598</v>
      </c>
      <c r="Q8" s="363">
        <v>191358645.67594999</v>
      </c>
      <c r="R8" s="363">
        <v>129187271.596148</v>
      </c>
      <c r="S8" s="363">
        <v>23920000</v>
      </c>
      <c r="T8" s="363">
        <v>191358645.67594999</v>
      </c>
      <c r="U8" s="363">
        <v>172834912.72352999</v>
      </c>
      <c r="V8" s="363">
        <v>28159367.579020001</v>
      </c>
      <c r="W8" s="363">
        <v>129069618.08823299</v>
      </c>
      <c r="X8" s="363">
        <v>26375401.347651701</v>
      </c>
      <c r="Y8" s="363">
        <v>2224000</v>
      </c>
      <c r="Z8" s="363">
        <v>-21819401.347651701</v>
      </c>
      <c r="AA8" s="363">
        <v>127600618.08823299</v>
      </c>
      <c r="AB8" s="363">
        <v>236766000.087437</v>
      </c>
      <c r="AC8" s="363">
        <v>0</v>
      </c>
      <c r="AD8" s="363">
        <v>5717051.4008174799</v>
      </c>
      <c r="AE8" s="363">
        <v>1482203667.9015601</v>
      </c>
      <c r="AF8" s="363">
        <v>28803595</v>
      </c>
      <c r="AG8" s="363">
        <v>47788542</v>
      </c>
      <c r="AH8" s="363">
        <v>1801278856.3900001</v>
      </c>
      <c r="AI8" s="363">
        <v>930466201.863585</v>
      </c>
      <c r="AJ8" s="363">
        <v>53393267.285086803</v>
      </c>
      <c r="AK8" s="318">
        <v>0</v>
      </c>
      <c r="AL8" s="318">
        <v>170637067.51884601</v>
      </c>
      <c r="AM8" s="367">
        <v>0.62403064705706102</v>
      </c>
      <c r="AN8" s="367">
        <v>0.40935901511228401</v>
      </c>
      <c r="AO8" s="367">
        <v>0.54816563880397995</v>
      </c>
      <c r="AP8" s="367">
        <v>7.5865008253081095E-2</v>
      </c>
      <c r="AQ8" s="364">
        <f>O8/$O$23</f>
        <v>0.47538850731931598</v>
      </c>
    </row>
    <row r="9" spans="1:43" x14ac:dyDescent="0.45">
      <c r="A9" s="333" t="s">
        <v>53</v>
      </c>
      <c r="B9" s="363">
        <v>0</v>
      </c>
      <c r="C9" s="363">
        <v>0</v>
      </c>
      <c r="D9" s="363">
        <v>0</v>
      </c>
      <c r="E9" s="363">
        <v>0</v>
      </c>
      <c r="F9" s="363">
        <v>1724638.0049999999</v>
      </c>
      <c r="G9" s="363">
        <v>0</v>
      </c>
      <c r="H9" s="363">
        <v>0</v>
      </c>
      <c r="I9" s="363">
        <v>0</v>
      </c>
      <c r="J9" s="363">
        <v>0</v>
      </c>
      <c r="K9" s="363">
        <v>0</v>
      </c>
      <c r="L9" s="363">
        <v>0</v>
      </c>
      <c r="M9" s="363">
        <v>0</v>
      </c>
      <c r="N9" s="363">
        <v>0</v>
      </c>
      <c r="O9" s="363">
        <v>1724638.0049999999</v>
      </c>
      <c r="P9" s="363">
        <v>1702138.0049999999</v>
      </c>
      <c r="Q9" s="363">
        <v>189257.19</v>
      </c>
      <c r="R9" s="363">
        <v>1535380.8149999999</v>
      </c>
      <c r="S9" s="363">
        <v>3759751.72</v>
      </c>
      <c r="T9" s="363">
        <v>189257.19</v>
      </c>
      <c r="U9" s="363">
        <v>0</v>
      </c>
      <c r="V9" s="363">
        <v>189257.19</v>
      </c>
      <c r="W9" s="363">
        <v>1512880.8149999999</v>
      </c>
      <c r="X9" s="363">
        <v>644534.43000000005</v>
      </c>
      <c r="Y9" s="363">
        <v>-565872.6</v>
      </c>
      <c r="Z9" s="363">
        <v>-3759751.72</v>
      </c>
      <c r="AA9" s="363">
        <v>-2168209.0749999899</v>
      </c>
      <c r="AB9" s="363">
        <v>377638.52</v>
      </c>
      <c r="AC9" s="363">
        <v>0</v>
      </c>
      <c r="AD9" s="363">
        <v>0</v>
      </c>
      <c r="AE9" s="363">
        <v>5299998.3099999996</v>
      </c>
      <c r="AF9" s="363">
        <v>8013174.1799999997</v>
      </c>
      <c r="AG9" s="363">
        <v>6332967.2999999896</v>
      </c>
      <c r="AH9" s="363">
        <v>20053278.309999999</v>
      </c>
      <c r="AI9" s="363">
        <v>15549975.6574695</v>
      </c>
      <c r="AJ9" s="363">
        <v>732115.61431588803</v>
      </c>
      <c r="AK9" s="318">
        <v>0</v>
      </c>
      <c r="AL9" s="318">
        <v>0</v>
      </c>
      <c r="AM9" s="367">
        <v>2.20884071030421</v>
      </c>
      <c r="AN9" s="367">
        <v>0.88881207666824902</v>
      </c>
      <c r="AO9" s="367">
        <v>0</v>
      </c>
      <c r="AP9" s="367">
        <v>2.20884071030421</v>
      </c>
      <c r="AQ9" s="364">
        <f t="shared" ref="AQ9:AQ17" si="1">O9/$O$23</f>
        <v>2.5577399139579651E-3</v>
      </c>
    </row>
    <row r="10" spans="1:43" x14ac:dyDescent="0.45">
      <c r="A10" s="333" t="s">
        <v>20</v>
      </c>
      <c r="B10" s="363">
        <v>10868717.5</v>
      </c>
      <c r="C10" s="363">
        <v>0</v>
      </c>
      <c r="D10" s="363">
        <v>0</v>
      </c>
      <c r="E10" s="363">
        <v>24564240</v>
      </c>
      <c r="F10" s="363">
        <v>0</v>
      </c>
      <c r="G10" s="363">
        <v>3675310</v>
      </c>
      <c r="H10" s="363">
        <v>0</v>
      </c>
      <c r="I10" s="363">
        <v>0</v>
      </c>
      <c r="J10" s="363">
        <v>0</v>
      </c>
      <c r="K10" s="363">
        <v>0</v>
      </c>
      <c r="L10" s="363">
        <v>0</v>
      </c>
      <c r="M10" s="363">
        <v>567340</v>
      </c>
      <c r="N10" s="363">
        <v>652362.5</v>
      </c>
      <c r="O10" s="363">
        <v>40327970</v>
      </c>
      <c r="P10" s="363">
        <v>40327970</v>
      </c>
      <c r="Q10" s="363">
        <v>48063652.5</v>
      </c>
      <c r="R10" s="363">
        <v>-7735682.5</v>
      </c>
      <c r="S10" s="363">
        <v>401620</v>
      </c>
      <c r="T10" s="363">
        <v>48063652.5</v>
      </c>
      <c r="U10" s="363">
        <v>5302445</v>
      </c>
      <c r="V10" s="363">
        <v>46797332.5</v>
      </c>
      <c r="W10" s="363">
        <v>-7735682.5</v>
      </c>
      <c r="X10" s="363">
        <v>14497168.710000001</v>
      </c>
      <c r="Y10" s="363">
        <v>-3967726</v>
      </c>
      <c r="Z10" s="363">
        <v>-401620</v>
      </c>
      <c r="AA10" s="363">
        <v>2392140.21</v>
      </c>
      <c r="AB10" s="363">
        <v>52117844.770000003</v>
      </c>
      <c r="AC10" s="363">
        <v>0</v>
      </c>
      <c r="AD10" s="363">
        <v>0</v>
      </c>
      <c r="AE10" s="363">
        <v>499038806.85000002</v>
      </c>
      <c r="AF10" s="363">
        <v>62218827.569999903</v>
      </c>
      <c r="AG10" s="363">
        <v>10296519.14665</v>
      </c>
      <c r="AH10" s="363">
        <v>625306735.88</v>
      </c>
      <c r="AI10" s="363">
        <v>97774810</v>
      </c>
      <c r="AJ10" s="363">
        <v>243715966.66960001</v>
      </c>
      <c r="AK10" s="318">
        <v>0</v>
      </c>
      <c r="AL10" s="318">
        <v>0</v>
      </c>
      <c r="AM10" s="367">
        <v>0.14144190744041901</v>
      </c>
      <c r="AN10" s="367">
        <v>-0.19181928820121599</v>
      </c>
      <c r="AO10" s="367">
        <v>0.13148306249979799</v>
      </c>
      <c r="AP10" s="367">
        <v>9.9588449406206106E-3</v>
      </c>
      <c r="AQ10" s="364">
        <f t="shared" si="1"/>
        <v>5.9808758834523891E-2</v>
      </c>
    </row>
    <row r="11" spans="1:43" x14ac:dyDescent="0.45">
      <c r="A11" s="333" t="s">
        <v>47</v>
      </c>
      <c r="B11" s="363"/>
      <c r="C11" s="363"/>
      <c r="D11" s="363"/>
      <c r="E11" s="363"/>
      <c r="F11" s="363"/>
      <c r="G11" s="363"/>
      <c r="H11" s="363"/>
      <c r="I11" s="363"/>
      <c r="J11" s="363"/>
      <c r="K11" s="363"/>
      <c r="L11" s="363"/>
      <c r="M11" s="363"/>
      <c r="N11" s="363"/>
      <c r="O11" s="363"/>
      <c r="P11" s="363"/>
      <c r="Q11" s="363"/>
      <c r="R11" s="363"/>
      <c r="S11" s="363"/>
      <c r="T11" s="363"/>
      <c r="U11" s="363"/>
      <c r="V11" s="363"/>
      <c r="W11" s="363"/>
      <c r="X11" s="363"/>
      <c r="Y11" s="363"/>
      <c r="Z11" s="363"/>
      <c r="AA11" s="363"/>
      <c r="AB11" s="363"/>
      <c r="AC11" s="363"/>
      <c r="AD11" s="363"/>
      <c r="AE11" s="363"/>
      <c r="AF11" s="363"/>
      <c r="AG11" s="363"/>
      <c r="AH11" s="363"/>
      <c r="AI11" s="363"/>
      <c r="AJ11" s="363"/>
      <c r="AK11" s="318"/>
      <c r="AL11" s="318"/>
      <c r="AM11" s="367"/>
      <c r="AN11" s="367"/>
      <c r="AO11" s="367"/>
      <c r="AP11" s="367"/>
      <c r="AQ11" s="364"/>
    </row>
    <row r="12" spans="1:43" x14ac:dyDescent="0.45">
      <c r="A12" s="333" t="s">
        <v>64</v>
      </c>
      <c r="B12" s="363"/>
      <c r="C12" s="363"/>
      <c r="D12" s="363"/>
      <c r="E12" s="363"/>
      <c r="F12" s="363"/>
      <c r="G12" s="363"/>
      <c r="H12" s="363"/>
      <c r="I12" s="363"/>
      <c r="J12" s="363"/>
      <c r="K12" s="363"/>
      <c r="L12" s="363"/>
      <c r="M12" s="363"/>
      <c r="N12" s="363"/>
      <c r="O12" s="363"/>
      <c r="P12" s="363"/>
      <c r="Q12" s="363"/>
      <c r="R12" s="363"/>
      <c r="S12" s="363"/>
      <c r="T12" s="363"/>
      <c r="U12" s="363"/>
      <c r="V12" s="363"/>
      <c r="W12" s="363"/>
      <c r="X12" s="363"/>
      <c r="Y12" s="363"/>
      <c r="Z12" s="363"/>
      <c r="AA12" s="363"/>
      <c r="AB12" s="363"/>
      <c r="AC12" s="363"/>
      <c r="AD12" s="363"/>
      <c r="AE12" s="363"/>
      <c r="AF12" s="363"/>
      <c r="AG12" s="363"/>
      <c r="AH12" s="363"/>
      <c r="AI12" s="363"/>
      <c r="AJ12" s="363"/>
      <c r="AK12" s="318"/>
      <c r="AL12" s="318"/>
      <c r="AM12" s="367"/>
      <c r="AN12" s="367"/>
      <c r="AO12" s="367"/>
      <c r="AP12" s="367"/>
      <c r="AQ12" s="364"/>
    </row>
    <row r="13" spans="1:43" x14ac:dyDescent="0.45">
      <c r="A13" s="333" t="s">
        <v>144</v>
      </c>
      <c r="B13" s="363"/>
      <c r="C13" s="363"/>
      <c r="D13" s="363"/>
      <c r="E13" s="363"/>
      <c r="F13" s="363"/>
      <c r="G13" s="363"/>
      <c r="H13" s="363"/>
      <c r="I13" s="363"/>
      <c r="J13" s="363"/>
      <c r="K13" s="363"/>
      <c r="L13" s="363"/>
      <c r="M13" s="363"/>
      <c r="N13" s="363"/>
      <c r="O13" s="363"/>
      <c r="P13" s="363"/>
      <c r="Q13" s="363"/>
      <c r="R13" s="363"/>
      <c r="S13" s="363"/>
      <c r="T13" s="363"/>
      <c r="U13" s="363"/>
      <c r="V13" s="363"/>
      <c r="W13" s="363"/>
      <c r="X13" s="363"/>
      <c r="Y13" s="363"/>
      <c r="Z13" s="363"/>
      <c r="AA13" s="363"/>
      <c r="AB13" s="363"/>
      <c r="AC13" s="363"/>
      <c r="AD13" s="363"/>
      <c r="AE13" s="363"/>
      <c r="AF13" s="363"/>
      <c r="AG13" s="363"/>
      <c r="AH13" s="363"/>
      <c r="AI13" s="363"/>
      <c r="AJ13" s="363"/>
      <c r="AK13" s="318"/>
      <c r="AL13" s="318"/>
      <c r="AM13" s="367"/>
      <c r="AN13" s="367"/>
      <c r="AO13" s="367"/>
      <c r="AP13" s="367"/>
      <c r="AQ13" s="364"/>
    </row>
    <row r="14" spans="1:43" x14ac:dyDescent="0.45">
      <c r="A14" s="333" t="s">
        <v>21</v>
      </c>
      <c r="B14" s="363">
        <v>0</v>
      </c>
      <c r="C14" s="363">
        <v>6665990.2197924498</v>
      </c>
      <c r="D14" s="363">
        <v>0</v>
      </c>
      <c r="E14" s="363">
        <v>4805337.1199999899</v>
      </c>
      <c r="F14" s="363">
        <v>5517670.4789064303</v>
      </c>
      <c r="G14" s="363">
        <v>4622065.3067591405</v>
      </c>
      <c r="H14" s="363">
        <v>0</v>
      </c>
      <c r="I14" s="363">
        <v>0</v>
      </c>
      <c r="J14" s="363">
        <v>0</v>
      </c>
      <c r="K14" s="363">
        <v>0</v>
      </c>
      <c r="L14" s="363">
        <v>0</v>
      </c>
      <c r="M14" s="363">
        <v>0</v>
      </c>
      <c r="N14" s="363">
        <v>0</v>
      </c>
      <c r="O14" s="363">
        <v>21611063.125457998</v>
      </c>
      <c r="P14" s="363">
        <v>19724451.822854798</v>
      </c>
      <c r="Q14" s="363">
        <v>21485127.955606099</v>
      </c>
      <c r="R14" s="363">
        <v>125935.169851884</v>
      </c>
      <c r="S14" s="363">
        <v>2054697.3476855201</v>
      </c>
      <c r="T14" s="363">
        <v>21485127.955606099</v>
      </c>
      <c r="U14" s="363">
        <v>4647410.5587652596</v>
      </c>
      <c r="V14" s="363">
        <v>14996070.792592701</v>
      </c>
      <c r="W14" s="363">
        <v>-799564.28458171606</v>
      </c>
      <c r="X14" s="363">
        <v>31187396.91</v>
      </c>
      <c r="Y14" s="363">
        <v>-12241644.4934706</v>
      </c>
      <c r="Z14" s="363">
        <v>-2054697.3476855201</v>
      </c>
      <c r="AA14" s="363">
        <v>16046216.734262099</v>
      </c>
      <c r="AB14" s="363">
        <v>31405427.629999999</v>
      </c>
      <c r="AC14" s="363">
        <v>4902267.7889630599</v>
      </c>
      <c r="AD14" s="363">
        <v>922932.20519394195</v>
      </c>
      <c r="AE14" s="363">
        <v>274962562.65916002</v>
      </c>
      <c r="AF14" s="363">
        <v>2730312.98</v>
      </c>
      <c r="AG14" s="363">
        <v>7294212.6999999899</v>
      </c>
      <c r="AH14" s="363">
        <v>322227386.49000001</v>
      </c>
      <c r="AI14" s="363">
        <v>230359612.75850901</v>
      </c>
      <c r="AJ14" s="363">
        <v>0</v>
      </c>
      <c r="AK14" s="318">
        <v>348975.43869342399</v>
      </c>
      <c r="AL14" s="318">
        <v>2552764.0343896602</v>
      </c>
      <c r="AM14" s="367">
        <v>0.33978677666899798</v>
      </c>
      <c r="AN14" s="367">
        <v>-4.0536704987423497E-2</v>
      </c>
      <c r="AO14" s="367">
        <v>0.23561671576496099</v>
      </c>
      <c r="AP14" s="367">
        <v>0.10417006090403599</v>
      </c>
      <c r="AQ14" s="364">
        <f t="shared" si="1"/>
        <v>3.2050481654003156E-2</v>
      </c>
    </row>
    <row r="15" spans="1:43" x14ac:dyDescent="0.45">
      <c r="A15" s="333" t="s">
        <v>91</v>
      </c>
      <c r="B15" s="363">
        <v>0</v>
      </c>
      <c r="C15" s="363">
        <v>0</v>
      </c>
      <c r="D15" s="363">
        <v>12729695.0233295</v>
      </c>
      <c r="E15" s="363">
        <v>0</v>
      </c>
      <c r="F15" s="363">
        <v>3446576.2480174201</v>
      </c>
      <c r="G15" s="363">
        <v>0</v>
      </c>
      <c r="H15" s="363">
        <v>27834779.070662599</v>
      </c>
      <c r="I15" s="363">
        <v>14839784.705429699</v>
      </c>
      <c r="J15" s="363">
        <v>0</v>
      </c>
      <c r="K15" s="363">
        <v>0</v>
      </c>
      <c r="L15" s="363">
        <v>0</v>
      </c>
      <c r="M15" s="363">
        <v>18043651.4525606</v>
      </c>
      <c r="N15" s="363">
        <v>0</v>
      </c>
      <c r="O15" s="363">
        <v>76894486.5</v>
      </c>
      <c r="P15" s="363">
        <v>74676510</v>
      </c>
      <c r="Q15" s="363">
        <v>61345577.499999903</v>
      </c>
      <c r="R15" s="363">
        <v>15548909</v>
      </c>
      <c r="S15" s="363">
        <v>5190376.5</v>
      </c>
      <c r="T15" s="363">
        <v>61345577.499999903</v>
      </c>
      <c r="U15" s="363">
        <v>7507624.1676111901</v>
      </c>
      <c r="V15" s="363">
        <v>57319766.287508003</v>
      </c>
      <c r="W15" s="363">
        <v>13434468.5</v>
      </c>
      <c r="X15" s="363">
        <v>0</v>
      </c>
      <c r="Y15" s="363">
        <v>15758804.499999899</v>
      </c>
      <c r="Z15" s="363">
        <v>-2642417.5</v>
      </c>
      <c r="AA15" s="363">
        <v>25223312.5</v>
      </c>
      <c r="AB15" s="363">
        <v>15253659.390000001</v>
      </c>
      <c r="AC15" s="363">
        <v>0</v>
      </c>
      <c r="AD15" s="363">
        <v>0</v>
      </c>
      <c r="AE15" s="363">
        <v>322774883.81999898</v>
      </c>
      <c r="AF15" s="363">
        <v>71712842.429999903</v>
      </c>
      <c r="AG15" s="363">
        <v>25125648.362</v>
      </c>
      <c r="AH15" s="363">
        <v>434867034</v>
      </c>
      <c r="AI15" s="363">
        <v>149785449</v>
      </c>
      <c r="AJ15" s="363">
        <v>0</v>
      </c>
      <c r="AK15" s="318">
        <v>67087538.762549996</v>
      </c>
      <c r="AL15" s="318">
        <v>269350219.00999898</v>
      </c>
      <c r="AM15" s="367">
        <v>0.17004009249509899</v>
      </c>
      <c r="AN15" s="367">
        <v>0.17990220083932701</v>
      </c>
      <c r="AO15" s="367">
        <v>0.100535284356636</v>
      </c>
      <c r="AP15" s="367">
        <v>6.9504808138462798E-2</v>
      </c>
      <c r="AQ15" s="364">
        <f t="shared" si="1"/>
        <v>0.11403906020518893</v>
      </c>
    </row>
    <row r="16" spans="1:43" x14ac:dyDescent="0.45">
      <c r="A16" s="333" t="s">
        <v>22</v>
      </c>
      <c r="B16" s="363">
        <v>15667800.300000001</v>
      </c>
      <c r="C16" s="363">
        <v>0</v>
      </c>
      <c r="D16" s="363">
        <v>0</v>
      </c>
      <c r="E16" s="363">
        <v>34212394.810000002</v>
      </c>
      <c r="F16" s="363">
        <v>0</v>
      </c>
      <c r="G16" s="363">
        <v>0</v>
      </c>
      <c r="H16" s="363">
        <v>0</v>
      </c>
      <c r="I16" s="363">
        <v>0</v>
      </c>
      <c r="J16" s="363">
        <v>0</v>
      </c>
      <c r="K16" s="363">
        <v>0</v>
      </c>
      <c r="L16" s="363">
        <v>0</v>
      </c>
      <c r="M16" s="363">
        <v>0</v>
      </c>
      <c r="N16" s="363">
        <v>0</v>
      </c>
      <c r="O16" s="363">
        <v>49880195.109999999</v>
      </c>
      <c r="P16" s="363">
        <v>36637865.82</v>
      </c>
      <c r="Q16" s="363">
        <v>42143017.359999999</v>
      </c>
      <c r="R16" s="363">
        <v>7737177.75</v>
      </c>
      <c r="S16" s="363">
        <v>7840000</v>
      </c>
      <c r="T16" s="363">
        <v>42143017.359999999</v>
      </c>
      <c r="U16" s="363">
        <v>27898266.91</v>
      </c>
      <c r="V16" s="363">
        <v>20612650.599999901</v>
      </c>
      <c r="W16" s="363">
        <v>-5505151.54</v>
      </c>
      <c r="X16" s="363">
        <v>46380774.180100001</v>
      </c>
      <c r="Y16" s="363">
        <v>-18240320.140000001</v>
      </c>
      <c r="Z16" s="363">
        <v>-12900000</v>
      </c>
      <c r="AA16" s="363">
        <v>9735302.5000999998</v>
      </c>
      <c r="AB16" s="363">
        <v>32489611.609999999</v>
      </c>
      <c r="AC16" s="363">
        <v>0</v>
      </c>
      <c r="AD16" s="363">
        <v>17668949</v>
      </c>
      <c r="AE16" s="363">
        <v>432709999.99999899</v>
      </c>
      <c r="AF16" s="363">
        <v>12665000.26915</v>
      </c>
      <c r="AG16" s="363">
        <v>14620344.27</v>
      </c>
      <c r="AH16" s="363">
        <v>510153905.14999998</v>
      </c>
      <c r="AI16" s="363">
        <v>360057264.27322799</v>
      </c>
      <c r="AJ16" s="363">
        <v>78973529.900000006</v>
      </c>
      <c r="AK16" s="318">
        <v>0</v>
      </c>
      <c r="AL16" s="318">
        <v>0</v>
      </c>
      <c r="AM16" s="367">
        <v>0.97544619781021902</v>
      </c>
      <c r="AN16" s="367">
        <v>-0.150258521253572</v>
      </c>
      <c r="AO16" s="367">
        <v>0.76145993456777095</v>
      </c>
      <c r="AP16" s="367">
        <v>0.21398626324244699</v>
      </c>
      <c r="AQ16" s="364">
        <f t="shared" si="1"/>
        <v>7.3975272247846544E-2</v>
      </c>
    </row>
    <row r="17" spans="1:43" x14ac:dyDescent="0.45">
      <c r="A17" s="333" t="s">
        <v>24</v>
      </c>
      <c r="B17" s="363">
        <v>85546199.253011301</v>
      </c>
      <c r="C17" s="363">
        <v>0</v>
      </c>
      <c r="D17" s="363">
        <v>0</v>
      </c>
      <c r="E17" s="363">
        <v>18135007.064174801</v>
      </c>
      <c r="F17" s="363">
        <v>-8453920.1674185693</v>
      </c>
      <c r="G17" s="363">
        <v>-83218.272423529997</v>
      </c>
      <c r="H17" s="363">
        <v>49228126.3785595</v>
      </c>
      <c r="I17" s="363">
        <v>18358740.661438499</v>
      </c>
      <c r="J17" s="363">
        <v>0</v>
      </c>
      <c r="K17" s="363">
        <v>0</v>
      </c>
      <c r="L17" s="363">
        <v>566803.02110447304</v>
      </c>
      <c r="M17" s="363">
        <v>0</v>
      </c>
      <c r="N17" s="363">
        <v>0</v>
      </c>
      <c r="O17" s="363">
        <v>163297737.93844599</v>
      </c>
      <c r="P17" s="363">
        <v>158006829.12975201</v>
      </c>
      <c r="Q17" s="363">
        <v>105951292.17630599</v>
      </c>
      <c r="R17" s="363">
        <v>57346445.762139902</v>
      </c>
      <c r="S17" s="363">
        <v>3817023.6399999899</v>
      </c>
      <c r="T17" s="363">
        <v>105951292.17630599</v>
      </c>
      <c r="U17" s="363">
        <v>46602216.111107998</v>
      </c>
      <c r="V17" s="363">
        <v>59475196.180622697</v>
      </c>
      <c r="W17" s="363">
        <v>55225892.845289402</v>
      </c>
      <c r="X17" s="363">
        <v>39840942.3596268</v>
      </c>
      <c r="Y17" s="363">
        <v>-91274198.051255599</v>
      </c>
      <c r="Z17" s="363">
        <v>-3722950.8866666602</v>
      </c>
      <c r="AA17" s="363">
        <v>66201.953935020298</v>
      </c>
      <c r="AB17" s="363">
        <v>59286333.321562298</v>
      </c>
      <c r="AC17" s="363">
        <v>4653778.0245990101</v>
      </c>
      <c r="AD17" s="363">
        <v>6913179.9934108397</v>
      </c>
      <c r="AE17" s="363">
        <v>693344538.86940801</v>
      </c>
      <c r="AF17" s="363">
        <v>11127512.42</v>
      </c>
      <c r="AG17" s="363">
        <v>11773272.703472501</v>
      </c>
      <c r="AH17" s="363">
        <v>802146776.44000006</v>
      </c>
      <c r="AI17" s="363">
        <v>656090992.30257595</v>
      </c>
      <c r="AJ17" s="363">
        <v>0</v>
      </c>
      <c r="AK17" s="318">
        <v>0</v>
      </c>
      <c r="AL17" s="318">
        <v>503391650.33999997</v>
      </c>
      <c r="AM17" s="367">
        <v>0.31909532030229298</v>
      </c>
      <c r="AN17" s="367">
        <v>0.34951586048181998</v>
      </c>
      <c r="AO17" s="367">
        <v>0.29493798697041801</v>
      </c>
      <c r="AP17" s="367">
        <v>2.4157333331874701E-2</v>
      </c>
      <c r="AQ17" s="364">
        <f t="shared" si="1"/>
        <v>0.24218017982516349</v>
      </c>
    </row>
    <row r="18" spans="1:43" x14ac:dyDescent="0.45">
      <c r="A18" s="333" t="s">
        <v>25</v>
      </c>
      <c r="B18" s="363"/>
      <c r="C18" s="363"/>
      <c r="D18" s="363"/>
      <c r="E18" s="363"/>
      <c r="F18" s="363"/>
      <c r="G18" s="363"/>
      <c r="H18" s="363"/>
      <c r="I18" s="363"/>
      <c r="J18" s="363"/>
      <c r="K18" s="363"/>
      <c r="L18" s="363"/>
      <c r="M18" s="363"/>
      <c r="N18" s="363"/>
      <c r="O18" s="363"/>
      <c r="P18" s="363"/>
      <c r="Q18" s="363"/>
      <c r="R18" s="363"/>
      <c r="S18" s="363"/>
      <c r="T18" s="363"/>
      <c r="U18" s="363"/>
      <c r="V18" s="363"/>
      <c r="W18" s="363"/>
      <c r="X18" s="363"/>
      <c r="Y18" s="363"/>
      <c r="Z18" s="363"/>
      <c r="AA18" s="363"/>
      <c r="AB18" s="363"/>
      <c r="AC18" s="363"/>
      <c r="AD18" s="363"/>
      <c r="AE18" s="363"/>
      <c r="AF18" s="363"/>
      <c r="AG18" s="363"/>
      <c r="AH18" s="363"/>
      <c r="AI18" s="363"/>
      <c r="AJ18" s="363"/>
      <c r="AK18" s="318"/>
      <c r="AL18" s="318"/>
      <c r="AM18" s="367"/>
      <c r="AN18" s="367"/>
      <c r="AO18" s="367"/>
      <c r="AP18" s="367"/>
      <c r="AQ18" s="364"/>
    </row>
    <row r="19" spans="1:43" x14ac:dyDescent="0.45">
      <c r="A19" s="333" t="s">
        <v>141</v>
      </c>
      <c r="B19" s="363"/>
      <c r="C19" s="363"/>
      <c r="D19" s="363"/>
      <c r="E19" s="363"/>
      <c r="F19" s="363"/>
      <c r="G19" s="363"/>
      <c r="H19" s="363"/>
      <c r="I19" s="363"/>
      <c r="J19" s="363"/>
      <c r="K19" s="363"/>
      <c r="L19" s="363"/>
      <c r="M19" s="363"/>
      <c r="N19" s="363"/>
      <c r="O19" s="363"/>
      <c r="P19" s="363"/>
      <c r="Q19" s="363"/>
      <c r="R19" s="363"/>
      <c r="S19" s="363"/>
      <c r="T19" s="363"/>
      <c r="U19" s="363"/>
      <c r="V19" s="363"/>
      <c r="W19" s="363"/>
      <c r="X19" s="363"/>
      <c r="Y19" s="363"/>
      <c r="Z19" s="363"/>
      <c r="AA19" s="363"/>
      <c r="AB19" s="363"/>
      <c r="AC19" s="363"/>
      <c r="AD19" s="363"/>
      <c r="AE19" s="363"/>
      <c r="AF19" s="363"/>
      <c r="AG19" s="363"/>
      <c r="AH19" s="363"/>
      <c r="AI19" s="363"/>
      <c r="AJ19" s="363"/>
      <c r="AK19" s="318"/>
      <c r="AL19" s="318"/>
      <c r="AM19" s="367"/>
      <c r="AN19" s="367"/>
      <c r="AO19" s="367"/>
      <c r="AP19" s="367"/>
      <c r="AQ19" s="364"/>
    </row>
    <row r="20" spans="1:43" x14ac:dyDescent="0.45">
      <c r="A20" s="333" t="s">
        <v>27</v>
      </c>
      <c r="B20" s="363"/>
      <c r="C20" s="363"/>
      <c r="D20" s="363"/>
      <c r="E20" s="363"/>
      <c r="F20" s="363"/>
      <c r="G20" s="363"/>
      <c r="H20" s="363"/>
      <c r="I20" s="363"/>
      <c r="J20" s="363"/>
      <c r="K20" s="363"/>
      <c r="L20" s="363"/>
      <c r="M20" s="363"/>
      <c r="N20" s="363"/>
      <c r="O20" s="363"/>
      <c r="P20" s="363"/>
      <c r="Q20" s="363"/>
      <c r="R20" s="363"/>
      <c r="S20" s="363"/>
      <c r="T20" s="363"/>
      <c r="U20" s="363"/>
      <c r="V20" s="363"/>
      <c r="W20" s="363"/>
      <c r="X20" s="363"/>
      <c r="Y20" s="363"/>
      <c r="Z20" s="363"/>
      <c r="AA20" s="363"/>
      <c r="AB20" s="363"/>
      <c r="AC20" s="363"/>
      <c r="AD20" s="363"/>
      <c r="AE20" s="363"/>
      <c r="AF20" s="363"/>
      <c r="AG20" s="363"/>
      <c r="AH20" s="363"/>
      <c r="AI20" s="363"/>
      <c r="AJ20" s="363"/>
      <c r="AK20" s="318"/>
      <c r="AL20" s="318"/>
      <c r="AM20" s="367"/>
      <c r="AN20" s="367"/>
      <c r="AO20" s="367"/>
      <c r="AP20" s="367"/>
      <c r="AQ20" s="364"/>
    </row>
    <row r="21" spans="1:43" x14ac:dyDescent="0.45">
      <c r="A21" s="333" t="s">
        <v>28</v>
      </c>
      <c r="B21" s="363"/>
      <c r="C21" s="363"/>
      <c r="D21" s="363"/>
      <c r="E21" s="363"/>
      <c r="F21" s="363"/>
      <c r="G21" s="363"/>
      <c r="H21" s="363"/>
      <c r="I21" s="363"/>
      <c r="J21" s="363"/>
      <c r="K21" s="363"/>
      <c r="L21" s="363"/>
      <c r="M21" s="363"/>
      <c r="N21" s="363"/>
      <c r="O21" s="363"/>
      <c r="P21" s="363"/>
      <c r="Q21" s="363"/>
      <c r="R21" s="363"/>
      <c r="S21" s="363"/>
      <c r="T21" s="363"/>
      <c r="U21" s="363"/>
      <c r="V21" s="363"/>
      <c r="W21" s="363"/>
      <c r="X21" s="363"/>
      <c r="Y21" s="363"/>
      <c r="Z21" s="363"/>
      <c r="AA21" s="363"/>
      <c r="AB21" s="363"/>
      <c r="AC21" s="363"/>
      <c r="AD21" s="363"/>
      <c r="AE21" s="363"/>
      <c r="AF21" s="363"/>
      <c r="AG21" s="363"/>
      <c r="AH21" s="363"/>
      <c r="AI21" s="363"/>
      <c r="AJ21" s="363"/>
      <c r="AK21" s="318"/>
      <c r="AL21" s="318"/>
      <c r="AM21" s="377"/>
      <c r="AN21" s="367"/>
      <c r="AO21" s="367"/>
      <c r="AP21" s="367"/>
      <c r="AQ21" s="364"/>
    </row>
    <row r="22" spans="1:43" x14ac:dyDescent="0.45">
      <c r="A22" s="333" t="s">
        <v>31</v>
      </c>
      <c r="B22" s="363"/>
      <c r="C22" s="363"/>
      <c r="D22" s="363"/>
      <c r="E22" s="363"/>
      <c r="F22" s="363"/>
      <c r="G22" s="363"/>
      <c r="H22" s="363"/>
      <c r="I22" s="363"/>
      <c r="J22" s="363"/>
      <c r="K22" s="363"/>
      <c r="L22" s="363"/>
      <c r="M22" s="363"/>
      <c r="N22" s="363"/>
      <c r="O22" s="363"/>
      <c r="P22" s="363"/>
      <c r="Q22" s="363"/>
      <c r="R22" s="363"/>
      <c r="S22" s="363"/>
      <c r="T22" s="363"/>
      <c r="U22" s="363"/>
      <c r="V22" s="363"/>
      <c r="W22" s="363"/>
      <c r="X22" s="363"/>
      <c r="Y22" s="363"/>
      <c r="Z22" s="363"/>
      <c r="AA22" s="363"/>
      <c r="AB22" s="363"/>
      <c r="AC22" s="363"/>
      <c r="AD22" s="363"/>
      <c r="AE22" s="363"/>
      <c r="AF22" s="363"/>
      <c r="AG22" s="363"/>
      <c r="AH22" s="363"/>
      <c r="AI22" s="363"/>
      <c r="AJ22" s="363"/>
      <c r="AK22" s="318"/>
      <c r="AL22" s="318"/>
      <c r="AM22" s="377"/>
      <c r="AN22" s="367"/>
      <c r="AO22" s="367"/>
      <c r="AP22" s="367"/>
      <c r="AQ22" s="364"/>
    </row>
    <row r="23" spans="1:43" s="137" customFormat="1" x14ac:dyDescent="0.45">
      <c r="A23" s="357" t="s">
        <v>67</v>
      </c>
      <c r="B23" s="358">
        <f t="shared" ref="B23:AL23" si="2">SUM(B6:B22)</f>
        <v>112082717.0530113</v>
      </c>
      <c r="C23" s="358">
        <f t="shared" si="2"/>
        <v>29003811.389442749</v>
      </c>
      <c r="D23" s="358">
        <f t="shared" si="2"/>
        <v>116156351.74625349</v>
      </c>
      <c r="E23" s="358">
        <f t="shared" si="2"/>
        <v>98028907.644435897</v>
      </c>
      <c r="F23" s="358">
        <f t="shared" si="2"/>
        <v>2234964.5645052809</v>
      </c>
      <c r="G23" s="358">
        <f t="shared" si="2"/>
        <v>26932270.351643614</v>
      </c>
      <c r="H23" s="358">
        <f t="shared" si="2"/>
        <v>234202659.9422321</v>
      </c>
      <c r="I23" s="358">
        <f t="shared" si="2"/>
        <v>33198525.366868198</v>
      </c>
      <c r="J23" s="358">
        <f t="shared" si="2"/>
        <v>0</v>
      </c>
      <c r="K23" s="358">
        <f t="shared" si="2"/>
        <v>0</v>
      </c>
      <c r="L23" s="358">
        <f t="shared" si="2"/>
        <v>566803.02110447304</v>
      </c>
      <c r="M23" s="358">
        <f t="shared" si="2"/>
        <v>21222634.371505268</v>
      </c>
      <c r="N23" s="358">
        <f t="shared" si="2"/>
        <v>652362.5</v>
      </c>
      <c r="O23" s="358">
        <f t="shared" si="2"/>
        <v>674282007.951002</v>
      </c>
      <c r="P23" s="358">
        <f t="shared" si="2"/>
        <v>646372639.46065283</v>
      </c>
      <c r="Q23" s="358">
        <f t="shared" si="2"/>
        <v>470536570.357862</v>
      </c>
      <c r="R23" s="358">
        <f t="shared" si="2"/>
        <v>203745437.59313977</v>
      </c>
      <c r="S23" s="358">
        <f t="shared" si="2"/>
        <v>46983469.207685508</v>
      </c>
      <c r="T23" s="358">
        <f t="shared" si="2"/>
        <v>470536570.357862</v>
      </c>
      <c r="U23" s="358">
        <f t="shared" si="2"/>
        <v>264792875.47101444</v>
      </c>
      <c r="V23" s="358">
        <f t="shared" si="2"/>
        <v>227549641.12974331</v>
      </c>
      <c r="W23" s="358">
        <f t="shared" si="2"/>
        <v>185202461.92394066</v>
      </c>
      <c r="X23" s="358">
        <f t="shared" si="2"/>
        <v>158926217.9373785</v>
      </c>
      <c r="Y23" s="358">
        <f t="shared" si="2"/>
        <v>-108306956.78472629</v>
      </c>
      <c r="Z23" s="358">
        <f t="shared" si="2"/>
        <v>-47300838.802003883</v>
      </c>
      <c r="AA23" s="358">
        <f t="shared" si="2"/>
        <v>178895582.91153011</v>
      </c>
      <c r="AB23" s="358">
        <f t="shared" si="2"/>
        <v>427696515.32899928</v>
      </c>
      <c r="AC23" s="358">
        <f t="shared" si="2"/>
        <v>9556045.8135620691</v>
      </c>
      <c r="AD23" s="358">
        <f t="shared" si="2"/>
        <v>31222112.599422261</v>
      </c>
      <c r="AE23" s="358">
        <f t="shared" si="2"/>
        <v>3710334458.4101262</v>
      </c>
      <c r="AF23" s="358">
        <f t="shared" si="2"/>
        <v>197271264.84914979</v>
      </c>
      <c r="AG23" s="358">
        <f t="shared" si="2"/>
        <v>123231506.48212248</v>
      </c>
      <c r="AH23" s="358">
        <f t="shared" si="2"/>
        <v>4516033972.6599998</v>
      </c>
      <c r="AI23" s="358">
        <f t="shared" si="2"/>
        <v>2440084305.8553672</v>
      </c>
      <c r="AJ23" s="358">
        <f t="shared" si="2"/>
        <v>376814879.46900272</v>
      </c>
      <c r="AK23" s="358">
        <f t="shared" si="2"/>
        <v>67436514.201243415</v>
      </c>
      <c r="AL23" s="358">
        <f t="shared" si="2"/>
        <v>945931700.90323472</v>
      </c>
      <c r="AM23" s="368">
        <f>SUM(AM6:AM22)/COUNT(AM6:AM22)</f>
        <v>0.68266880743975711</v>
      </c>
      <c r="AN23" s="368">
        <f t="shared" ref="AN23:AP23" si="3">SUM(AN6:AN22)/COUNT(AN6:AN22)</f>
        <v>0.20642494837992406</v>
      </c>
      <c r="AO23" s="368">
        <f t="shared" si="3"/>
        <v>0.2960283747090805</v>
      </c>
      <c r="AP23" s="368">
        <f t="shared" si="3"/>
        <v>0.38664043273067605</v>
      </c>
      <c r="AQ23" s="364">
        <f>SUM(AQ7:AQ22)</f>
        <v>0.99999999999999989</v>
      </c>
    </row>
    <row r="24" spans="1:43" x14ac:dyDescent="0.45">
      <c r="B24" s="324"/>
      <c r="C24" s="324"/>
      <c r="D24" s="324"/>
      <c r="E24" s="324"/>
      <c r="F24" s="324"/>
      <c r="G24" s="324"/>
      <c r="H24" s="324"/>
      <c r="I24" s="324"/>
      <c r="J24" s="324"/>
      <c r="K24" s="324"/>
      <c r="L24" s="324"/>
      <c r="M24" s="324"/>
      <c r="N24" s="324"/>
      <c r="O24" s="324"/>
      <c r="P24" s="324"/>
      <c r="Q24" s="325"/>
      <c r="R24" s="325"/>
      <c r="S24" s="324"/>
      <c r="T24" s="324"/>
      <c r="U24" s="324"/>
      <c r="V24" s="324"/>
      <c r="W24" s="324"/>
      <c r="X24" s="324"/>
      <c r="Y24" s="324"/>
      <c r="Z24" s="324"/>
      <c r="AA24" s="324"/>
      <c r="AB24" s="324"/>
      <c r="AC24" s="324"/>
      <c r="AD24" s="324"/>
      <c r="AE24" s="324"/>
      <c r="AF24" s="324"/>
      <c r="AG24" s="324"/>
      <c r="AH24" s="324"/>
      <c r="AI24" s="324"/>
      <c r="AJ24" s="324"/>
      <c r="AK24" s="324"/>
      <c r="AL24" s="324"/>
      <c r="AM24" s="372"/>
      <c r="AN24" s="372"/>
      <c r="AO24" s="372"/>
      <c r="AP24" s="372"/>
      <c r="AQ24" s="324"/>
    </row>
  </sheetData>
  <mergeCells count="1">
    <mergeCell ref="B1:AQ1"/>
  </mergeCells>
  <dataValidations count="1">
    <dataValidation type="list" allowBlank="1" showInputMessage="1" showErrorMessage="1" sqref="A3" xr:uid="{00000000-0002-0000-3000-000000000000}">
      <formula1>$A$6:$A$23</formula1>
    </dataValidation>
  </dataValidations>
  <pageMargins left="0.7" right="0.7" top="0.75" bottom="0.75" header="0.3" footer="0.3"/>
  <customProperties>
    <customPr name="LastActive" r:id="rId1"/>
  </customProperties>
  <legacy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pageSetUpPr fitToPage="1"/>
  </sheetPr>
  <dimension ref="A1:AQ25"/>
  <sheetViews>
    <sheetView workbookViewId="0">
      <pane xSplit="1" topLeftCell="B1" activePane="topRight" state="frozen"/>
      <selection pane="topRight" activeCell="A3" sqref="A3"/>
    </sheetView>
  </sheetViews>
  <sheetFormatPr defaultRowHeight="14.25" x14ac:dyDescent="0.45"/>
  <cols>
    <col min="1" max="1" width="42.3984375" bestFit="1" customWidth="1"/>
    <col min="2" max="2" width="20.73046875" style="326" customWidth="1"/>
    <col min="3" max="5" width="17.73046875" style="326" bestFit="1" customWidth="1"/>
    <col min="6" max="10" width="19" style="326" customWidth="1"/>
    <col min="11" max="11" width="19.3984375" style="326" bestFit="1" customWidth="1"/>
    <col min="12" max="12" width="14.3984375" style="326" bestFit="1" customWidth="1"/>
    <col min="13" max="13" width="17.73046875" style="326" customWidth="1"/>
    <col min="14" max="14" width="27.3984375" style="326" bestFit="1" customWidth="1"/>
    <col min="15" max="15" width="21.73046875" style="326" bestFit="1" customWidth="1"/>
    <col min="16" max="16" width="21.73046875" style="326" customWidth="1"/>
    <col min="17" max="17" width="20" style="326" bestFit="1" customWidth="1"/>
    <col min="18" max="18" width="22" style="326" customWidth="1"/>
    <col min="19" max="19" width="20.73046875" style="326" bestFit="1" customWidth="1"/>
    <col min="20" max="20" width="20.73046875" style="326" customWidth="1"/>
    <col min="21" max="21" width="22.73046875" style="326" bestFit="1" customWidth="1"/>
    <col min="22" max="22" width="19.265625" style="326" bestFit="1" customWidth="1"/>
    <col min="23" max="23" width="19.265625" style="326" customWidth="1"/>
    <col min="24" max="24" width="25.265625" style="326" bestFit="1" customWidth="1"/>
    <col min="25" max="25" width="18.73046875" style="326" bestFit="1" customWidth="1"/>
    <col min="26" max="26" width="20" style="326" bestFit="1" customWidth="1"/>
    <col min="27" max="27" width="20" style="326" customWidth="1"/>
    <col min="28" max="28" width="19.3984375" style="326" bestFit="1" customWidth="1"/>
    <col min="29" max="30" width="19.3984375" style="326" customWidth="1"/>
    <col min="31" max="31" width="21.265625" style="326" bestFit="1" customWidth="1"/>
    <col min="32" max="32" width="17.73046875" style="326" bestFit="1" customWidth="1"/>
    <col min="33" max="33" width="18.265625" style="326" bestFit="1" customWidth="1"/>
    <col min="34" max="34" width="21.265625" style="326" bestFit="1" customWidth="1"/>
    <col min="35" max="35" width="22.265625" style="326" bestFit="1" customWidth="1"/>
    <col min="36" max="36" width="18.73046875" style="326" bestFit="1" customWidth="1"/>
    <col min="37" max="38" width="18.73046875" style="326" customWidth="1"/>
    <col min="39" max="39" width="17.265625" style="373" bestFit="1" customWidth="1"/>
    <col min="40" max="42" width="17.265625" style="373" customWidth="1"/>
    <col min="43" max="43" width="13" style="326" bestFit="1" customWidth="1"/>
  </cols>
  <sheetData>
    <row r="1" spans="1:43" ht="20.65" x14ac:dyDescent="0.55000000000000004">
      <c r="A1" s="341" t="s">
        <v>184</v>
      </c>
      <c r="B1" s="388" t="s">
        <v>99</v>
      </c>
      <c r="C1" s="388"/>
      <c r="D1" s="388"/>
      <c r="E1" s="388"/>
      <c r="F1" s="388"/>
      <c r="G1" s="388"/>
      <c r="H1" s="388"/>
      <c r="I1" s="388"/>
      <c r="J1" s="388"/>
      <c r="K1" s="388"/>
      <c r="L1" s="388"/>
      <c r="M1" s="388"/>
      <c r="N1" s="388"/>
      <c r="O1" s="388"/>
      <c r="P1" s="388"/>
      <c r="Q1" s="388"/>
      <c r="R1" s="388"/>
      <c r="S1" s="388"/>
      <c r="T1" s="388"/>
      <c r="U1" s="388"/>
      <c r="V1" s="388"/>
      <c r="W1" s="388"/>
      <c r="X1" s="388"/>
      <c r="Y1" s="388"/>
      <c r="Z1" s="388"/>
      <c r="AA1" s="388"/>
      <c r="AB1" s="388"/>
      <c r="AC1" s="388"/>
      <c r="AD1" s="388"/>
      <c r="AE1" s="388"/>
      <c r="AF1" s="388"/>
      <c r="AG1" s="388"/>
      <c r="AH1" s="388"/>
      <c r="AI1" s="388"/>
      <c r="AJ1" s="388"/>
      <c r="AK1" s="388"/>
      <c r="AL1" s="388"/>
      <c r="AM1" s="388"/>
      <c r="AN1" s="388"/>
      <c r="AO1" s="388"/>
      <c r="AP1" s="388"/>
      <c r="AQ1" s="388"/>
    </row>
    <row r="2" spans="1:43" ht="68.25" x14ac:dyDescent="0.45">
      <c r="A2" s="349"/>
      <c r="B2" s="342" t="s">
        <v>148</v>
      </c>
      <c r="C2" s="342" t="s">
        <v>149</v>
      </c>
      <c r="D2" s="342" t="s">
        <v>150</v>
      </c>
      <c r="E2" s="342" t="s">
        <v>151</v>
      </c>
      <c r="F2" s="342" t="s">
        <v>152</v>
      </c>
      <c r="G2" s="342" t="s">
        <v>111</v>
      </c>
      <c r="H2" s="342" t="s">
        <v>153</v>
      </c>
      <c r="I2" s="342" t="s">
        <v>154</v>
      </c>
      <c r="J2" s="342" t="s">
        <v>114</v>
      </c>
      <c r="K2" s="342" t="s">
        <v>155</v>
      </c>
      <c r="L2" s="342" t="s">
        <v>156</v>
      </c>
      <c r="M2" s="342" t="s">
        <v>157</v>
      </c>
      <c r="N2" s="342" t="s">
        <v>116</v>
      </c>
      <c r="O2" s="342" t="s">
        <v>158</v>
      </c>
      <c r="P2" s="342" t="s">
        <v>159</v>
      </c>
      <c r="Q2" s="342" t="s">
        <v>160</v>
      </c>
      <c r="R2" s="342" t="s">
        <v>161</v>
      </c>
      <c r="S2" s="342" t="s">
        <v>162</v>
      </c>
      <c r="T2" s="342" t="s">
        <v>163</v>
      </c>
      <c r="U2" s="342" t="s">
        <v>164</v>
      </c>
      <c r="V2" s="342" t="s">
        <v>165</v>
      </c>
      <c r="W2" s="342" t="s">
        <v>166</v>
      </c>
      <c r="X2" s="342" t="s">
        <v>121</v>
      </c>
      <c r="Y2" s="342" t="s">
        <v>167</v>
      </c>
      <c r="Z2" s="342" t="s">
        <v>168</v>
      </c>
      <c r="AA2" s="342" t="s">
        <v>169</v>
      </c>
      <c r="AB2" s="342" t="s">
        <v>128</v>
      </c>
      <c r="AC2" s="342" t="s">
        <v>170</v>
      </c>
      <c r="AD2" s="342" t="s">
        <v>171</v>
      </c>
      <c r="AE2" s="342" t="s">
        <v>79</v>
      </c>
      <c r="AF2" s="342" t="s">
        <v>129</v>
      </c>
      <c r="AG2" s="342" t="s">
        <v>130</v>
      </c>
      <c r="AH2" s="343" t="s">
        <v>13</v>
      </c>
      <c r="AI2" s="343" t="s">
        <v>172</v>
      </c>
      <c r="AJ2" s="343" t="s">
        <v>173</v>
      </c>
      <c r="AK2" s="343" t="s">
        <v>174</v>
      </c>
      <c r="AL2" s="343" t="s">
        <v>175</v>
      </c>
      <c r="AM2" s="369" t="s">
        <v>185</v>
      </c>
      <c r="AN2" s="369" t="s">
        <v>186</v>
      </c>
      <c r="AO2" s="369" t="s">
        <v>178</v>
      </c>
      <c r="AP2" s="369" t="s">
        <v>179</v>
      </c>
      <c r="AQ2" s="344" t="s">
        <v>12</v>
      </c>
    </row>
    <row r="3" spans="1:43" x14ac:dyDescent="0.45">
      <c r="A3" s="350" t="s">
        <v>91</v>
      </c>
      <c r="B3" s="345">
        <f t="shared" ref="B3:AQ3" si="0">INDEX(B6:B24,MATCH($A$3,$A$6:$A$24,0))</f>
        <v>0</v>
      </c>
      <c r="C3" s="345">
        <f t="shared" si="0"/>
        <v>0</v>
      </c>
      <c r="D3" s="345">
        <f t="shared" si="0"/>
        <v>18585354.7340611</v>
      </c>
      <c r="E3" s="345">
        <f t="shared" si="0"/>
        <v>0</v>
      </c>
      <c r="F3" s="345">
        <f>INDEX(F6:F24,MATCH($A$3,$A$6:$A$24,0))</f>
        <v>5032001.3221054301</v>
      </c>
      <c r="G3" s="345">
        <f t="shared" ref="G3:J3" si="1">INDEX(G6:G24,MATCH($A$3,$A$6:$A$24,0))</f>
        <v>0</v>
      </c>
      <c r="H3" s="345">
        <f t="shared" si="1"/>
        <v>40638777.443167403</v>
      </c>
      <c r="I3" s="345">
        <f t="shared" si="1"/>
        <v>21666085.6699274</v>
      </c>
      <c r="J3" s="345">
        <f t="shared" si="1"/>
        <v>0</v>
      </c>
      <c r="K3" s="345">
        <f t="shared" si="0"/>
        <v>0</v>
      </c>
      <c r="L3" s="345">
        <f t="shared" si="0"/>
        <v>0</v>
      </c>
      <c r="M3" s="345">
        <f t="shared" si="0"/>
        <v>26343731.120738499</v>
      </c>
      <c r="N3" s="345">
        <f t="shared" si="0"/>
        <v>0</v>
      </c>
      <c r="O3" s="345">
        <f t="shared" si="0"/>
        <v>112265950.29000001</v>
      </c>
      <c r="P3" s="345">
        <f t="shared" si="0"/>
        <v>109027704.59999999</v>
      </c>
      <c r="Q3" s="345">
        <f t="shared" si="0"/>
        <v>89564543.149999902</v>
      </c>
      <c r="R3" s="345">
        <f t="shared" si="0"/>
        <v>22701407.140000001</v>
      </c>
      <c r="S3" s="345">
        <f t="shared" si="0"/>
        <v>7577949.6900000004</v>
      </c>
      <c r="T3" s="345">
        <f t="shared" si="0"/>
        <v>89564543.149999902</v>
      </c>
      <c r="U3" s="345">
        <f t="shared" si="0"/>
        <v>10961131.2847123</v>
      </c>
      <c r="V3" s="345">
        <f t="shared" si="0"/>
        <v>83686858.779761702</v>
      </c>
      <c r="W3" s="345">
        <f t="shared" si="0"/>
        <v>19614324.010000002</v>
      </c>
      <c r="X3" s="345">
        <f t="shared" si="0"/>
        <v>0</v>
      </c>
      <c r="Y3" s="345">
        <f t="shared" si="0"/>
        <v>23007854.57</v>
      </c>
      <c r="Z3" s="345">
        <f t="shared" si="0"/>
        <v>-3857929.55</v>
      </c>
      <c r="AA3" s="345">
        <f t="shared" si="0"/>
        <v>36826036.250000097</v>
      </c>
      <c r="AB3" s="345">
        <f t="shared" si="0"/>
        <v>9962000.3300000001</v>
      </c>
      <c r="AC3" s="345">
        <f t="shared" si="0"/>
        <v>0</v>
      </c>
      <c r="AD3" s="345">
        <f t="shared" si="0"/>
        <v>0</v>
      </c>
      <c r="AE3" s="345">
        <f t="shared" si="0"/>
        <v>370382781.34999901</v>
      </c>
      <c r="AF3" s="345">
        <f t="shared" si="0"/>
        <v>80835606.283999994</v>
      </c>
      <c r="AG3" s="345">
        <f t="shared" si="0"/>
        <v>25428622.214000002</v>
      </c>
      <c r="AH3" s="345">
        <f t="shared" si="0"/>
        <v>486609010.18000001</v>
      </c>
      <c r="AI3" s="345">
        <f t="shared" si="0"/>
        <v>157115902</v>
      </c>
      <c r="AJ3" s="345">
        <f t="shared" si="0"/>
        <v>0</v>
      </c>
      <c r="AK3" s="345">
        <f t="shared" si="0"/>
        <v>68029361.744399905</v>
      </c>
      <c r="AL3" s="345">
        <f t="shared" si="0"/>
        <v>297231249.56</v>
      </c>
      <c r="AM3" s="346">
        <f t="shared" si="0"/>
        <v>0.17004009249509899</v>
      </c>
      <c r="AN3" s="346">
        <f t="shared" si="0"/>
        <v>0.17990220083932701</v>
      </c>
      <c r="AO3" s="346">
        <f t="shared" si="0"/>
        <v>0.100535284356636</v>
      </c>
      <c r="AP3" s="346">
        <f t="shared" si="0"/>
        <v>6.9504808138462798E-2</v>
      </c>
      <c r="AQ3" s="346">
        <f t="shared" si="0"/>
        <v>7.3119966602224251E-2</v>
      </c>
    </row>
    <row r="4" spans="1:43" x14ac:dyDescent="0.45">
      <c r="A4" s="348"/>
      <c r="B4" s="347"/>
      <c r="C4" s="347"/>
      <c r="D4" s="347"/>
      <c r="E4" s="347"/>
      <c r="F4" s="347"/>
      <c r="G4" s="347"/>
      <c r="H4" s="347"/>
      <c r="I4" s="347"/>
      <c r="J4" s="347"/>
      <c r="K4" s="347"/>
      <c r="L4" s="347"/>
      <c r="M4" s="347"/>
      <c r="N4" s="347"/>
      <c r="O4" s="347"/>
      <c r="P4" s="347"/>
      <c r="Q4" s="347"/>
      <c r="R4" s="347"/>
      <c r="S4" s="347"/>
      <c r="T4" s="347"/>
      <c r="U4" s="347"/>
      <c r="V4" s="347"/>
      <c r="W4" s="347"/>
      <c r="X4" s="347"/>
      <c r="Y4" s="347"/>
      <c r="Z4" s="347"/>
      <c r="AA4" s="347"/>
      <c r="AB4" s="347"/>
      <c r="AC4" s="347"/>
      <c r="AD4" s="347"/>
      <c r="AE4" s="347"/>
      <c r="AF4" s="347"/>
      <c r="AG4" s="347"/>
      <c r="AH4" s="347"/>
      <c r="AI4" s="347"/>
      <c r="AJ4" s="347"/>
      <c r="AK4" s="347"/>
      <c r="AL4" s="347"/>
      <c r="AM4" s="370"/>
      <c r="AN4" s="370"/>
      <c r="AO4" s="370"/>
      <c r="AP4" s="370"/>
      <c r="AQ4" s="347"/>
    </row>
    <row r="5" spans="1:43" s="295" customFormat="1" ht="71.25" x14ac:dyDescent="0.45">
      <c r="A5" s="332" t="s">
        <v>126</v>
      </c>
      <c r="B5" s="332" t="s">
        <v>148</v>
      </c>
      <c r="C5" s="332" t="s">
        <v>149</v>
      </c>
      <c r="D5" s="332" t="s">
        <v>150</v>
      </c>
      <c r="E5" s="332" t="s">
        <v>151</v>
      </c>
      <c r="F5" s="332" t="s">
        <v>152</v>
      </c>
      <c r="G5" s="332" t="s">
        <v>111</v>
      </c>
      <c r="H5" s="332" t="s">
        <v>153</v>
      </c>
      <c r="I5" s="332" t="s">
        <v>154</v>
      </c>
      <c r="J5" s="332" t="s">
        <v>114</v>
      </c>
      <c r="K5" s="332" t="s">
        <v>155</v>
      </c>
      <c r="L5" s="332" t="s">
        <v>156</v>
      </c>
      <c r="M5" s="332" t="s">
        <v>157</v>
      </c>
      <c r="N5" s="332" t="s">
        <v>116</v>
      </c>
      <c r="O5" s="335" t="s">
        <v>158</v>
      </c>
      <c r="P5" s="335" t="s">
        <v>159</v>
      </c>
      <c r="Q5" s="335" t="s">
        <v>160</v>
      </c>
      <c r="R5" s="335" t="s">
        <v>161</v>
      </c>
      <c r="S5" s="335" t="s">
        <v>162</v>
      </c>
      <c r="T5" s="335" t="s">
        <v>163</v>
      </c>
      <c r="U5" s="335" t="s">
        <v>164</v>
      </c>
      <c r="V5" s="335" t="s">
        <v>165</v>
      </c>
      <c r="W5" s="335" t="s">
        <v>166</v>
      </c>
      <c r="X5" s="335" t="s">
        <v>121</v>
      </c>
      <c r="Y5" s="335" t="s">
        <v>167</v>
      </c>
      <c r="Z5" s="335" t="s">
        <v>168</v>
      </c>
      <c r="AA5" s="335" t="s">
        <v>169</v>
      </c>
      <c r="AB5" s="335" t="s">
        <v>128</v>
      </c>
      <c r="AC5" s="335" t="s">
        <v>170</v>
      </c>
      <c r="AD5" s="335" t="s">
        <v>171</v>
      </c>
      <c r="AE5" s="335" t="s">
        <v>79</v>
      </c>
      <c r="AF5" s="335" t="s">
        <v>129</v>
      </c>
      <c r="AG5" s="335" t="s">
        <v>130</v>
      </c>
      <c r="AH5" s="336" t="s">
        <v>13</v>
      </c>
      <c r="AI5" s="336" t="s">
        <v>172</v>
      </c>
      <c r="AJ5" s="336" t="s">
        <v>173</v>
      </c>
      <c r="AK5" s="336" t="s">
        <v>174</v>
      </c>
      <c r="AL5" s="336" t="s">
        <v>175</v>
      </c>
      <c r="AM5" s="371" t="s">
        <v>11</v>
      </c>
      <c r="AN5" s="371" t="s">
        <v>186</v>
      </c>
      <c r="AO5" s="371" t="s">
        <v>178</v>
      </c>
      <c r="AP5" s="371" t="s">
        <v>179</v>
      </c>
      <c r="AQ5" s="337" t="s">
        <v>12</v>
      </c>
    </row>
    <row r="6" spans="1:43" x14ac:dyDescent="0.45">
      <c r="A6" s="333" t="s">
        <v>80</v>
      </c>
      <c r="B6" s="363"/>
      <c r="C6" s="363"/>
      <c r="D6" s="363"/>
      <c r="E6" s="363"/>
      <c r="F6" s="363"/>
      <c r="G6" s="363"/>
      <c r="H6" s="363"/>
      <c r="I6" s="363"/>
      <c r="J6" s="363"/>
      <c r="K6" s="363"/>
      <c r="L6" s="363"/>
      <c r="M6" s="363"/>
      <c r="N6" s="363"/>
      <c r="O6" s="363"/>
      <c r="P6" s="363"/>
      <c r="Q6" s="363"/>
      <c r="R6" s="363"/>
      <c r="S6" s="363"/>
      <c r="T6" s="363"/>
      <c r="U6" s="363"/>
      <c r="V6" s="363"/>
      <c r="W6" s="363"/>
      <c r="X6" s="363"/>
      <c r="Y6" s="363"/>
      <c r="Z6" s="363"/>
      <c r="AA6" s="363"/>
      <c r="AB6" s="363"/>
      <c r="AC6" s="363"/>
      <c r="AD6" s="363"/>
      <c r="AE6" s="363"/>
      <c r="AF6" s="363"/>
      <c r="AG6" s="363"/>
      <c r="AH6" s="363"/>
      <c r="AI6" s="363"/>
      <c r="AJ6" s="363"/>
      <c r="AK6" s="318"/>
      <c r="AL6" s="318"/>
      <c r="AM6" s="367"/>
      <c r="AN6" s="367"/>
      <c r="AO6" s="367"/>
      <c r="AP6" s="367"/>
      <c r="AQ6" s="364"/>
    </row>
    <row r="7" spans="1:43" x14ac:dyDescent="0.45">
      <c r="A7" s="333" t="s">
        <v>16</v>
      </c>
      <c r="B7" s="363"/>
      <c r="C7" s="363"/>
      <c r="D7" s="363"/>
      <c r="E7" s="363"/>
      <c r="F7" s="363"/>
      <c r="G7" s="363"/>
      <c r="H7" s="363"/>
      <c r="I7" s="363"/>
      <c r="J7" s="363"/>
      <c r="K7" s="363"/>
      <c r="L7" s="363"/>
      <c r="M7" s="363"/>
      <c r="N7" s="363"/>
      <c r="O7" s="363"/>
      <c r="P7" s="363"/>
      <c r="Q7" s="363"/>
      <c r="R7" s="363"/>
      <c r="S7" s="363"/>
      <c r="T7" s="363"/>
      <c r="U7" s="363"/>
      <c r="V7" s="363"/>
      <c r="W7" s="363"/>
      <c r="X7" s="363"/>
      <c r="Y7" s="363"/>
      <c r="Z7" s="363"/>
      <c r="AA7" s="363"/>
      <c r="AB7" s="363"/>
      <c r="AC7" s="363"/>
      <c r="AD7" s="363"/>
      <c r="AE7" s="363"/>
      <c r="AF7" s="363"/>
      <c r="AG7" s="363"/>
      <c r="AH7" s="363"/>
      <c r="AI7" s="363"/>
      <c r="AJ7" s="363"/>
      <c r="AK7" s="318"/>
      <c r="AL7" s="318"/>
      <c r="AM7" s="367"/>
      <c r="AN7" s="367"/>
      <c r="AO7" s="367"/>
      <c r="AP7" s="367"/>
      <c r="AQ7" s="364"/>
    </row>
    <row r="8" spans="1:43" x14ac:dyDescent="0.45">
      <c r="A8" s="333" t="s">
        <v>17</v>
      </c>
      <c r="B8" s="363">
        <v>0</v>
      </c>
      <c r="C8" s="363">
        <v>34453600.646136999</v>
      </c>
      <c r="D8" s="363">
        <v>163580327.53129101</v>
      </c>
      <c r="E8" s="363">
        <v>25957459.322815899</v>
      </c>
      <c r="F8" s="363">
        <v>0</v>
      </c>
      <c r="G8" s="363">
        <v>16389019.548106899</v>
      </c>
      <c r="H8" s="363">
        <v>312293331.14647198</v>
      </c>
      <c r="I8" s="363">
        <v>0</v>
      </c>
      <c r="J8" s="363">
        <v>0</v>
      </c>
      <c r="K8" s="363">
        <v>0</v>
      </c>
      <c r="L8" s="363">
        <v>0</v>
      </c>
      <c r="M8" s="363">
        <v>3806690.5777116199</v>
      </c>
      <c r="N8" s="363">
        <v>0</v>
      </c>
      <c r="O8" s="363">
        <v>556480428.77253497</v>
      </c>
      <c r="P8" s="363">
        <v>550618037.63165498</v>
      </c>
      <c r="Q8" s="363">
        <v>269665591.25992203</v>
      </c>
      <c r="R8" s="363">
        <v>286814837.51261199</v>
      </c>
      <c r="S8" s="363">
        <v>34005525.7353995</v>
      </c>
      <c r="T8" s="363">
        <v>269665591.25992203</v>
      </c>
      <c r="U8" s="363">
        <v>238082072.632658</v>
      </c>
      <c r="V8" s="363">
        <v>41521324.024559997</v>
      </c>
      <c r="W8" s="363">
        <v>283876699.74269599</v>
      </c>
      <c r="X8" s="363">
        <v>46100538.393812299</v>
      </c>
      <c r="Y8" s="363">
        <v>-65156945.541907199</v>
      </c>
      <c r="Z8" s="363">
        <v>-34005525.7353995</v>
      </c>
      <c r="AA8" s="363">
        <v>217218602.48400199</v>
      </c>
      <c r="AB8" s="363">
        <v>359108618.349976</v>
      </c>
      <c r="AC8" s="363">
        <v>0</v>
      </c>
      <c r="AD8" s="363">
        <v>6686150.1969904201</v>
      </c>
      <c r="AE8" s="363">
        <v>1528463863.8740301</v>
      </c>
      <c r="AF8" s="363">
        <v>32978030.159154799</v>
      </c>
      <c r="AG8" s="363">
        <v>48390860.142373703</v>
      </c>
      <c r="AH8" s="363">
        <v>1975627522.72</v>
      </c>
      <c r="AI8" s="363">
        <v>1017678824.29233</v>
      </c>
      <c r="AJ8" s="363">
        <v>39975377.011282898</v>
      </c>
      <c r="AK8" s="318">
        <v>0</v>
      </c>
      <c r="AL8" s="318">
        <v>764483365.00670397</v>
      </c>
      <c r="AM8" s="367">
        <v>0.49414944620843498</v>
      </c>
      <c r="AN8" s="367">
        <v>0.51556011670761903</v>
      </c>
      <c r="AO8" s="367">
        <v>0.43239061629130099</v>
      </c>
      <c r="AP8" s="367">
        <v>6.1758829917133898E-2</v>
      </c>
      <c r="AQ8" s="364">
        <f>O8/$O$24</f>
        <v>0.3624414193398014</v>
      </c>
    </row>
    <row r="9" spans="1:43" x14ac:dyDescent="0.45">
      <c r="A9" s="333" t="s">
        <v>53</v>
      </c>
      <c r="B9" s="363">
        <v>0</v>
      </c>
      <c r="C9" s="363">
        <v>0</v>
      </c>
      <c r="D9" s="363">
        <v>0</v>
      </c>
      <c r="E9" s="363">
        <v>0</v>
      </c>
      <c r="F9" s="363">
        <v>2738843.85</v>
      </c>
      <c r="G9" s="363">
        <v>0</v>
      </c>
      <c r="H9" s="363">
        <v>0</v>
      </c>
      <c r="I9" s="363">
        <v>0</v>
      </c>
      <c r="J9" s="363">
        <v>0</v>
      </c>
      <c r="K9" s="363">
        <v>0</v>
      </c>
      <c r="L9" s="363">
        <v>0</v>
      </c>
      <c r="M9" s="363">
        <v>0</v>
      </c>
      <c r="N9" s="363">
        <v>0</v>
      </c>
      <c r="O9" s="363">
        <v>2738843.85</v>
      </c>
      <c r="P9" s="363">
        <v>2702014.85</v>
      </c>
      <c r="Q9" s="363">
        <v>324314.15000000002</v>
      </c>
      <c r="R9" s="363">
        <v>2414529.7000000002</v>
      </c>
      <c r="S9" s="363">
        <v>5912747.1900000004</v>
      </c>
      <c r="T9" s="363">
        <v>324314.15000000002</v>
      </c>
      <c r="U9" s="363">
        <v>0</v>
      </c>
      <c r="V9" s="363">
        <v>324314.15000000002</v>
      </c>
      <c r="W9" s="363">
        <v>2377700.7000000002</v>
      </c>
      <c r="X9" s="363">
        <v>983881.73</v>
      </c>
      <c r="Y9" s="363">
        <v>-463761.72</v>
      </c>
      <c r="Z9" s="363">
        <v>-5912747.1900000004</v>
      </c>
      <c r="AA9" s="363">
        <v>-3014926.4799999902</v>
      </c>
      <c r="AB9" s="363">
        <v>311181.88</v>
      </c>
      <c r="AC9" s="363">
        <v>0</v>
      </c>
      <c r="AD9" s="363">
        <v>0</v>
      </c>
      <c r="AE9" s="363">
        <v>5559228.2699999996</v>
      </c>
      <c r="AF9" s="363">
        <v>7943896.9199999999</v>
      </c>
      <c r="AG9" s="363">
        <v>6157075.7599999998</v>
      </c>
      <c r="AH9" s="363">
        <v>20000882.829999998</v>
      </c>
      <c r="AI9" s="363">
        <v>15242018.787469501</v>
      </c>
      <c r="AJ9" s="363">
        <v>739155.18753046403</v>
      </c>
      <c r="AK9" s="318">
        <v>0</v>
      </c>
      <c r="AL9" s="318">
        <v>0</v>
      </c>
      <c r="AM9" s="367">
        <v>2.1882733879127199</v>
      </c>
      <c r="AN9" s="367">
        <v>0.879973217023585</v>
      </c>
      <c r="AO9" s="367">
        <v>0</v>
      </c>
      <c r="AP9" s="367">
        <v>2.1882733879127199</v>
      </c>
      <c r="AQ9" s="364">
        <f>O9/$O$24</f>
        <v>1.7838371324822397E-3</v>
      </c>
    </row>
    <row r="10" spans="1:43" x14ac:dyDescent="0.45">
      <c r="A10" s="333" t="s">
        <v>20</v>
      </c>
      <c r="B10" s="363">
        <v>12172965</v>
      </c>
      <c r="C10" s="363">
        <v>0</v>
      </c>
      <c r="D10" s="363">
        <v>0</v>
      </c>
      <c r="E10" s="363">
        <v>51928852</v>
      </c>
      <c r="F10" s="363">
        <v>434748</v>
      </c>
      <c r="G10" s="363">
        <v>4616088</v>
      </c>
      <c r="H10" s="363">
        <v>2608492</v>
      </c>
      <c r="I10" s="363">
        <v>1304246</v>
      </c>
      <c r="J10" s="363">
        <v>0</v>
      </c>
      <c r="K10" s="363">
        <v>0</v>
      </c>
      <c r="L10" s="363">
        <v>0</v>
      </c>
      <c r="M10" s="363">
        <v>1734400</v>
      </c>
      <c r="N10" s="363">
        <v>556658</v>
      </c>
      <c r="O10" s="363">
        <v>75356449</v>
      </c>
      <c r="P10" s="363">
        <v>75356449</v>
      </c>
      <c r="Q10" s="363">
        <v>76832322</v>
      </c>
      <c r="R10" s="363">
        <v>-1475873</v>
      </c>
      <c r="S10" s="363">
        <v>17008253</v>
      </c>
      <c r="T10" s="363">
        <v>76832322</v>
      </c>
      <c r="U10" s="363">
        <v>8483900</v>
      </c>
      <c r="V10" s="363">
        <v>74875746</v>
      </c>
      <c r="W10" s="363">
        <v>-1475873</v>
      </c>
      <c r="X10" s="363">
        <v>26785009.509</v>
      </c>
      <c r="Y10" s="363">
        <v>-6352008.8966534203</v>
      </c>
      <c r="Z10" s="363">
        <v>-17008253</v>
      </c>
      <c r="AA10" s="363">
        <v>1948874.61234657</v>
      </c>
      <c r="AB10" s="363">
        <v>42576395.810000002</v>
      </c>
      <c r="AC10" s="363">
        <v>0</v>
      </c>
      <c r="AD10" s="363">
        <v>6223216.1578798201</v>
      </c>
      <c r="AE10" s="363">
        <v>532162411.97999901</v>
      </c>
      <c r="AF10" s="363">
        <v>63216464.810000002</v>
      </c>
      <c r="AG10" s="363">
        <v>11384302.5829749</v>
      </c>
      <c r="AH10" s="363">
        <v>657855430.55999994</v>
      </c>
      <c r="AI10" s="363">
        <v>72637086.289999902</v>
      </c>
      <c r="AJ10" s="363">
        <v>293017740.743999</v>
      </c>
      <c r="AK10" s="318">
        <v>0</v>
      </c>
      <c r="AL10" s="318">
        <v>0</v>
      </c>
      <c r="AM10" s="367">
        <v>0.33828760959795201</v>
      </c>
      <c r="AN10" s="367">
        <v>-1.9585224882345501E-2</v>
      </c>
      <c r="AO10" s="367">
        <v>0.11258359586450201</v>
      </c>
      <c r="AP10" s="367">
        <v>0.225704013733449</v>
      </c>
      <c r="AQ10" s="364">
        <f>O10/$O$24</f>
        <v>4.9080429283401512E-2</v>
      </c>
    </row>
    <row r="11" spans="1:43" x14ac:dyDescent="0.45">
      <c r="A11" s="333" t="s">
        <v>47</v>
      </c>
      <c r="B11" s="363"/>
      <c r="C11" s="363"/>
      <c r="D11" s="363"/>
      <c r="E11" s="363"/>
      <c r="F11" s="363"/>
      <c r="G11" s="363"/>
      <c r="H11" s="363"/>
      <c r="I11" s="363"/>
      <c r="J11" s="363"/>
      <c r="K11" s="363"/>
      <c r="L11" s="363"/>
      <c r="M11" s="363"/>
      <c r="N11" s="363"/>
      <c r="O11" s="363"/>
      <c r="P11" s="363"/>
      <c r="Q11" s="363"/>
      <c r="R11" s="363"/>
      <c r="S11" s="363"/>
      <c r="T11" s="363"/>
      <c r="U11" s="363"/>
      <c r="V11" s="363"/>
      <c r="W11" s="363"/>
      <c r="X11" s="363"/>
      <c r="Y11" s="363"/>
      <c r="Z11" s="363"/>
      <c r="AA11" s="363"/>
      <c r="AB11" s="363"/>
      <c r="AC11" s="363"/>
      <c r="AD11" s="363"/>
      <c r="AE11" s="363"/>
      <c r="AF11" s="363"/>
      <c r="AG11" s="363"/>
      <c r="AH11" s="363"/>
      <c r="AI11" s="363"/>
      <c r="AJ11" s="363"/>
      <c r="AK11" s="318"/>
      <c r="AL11" s="318"/>
      <c r="AM11" s="367"/>
      <c r="AN11" s="367"/>
      <c r="AO11" s="367"/>
      <c r="AP11" s="367"/>
      <c r="AQ11" s="364"/>
    </row>
    <row r="12" spans="1:43" x14ac:dyDescent="0.45">
      <c r="A12" s="333" t="s">
        <v>64</v>
      </c>
      <c r="B12" s="363"/>
      <c r="C12" s="363"/>
      <c r="D12" s="363"/>
      <c r="E12" s="363"/>
      <c r="F12" s="363"/>
      <c r="G12" s="363"/>
      <c r="H12" s="363"/>
      <c r="I12" s="363"/>
      <c r="J12" s="363"/>
      <c r="K12" s="363"/>
      <c r="L12" s="363"/>
      <c r="M12" s="363"/>
      <c r="N12" s="363"/>
      <c r="O12" s="363"/>
      <c r="P12" s="363"/>
      <c r="Q12" s="363"/>
      <c r="R12" s="363"/>
      <c r="S12" s="363"/>
      <c r="T12" s="363"/>
      <c r="U12" s="363"/>
      <c r="V12" s="363"/>
      <c r="W12" s="363"/>
      <c r="X12" s="363"/>
      <c r="Y12" s="363"/>
      <c r="Z12" s="363"/>
      <c r="AA12" s="363"/>
      <c r="AB12" s="363"/>
      <c r="AC12" s="363"/>
      <c r="AD12" s="363"/>
      <c r="AE12" s="363"/>
      <c r="AF12" s="363"/>
      <c r="AG12" s="363"/>
      <c r="AH12" s="363"/>
      <c r="AI12" s="363"/>
      <c r="AJ12" s="363"/>
      <c r="AK12" s="318"/>
      <c r="AL12" s="318"/>
      <c r="AM12" s="367"/>
      <c r="AN12" s="367"/>
      <c r="AO12" s="367"/>
      <c r="AP12" s="367"/>
      <c r="AQ12" s="364"/>
    </row>
    <row r="13" spans="1:43" x14ac:dyDescent="0.45">
      <c r="A13" s="333" t="s">
        <v>144</v>
      </c>
      <c r="B13" s="363"/>
      <c r="C13" s="363"/>
      <c r="D13" s="363"/>
      <c r="E13" s="363"/>
      <c r="F13" s="363"/>
      <c r="G13" s="363"/>
      <c r="H13" s="363"/>
      <c r="I13" s="363"/>
      <c r="J13" s="363"/>
      <c r="K13" s="363"/>
      <c r="L13" s="363"/>
      <c r="M13" s="363"/>
      <c r="N13" s="363"/>
      <c r="O13" s="363"/>
      <c r="P13" s="363"/>
      <c r="Q13" s="363"/>
      <c r="R13" s="363"/>
      <c r="S13" s="363"/>
      <c r="T13" s="363"/>
      <c r="U13" s="363"/>
      <c r="V13" s="363"/>
      <c r="W13" s="363"/>
      <c r="X13" s="363"/>
      <c r="Y13" s="363"/>
      <c r="Z13" s="363"/>
      <c r="AA13" s="363"/>
      <c r="AB13" s="363"/>
      <c r="AC13" s="363"/>
      <c r="AD13" s="363"/>
      <c r="AE13" s="363"/>
      <c r="AF13" s="363"/>
      <c r="AG13" s="363"/>
      <c r="AH13" s="363"/>
      <c r="AI13" s="363"/>
      <c r="AJ13" s="363"/>
      <c r="AK13" s="318"/>
      <c r="AL13" s="318"/>
      <c r="AM13" s="367"/>
      <c r="AN13" s="367"/>
      <c r="AO13" s="367"/>
      <c r="AP13" s="367"/>
      <c r="AQ13" s="364"/>
    </row>
    <row r="14" spans="1:43" x14ac:dyDescent="0.45">
      <c r="A14" s="333" t="s">
        <v>21</v>
      </c>
      <c r="B14" s="363">
        <v>0</v>
      </c>
      <c r="C14" s="363">
        <v>11955265.289453801</v>
      </c>
      <c r="D14" s="363">
        <v>0</v>
      </c>
      <c r="E14" s="363">
        <v>8233411.1200000001</v>
      </c>
      <c r="F14" s="363">
        <v>7785910.5368165197</v>
      </c>
      <c r="G14" s="363">
        <v>7061360.2908466496</v>
      </c>
      <c r="H14" s="363">
        <v>0</v>
      </c>
      <c r="I14" s="363">
        <v>0</v>
      </c>
      <c r="J14" s="363">
        <v>0</v>
      </c>
      <c r="K14" s="363">
        <v>0</v>
      </c>
      <c r="L14" s="363">
        <v>0</v>
      </c>
      <c r="M14" s="363">
        <v>0</v>
      </c>
      <c r="N14" s="363">
        <v>0</v>
      </c>
      <c r="O14" s="363">
        <v>35035947.237117</v>
      </c>
      <c r="P14" s="363">
        <v>32360452.815656099</v>
      </c>
      <c r="Q14" s="363">
        <v>33252737.850802898</v>
      </c>
      <c r="R14" s="363">
        <v>1783209.3863140601</v>
      </c>
      <c r="S14" s="363">
        <v>3778857.3895258498</v>
      </c>
      <c r="T14" s="363">
        <v>33252737.850802898</v>
      </c>
      <c r="U14" s="363">
        <v>7087484.1576805497</v>
      </c>
      <c r="V14" s="363">
        <v>20892959.703595299</v>
      </c>
      <c r="W14" s="363">
        <v>-6523.4997143987503</v>
      </c>
      <c r="X14" s="363">
        <v>49504732.729999997</v>
      </c>
      <c r="Y14" s="363">
        <v>-21989773.334832799</v>
      </c>
      <c r="Z14" s="363">
        <v>-3778857.3895258498</v>
      </c>
      <c r="AA14" s="363">
        <v>23230584.425926901</v>
      </c>
      <c r="AB14" s="363">
        <v>35857683.039999999</v>
      </c>
      <c r="AC14" s="363">
        <v>6908419.8688485799</v>
      </c>
      <c r="AD14" s="363">
        <v>2133897.79299514</v>
      </c>
      <c r="AE14" s="363">
        <v>285878352.50462902</v>
      </c>
      <c r="AF14" s="363">
        <v>1986029.3118437401</v>
      </c>
      <c r="AG14" s="363">
        <v>7798707.4699999997</v>
      </c>
      <c r="AH14" s="363">
        <v>340568707.5</v>
      </c>
      <c r="AI14" s="363">
        <v>241897436.046507</v>
      </c>
      <c r="AJ14" s="363">
        <v>0</v>
      </c>
      <c r="AK14" s="318">
        <v>539.20340296297695</v>
      </c>
      <c r="AL14" s="318">
        <v>2399126.07952687</v>
      </c>
      <c r="AM14" s="367">
        <v>0.33579077552181802</v>
      </c>
      <c r="AN14" s="367">
        <v>-2.0158864128262899E-4</v>
      </c>
      <c r="AO14" s="367">
        <v>0.219016841267795</v>
      </c>
      <c r="AP14" s="367">
        <v>0.11677393425402301</v>
      </c>
      <c r="AQ14" s="364">
        <f>O14/$O$24</f>
        <v>2.2819272319324756E-2</v>
      </c>
    </row>
    <row r="15" spans="1:43" x14ac:dyDescent="0.45">
      <c r="A15" s="333" t="s">
        <v>91</v>
      </c>
      <c r="B15" s="363">
        <v>0</v>
      </c>
      <c r="C15" s="363">
        <v>0</v>
      </c>
      <c r="D15" s="363">
        <v>18585354.7340611</v>
      </c>
      <c r="E15" s="363">
        <v>0</v>
      </c>
      <c r="F15" s="363">
        <v>5032001.3221054301</v>
      </c>
      <c r="G15" s="363">
        <v>0</v>
      </c>
      <c r="H15" s="363">
        <v>40638777.443167403</v>
      </c>
      <c r="I15" s="363">
        <v>21666085.6699274</v>
      </c>
      <c r="J15" s="363">
        <v>0</v>
      </c>
      <c r="K15" s="363">
        <v>0</v>
      </c>
      <c r="L15" s="363">
        <v>0</v>
      </c>
      <c r="M15" s="363">
        <v>26343731.120738499</v>
      </c>
      <c r="N15" s="363">
        <v>0</v>
      </c>
      <c r="O15" s="363">
        <v>112265950.29000001</v>
      </c>
      <c r="P15" s="363">
        <v>109027704.59999999</v>
      </c>
      <c r="Q15" s="363">
        <v>89564543.149999902</v>
      </c>
      <c r="R15" s="363">
        <v>22701407.140000001</v>
      </c>
      <c r="S15" s="363">
        <v>7577949.6900000004</v>
      </c>
      <c r="T15" s="363">
        <v>89564543.149999902</v>
      </c>
      <c r="U15" s="363">
        <v>10961131.2847123</v>
      </c>
      <c r="V15" s="363">
        <v>83686858.779761702</v>
      </c>
      <c r="W15" s="363">
        <v>19614324.010000002</v>
      </c>
      <c r="X15" s="363">
        <v>0</v>
      </c>
      <c r="Y15" s="363">
        <v>23007854.57</v>
      </c>
      <c r="Z15" s="363">
        <v>-3857929.55</v>
      </c>
      <c r="AA15" s="363">
        <v>36826036.250000097</v>
      </c>
      <c r="AB15" s="363">
        <v>9962000.3300000001</v>
      </c>
      <c r="AC15" s="363">
        <v>0</v>
      </c>
      <c r="AD15" s="363">
        <v>0</v>
      </c>
      <c r="AE15" s="363">
        <v>370382781.34999901</v>
      </c>
      <c r="AF15" s="363">
        <v>80835606.283999994</v>
      </c>
      <c r="AG15" s="363">
        <v>25428622.214000002</v>
      </c>
      <c r="AH15" s="363">
        <v>486609010.18000001</v>
      </c>
      <c r="AI15" s="363">
        <v>157115902</v>
      </c>
      <c r="AJ15" s="363">
        <v>0</v>
      </c>
      <c r="AK15" s="318">
        <v>68029361.744399905</v>
      </c>
      <c r="AL15" s="318">
        <v>297231249.56</v>
      </c>
      <c r="AM15" s="367">
        <v>0.17004009249509899</v>
      </c>
      <c r="AN15" s="367">
        <v>0.17990220083932701</v>
      </c>
      <c r="AO15" s="367">
        <v>0.100535284356636</v>
      </c>
      <c r="AP15" s="367">
        <v>6.9504808138462798E-2</v>
      </c>
      <c r="AQ15" s="364">
        <f>O15/$O$24</f>
        <v>7.3119966602224251E-2</v>
      </c>
    </row>
    <row r="16" spans="1:43" x14ac:dyDescent="0.45">
      <c r="A16" s="333" t="s">
        <v>22</v>
      </c>
      <c r="B16" s="363">
        <v>40607897.854999997</v>
      </c>
      <c r="C16" s="363">
        <v>0</v>
      </c>
      <c r="D16" s="363">
        <v>0</v>
      </c>
      <c r="E16" s="363">
        <v>34212394.810000002</v>
      </c>
      <c r="F16" s="363">
        <v>0</v>
      </c>
      <c r="G16" s="363">
        <v>0</v>
      </c>
      <c r="H16" s="363">
        <v>0</v>
      </c>
      <c r="I16" s="363">
        <v>0</v>
      </c>
      <c r="J16" s="363">
        <v>0</v>
      </c>
      <c r="K16" s="363">
        <v>0</v>
      </c>
      <c r="L16" s="363">
        <v>0</v>
      </c>
      <c r="M16" s="363">
        <v>0</v>
      </c>
      <c r="N16" s="363">
        <v>0</v>
      </c>
      <c r="O16" s="363">
        <v>74820292.664999902</v>
      </c>
      <c r="P16" s="363">
        <v>61245963.374999903</v>
      </c>
      <c r="Q16" s="363">
        <v>63214526.039999999</v>
      </c>
      <c r="R16" s="363">
        <v>11605766.624999899</v>
      </c>
      <c r="S16" s="363">
        <v>11840000</v>
      </c>
      <c r="T16" s="363">
        <v>63214526.039999999</v>
      </c>
      <c r="U16" s="363">
        <v>44469775.590000004</v>
      </c>
      <c r="V16" s="363">
        <v>21112650.599999901</v>
      </c>
      <c r="W16" s="363">
        <v>-1968562.665</v>
      </c>
      <c r="X16" s="363">
        <v>54540229.016120002</v>
      </c>
      <c r="Y16" s="363">
        <v>-21622219.7999999</v>
      </c>
      <c r="Z16" s="363">
        <v>-16915000</v>
      </c>
      <c r="AA16" s="363">
        <v>14034446.551119899</v>
      </c>
      <c r="AB16" s="363">
        <v>42252449.058999904</v>
      </c>
      <c r="AC16" s="363">
        <v>0</v>
      </c>
      <c r="AD16" s="363">
        <v>17200128</v>
      </c>
      <c r="AE16" s="363">
        <v>443874599.31999999</v>
      </c>
      <c r="AF16" s="363">
        <v>12676000.26915</v>
      </c>
      <c r="AG16" s="363">
        <v>14320344.7299999</v>
      </c>
      <c r="AH16" s="363">
        <v>530323521.38</v>
      </c>
      <c r="AI16" s="363">
        <v>375464736.45174301</v>
      </c>
      <c r="AJ16" s="363">
        <v>76136529.900000006</v>
      </c>
      <c r="AK16" s="318">
        <v>0</v>
      </c>
      <c r="AL16" s="318">
        <v>0</v>
      </c>
      <c r="AM16" s="367">
        <v>0.91940386740630597</v>
      </c>
      <c r="AN16" s="367">
        <v>-3.2141916895759903E-2</v>
      </c>
      <c r="AO16" s="367">
        <v>0.72608500445520197</v>
      </c>
      <c r="AP16" s="367">
        <v>0.19331886295110401</v>
      </c>
      <c r="AQ16" s="364">
        <f>O16/$O$24</f>
        <v>4.8731225155101622E-2</v>
      </c>
    </row>
    <row r="17" spans="1:43" x14ac:dyDescent="0.45">
      <c r="A17" s="333" t="s">
        <v>24</v>
      </c>
      <c r="B17" s="363">
        <v>296849256.32300001</v>
      </c>
      <c r="C17" s="363">
        <v>0</v>
      </c>
      <c r="D17" s="363">
        <v>0</v>
      </c>
      <c r="E17" s="363">
        <v>18135007.059999999</v>
      </c>
      <c r="F17" s="363">
        <v>13468595.5529</v>
      </c>
      <c r="G17" s="363">
        <v>12376411.1744</v>
      </c>
      <c r="H17" s="363">
        <v>-52092342.777999997</v>
      </c>
      <c r="I17" s="363">
        <v>-64943600.339999899</v>
      </c>
      <c r="J17" s="363">
        <v>0</v>
      </c>
      <c r="K17" s="363">
        <v>0</v>
      </c>
      <c r="L17" s="363">
        <v>-752772.30339999998</v>
      </c>
      <c r="M17" s="363">
        <v>0</v>
      </c>
      <c r="N17" s="363">
        <v>0</v>
      </c>
      <c r="O17" s="363">
        <v>223040554.68889999</v>
      </c>
      <c r="P17" s="363">
        <v>219339747.59889999</v>
      </c>
      <c r="Q17" s="363">
        <v>187661741.24709901</v>
      </c>
      <c r="R17" s="363">
        <v>35378813.441799998</v>
      </c>
      <c r="S17" s="363">
        <v>5725535.46</v>
      </c>
      <c r="T17" s="363">
        <v>187661741.24709901</v>
      </c>
      <c r="U17" s="363">
        <v>85029040.987899899</v>
      </c>
      <c r="V17" s="363">
        <v>121637588.414</v>
      </c>
      <c r="W17" s="363">
        <v>32276482.713799998</v>
      </c>
      <c r="X17" s="363">
        <v>96559638.531963199</v>
      </c>
      <c r="Y17" s="363">
        <v>-91274198.051255599</v>
      </c>
      <c r="Z17" s="363">
        <v>-5449669.1299999999</v>
      </c>
      <c r="AA17" s="363">
        <v>30506641.361283399</v>
      </c>
      <c r="AB17" s="363">
        <v>57294817.775470503</v>
      </c>
      <c r="AC17" s="363">
        <v>4653778.0245990101</v>
      </c>
      <c r="AD17" s="363">
        <v>8878901.1934108399</v>
      </c>
      <c r="AE17" s="363">
        <v>787789252.89908397</v>
      </c>
      <c r="AF17" s="363">
        <v>3968691.8799999901</v>
      </c>
      <c r="AG17" s="363">
        <v>15554891.462038999</v>
      </c>
      <c r="AH17" s="363">
        <v>896699335.84000003</v>
      </c>
      <c r="AI17" s="363">
        <v>694014322.03258002</v>
      </c>
      <c r="AJ17" s="363">
        <v>0</v>
      </c>
      <c r="AK17" s="318">
        <v>0</v>
      </c>
      <c r="AL17" s="318">
        <v>503391650.33999997</v>
      </c>
      <c r="AM17" s="367">
        <v>0.413762564429772</v>
      </c>
      <c r="AN17" s="367">
        <v>0.147152912625864</v>
      </c>
      <c r="AO17" s="367">
        <v>0.387659062795084</v>
      </c>
      <c r="AP17" s="367">
        <v>2.6103501634688199E-2</v>
      </c>
      <c r="AQ17" s="364">
        <f>O17/$O$24</f>
        <v>0.14526860430670246</v>
      </c>
    </row>
    <row r="18" spans="1:43" x14ac:dyDescent="0.45">
      <c r="A18" s="333" t="s">
        <v>25</v>
      </c>
      <c r="B18" s="363"/>
      <c r="C18" s="363"/>
      <c r="D18" s="363"/>
      <c r="E18" s="363"/>
      <c r="F18" s="363"/>
      <c r="G18" s="363"/>
      <c r="H18" s="363"/>
      <c r="I18" s="363"/>
      <c r="J18" s="363"/>
      <c r="K18" s="363"/>
      <c r="L18" s="363"/>
      <c r="M18" s="363"/>
      <c r="N18" s="363"/>
      <c r="O18" s="363"/>
      <c r="P18" s="363"/>
      <c r="Q18" s="363"/>
      <c r="R18" s="363"/>
      <c r="S18" s="363"/>
      <c r="T18" s="363"/>
      <c r="U18" s="363"/>
      <c r="V18" s="363"/>
      <c r="W18" s="363"/>
      <c r="X18" s="363"/>
      <c r="Y18" s="363"/>
      <c r="Z18" s="363"/>
      <c r="AA18" s="363"/>
      <c r="AB18" s="363"/>
      <c r="AC18" s="363"/>
      <c r="AD18" s="363"/>
      <c r="AE18" s="363"/>
      <c r="AF18" s="363"/>
      <c r="AG18" s="363"/>
      <c r="AH18" s="363"/>
      <c r="AI18" s="363"/>
      <c r="AJ18" s="363"/>
      <c r="AK18" s="318"/>
      <c r="AL18" s="318"/>
      <c r="AM18" s="367"/>
      <c r="AN18" s="367"/>
      <c r="AO18" s="367"/>
      <c r="AP18" s="367"/>
      <c r="AQ18" s="364"/>
    </row>
    <row r="19" spans="1:43" x14ac:dyDescent="0.45">
      <c r="A19" s="333" t="s">
        <v>187</v>
      </c>
      <c r="B19" s="363">
        <v>168720054.004522</v>
      </c>
      <c r="C19" s="363">
        <v>0</v>
      </c>
      <c r="D19" s="363">
        <v>0</v>
      </c>
      <c r="E19" s="363">
        <v>0</v>
      </c>
      <c r="F19" s="363">
        <v>0</v>
      </c>
      <c r="G19" s="363">
        <v>0</v>
      </c>
      <c r="H19" s="363">
        <v>0</v>
      </c>
      <c r="I19" s="363">
        <v>0</v>
      </c>
      <c r="J19" s="363">
        <v>0</v>
      </c>
      <c r="K19" s="363">
        <v>0</v>
      </c>
      <c r="L19" s="363">
        <v>0</v>
      </c>
      <c r="M19" s="363">
        <v>0</v>
      </c>
      <c r="N19" s="363">
        <v>0</v>
      </c>
      <c r="O19" s="363">
        <v>168720054.004522</v>
      </c>
      <c r="P19" s="363">
        <v>136911447.31701401</v>
      </c>
      <c r="Q19" s="363">
        <v>150930663.997495</v>
      </c>
      <c r="R19" s="363">
        <v>17789390.007027298</v>
      </c>
      <c r="S19" s="363">
        <v>4121194.8566701398</v>
      </c>
      <c r="T19" s="363">
        <v>150930663.997495</v>
      </c>
      <c r="U19" s="363">
        <v>115651447.48</v>
      </c>
      <c r="V19" s="363">
        <v>24394823.7883837</v>
      </c>
      <c r="W19" s="363">
        <v>-5867172.1803855803</v>
      </c>
      <c r="X19" s="363">
        <v>19062638.233415</v>
      </c>
      <c r="Y19" s="363">
        <v>-4802539.8178966101</v>
      </c>
      <c r="Z19" s="363">
        <v>-2482255.9962605</v>
      </c>
      <c r="AA19" s="363">
        <v>5665136.6953723198</v>
      </c>
      <c r="AB19" s="363">
        <v>19037502</v>
      </c>
      <c r="AC19" s="363">
        <v>0</v>
      </c>
      <c r="AD19" s="363">
        <v>1878794</v>
      </c>
      <c r="AE19" s="363">
        <v>216786097</v>
      </c>
      <c r="AF19" s="363">
        <v>4215557</v>
      </c>
      <c r="AG19" s="363">
        <v>5646529</v>
      </c>
      <c r="AH19" s="363">
        <v>247867303</v>
      </c>
      <c r="AI19" s="363">
        <v>102942884.495731</v>
      </c>
      <c r="AJ19" s="363">
        <v>6924185.6115547204</v>
      </c>
      <c r="AK19" s="318">
        <v>6924186</v>
      </c>
      <c r="AL19" s="318">
        <v>0</v>
      </c>
      <c r="AM19" s="367">
        <v>0.87481832004404902</v>
      </c>
      <c r="AN19" s="367">
        <v>-4.2853773700896602E-2</v>
      </c>
      <c r="AO19" s="367">
        <v>0.84471714926957298</v>
      </c>
      <c r="AP19" s="367">
        <v>3.0101170774476101E-2</v>
      </c>
      <c r="AQ19" s="364">
        <f t="shared" ref="AQ19" si="2">O19/$O$24</f>
        <v>0.10988910423924868</v>
      </c>
    </row>
    <row r="20" spans="1:43" x14ac:dyDescent="0.45">
      <c r="A20" s="333" t="s">
        <v>141</v>
      </c>
      <c r="B20" s="363"/>
      <c r="C20" s="363"/>
      <c r="D20" s="363"/>
      <c r="E20" s="363"/>
      <c r="F20" s="363"/>
      <c r="G20" s="363"/>
      <c r="H20" s="363"/>
      <c r="I20" s="363"/>
      <c r="J20" s="363"/>
      <c r="K20" s="363"/>
      <c r="L20" s="363"/>
      <c r="M20" s="363"/>
      <c r="N20" s="363"/>
      <c r="O20" s="363"/>
      <c r="P20" s="363"/>
      <c r="Q20" s="363"/>
      <c r="R20" s="363"/>
      <c r="S20" s="363"/>
      <c r="T20" s="363"/>
      <c r="U20" s="363"/>
      <c r="V20" s="363"/>
      <c r="W20" s="363"/>
      <c r="X20" s="363"/>
      <c r="Y20" s="363"/>
      <c r="Z20" s="363"/>
      <c r="AA20" s="363"/>
      <c r="AB20" s="363"/>
      <c r="AC20" s="363"/>
      <c r="AD20" s="363"/>
      <c r="AE20" s="363"/>
      <c r="AF20" s="363"/>
      <c r="AG20" s="363"/>
      <c r="AH20" s="363"/>
      <c r="AI20" s="363"/>
      <c r="AJ20" s="363"/>
      <c r="AK20" s="318"/>
      <c r="AL20" s="318"/>
      <c r="AM20" s="367"/>
      <c r="AN20" s="367"/>
      <c r="AO20" s="367"/>
      <c r="AP20" s="367"/>
      <c r="AQ20" s="364"/>
    </row>
    <row r="21" spans="1:43" x14ac:dyDescent="0.45">
      <c r="A21" s="333" t="s">
        <v>27</v>
      </c>
      <c r="B21" s="363"/>
      <c r="C21" s="363"/>
      <c r="D21" s="363"/>
      <c r="E21" s="363"/>
      <c r="F21" s="363"/>
      <c r="G21" s="363"/>
      <c r="H21" s="363"/>
      <c r="I21" s="363"/>
      <c r="J21" s="363"/>
      <c r="K21" s="363"/>
      <c r="L21" s="363"/>
      <c r="M21" s="363"/>
      <c r="N21" s="363"/>
      <c r="O21" s="363"/>
      <c r="P21" s="363"/>
      <c r="Q21" s="363"/>
      <c r="R21" s="363"/>
      <c r="S21" s="363"/>
      <c r="T21" s="363"/>
      <c r="U21" s="363"/>
      <c r="V21" s="363"/>
      <c r="W21" s="363"/>
      <c r="X21" s="363"/>
      <c r="Y21" s="363"/>
      <c r="Z21" s="363"/>
      <c r="AA21" s="363"/>
      <c r="AB21" s="363"/>
      <c r="AC21" s="363"/>
      <c r="AD21" s="363"/>
      <c r="AE21" s="363"/>
      <c r="AF21" s="363"/>
      <c r="AG21" s="363"/>
      <c r="AH21" s="363"/>
      <c r="AI21" s="363"/>
      <c r="AJ21" s="363"/>
      <c r="AK21" s="318"/>
      <c r="AL21" s="318"/>
      <c r="AM21" s="367"/>
      <c r="AN21" s="367"/>
      <c r="AO21" s="367"/>
      <c r="AP21" s="367"/>
      <c r="AQ21" s="364"/>
    </row>
    <row r="22" spans="1:43" x14ac:dyDescent="0.45">
      <c r="A22" s="333" t="s">
        <v>28</v>
      </c>
      <c r="B22" s="363">
        <v>14158333.905260701</v>
      </c>
      <c r="C22" s="363">
        <v>0</v>
      </c>
      <c r="D22" s="363">
        <v>0</v>
      </c>
      <c r="E22" s="363">
        <v>58063490.029284798</v>
      </c>
      <c r="F22" s="363">
        <v>88693010.108977407</v>
      </c>
      <c r="G22" s="363">
        <v>0</v>
      </c>
      <c r="H22" s="363">
        <v>0</v>
      </c>
      <c r="I22" s="363">
        <v>125993187.677991</v>
      </c>
      <c r="J22" s="363">
        <v>0</v>
      </c>
      <c r="K22" s="363">
        <v>0</v>
      </c>
      <c r="L22" s="363">
        <v>0</v>
      </c>
      <c r="M22" s="363">
        <v>0</v>
      </c>
      <c r="N22" s="363">
        <v>0</v>
      </c>
      <c r="O22" s="363">
        <v>286908021.72151399</v>
      </c>
      <c r="P22" s="363">
        <v>277679967.56701398</v>
      </c>
      <c r="Q22" s="363">
        <v>145500975.93083701</v>
      </c>
      <c r="R22" s="363">
        <v>141407045.79067701</v>
      </c>
      <c r="S22" s="363">
        <v>-21278412</v>
      </c>
      <c r="T22" s="363">
        <v>145500975.93083701</v>
      </c>
      <c r="U22" s="363">
        <v>58629664.260882102</v>
      </c>
      <c r="V22" s="363">
        <v>83858547.745444596</v>
      </c>
      <c r="W22" s="363">
        <v>132486466.636177</v>
      </c>
      <c r="X22" s="363">
        <v>142992705.5</v>
      </c>
      <c r="Y22" s="363">
        <v>-138675813.508439</v>
      </c>
      <c r="Z22" s="363">
        <v>9290192</v>
      </c>
      <c r="AA22" s="363">
        <v>133472119.627737</v>
      </c>
      <c r="AB22" s="363">
        <v>48814809.420000002</v>
      </c>
      <c r="AC22" s="363">
        <v>89204401.526301295</v>
      </c>
      <c r="AD22" s="363">
        <v>1375</v>
      </c>
      <c r="AE22" s="363">
        <v>2372092273</v>
      </c>
      <c r="AF22" s="363">
        <v>109070187</v>
      </c>
      <c r="AG22" s="363">
        <v>62023822</v>
      </c>
      <c r="AH22" s="363">
        <v>2681302291.4400001</v>
      </c>
      <c r="AI22" s="363">
        <v>1289716772.8136001</v>
      </c>
      <c r="AJ22" s="363">
        <v>0</v>
      </c>
      <c r="AK22" s="318">
        <v>0</v>
      </c>
      <c r="AL22" s="318">
        <v>632104352.83355904</v>
      </c>
      <c r="AM22" s="367">
        <v>0.13451187202356499</v>
      </c>
      <c r="AN22" s="367">
        <v>0.477119281585206</v>
      </c>
      <c r="AO22" s="367">
        <v>0.21114113767221099</v>
      </c>
      <c r="AP22" s="367">
        <v>-7.6629265648645403E-2</v>
      </c>
      <c r="AQ22" s="364">
        <f>O22/$O$24</f>
        <v>0.186866141621713</v>
      </c>
    </row>
    <row r="23" spans="1:43" x14ac:dyDescent="0.45">
      <c r="A23" s="333" t="s">
        <v>31</v>
      </c>
      <c r="B23" s="363"/>
      <c r="C23" s="363"/>
      <c r="D23" s="363"/>
      <c r="E23" s="363"/>
      <c r="F23" s="363"/>
      <c r="G23" s="363"/>
      <c r="H23" s="363"/>
      <c r="I23" s="363"/>
      <c r="J23" s="363"/>
      <c r="K23" s="363"/>
      <c r="L23" s="363"/>
      <c r="M23" s="363"/>
      <c r="N23" s="363"/>
      <c r="O23" s="363"/>
      <c r="P23" s="363"/>
      <c r="Q23" s="363"/>
      <c r="R23" s="363"/>
      <c r="S23" s="363"/>
      <c r="T23" s="363"/>
      <c r="U23" s="363"/>
      <c r="V23" s="363"/>
      <c r="W23" s="363"/>
      <c r="X23" s="363"/>
      <c r="Y23" s="363"/>
      <c r="Z23" s="363"/>
      <c r="AA23" s="363"/>
      <c r="AB23" s="363"/>
      <c r="AC23" s="363"/>
      <c r="AD23" s="363"/>
      <c r="AE23" s="363"/>
      <c r="AF23" s="363"/>
      <c r="AG23" s="363"/>
      <c r="AH23" s="363"/>
      <c r="AI23" s="363"/>
      <c r="AJ23" s="363"/>
      <c r="AK23" s="318"/>
      <c r="AL23" s="318"/>
      <c r="AM23" s="367"/>
      <c r="AN23" s="367"/>
      <c r="AO23" s="367"/>
      <c r="AP23" s="367"/>
      <c r="AQ23" s="364"/>
    </row>
    <row r="24" spans="1:43" s="137" customFormat="1" x14ac:dyDescent="0.45">
      <c r="A24" s="357" t="s">
        <v>67</v>
      </c>
      <c r="B24" s="358">
        <f t="shared" ref="B24:AL24" si="3">SUM(B6:B23)</f>
        <v>532508507.08778274</v>
      </c>
      <c r="C24" s="358">
        <f t="shared" si="3"/>
        <v>46408865.935590804</v>
      </c>
      <c r="D24" s="358">
        <f t="shared" si="3"/>
        <v>182165682.2653521</v>
      </c>
      <c r="E24" s="358">
        <f t="shared" si="3"/>
        <v>196530614.34210071</v>
      </c>
      <c r="F24" s="358">
        <f t="shared" si="3"/>
        <v>118153109.37079936</v>
      </c>
      <c r="G24" s="358">
        <f>SUM(G6:G23)</f>
        <v>40442879.013353549</v>
      </c>
      <c r="H24" s="358">
        <f t="shared" ref="H24:J24" si="4">SUM(H6:H23)</f>
        <v>303448257.81163937</v>
      </c>
      <c r="I24" s="358">
        <f t="shared" si="4"/>
        <v>84019919.007918507</v>
      </c>
      <c r="J24" s="358">
        <f t="shared" si="4"/>
        <v>0</v>
      </c>
      <c r="K24" s="358">
        <f t="shared" si="3"/>
        <v>0</v>
      </c>
      <c r="L24" s="358">
        <f t="shared" si="3"/>
        <v>-752772.30339999998</v>
      </c>
      <c r="M24" s="358">
        <f t="shared" si="3"/>
        <v>31884821.698450118</v>
      </c>
      <c r="N24" s="358">
        <f t="shared" si="3"/>
        <v>556658</v>
      </c>
      <c r="O24" s="358">
        <f t="shared" si="3"/>
        <v>1535366542.229588</v>
      </c>
      <c r="P24" s="358">
        <f t="shared" si="3"/>
        <v>1465241784.755239</v>
      </c>
      <c r="Q24" s="358">
        <f t="shared" si="3"/>
        <v>1016947415.626156</v>
      </c>
      <c r="R24" s="358">
        <f>SUM(R6:R23)</f>
        <v>518419126.60343021</v>
      </c>
      <c r="S24" s="360">
        <f>SUM(S6:S23)</f>
        <v>68691651.32159549</v>
      </c>
      <c r="T24" s="360">
        <f>SUM(T6:T23)</f>
        <v>1016947415.626156</v>
      </c>
      <c r="U24" s="360">
        <f>SUM(U6:U23)</f>
        <v>568394516.39383292</v>
      </c>
      <c r="V24" s="360">
        <f t="shared" si="3"/>
        <v>472304813.20574522</v>
      </c>
      <c r="W24" s="360">
        <f>SUM(W6:W22)</f>
        <v>461313542.457573</v>
      </c>
      <c r="X24" s="360">
        <f t="shared" si="3"/>
        <v>436529373.64431047</v>
      </c>
      <c r="Y24" s="360">
        <f t="shared" si="3"/>
        <v>-327329406.10098451</v>
      </c>
      <c r="Z24" s="360">
        <f t="shared" si="3"/>
        <v>-80120045.991185844</v>
      </c>
      <c r="AA24" s="360">
        <f>SUM(AA6:AA23)</f>
        <v>459887515.52778822</v>
      </c>
      <c r="AB24" s="360">
        <f t="shared" si="3"/>
        <v>615215457.66444635</v>
      </c>
      <c r="AC24" s="360">
        <f t="shared" si="3"/>
        <v>100766599.41974889</v>
      </c>
      <c r="AD24" s="360">
        <f t="shared" si="3"/>
        <v>43002462.341276221</v>
      </c>
      <c r="AE24" s="360">
        <f t="shared" si="3"/>
        <v>6542988860.1977415</v>
      </c>
      <c r="AF24" s="360">
        <f t="shared" si="3"/>
        <v>316890463.63414848</v>
      </c>
      <c r="AG24" s="360">
        <f t="shared" si="3"/>
        <v>196705155.36138749</v>
      </c>
      <c r="AH24" s="360">
        <f t="shared" si="3"/>
        <v>7836854005.4499989</v>
      </c>
      <c r="AI24" s="360">
        <f t="shared" si="3"/>
        <v>3966709983.2099605</v>
      </c>
      <c r="AJ24" s="360">
        <f t="shared" si="3"/>
        <v>416792988.45436716</v>
      </c>
      <c r="AK24" s="360">
        <f t="shared" si="3"/>
        <v>74954086.947802871</v>
      </c>
      <c r="AL24" s="360">
        <f t="shared" si="3"/>
        <v>2199609743.8197899</v>
      </c>
      <c r="AM24" s="368">
        <f>SUM(AM6:AM23)/COUNT(AM6:AM23)</f>
        <v>0.6521153261821907</v>
      </c>
      <c r="AN24" s="368">
        <f>SUM(AN6:AN23)/COUNT(AN6:AN23)</f>
        <v>0.23388058051792399</v>
      </c>
      <c r="AO24" s="368">
        <f t="shared" ref="AO24:AP24" si="5">SUM(AO6:AO23)/COUNT(AO6:AO23)</f>
        <v>0.33712541021914488</v>
      </c>
      <c r="AP24" s="368">
        <f t="shared" si="5"/>
        <v>0.31498991596304565</v>
      </c>
      <c r="AQ24" s="364">
        <f>SUM(AQ6:AQ23)</f>
        <v>1</v>
      </c>
    </row>
    <row r="25" spans="1:43" x14ac:dyDescent="0.45">
      <c r="B25" s="324"/>
      <c r="C25" s="324"/>
      <c r="D25" s="324"/>
      <c r="E25" s="324"/>
      <c r="F25" s="324"/>
      <c r="G25" s="324"/>
      <c r="H25" s="324"/>
      <c r="I25" s="324"/>
      <c r="J25" s="324"/>
      <c r="K25" s="324"/>
      <c r="L25" s="324"/>
      <c r="M25" s="324"/>
      <c r="N25" s="324"/>
      <c r="O25" s="324"/>
      <c r="P25" s="324"/>
      <c r="Q25" s="325"/>
      <c r="R25" s="325"/>
      <c r="S25" s="324"/>
      <c r="T25" s="324"/>
      <c r="U25" s="324"/>
      <c r="V25" s="324"/>
      <c r="W25" s="324"/>
      <c r="X25" s="324"/>
      <c r="Y25" s="324"/>
      <c r="Z25" s="324"/>
      <c r="AA25" s="324"/>
      <c r="AB25" s="324"/>
      <c r="AC25" s="324"/>
      <c r="AD25" s="324"/>
      <c r="AE25" s="324"/>
      <c r="AF25" s="324"/>
      <c r="AG25" s="324"/>
      <c r="AH25" s="324"/>
      <c r="AI25" s="324"/>
      <c r="AJ25" s="324"/>
      <c r="AK25" s="324"/>
      <c r="AL25" s="324"/>
      <c r="AM25" s="372"/>
      <c r="AN25" s="372"/>
      <c r="AO25" s="372"/>
      <c r="AP25" s="372"/>
      <c r="AQ25" s="324"/>
    </row>
  </sheetData>
  <mergeCells count="1">
    <mergeCell ref="B1:AQ1"/>
  </mergeCells>
  <dataValidations count="1">
    <dataValidation type="list" allowBlank="1" showInputMessage="1" showErrorMessage="1" sqref="A3" xr:uid="{00000000-0002-0000-3100-000000000000}">
      <formula1>$A$6:$A$24</formula1>
    </dataValidation>
  </dataValidations>
  <pageMargins left="0.7" right="0.7" top="0.75" bottom="0.75" header="0.3" footer="0.3"/>
  <pageSetup scale="11" orientation="portrait" r:id="rId1"/>
  <customProperties>
    <customPr name="LastActive" r:id="rId2"/>
  </customProperties>
  <legacyDrawing r:id="rId3"/>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R22"/>
  <sheetViews>
    <sheetView topLeftCell="AD5" workbookViewId="0">
      <selection activeCell="AJ7" sqref="AJ7:AL7"/>
    </sheetView>
  </sheetViews>
  <sheetFormatPr defaultRowHeight="14.25" x14ac:dyDescent="0.45"/>
  <cols>
    <col min="1" max="1" width="40.73046875" bestFit="1" customWidth="1"/>
    <col min="2" max="2" width="13.3984375" bestFit="1" customWidth="1"/>
    <col min="3" max="3" width="12.265625" bestFit="1" customWidth="1"/>
    <col min="4" max="8" width="13.3984375" bestFit="1" customWidth="1"/>
    <col min="9" max="9" width="14.1328125" bestFit="1" customWidth="1"/>
    <col min="10" max="11" width="8.73046875" bestFit="1" customWidth="1"/>
    <col min="12" max="12" width="11.86328125" bestFit="1" customWidth="1"/>
    <col min="13" max="13" width="12.265625" bestFit="1" customWidth="1"/>
    <col min="14" max="14" width="11.1328125" bestFit="1" customWidth="1"/>
    <col min="15" max="17" width="15.1328125" bestFit="1" customWidth="1"/>
    <col min="18" max="18" width="13.3984375" bestFit="1" customWidth="1"/>
    <col min="19" max="19" width="13" bestFit="1" customWidth="1"/>
    <col min="20" max="20" width="15" bestFit="1" customWidth="1"/>
    <col min="21" max="21" width="13.265625" bestFit="1" customWidth="1"/>
    <col min="22" max="22" width="14" bestFit="1" customWidth="1"/>
    <col min="23" max="24" width="13.265625" bestFit="1" customWidth="1"/>
    <col min="25" max="26" width="14.1328125" bestFit="1" customWidth="1"/>
    <col min="27" max="28" width="13.265625" bestFit="1" customWidth="1"/>
    <col min="29" max="29" width="15.1328125" customWidth="1"/>
    <col min="30" max="30" width="13.73046875" customWidth="1"/>
    <col min="31" max="31" width="15" bestFit="1" customWidth="1"/>
    <col min="32" max="33" width="13.265625" bestFit="1" customWidth="1"/>
    <col min="34" max="34" width="15" bestFit="1" customWidth="1"/>
    <col min="35" max="35" width="15" customWidth="1"/>
    <col min="36" max="36" width="15" bestFit="1" customWidth="1"/>
    <col min="37" max="37" width="13.265625" bestFit="1" customWidth="1"/>
    <col min="38" max="38" width="12.265625" bestFit="1" customWidth="1"/>
    <col min="39" max="39" width="15" bestFit="1" customWidth="1"/>
    <col min="40" max="40" width="8.3984375" bestFit="1" customWidth="1"/>
    <col min="42" max="43" width="8.86328125" bestFit="1" customWidth="1"/>
    <col min="44" max="44" width="8.73046875" bestFit="1" customWidth="1"/>
  </cols>
  <sheetData>
    <row r="1" spans="1:44" ht="20.65" x14ac:dyDescent="0.55000000000000004">
      <c r="A1" s="341" t="s">
        <v>188</v>
      </c>
      <c r="B1" s="388" t="s">
        <v>99</v>
      </c>
      <c r="C1" s="388"/>
      <c r="D1" s="388"/>
      <c r="E1" s="388"/>
      <c r="F1" s="388"/>
      <c r="G1" s="388"/>
      <c r="H1" s="388"/>
      <c r="I1" s="388"/>
      <c r="J1" s="388"/>
      <c r="K1" s="388"/>
      <c r="L1" s="388"/>
      <c r="M1" s="388"/>
      <c r="N1" s="388"/>
      <c r="O1" s="388"/>
      <c r="P1" s="388"/>
      <c r="Q1" s="388"/>
      <c r="R1" s="388"/>
      <c r="S1" s="388"/>
      <c r="T1" s="388"/>
      <c r="U1" s="388"/>
      <c r="V1" s="388"/>
      <c r="W1" s="388"/>
      <c r="X1" s="388"/>
      <c r="Y1" s="388"/>
      <c r="Z1" s="388"/>
      <c r="AA1" s="388"/>
      <c r="AB1" s="388"/>
      <c r="AC1" s="388"/>
      <c r="AD1" s="388"/>
      <c r="AE1" s="388"/>
      <c r="AF1" s="388"/>
      <c r="AG1" s="388"/>
      <c r="AH1" s="388"/>
      <c r="AI1" s="388"/>
      <c r="AJ1" s="388"/>
      <c r="AK1" s="388"/>
      <c r="AL1" s="388"/>
      <c r="AM1" s="388"/>
      <c r="AN1" s="388"/>
      <c r="AO1" s="388"/>
      <c r="AP1" s="388"/>
      <c r="AQ1" s="388"/>
      <c r="AR1" s="388"/>
    </row>
    <row r="2" spans="1:44" ht="69.75" x14ac:dyDescent="0.45">
      <c r="A2" s="349"/>
      <c r="B2" s="342" t="s">
        <v>148</v>
      </c>
      <c r="C2" s="342" t="s">
        <v>149</v>
      </c>
      <c r="D2" s="342" t="s">
        <v>150</v>
      </c>
      <c r="E2" s="342" t="s">
        <v>151</v>
      </c>
      <c r="F2" s="342" t="s">
        <v>152</v>
      </c>
      <c r="G2" s="342" t="s">
        <v>111</v>
      </c>
      <c r="H2" s="342" t="s">
        <v>153</v>
      </c>
      <c r="I2" s="342" t="s">
        <v>154</v>
      </c>
      <c r="J2" s="342" t="s">
        <v>114</v>
      </c>
      <c r="K2" s="342" t="s">
        <v>155</v>
      </c>
      <c r="L2" s="342" t="s">
        <v>156</v>
      </c>
      <c r="M2" s="342" t="s">
        <v>157</v>
      </c>
      <c r="N2" s="342" t="s">
        <v>116</v>
      </c>
      <c r="O2" s="342" t="s">
        <v>158</v>
      </c>
      <c r="P2" s="342" t="s">
        <v>159</v>
      </c>
      <c r="Q2" s="342" t="s">
        <v>160</v>
      </c>
      <c r="R2" s="342" t="s">
        <v>161</v>
      </c>
      <c r="S2" s="342" t="s">
        <v>162</v>
      </c>
      <c r="T2" s="342" t="s">
        <v>163</v>
      </c>
      <c r="U2" s="342" t="s">
        <v>164</v>
      </c>
      <c r="V2" s="342" t="s">
        <v>165</v>
      </c>
      <c r="W2" s="342" t="s">
        <v>166</v>
      </c>
      <c r="X2" s="342" t="s">
        <v>121</v>
      </c>
      <c r="Y2" s="342" t="s">
        <v>167</v>
      </c>
      <c r="Z2" s="342" t="s">
        <v>168</v>
      </c>
      <c r="AA2" s="342" t="s">
        <v>169</v>
      </c>
      <c r="AB2" s="342" t="s">
        <v>128</v>
      </c>
      <c r="AC2" s="342" t="s">
        <v>170</v>
      </c>
      <c r="AD2" s="342" t="s">
        <v>171</v>
      </c>
      <c r="AE2" s="342" t="s">
        <v>79</v>
      </c>
      <c r="AF2" s="342" t="s">
        <v>129</v>
      </c>
      <c r="AG2" s="342" t="s">
        <v>130</v>
      </c>
      <c r="AH2" s="343" t="s">
        <v>13</v>
      </c>
      <c r="AI2" s="343" t="s">
        <v>190</v>
      </c>
      <c r="AJ2" s="343" t="s">
        <v>172</v>
      </c>
      <c r="AK2" s="343" t="s">
        <v>173</v>
      </c>
      <c r="AL2" s="343" t="s">
        <v>174</v>
      </c>
      <c r="AM2" s="343" t="s">
        <v>175</v>
      </c>
      <c r="AN2" s="369" t="s">
        <v>185</v>
      </c>
      <c r="AO2" s="369" t="s">
        <v>186</v>
      </c>
      <c r="AP2" s="369" t="s">
        <v>178</v>
      </c>
      <c r="AQ2" s="369" t="s">
        <v>179</v>
      </c>
      <c r="AR2" s="344" t="s">
        <v>12</v>
      </c>
    </row>
    <row r="3" spans="1:44" x14ac:dyDescent="0.45">
      <c r="A3" s="350" t="s">
        <v>91</v>
      </c>
      <c r="B3" s="345">
        <f t="shared" ref="B3:AR3" si="0">INDEX(B6:B22,MATCH($A$3,$A$6:$A$22,0))</f>
        <v>0</v>
      </c>
      <c r="C3" s="345">
        <f t="shared" si="0"/>
        <v>0</v>
      </c>
      <c r="D3" s="345">
        <f t="shared" si="0"/>
        <v>14736888.4513219</v>
      </c>
      <c r="E3" s="345">
        <f t="shared" si="0"/>
        <v>11092791.7071117</v>
      </c>
      <c r="F3" s="345">
        <f t="shared" si="0"/>
        <v>7928622.2938242396</v>
      </c>
      <c r="G3" s="345">
        <f t="shared" si="0"/>
        <v>0</v>
      </c>
      <c r="H3" s="345">
        <f t="shared" si="0"/>
        <v>57688090.4165463</v>
      </c>
      <c r="I3" s="345">
        <f t="shared" si="0"/>
        <v>29670605.177363701</v>
      </c>
      <c r="J3" s="345">
        <f t="shared" si="0"/>
        <v>0</v>
      </c>
      <c r="K3" s="345">
        <f t="shared" si="0"/>
        <v>0</v>
      </c>
      <c r="L3" s="345">
        <f t="shared" si="0"/>
        <v>0</v>
      </c>
      <c r="M3" s="345">
        <f t="shared" si="0"/>
        <v>34886716.196708404</v>
      </c>
      <c r="N3" s="345">
        <f t="shared" si="0"/>
        <v>0</v>
      </c>
      <c r="O3" s="345">
        <f t="shared" si="0"/>
        <v>156003714.24287599</v>
      </c>
      <c r="P3" s="345">
        <f t="shared" si="0"/>
        <v>154067095.24287599</v>
      </c>
      <c r="Q3" s="345">
        <f t="shared" si="0"/>
        <v>133546165.541951</v>
      </c>
      <c r="R3" s="345">
        <f t="shared" si="0"/>
        <v>22457548.700924799</v>
      </c>
      <c r="S3" s="345">
        <f t="shared" si="0"/>
        <v>11918380.2968313</v>
      </c>
      <c r="T3" s="345">
        <f t="shared" si="0"/>
        <v>133546165.541951</v>
      </c>
      <c r="U3" s="345">
        <f t="shared" si="0"/>
        <v>23821382.788449399</v>
      </c>
      <c r="V3" s="345">
        <f t="shared" si="0"/>
        <v>103617430.52</v>
      </c>
      <c r="W3" s="345">
        <f t="shared" si="0"/>
        <v>20616867.700924799</v>
      </c>
      <c r="X3" s="345">
        <f t="shared" si="0"/>
        <v>3149022</v>
      </c>
      <c r="Y3" s="345">
        <f t="shared" si="0"/>
        <v>40204649.166565701</v>
      </c>
      <c r="Z3" s="345">
        <f t="shared" si="0"/>
        <v>-17478842.616831299</v>
      </c>
      <c r="AA3" s="345">
        <f t="shared" si="0"/>
        <v>44167111.250659198</v>
      </c>
      <c r="AB3" s="345">
        <f t="shared" si="0"/>
        <v>21436399.77</v>
      </c>
      <c r="AC3" s="345">
        <f t="shared" si="0"/>
        <v>0</v>
      </c>
      <c r="AD3" s="345">
        <f t="shared" si="0"/>
        <v>0</v>
      </c>
      <c r="AE3" s="345">
        <f t="shared" si="0"/>
        <v>418247345.69220001</v>
      </c>
      <c r="AF3" s="345">
        <f t="shared" si="0"/>
        <v>82438988.640000001</v>
      </c>
      <c r="AG3" s="345">
        <f t="shared" si="0"/>
        <v>27612082.897</v>
      </c>
      <c r="AH3" s="345">
        <f t="shared" si="0"/>
        <v>549734817</v>
      </c>
      <c r="AI3" s="345">
        <f t="shared" si="0"/>
        <v>341386424.52999997</v>
      </c>
      <c r="AJ3" s="345">
        <f t="shared" si="0"/>
        <v>229014546</v>
      </c>
      <c r="AK3" s="345">
        <f t="shared" si="0"/>
        <v>102166571</v>
      </c>
      <c r="AL3" s="345">
        <f t="shared" si="0"/>
        <v>0</v>
      </c>
      <c r="AM3" s="345">
        <f t="shared" si="0"/>
        <v>372251501.67624903</v>
      </c>
      <c r="AN3" s="346">
        <f t="shared" si="0"/>
        <v>0.231975315877406</v>
      </c>
      <c r="AO3" s="346">
        <f t="shared" si="0"/>
        <v>0.13381746224541699</v>
      </c>
      <c r="AP3" s="346">
        <f t="shared" si="0"/>
        <v>0.154616939787802</v>
      </c>
      <c r="AQ3" s="346">
        <f t="shared" si="0"/>
        <v>7.7358376089604303E-2</v>
      </c>
      <c r="AR3" s="346">
        <f t="shared" si="0"/>
        <v>7.7488798173234646E-2</v>
      </c>
    </row>
    <row r="4" spans="1:44" x14ac:dyDescent="0.45">
      <c r="A4" s="348"/>
      <c r="B4" s="347"/>
      <c r="C4" s="347"/>
      <c r="D4" s="347"/>
      <c r="E4" s="347"/>
      <c r="F4" s="347"/>
      <c r="G4" s="347"/>
      <c r="H4" s="347"/>
      <c r="I4" s="347"/>
      <c r="J4" s="347"/>
      <c r="K4" s="347"/>
      <c r="L4" s="347"/>
      <c r="M4" s="347"/>
      <c r="N4" s="347"/>
      <c r="O4" s="347"/>
      <c r="P4" s="347"/>
      <c r="Q4" s="347"/>
      <c r="R4" s="347"/>
      <c r="S4" s="347"/>
      <c r="T4" s="347"/>
      <c r="U4" s="347"/>
      <c r="V4" s="347"/>
      <c r="W4" s="347"/>
      <c r="X4" s="347"/>
      <c r="Y4" s="347"/>
      <c r="Z4" s="347"/>
      <c r="AA4" s="347"/>
      <c r="AB4" s="347"/>
      <c r="AC4" s="347"/>
      <c r="AD4" s="347"/>
      <c r="AE4" s="347"/>
      <c r="AF4" s="347"/>
      <c r="AG4" s="347"/>
      <c r="AH4" s="347"/>
      <c r="AI4" s="347"/>
      <c r="AJ4" s="347"/>
      <c r="AK4" s="347"/>
      <c r="AL4" s="347"/>
      <c r="AM4" s="347"/>
      <c r="AN4" s="370"/>
      <c r="AO4" s="370"/>
      <c r="AP4" s="370"/>
      <c r="AQ4" s="370"/>
      <c r="AR4" s="347"/>
    </row>
    <row r="5" spans="1:44" ht="71.25" x14ac:dyDescent="0.45">
      <c r="A5" s="332" t="s">
        <v>126</v>
      </c>
      <c r="B5" s="332" t="s">
        <v>148</v>
      </c>
      <c r="C5" s="332" t="s">
        <v>149</v>
      </c>
      <c r="D5" s="332" t="s">
        <v>150</v>
      </c>
      <c r="E5" s="332" t="s">
        <v>151</v>
      </c>
      <c r="F5" s="332" t="s">
        <v>152</v>
      </c>
      <c r="G5" s="332" t="s">
        <v>111</v>
      </c>
      <c r="H5" s="332" t="s">
        <v>153</v>
      </c>
      <c r="I5" s="332" t="s">
        <v>154</v>
      </c>
      <c r="J5" s="332" t="s">
        <v>114</v>
      </c>
      <c r="K5" s="332" t="s">
        <v>155</v>
      </c>
      <c r="L5" s="332" t="s">
        <v>156</v>
      </c>
      <c r="M5" s="332" t="s">
        <v>157</v>
      </c>
      <c r="N5" s="332" t="s">
        <v>116</v>
      </c>
      <c r="O5" s="335" t="s">
        <v>158</v>
      </c>
      <c r="P5" s="335" t="s">
        <v>159</v>
      </c>
      <c r="Q5" s="335" t="s">
        <v>160</v>
      </c>
      <c r="R5" s="335" t="s">
        <v>161</v>
      </c>
      <c r="S5" s="335" t="s">
        <v>162</v>
      </c>
      <c r="T5" s="335" t="s">
        <v>163</v>
      </c>
      <c r="U5" s="335" t="s">
        <v>164</v>
      </c>
      <c r="V5" s="335" t="s">
        <v>165</v>
      </c>
      <c r="W5" s="335" t="s">
        <v>166</v>
      </c>
      <c r="X5" s="335" t="s">
        <v>121</v>
      </c>
      <c r="Y5" s="335" t="s">
        <v>167</v>
      </c>
      <c r="Z5" s="335" t="s">
        <v>168</v>
      </c>
      <c r="AA5" s="335" t="s">
        <v>169</v>
      </c>
      <c r="AB5" s="335" t="s">
        <v>128</v>
      </c>
      <c r="AC5" s="335" t="s">
        <v>170</v>
      </c>
      <c r="AD5" s="335" t="s">
        <v>171</v>
      </c>
      <c r="AE5" s="335" t="s">
        <v>79</v>
      </c>
      <c r="AF5" s="335" t="s">
        <v>129</v>
      </c>
      <c r="AG5" s="335" t="s">
        <v>130</v>
      </c>
      <c r="AH5" s="336" t="s">
        <v>13</v>
      </c>
      <c r="AI5" s="336" t="s">
        <v>190</v>
      </c>
      <c r="AJ5" s="336" t="s">
        <v>172</v>
      </c>
      <c r="AK5" s="336" t="s">
        <v>173</v>
      </c>
      <c r="AL5" s="336" t="s">
        <v>174</v>
      </c>
      <c r="AM5" s="336" t="s">
        <v>175</v>
      </c>
      <c r="AN5" s="371" t="s">
        <v>11</v>
      </c>
      <c r="AO5" s="371" t="s">
        <v>186</v>
      </c>
      <c r="AP5" s="371" t="s">
        <v>178</v>
      </c>
      <c r="AQ5" s="371" t="s">
        <v>179</v>
      </c>
      <c r="AR5" s="337" t="s">
        <v>12</v>
      </c>
    </row>
    <row r="6" spans="1:44" x14ac:dyDescent="0.45">
      <c r="A6" s="333" t="s">
        <v>16</v>
      </c>
      <c r="B6" s="363">
        <v>8912350</v>
      </c>
      <c r="C6" s="363">
        <v>0</v>
      </c>
      <c r="D6" s="363">
        <v>0</v>
      </c>
      <c r="E6" s="363">
        <v>1069446</v>
      </c>
      <c r="F6" s="363">
        <v>359437</v>
      </c>
      <c r="G6" s="363">
        <v>4917864</v>
      </c>
      <c r="H6" s="363">
        <v>5273798</v>
      </c>
      <c r="I6" s="363">
        <v>544937</v>
      </c>
      <c r="J6" s="363">
        <v>0</v>
      </c>
      <c r="K6" s="363">
        <v>0</v>
      </c>
      <c r="L6" s="363">
        <v>0</v>
      </c>
      <c r="M6" s="363">
        <v>4534083</v>
      </c>
      <c r="N6" s="363">
        <v>0</v>
      </c>
      <c r="O6" s="363">
        <v>25611915</v>
      </c>
      <c r="P6" s="363">
        <v>25262561</v>
      </c>
      <c r="Q6" s="363">
        <v>43324026</v>
      </c>
      <c r="R6" s="363">
        <v>-17712111</v>
      </c>
      <c r="S6" s="363">
        <v>0</v>
      </c>
      <c r="T6" s="363">
        <v>43324026</v>
      </c>
      <c r="U6" s="363">
        <v>4224833</v>
      </c>
      <c r="V6" s="363">
        <v>38268179</v>
      </c>
      <c r="W6" s="363">
        <v>-17957665</v>
      </c>
      <c r="X6" s="363">
        <v>14005480</v>
      </c>
      <c r="Y6" s="363">
        <v>-1768311</v>
      </c>
      <c r="Z6" s="363">
        <v>0</v>
      </c>
      <c r="AA6" s="363">
        <v>-5720496</v>
      </c>
      <c r="AB6" s="363">
        <v>6180072</v>
      </c>
      <c r="AC6" s="363">
        <v>0</v>
      </c>
      <c r="AD6" s="363">
        <v>0</v>
      </c>
      <c r="AE6" s="363">
        <v>236595950</v>
      </c>
      <c r="AF6" s="363">
        <v>5844477</v>
      </c>
      <c r="AG6" s="363">
        <v>4671004</v>
      </c>
      <c r="AH6" s="363">
        <v>253291503</v>
      </c>
      <c r="AI6" s="363">
        <v>136407013</v>
      </c>
      <c r="AJ6" s="363">
        <v>6696405</v>
      </c>
      <c r="AK6" s="363">
        <v>83102008</v>
      </c>
      <c r="AL6" s="318">
        <v>0</v>
      </c>
      <c r="AM6" s="318">
        <v>16751990</v>
      </c>
      <c r="AN6" s="367">
        <v>0.16723692423741199</v>
      </c>
      <c r="AO6" s="367">
        <v>-0.71084103468369597</v>
      </c>
      <c r="AP6" s="367">
        <v>0.16723692423741199</v>
      </c>
      <c r="AQ6" s="367">
        <v>0</v>
      </c>
      <c r="AR6" s="364">
        <v>1.2721726030030536E-2</v>
      </c>
    </row>
    <row r="7" spans="1:44" x14ac:dyDescent="0.45">
      <c r="A7" s="333" t="s">
        <v>17</v>
      </c>
      <c r="B7" s="363">
        <v>0</v>
      </c>
      <c r="C7" s="363">
        <v>0</v>
      </c>
      <c r="D7" s="363">
        <v>136087792.27725399</v>
      </c>
      <c r="E7" s="363">
        <v>39461140.027948201</v>
      </c>
      <c r="F7" s="363">
        <v>176537498.72009301</v>
      </c>
      <c r="G7" s="363">
        <v>34604315.063619301</v>
      </c>
      <c r="H7" s="363">
        <v>431856398.094459</v>
      </c>
      <c r="I7" s="363">
        <v>0</v>
      </c>
      <c r="J7" s="363">
        <v>0</v>
      </c>
      <c r="K7" s="363">
        <v>0</v>
      </c>
      <c r="L7" s="363">
        <v>0</v>
      </c>
      <c r="M7" s="363">
        <v>4052855.8180242698</v>
      </c>
      <c r="N7" s="363">
        <v>0</v>
      </c>
      <c r="O7" s="363">
        <v>822600000.00139999</v>
      </c>
      <c r="P7" s="363">
        <v>814819000.00011802</v>
      </c>
      <c r="Q7" s="363">
        <v>498687000</v>
      </c>
      <c r="R7" s="363">
        <v>323913000.00139999</v>
      </c>
      <c r="S7" s="363">
        <v>43867000</v>
      </c>
      <c r="T7" s="363">
        <v>498687000</v>
      </c>
      <c r="U7" s="363">
        <v>460865511.813658</v>
      </c>
      <c r="V7" s="363">
        <v>47078611.1300001</v>
      </c>
      <c r="W7" s="363">
        <v>318230531.23739803</v>
      </c>
      <c r="X7" s="363">
        <v>37980056.869000003</v>
      </c>
      <c r="Y7" s="363">
        <v>-69761744.302083403</v>
      </c>
      <c r="Z7" s="363">
        <v>-2014056.8689999999</v>
      </c>
      <c r="AA7" s="363">
        <v>267787786.935314</v>
      </c>
      <c r="AB7" s="363">
        <v>398144971.38</v>
      </c>
      <c r="AC7" s="363">
        <v>0</v>
      </c>
      <c r="AD7" s="363">
        <v>-355219.34940972202</v>
      </c>
      <c r="AE7" s="363">
        <v>1640746762.36408</v>
      </c>
      <c r="AF7" s="363">
        <v>57209132.244898997</v>
      </c>
      <c r="AG7" s="363">
        <v>46933000.854356498</v>
      </c>
      <c r="AH7" s="363">
        <v>2142678647.49</v>
      </c>
      <c r="AI7" s="363">
        <v>1312497631.7680011</v>
      </c>
      <c r="AJ7" s="363">
        <v>1157394130.95544</v>
      </c>
      <c r="AK7" s="363">
        <v>25407000</v>
      </c>
      <c r="AL7" s="318">
        <v>0</v>
      </c>
      <c r="AM7" s="318">
        <v>793437075.33708596</v>
      </c>
      <c r="AN7" s="367">
        <v>0.61944126464108495</v>
      </c>
      <c r="AO7" s="367">
        <v>0.39055364594756797</v>
      </c>
      <c r="AP7" s="367">
        <v>0.56560476843764096</v>
      </c>
      <c r="AQ7" s="367">
        <v>5.3836496203443399E-2</v>
      </c>
      <c r="AR7" s="364">
        <v>0.40859466511273868</v>
      </c>
    </row>
    <row r="8" spans="1:44" x14ac:dyDescent="0.45">
      <c r="A8" s="333" t="s">
        <v>53</v>
      </c>
      <c r="B8" s="363">
        <v>0</v>
      </c>
      <c r="C8" s="363">
        <v>0</v>
      </c>
      <c r="D8" s="363">
        <v>0</v>
      </c>
      <c r="E8" s="363">
        <v>0</v>
      </c>
      <c r="F8" s="363">
        <v>3476107.63</v>
      </c>
      <c r="G8" s="363">
        <v>0</v>
      </c>
      <c r="H8" s="363">
        <v>0</v>
      </c>
      <c r="I8" s="363">
        <v>0</v>
      </c>
      <c r="J8" s="363">
        <v>0</v>
      </c>
      <c r="K8" s="363">
        <v>0</v>
      </c>
      <c r="L8" s="363">
        <v>0</v>
      </c>
      <c r="M8" s="363">
        <v>0</v>
      </c>
      <c r="N8" s="363">
        <v>0</v>
      </c>
      <c r="O8" s="363">
        <v>3476107.63</v>
      </c>
      <c r="P8" s="363">
        <v>3408607.63</v>
      </c>
      <c r="Q8" s="363">
        <v>833322.27</v>
      </c>
      <c r="R8" s="363">
        <v>2642785.36</v>
      </c>
      <c r="S8" s="363">
        <v>7919798.7199999904</v>
      </c>
      <c r="T8" s="363">
        <v>833322.27</v>
      </c>
      <c r="U8" s="363">
        <v>0</v>
      </c>
      <c r="V8" s="363">
        <v>833322.27</v>
      </c>
      <c r="W8" s="363">
        <v>2575285.36</v>
      </c>
      <c r="X8" s="363">
        <v>1258568.71</v>
      </c>
      <c r="Y8" s="363">
        <v>-820870.39999999898</v>
      </c>
      <c r="Z8" s="363">
        <v>-7919798.7199999904</v>
      </c>
      <c r="AA8" s="363">
        <v>-4906815.0499999896</v>
      </c>
      <c r="AB8" s="363">
        <v>427847.18</v>
      </c>
      <c r="AC8" s="363">
        <v>0</v>
      </c>
      <c r="AD8" s="363">
        <v>0</v>
      </c>
      <c r="AE8" s="363">
        <v>5580173.0599999996</v>
      </c>
      <c r="AF8" s="363">
        <v>8263364.1399999997</v>
      </c>
      <c r="AG8" s="363">
        <v>5583815.1999999899</v>
      </c>
      <c r="AH8" s="363">
        <v>19884699.579999998</v>
      </c>
      <c r="AI8" s="363">
        <v>29189754.719999999</v>
      </c>
      <c r="AJ8" s="363">
        <v>15382849.787469501</v>
      </c>
      <c r="AK8" s="363">
        <v>655925</v>
      </c>
      <c r="AL8" s="318">
        <v>0</v>
      </c>
      <c r="AM8" s="318">
        <v>0</v>
      </c>
      <c r="AN8" s="367">
        <v>2.3234703373588301</v>
      </c>
      <c r="AO8" s="367">
        <v>0.75552414344621999</v>
      </c>
      <c r="AP8" s="367">
        <v>0</v>
      </c>
      <c r="AQ8" s="367">
        <v>2.3234703373588301</v>
      </c>
      <c r="AR8" s="364">
        <v>1.7266217274170539E-3</v>
      </c>
    </row>
    <row r="9" spans="1:44" x14ac:dyDescent="0.45">
      <c r="A9" s="333" t="s">
        <v>20</v>
      </c>
      <c r="B9" s="363">
        <v>21737435</v>
      </c>
      <c r="C9" s="363">
        <v>0</v>
      </c>
      <c r="D9" s="363">
        <v>0</v>
      </c>
      <c r="E9" s="363">
        <v>85231333</v>
      </c>
      <c r="F9" s="363">
        <v>0</v>
      </c>
      <c r="G9" s="363">
        <v>8080847</v>
      </c>
      <c r="H9" s="363">
        <v>0</v>
      </c>
      <c r="I9" s="363">
        <v>0</v>
      </c>
      <c r="J9" s="363">
        <v>0</v>
      </c>
      <c r="K9" s="363">
        <v>0</v>
      </c>
      <c r="L9" s="363">
        <v>0</v>
      </c>
      <c r="M9" s="363">
        <v>1027340</v>
      </c>
      <c r="N9" s="363">
        <v>1065928</v>
      </c>
      <c r="O9" s="363">
        <v>117142883</v>
      </c>
      <c r="P9" s="363">
        <v>117142883</v>
      </c>
      <c r="Q9" s="363">
        <v>115533199.5</v>
      </c>
      <c r="R9" s="363">
        <v>1609683.5</v>
      </c>
      <c r="S9" s="363">
        <v>27163335</v>
      </c>
      <c r="T9" s="363">
        <v>115533199.5</v>
      </c>
      <c r="U9" s="363">
        <v>36560404</v>
      </c>
      <c r="V9" s="363">
        <v>78946055.5</v>
      </c>
      <c r="W9" s="363">
        <v>1609683.5</v>
      </c>
      <c r="X9" s="363">
        <v>31971807.039999999</v>
      </c>
      <c r="Y9" s="363">
        <v>-6059712.3765984401</v>
      </c>
      <c r="Z9" s="363">
        <v>-33462862.118000001</v>
      </c>
      <c r="AA9" s="363">
        <v>-5941083.9545984399</v>
      </c>
      <c r="AB9" s="363">
        <v>40692938.499999903</v>
      </c>
      <c r="AC9" s="363">
        <v>0</v>
      </c>
      <c r="AD9" s="363">
        <v>0</v>
      </c>
      <c r="AE9" s="363">
        <v>537956982.04999995</v>
      </c>
      <c r="AF9" s="363">
        <v>59044779.729999997</v>
      </c>
      <c r="AG9" s="363">
        <v>15487032.6499999</v>
      </c>
      <c r="AH9" s="363">
        <v>653181732.92999995</v>
      </c>
      <c r="AI9" s="363">
        <v>425216073.02610093</v>
      </c>
      <c r="AJ9" s="363">
        <v>98351772.123401493</v>
      </c>
      <c r="AK9" s="363">
        <v>256390523.15099999</v>
      </c>
      <c r="AL9" s="318">
        <v>0</v>
      </c>
      <c r="AM9" s="318">
        <v>0</v>
      </c>
      <c r="AN9" s="367">
        <v>0.543983017730577</v>
      </c>
      <c r="AO9" s="367">
        <v>1.3741197576638E-2</v>
      </c>
      <c r="AP9" s="367">
        <v>0.31210094086552398</v>
      </c>
      <c r="AQ9" s="367">
        <v>0.23188207686505299</v>
      </c>
      <c r="AR9" s="364">
        <v>5.8186186542237138E-2</v>
      </c>
    </row>
    <row r="10" spans="1:44" x14ac:dyDescent="0.45">
      <c r="A10" s="333" t="s">
        <v>47</v>
      </c>
      <c r="B10" s="363"/>
      <c r="C10" s="363"/>
      <c r="D10" s="363"/>
      <c r="E10" s="363"/>
      <c r="F10" s="363"/>
      <c r="G10" s="363"/>
      <c r="H10" s="363"/>
      <c r="I10" s="363"/>
      <c r="J10" s="363"/>
      <c r="K10" s="363"/>
      <c r="L10" s="363"/>
      <c r="M10" s="363"/>
      <c r="N10" s="363"/>
      <c r="O10" s="363"/>
      <c r="P10" s="363"/>
      <c r="Q10" s="363"/>
      <c r="R10" s="363"/>
      <c r="S10" s="363"/>
      <c r="T10" s="363"/>
      <c r="U10" s="363"/>
      <c r="V10" s="363"/>
      <c r="W10" s="363"/>
      <c r="X10" s="363"/>
      <c r="Y10" s="363"/>
      <c r="Z10" s="363"/>
      <c r="AA10" s="363"/>
      <c r="AB10" s="363"/>
      <c r="AC10" s="363"/>
      <c r="AD10" s="363"/>
      <c r="AE10" s="363"/>
      <c r="AF10" s="363"/>
      <c r="AG10" s="363"/>
      <c r="AH10" s="363"/>
      <c r="AJ10" s="363"/>
      <c r="AK10" s="363"/>
      <c r="AL10" s="318"/>
      <c r="AM10" s="318"/>
      <c r="AN10" s="367"/>
      <c r="AO10" s="367"/>
      <c r="AP10" s="367"/>
      <c r="AQ10" s="367"/>
      <c r="AR10" s="364"/>
    </row>
    <row r="11" spans="1:44" x14ac:dyDescent="0.45">
      <c r="A11" s="333" t="s">
        <v>64</v>
      </c>
      <c r="B11" s="363"/>
      <c r="C11" s="363"/>
      <c r="D11" s="363"/>
      <c r="E11" s="363"/>
      <c r="F11" s="363"/>
      <c r="G11" s="363"/>
      <c r="H11" s="363"/>
      <c r="I11" s="363"/>
      <c r="J11" s="363"/>
      <c r="K11" s="363"/>
      <c r="L11" s="363"/>
      <c r="M11" s="363"/>
      <c r="N11" s="363"/>
      <c r="O11" s="363"/>
      <c r="P11" s="363"/>
      <c r="Q11" s="363"/>
      <c r="R11" s="363"/>
      <c r="S11" s="363"/>
      <c r="T11" s="363"/>
      <c r="U11" s="363"/>
      <c r="V11" s="363"/>
      <c r="W11" s="363"/>
      <c r="X11" s="363"/>
      <c r="Y11" s="363"/>
      <c r="Z11" s="363"/>
      <c r="AA11" s="363"/>
      <c r="AB11" s="363"/>
      <c r="AC11" s="363"/>
      <c r="AD11" s="363"/>
      <c r="AE11" s="363"/>
      <c r="AF11" s="363"/>
      <c r="AG11" s="363"/>
      <c r="AH11" s="363"/>
      <c r="AJ11" s="363"/>
      <c r="AK11" s="363"/>
      <c r="AL11" s="318"/>
      <c r="AM11" s="318"/>
      <c r="AN11" s="367"/>
      <c r="AO11" s="367"/>
      <c r="AP11" s="367"/>
      <c r="AQ11" s="367"/>
      <c r="AR11" s="364"/>
    </row>
    <row r="12" spans="1:44" x14ac:dyDescent="0.45">
      <c r="A12" s="333" t="s">
        <v>144</v>
      </c>
      <c r="B12" s="363">
        <v>11384701.16</v>
      </c>
      <c r="C12" s="363">
        <v>0</v>
      </c>
      <c r="D12" s="363">
        <v>3664096</v>
      </c>
      <c r="E12" s="363">
        <v>10786119</v>
      </c>
      <c r="F12" s="363">
        <v>0</v>
      </c>
      <c r="G12" s="363">
        <v>3628617</v>
      </c>
      <c r="H12" s="363">
        <v>0</v>
      </c>
      <c r="I12" s="363">
        <v>0</v>
      </c>
      <c r="J12" s="363">
        <v>0</v>
      </c>
      <c r="K12" s="363">
        <v>0</v>
      </c>
      <c r="L12" s="363">
        <v>0</v>
      </c>
      <c r="M12" s="363">
        <v>0</v>
      </c>
      <c r="N12" s="363">
        <v>981851</v>
      </c>
      <c r="O12" s="363">
        <v>30445384.16</v>
      </c>
      <c r="P12" s="363">
        <v>28587183.16</v>
      </c>
      <c r="Q12" s="363">
        <v>21742730</v>
      </c>
      <c r="R12" s="363">
        <v>8702654.1600000001</v>
      </c>
      <c r="S12" s="363">
        <v>43204288.828999899</v>
      </c>
      <c r="T12" s="363">
        <v>21742730</v>
      </c>
      <c r="U12" s="363">
        <v>5776835</v>
      </c>
      <c r="V12" s="363">
        <v>12073122</v>
      </c>
      <c r="W12" s="363">
        <v>7118462.1600000001</v>
      </c>
      <c r="X12" s="363">
        <v>12549060.2199999</v>
      </c>
      <c r="Y12" s="363">
        <v>-1584192</v>
      </c>
      <c r="Z12" s="363">
        <v>-38741481.828999899</v>
      </c>
      <c r="AA12" s="363">
        <v>-20658151.4489999</v>
      </c>
      <c r="AB12" s="363">
        <v>37540870.43</v>
      </c>
      <c r="AC12" s="363">
        <v>0</v>
      </c>
      <c r="AD12" s="363">
        <v>2815206</v>
      </c>
      <c r="AE12" s="363">
        <v>132004764.222975</v>
      </c>
      <c r="AF12" s="363">
        <v>2985381</v>
      </c>
      <c r="AG12" s="363">
        <v>5891446.75</v>
      </c>
      <c r="AH12" s="363">
        <v>182784293.40000001</v>
      </c>
      <c r="AI12" s="363">
        <v>72115362.004501</v>
      </c>
      <c r="AJ12" s="363">
        <v>25735706</v>
      </c>
      <c r="AK12" s="363">
        <v>0</v>
      </c>
      <c r="AL12" s="318">
        <v>44882014</v>
      </c>
      <c r="AM12" s="318">
        <v>176553.96</v>
      </c>
      <c r="AN12" s="367">
        <v>1.7133945500980901</v>
      </c>
      <c r="AO12" s="367">
        <v>0.24900886946987999</v>
      </c>
      <c r="AP12" s="367">
        <v>0.20207779716062099</v>
      </c>
      <c r="AQ12" s="367">
        <v>1.51131675293747</v>
      </c>
      <c r="AR12" s="364">
        <v>1.5122564484637379E-2</v>
      </c>
    </row>
    <row r="13" spans="1:44" x14ac:dyDescent="0.45">
      <c r="A13" s="333" t="s">
        <v>21</v>
      </c>
      <c r="B13" s="363">
        <v>0</v>
      </c>
      <c r="C13" s="363">
        <v>16486467.4532694</v>
      </c>
      <c r="D13" s="363">
        <v>0</v>
      </c>
      <c r="E13" s="363">
        <v>14191905.949999999</v>
      </c>
      <c r="F13" s="363">
        <v>10104124.681210499</v>
      </c>
      <c r="G13" s="363">
        <v>9269155.4958110601</v>
      </c>
      <c r="H13" s="363">
        <v>0</v>
      </c>
      <c r="I13" s="363">
        <v>0</v>
      </c>
      <c r="J13" s="363">
        <v>0</v>
      </c>
      <c r="K13" s="363">
        <v>0</v>
      </c>
      <c r="L13" s="363">
        <v>0</v>
      </c>
      <c r="M13" s="363">
        <v>0</v>
      </c>
      <c r="N13" s="363">
        <v>0</v>
      </c>
      <c r="O13" s="363">
        <v>50051653.580291003</v>
      </c>
      <c r="P13" s="363">
        <v>46948049.8951414</v>
      </c>
      <c r="Q13" s="363">
        <v>50081646.834784903</v>
      </c>
      <c r="R13" s="363">
        <v>-29993.2544938623</v>
      </c>
      <c r="S13" s="363">
        <v>3992727.0023144698</v>
      </c>
      <c r="T13" s="363">
        <v>50081646.834784903</v>
      </c>
      <c r="U13" s="363">
        <v>10256948.724314</v>
      </c>
      <c r="V13" s="363">
        <v>28925524.946481999</v>
      </c>
      <c r="W13" s="363">
        <v>-1962427.3999698099</v>
      </c>
      <c r="X13" s="363">
        <v>60857467.439999998</v>
      </c>
      <c r="Y13" s="363">
        <v>-28855507.772862401</v>
      </c>
      <c r="Z13" s="363">
        <v>-3992727.0023144698</v>
      </c>
      <c r="AA13" s="363">
        <v>24139208.1848532</v>
      </c>
      <c r="AB13" s="363">
        <v>45095566.32</v>
      </c>
      <c r="AC13" s="363">
        <v>6407200.3037706101</v>
      </c>
      <c r="AD13" s="363">
        <v>2171240.2127323099</v>
      </c>
      <c r="AE13" s="363">
        <v>291196370.90685701</v>
      </c>
      <c r="AF13" s="363">
        <v>2910906.05</v>
      </c>
      <c r="AG13" s="363">
        <v>7071314.7299999604</v>
      </c>
      <c r="AH13" s="363">
        <v>355109077.41000003</v>
      </c>
      <c r="AI13" s="363">
        <v>263587791.04000002</v>
      </c>
      <c r="AJ13" s="363">
        <v>257440171.18351901</v>
      </c>
      <c r="AK13" s="363">
        <v>0</v>
      </c>
      <c r="AL13" s="318">
        <v>555.41255785787905</v>
      </c>
      <c r="AM13" s="318">
        <v>2300425.5859051901</v>
      </c>
      <c r="AN13" s="367">
        <v>0.30352007715879897</v>
      </c>
      <c r="AO13" s="367">
        <v>-4.1799976875565602E-2</v>
      </c>
      <c r="AP13" s="367">
        <v>0.218474436046288</v>
      </c>
      <c r="AQ13" s="367">
        <v>8.50456411125112E-2</v>
      </c>
      <c r="AR13" s="364">
        <v>2.4861218858428163E-2</v>
      </c>
    </row>
    <row r="14" spans="1:44" x14ac:dyDescent="0.45">
      <c r="A14" s="333" t="s">
        <v>91</v>
      </c>
      <c r="B14" s="363">
        <v>0</v>
      </c>
      <c r="C14" s="363">
        <v>0</v>
      </c>
      <c r="D14" s="363">
        <v>14736888.4513219</v>
      </c>
      <c r="E14" s="363">
        <v>11092791.7071117</v>
      </c>
      <c r="F14" s="363">
        <v>7928622.2938242396</v>
      </c>
      <c r="G14" s="363">
        <v>0</v>
      </c>
      <c r="H14" s="363">
        <v>57688090.4165463</v>
      </c>
      <c r="I14" s="363">
        <v>29670605.177363701</v>
      </c>
      <c r="J14" s="363">
        <v>0</v>
      </c>
      <c r="K14" s="363">
        <v>0</v>
      </c>
      <c r="L14" s="363">
        <v>0</v>
      </c>
      <c r="M14" s="363">
        <v>34886716.196708404</v>
      </c>
      <c r="N14" s="363">
        <v>0</v>
      </c>
      <c r="O14" s="363">
        <v>156003714.24287599</v>
      </c>
      <c r="P14" s="363">
        <v>154067095.24287599</v>
      </c>
      <c r="Q14" s="363">
        <v>133546165.541951</v>
      </c>
      <c r="R14" s="363">
        <v>22457548.700924799</v>
      </c>
      <c r="S14" s="363">
        <v>11918380.2968313</v>
      </c>
      <c r="T14" s="363">
        <v>133546165.541951</v>
      </c>
      <c r="U14" s="363">
        <v>23821382.788449399</v>
      </c>
      <c r="V14" s="363">
        <v>103617430.52</v>
      </c>
      <c r="W14" s="363">
        <v>20616867.700924799</v>
      </c>
      <c r="X14" s="363">
        <v>3149022</v>
      </c>
      <c r="Y14" s="363">
        <v>40204649.166565701</v>
      </c>
      <c r="Z14" s="363">
        <v>-17478842.616831299</v>
      </c>
      <c r="AA14" s="363">
        <v>44167111.250659198</v>
      </c>
      <c r="AB14" s="363">
        <v>21436399.77</v>
      </c>
      <c r="AC14" s="363">
        <v>0</v>
      </c>
      <c r="AD14" s="363">
        <v>0</v>
      </c>
      <c r="AE14" s="363">
        <v>418247345.69220001</v>
      </c>
      <c r="AF14" s="363">
        <v>82438988.640000001</v>
      </c>
      <c r="AG14" s="363">
        <v>27612082.897</v>
      </c>
      <c r="AH14" s="363">
        <v>549734817</v>
      </c>
      <c r="AI14" s="363">
        <v>341386424.52999997</v>
      </c>
      <c r="AJ14" s="363">
        <v>229014546</v>
      </c>
      <c r="AK14" s="363">
        <v>102166571</v>
      </c>
      <c r="AL14" s="318">
        <v>0</v>
      </c>
      <c r="AM14" s="318">
        <v>372251501.67624903</v>
      </c>
      <c r="AN14" s="367">
        <v>0.231975315877406</v>
      </c>
      <c r="AO14" s="367">
        <v>0.13381746224541699</v>
      </c>
      <c r="AP14" s="367">
        <v>0.154616939787802</v>
      </c>
      <c r="AQ14" s="367">
        <v>7.7358376089604303E-2</v>
      </c>
      <c r="AR14" s="364">
        <v>7.7488798173234646E-2</v>
      </c>
    </row>
    <row r="15" spans="1:44" x14ac:dyDescent="0.45">
      <c r="A15" s="333" t="s">
        <v>22</v>
      </c>
      <c r="B15" s="363">
        <v>33272134.039999899</v>
      </c>
      <c r="C15" s="363">
        <v>0</v>
      </c>
      <c r="D15" s="363">
        <v>0</v>
      </c>
      <c r="E15" s="363">
        <v>85042675.25</v>
      </c>
      <c r="F15" s="363">
        <v>0</v>
      </c>
      <c r="G15" s="363">
        <v>0</v>
      </c>
      <c r="H15" s="363">
        <v>0</v>
      </c>
      <c r="I15" s="363">
        <v>0</v>
      </c>
      <c r="J15" s="363">
        <v>0</v>
      </c>
      <c r="K15" s="363">
        <v>0</v>
      </c>
      <c r="L15" s="363">
        <v>0</v>
      </c>
      <c r="M15" s="363">
        <v>0</v>
      </c>
      <c r="N15" s="363">
        <v>0</v>
      </c>
      <c r="O15" s="363">
        <v>118314809.28999899</v>
      </c>
      <c r="P15" s="363">
        <v>99902548.489999995</v>
      </c>
      <c r="Q15" s="363">
        <v>129632197.419999</v>
      </c>
      <c r="R15" s="363">
        <v>-11317388.1299999</v>
      </c>
      <c r="S15" s="363">
        <v>16412000</v>
      </c>
      <c r="T15" s="363">
        <v>129632197.419999</v>
      </c>
      <c r="U15" s="363">
        <v>17365514.07</v>
      </c>
      <c r="V15" s="363">
        <v>97612798.149999902</v>
      </c>
      <c r="W15" s="363">
        <v>-29729648.929999899</v>
      </c>
      <c r="X15" s="363">
        <v>78209282.200100005</v>
      </c>
      <c r="Y15" s="363">
        <v>-38227574.659999996</v>
      </c>
      <c r="Z15" s="363">
        <v>-13195702.8599</v>
      </c>
      <c r="AA15" s="363">
        <v>-1475644.2498000001</v>
      </c>
      <c r="AB15" s="363">
        <v>34852830</v>
      </c>
      <c r="AC15" s="363">
        <v>0</v>
      </c>
      <c r="AD15" s="363">
        <v>27385339.798417099</v>
      </c>
      <c r="AE15" s="363">
        <v>488914633.13999999</v>
      </c>
      <c r="AF15" s="363">
        <v>31524000.329999998</v>
      </c>
      <c r="AG15" s="363">
        <v>11402078.02</v>
      </c>
      <c r="AH15" s="363">
        <v>594381651.23000002</v>
      </c>
      <c r="AI15" s="363">
        <v>547659810.81439185</v>
      </c>
      <c r="AJ15" s="363">
        <v>445346360.28893399</v>
      </c>
      <c r="AK15" s="363">
        <v>93916189.160608307</v>
      </c>
      <c r="AL15" s="318">
        <v>0</v>
      </c>
      <c r="AM15" s="318">
        <v>0</v>
      </c>
      <c r="AN15" s="367">
        <v>0.33810462876611203</v>
      </c>
      <c r="AO15" s="367">
        <v>-0.29758649182984398</v>
      </c>
      <c r="AP15" s="367">
        <v>0.17382453533443301</v>
      </c>
      <c r="AQ15" s="367">
        <v>0.16428009343167799</v>
      </c>
      <c r="AR15" s="364">
        <v>5.8768295501631908E-2</v>
      </c>
    </row>
    <row r="16" spans="1:44" x14ac:dyDescent="0.45">
      <c r="A16" s="333" t="s">
        <v>24</v>
      </c>
      <c r="B16" s="363">
        <v>458261627.494829</v>
      </c>
      <c r="C16" s="363">
        <v>0</v>
      </c>
      <c r="D16" s="363">
        <v>0</v>
      </c>
      <c r="E16" s="363">
        <v>27995953.0735799</v>
      </c>
      <c r="F16" s="363">
        <v>20792171.0655246</v>
      </c>
      <c r="G16" s="363">
        <v>19106109.267642699</v>
      </c>
      <c r="H16" s="363">
        <v>-80417657.356331393</v>
      </c>
      <c r="I16" s="363">
        <v>-100256811.675482</v>
      </c>
      <c r="J16" s="363">
        <v>0</v>
      </c>
      <c r="K16" s="363">
        <v>0</v>
      </c>
      <c r="L16" s="363">
        <v>-1162093.7345848</v>
      </c>
      <c r="M16" s="363">
        <v>0</v>
      </c>
      <c r="N16" s="363">
        <v>0</v>
      </c>
      <c r="O16" s="363">
        <v>344319298.13517702</v>
      </c>
      <c r="P16" s="363">
        <v>344319298.13517702</v>
      </c>
      <c r="Q16" s="363">
        <v>222839567.85574201</v>
      </c>
      <c r="R16" s="363">
        <v>121479730.27943499</v>
      </c>
      <c r="S16" s="363">
        <v>11117803.947739501</v>
      </c>
      <c r="T16" s="363">
        <v>222839567.85574201</v>
      </c>
      <c r="U16" s="363">
        <v>100968021.62771501</v>
      </c>
      <c r="V16" s="363">
        <v>144438964.79410499</v>
      </c>
      <c r="W16" s="363">
        <v>109125328.80177701</v>
      </c>
      <c r="X16" s="363">
        <v>128746184.705185</v>
      </c>
      <c r="Y16" s="363">
        <v>-145009524.06764799</v>
      </c>
      <c r="Z16" s="363">
        <v>-10749982.1744061</v>
      </c>
      <c r="AA16" s="363">
        <v>78006406.989125594</v>
      </c>
      <c r="AB16" s="363">
        <v>66667396.775470398</v>
      </c>
      <c r="AC16" s="363">
        <v>4653778.0245989999</v>
      </c>
      <c r="AD16" s="363">
        <v>5897163.59852421</v>
      </c>
      <c r="AE16" s="363">
        <v>789293374.84678102</v>
      </c>
      <c r="AF16" s="363">
        <v>11512643.460580399</v>
      </c>
      <c r="AG16" s="363">
        <v>15554891.682039</v>
      </c>
      <c r="AH16" s="363">
        <v>912138250.99000001</v>
      </c>
      <c r="AI16" s="363">
        <v>714759335.28304195</v>
      </c>
      <c r="AJ16" s="363">
        <v>699244184.21003902</v>
      </c>
      <c r="AK16" s="363">
        <v>1965721.19950806</v>
      </c>
      <c r="AL16" s="318">
        <v>0</v>
      </c>
      <c r="AM16" s="318">
        <v>503391650.33999997</v>
      </c>
      <c r="AN16" s="367">
        <v>0.32552873505059898</v>
      </c>
      <c r="AO16" s="367">
        <v>0.31693062048161802</v>
      </c>
      <c r="AP16" s="367">
        <v>0.29323950813839</v>
      </c>
      <c r="AQ16" s="367">
        <v>3.2289226912209597E-2</v>
      </c>
      <c r="AR16" s="364">
        <v>0.17102726515093175</v>
      </c>
    </row>
    <row r="17" spans="1:44" x14ac:dyDescent="0.45">
      <c r="A17" s="333" t="s">
        <v>25</v>
      </c>
      <c r="B17" s="363">
        <v>9525966</v>
      </c>
      <c r="C17" s="363">
        <v>0</v>
      </c>
      <c r="D17" s="363">
        <v>0</v>
      </c>
      <c r="E17" s="363">
        <v>1089342</v>
      </c>
      <c r="F17" s="363">
        <v>0</v>
      </c>
      <c r="G17" s="363">
        <v>2658889</v>
      </c>
      <c r="H17" s="363">
        <v>196844</v>
      </c>
      <c r="I17" s="363">
        <v>497261</v>
      </c>
      <c r="J17" s="363">
        <v>0</v>
      </c>
      <c r="K17" s="363">
        <v>0</v>
      </c>
      <c r="L17" s="363">
        <v>0</v>
      </c>
      <c r="M17" s="363">
        <v>6781930</v>
      </c>
      <c r="N17" s="363">
        <v>8693469</v>
      </c>
      <c r="O17" s="363">
        <v>29443701</v>
      </c>
      <c r="P17" s="363">
        <v>29443701</v>
      </c>
      <c r="Q17" s="363">
        <v>32688061</v>
      </c>
      <c r="R17" s="363">
        <v>-3244360</v>
      </c>
      <c r="S17" s="363">
        <v>14131606</v>
      </c>
      <c r="T17" s="363">
        <v>32688061</v>
      </c>
      <c r="U17" s="363">
        <v>666525</v>
      </c>
      <c r="V17" s="363">
        <v>31977319</v>
      </c>
      <c r="W17" s="363">
        <v>-3244360</v>
      </c>
      <c r="X17" s="363">
        <v>27618614</v>
      </c>
      <c r="Y17" s="363">
        <v>5462827</v>
      </c>
      <c r="Z17" s="363">
        <v>-12334475</v>
      </c>
      <c r="AA17" s="363">
        <v>16048780</v>
      </c>
      <c r="AB17" s="363">
        <v>5823139</v>
      </c>
      <c r="AC17" s="363">
        <v>0</v>
      </c>
      <c r="AD17" s="363">
        <v>0</v>
      </c>
      <c r="AE17" s="363">
        <v>114357493</v>
      </c>
      <c r="AF17" s="363">
        <v>24893438</v>
      </c>
      <c r="AG17" s="363">
        <v>2504199</v>
      </c>
      <c r="AH17" s="363">
        <v>147613332</v>
      </c>
      <c r="AI17" s="363">
        <v>100695790</v>
      </c>
      <c r="AJ17" s="363">
        <v>96943096</v>
      </c>
      <c r="AK17" s="363">
        <v>0</v>
      </c>
      <c r="AL17" s="318">
        <v>0</v>
      </c>
      <c r="AM17" s="318">
        <v>22828883</v>
      </c>
      <c r="AN17" s="367">
        <v>0.50259072390390003</v>
      </c>
      <c r="AO17" s="367">
        <v>-0.110188593478788</v>
      </c>
      <c r="AP17" s="367">
        <v>2.2637269682911101E-2</v>
      </c>
      <c r="AQ17" s="367">
        <v>0.47995345422098901</v>
      </c>
      <c r="AR17" s="364">
        <v>1.4414209144575222E-2</v>
      </c>
    </row>
    <row r="18" spans="1:44" x14ac:dyDescent="0.45">
      <c r="A18" s="333" t="s">
        <v>189</v>
      </c>
      <c r="B18" s="363">
        <v>69528469.3753701</v>
      </c>
      <c r="C18" s="363">
        <v>0</v>
      </c>
      <c r="D18" s="363">
        <v>0</v>
      </c>
      <c r="E18" s="363">
        <v>38438521.3563146</v>
      </c>
      <c r="F18" s="363">
        <v>0</v>
      </c>
      <c r="G18" s="363">
        <v>109579940.2322</v>
      </c>
      <c r="H18" s="363">
        <v>16936857.713034</v>
      </c>
      <c r="I18" s="363">
        <v>0</v>
      </c>
      <c r="J18" s="363">
        <v>0</v>
      </c>
      <c r="K18" s="363">
        <v>0</v>
      </c>
      <c r="L18" s="363">
        <v>0</v>
      </c>
      <c r="M18" s="363">
        <v>0</v>
      </c>
      <c r="N18" s="363">
        <v>0</v>
      </c>
      <c r="O18" s="363">
        <v>234483788.676918</v>
      </c>
      <c r="P18" s="363">
        <v>195499584.676918</v>
      </c>
      <c r="Q18" s="363">
        <v>184496879</v>
      </c>
      <c r="R18" s="363">
        <v>49986909.6769187</v>
      </c>
      <c r="S18" s="363">
        <v>37549298.68</v>
      </c>
      <c r="T18" s="363">
        <v>184496879</v>
      </c>
      <c r="U18" s="363">
        <v>96270694.099999994</v>
      </c>
      <c r="V18" s="363">
        <v>88226184.899999902</v>
      </c>
      <c r="W18" s="363">
        <v>14857788.6769187</v>
      </c>
      <c r="X18" s="363">
        <v>34601330</v>
      </c>
      <c r="Y18" s="363">
        <v>7521174</v>
      </c>
      <c r="Z18" s="363">
        <v>-33064706.68</v>
      </c>
      <c r="AA18" s="363">
        <v>23220857.996918701</v>
      </c>
      <c r="AB18" s="363">
        <v>51463144</v>
      </c>
      <c r="AC18" s="363">
        <v>0</v>
      </c>
      <c r="AD18" s="363">
        <v>-6043472</v>
      </c>
      <c r="AE18" s="363">
        <v>209466444</v>
      </c>
      <c r="AF18" s="363">
        <v>9722671</v>
      </c>
      <c r="AG18" s="363">
        <v>10742096</v>
      </c>
      <c r="AH18" s="363">
        <v>276963950</v>
      </c>
      <c r="AI18" s="363">
        <v>142467122</v>
      </c>
      <c r="AJ18" s="363">
        <v>91065730</v>
      </c>
      <c r="AK18" s="363">
        <v>10286433</v>
      </c>
      <c r="AL18" s="318">
        <v>0</v>
      </c>
      <c r="AM18" s="318">
        <v>0</v>
      </c>
      <c r="AN18" s="367">
        <v>0.68450269600904701</v>
      </c>
      <c r="AO18" s="367">
        <v>7.5999080517089701E-2</v>
      </c>
      <c r="AP18" s="367">
        <v>0.49243426403742102</v>
      </c>
      <c r="AQ18" s="367">
        <v>0.19206843197162601</v>
      </c>
      <c r="AR18" s="364">
        <v>0.1029715946992547</v>
      </c>
    </row>
    <row r="19" spans="1:44" x14ac:dyDescent="0.45">
      <c r="A19" s="333" t="s">
        <v>27</v>
      </c>
      <c r="B19" s="363"/>
      <c r="C19" s="363"/>
      <c r="D19" s="363"/>
      <c r="E19" s="363"/>
      <c r="F19" s="363"/>
      <c r="G19" s="363"/>
      <c r="H19" s="363"/>
      <c r="I19" s="363"/>
      <c r="J19" s="363"/>
      <c r="K19" s="363"/>
      <c r="L19" s="363"/>
      <c r="M19" s="363"/>
      <c r="N19" s="363"/>
      <c r="O19" s="363"/>
      <c r="P19" s="363"/>
      <c r="Q19" s="363"/>
      <c r="R19" s="363"/>
      <c r="S19" s="363"/>
      <c r="T19" s="363"/>
      <c r="U19" s="363"/>
      <c r="V19" s="363"/>
      <c r="W19" s="363"/>
      <c r="X19" s="363"/>
      <c r="Y19" s="363"/>
      <c r="Z19" s="363"/>
      <c r="AA19" s="363"/>
      <c r="AB19" s="363"/>
      <c r="AC19" s="363"/>
      <c r="AD19" s="363"/>
      <c r="AE19" s="363"/>
      <c r="AF19" s="363"/>
      <c r="AG19" s="363"/>
      <c r="AH19" s="363"/>
      <c r="AI19" s="363"/>
      <c r="AJ19" s="363"/>
      <c r="AK19" s="363"/>
      <c r="AL19" s="318"/>
      <c r="AM19" s="318"/>
      <c r="AN19" s="367"/>
      <c r="AO19" s="367"/>
      <c r="AP19" s="367"/>
      <c r="AQ19" s="367"/>
      <c r="AR19" s="364"/>
    </row>
    <row r="20" spans="1:44" x14ac:dyDescent="0.45">
      <c r="A20" s="333" t="s">
        <v>28</v>
      </c>
      <c r="B20" s="363">
        <v>24863840</v>
      </c>
      <c r="C20" s="363">
        <v>0</v>
      </c>
      <c r="D20" s="363">
        <v>0</v>
      </c>
      <c r="E20" s="363">
        <v>46136052.208926097</v>
      </c>
      <c r="F20" s="363">
        <v>59468316</v>
      </c>
      <c r="G20" s="363">
        <v>0</v>
      </c>
      <c r="H20" s="363">
        <v>0</v>
      </c>
      <c r="I20" s="363">
        <v>214808171.68836701</v>
      </c>
      <c r="J20" s="363">
        <v>0</v>
      </c>
      <c r="K20" s="363">
        <v>0</v>
      </c>
      <c r="L20" s="363">
        <v>0</v>
      </c>
      <c r="M20" s="363">
        <v>0</v>
      </c>
      <c r="N20" s="363">
        <v>0</v>
      </c>
      <c r="O20" s="363">
        <v>345276379.89729297</v>
      </c>
      <c r="P20" s="363">
        <v>334675121.89729297</v>
      </c>
      <c r="Q20" s="363">
        <v>180095379.73188201</v>
      </c>
      <c r="R20" s="363">
        <v>165181000.16541001</v>
      </c>
      <c r="S20" s="363">
        <v>30472288</v>
      </c>
      <c r="T20" s="363">
        <v>180095379.73188201</v>
      </c>
      <c r="U20" s="363">
        <v>80001533</v>
      </c>
      <c r="V20" s="363">
        <v>104500649.73188201</v>
      </c>
      <c r="W20" s="363">
        <v>155780448.84311</v>
      </c>
      <c r="X20" s="363">
        <v>307451543</v>
      </c>
      <c r="Y20" s="363">
        <v>-193177211.07523301</v>
      </c>
      <c r="Z20" s="363">
        <v>17460142.895311799</v>
      </c>
      <c r="AA20" s="363">
        <v>226946984.66318801</v>
      </c>
      <c r="AB20" s="363">
        <v>80986925.120000005</v>
      </c>
      <c r="AC20" s="363">
        <v>61901310</v>
      </c>
      <c r="AD20" s="363">
        <v>666547.37314999895</v>
      </c>
      <c r="AE20" s="363">
        <v>2577435495</v>
      </c>
      <c r="AF20" s="363">
        <v>75569107.509999901</v>
      </c>
      <c r="AG20" s="363">
        <v>61805687</v>
      </c>
      <c r="AH20" s="363">
        <v>2858500247</v>
      </c>
      <c r="AI20" s="363">
        <v>1644983348.41696</v>
      </c>
      <c r="AJ20" s="363">
        <v>1380773885</v>
      </c>
      <c r="AK20" s="363">
        <v>0</v>
      </c>
      <c r="AL20" s="318">
        <v>304330.41999999899</v>
      </c>
      <c r="AM20" s="318">
        <v>638786398.80081797</v>
      </c>
      <c r="AN20" s="367">
        <v>0.33009271909342203</v>
      </c>
      <c r="AO20" s="367">
        <v>0.46546766894408398</v>
      </c>
      <c r="AP20" s="367">
        <v>0.23904236606075299</v>
      </c>
      <c r="AQ20" s="367">
        <v>9.1050353032668702E-2</v>
      </c>
      <c r="AR20" s="364">
        <v>0.17150265841871271</v>
      </c>
    </row>
    <row r="21" spans="1:44" x14ac:dyDescent="0.45">
      <c r="A21" s="333" t="s">
        <v>31</v>
      </c>
      <c r="B21" s="363"/>
      <c r="C21" s="363"/>
      <c r="D21" s="363"/>
      <c r="E21" s="363"/>
      <c r="F21" s="363"/>
      <c r="G21" s="363"/>
      <c r="H21" s="363"/>
      <c r="I21" s="363"/>
      <c r="J21" s="363"/>
      <c r="K21" s="363"/>
      <c r="L21" s="363"/>
      <c r="M21" s="363"/>
      <c r="N21" s="363"/>
      <c r="O21" s="363"/>
      <c r="P21" s="363"/>
      <c r="Q21" s="363"/>
      <c r="R21" s="363"/>
      <c r="S21" s="363"/>
      <c r="T21" s="363"/>
      <c r="U21" s="363"/>
      <c r="V21" s="363"/>
      <c r="W21" s="363"/>
      <c r="X21" s="363"/>
      <c r="Y21" s="363"/>
      <c r="Z21" s="363"/>
      <c r="AA21" s="363"/>
      <c r="AB21" s="363"/>
      <c r="AC21" s="363"/>
      <c r="AD21" s="363"/>
      <c r="AE21" s="363"/>
      <c r="AF21" s="363"/>
      <c r="AG21" s="363"/>
      <c r="AH21" s="363"/>
      <c r="AI21" s="363"/>
      <c r="AJ21" s="363"/>
      <c r="AK21" s="363"/>
      <c r="AL21" s="318"/>
      <c r="AM21" s="318"/>
      <c r="AN21" s="367"/>
      <c r="AO21" s="367"/>
      <c r="AP21" s="367"/>
      <c r="AQ21" s="367"/>
      <c r="AR21" s="364"/>
    </row>
    <row r="22" spans="1:44" x14ac:dyDescent="0.45">
      <c r="A22" s="357" t="s">
        <v>67</v>
      </c>
      <c r="B22" s="358">
        <f t="shared" ref="B22:V22" si="1">SUM(B6:B21)</f>
        <v>637486523.07019901</v>
      </c>
      <c r="C22" s="358">
        <f t="shared" si="1"/>
        <v>16486467.4532694</v>
      </c>
      <c r="D22" s="358">
        <f t="shared" si="1"/>
        <v>154488776.72857589</v>
      </c>
      <c r="E22" s="358">
        <f t="shared" si="1"/>
        <v>360535279.57388043</v>
      </c>
      <c r="F22" s="358">
        <f t="shared" si="1"/>
        <v>278666277.3906523</v>
      </c>
      <c r="G22" s="358">
        <f t="shared" si="1"/>
        <v>191845737.05927306</v>
      </c>
      <c r="H22" s="358">
        <f t="shared" si="1"/>
        <v>431534330.86770785</v>
      </c>
      <c r="I22" s="358">
        <f t="shared" si="1"/>
        <v>145264163.1902487</v>
      </c>
      <c r="J22" s="358">
        <f t="shared" si="1"/>
        <v>0</v>
      </c>
      <c r="K22" s="358">
        <f t="shared" si="1"/>
        <v>0</v>
      </c>
      <c r="L22" s="358">
        <f t="shared" si="1"/>
        <v>-1162093.7345848</v>
      </c>
      <c r="M22" s="358">
        <f t="shared" si="1"/>
        <v>51282925.014732674</v>
      </c>
      <c r="N22" s="358">
        <f t="shared" si="1"/>
        <v>10741248</v>
      </c>
      <c r="O22" s="358">
        <f t="shared" si="1"/>
        <v>2277169634.6139541</v>
      </c>
      <c r="P22" s="358">
        <f t="shared" si="1"/>
        <v>2194075634.1275234</v>
      </c>
      <c r="Q22" s="358">
        <f t="shared" si="1"/>
        <v>1613500175.1543591</v>
      </c>
      <c r="R22" s="358">
        <f t="shared" si="1"/>
        <v>663669459.45959485</v>
      </c>
      <c r="S22" s="360">
        <f t="shared" si="1"/>
        <v>247748526.47588518</v>
      </c>
      <c r="T22" s="360">
        <f t="shared" si="1"/>
        <v>1613500175.1543591</v>
      </c>
      <c r="U22" s="360">
        <f t="shared" si="1"/>
        <v>836778203.12413645</v>
      </c>
      <c r="V22" s="360">
        <f t="shared" si="1"/>
        <v>776498161.94246876</v>
      </c>
      <c r="W22" s="360">
        <f>SUM(W6:W20)</f>
        <v>577020294.95015883</v>
      </c>
      <c r="X22" s="360">
        <f t="shared" ref="X22:AM22" si="2">SUM(X6:X21)</f>
        <v>738398416.18428493</v>
      </c>
      <c r="Y22" s="360">
        <f t="shared" si="2"/>
        <v>-432075997.48785961</v>
      </c>
      <c r="Z22" s="360">
        <f t="shared" si="2"/>
        <v>-155494492.97413996</v>
      </c>
      <c r="AA22" s="360">
        <f t="shared" si="2"/>
        <v>641614945.3166604</v>
      </c>
      <c r="AB22" s="360">
        <f t="shared" si="2"/>
        <v>789312100.4754703</v>
      </c>
      <c r="AC22" s="360">
        <f t="shared" si="2"/>
        <v>72962288.328369617</v>
      </c>
      <c r="AD22" s="360">
        <f t="shared" si="2"/>
        <v>32536805.633413896</v>
      </c>
      <c r="AE22" s="360">
        <f t="shared" si="2"/>
        <v>7441795788.2828932</v>
      </c>
      <c r="AF22" s="360">
        <f t="shared" si="2"/>
        <v>371918889.10547924</v>
      </c>
      <c r="AG22" s="360">
        <f t="shared" si="2"/>
        <v>215258648.78339535</v>
      </c>
      <c r="AH22" s="360">
        <f t="shared" si="2"/>
        <v>8946262202.0299988</v>
      </c>
      <c r="AI22" s="360">
        <f t="shared" si="2"/>
        <v>5730965456.6029968</v>
      </c>
      <c r="AJ22" s="360">
        <f t="shared" si="2"/>
        <v>4503388836.5488033</v>
      </c>
      <c r="AK22" s="360">
        <f t="shared" si="2"/>
        <v>573890370.51111639</v>
      </c>
      <c r="AL22" s="360">
        <f t="shared" si="2"/>
        <v>45186899.832557857</v>
      </c>
      <c r="AM22" s="360">
        <f t="shared" si="2"/>
        <v>2349924478.700058</v>
      </c>
      <c r="AN22" s="368">
        <f>SUM(AN6:AN21)/COUNT(AN6:AN21)</f>
        <v>0.67365341582710669</v>
      </c>
      <c r="AO22" s="368">
        <f>SUM(AO6:AO21)/COUNT(AO6:AO21)</f>
        <v>0.1033855493133851</v>
      </c>
      <c r="AP22" s="368">
        <f>SUM(AP6:AP21)/COUNT(AP6:AP21)</f>
        <v>0.23677414581576631</v>
      </c>
      <c r="AQ22" s="368">
        <f>SUM(AQ6:AQ21)/COUNT(AQ6:AQ21)</f>
        <v>0.43687927001134036</v>
      </c>
      <c r="AR22" s="364">
        <v>0.99999999999999978</v>
      </c>
    </row>
  </sheetData>
  <mergeCells count="1">
    <mergeCell ref="B1:AR1"/>
  </mergeCells>
  <dataValidations count="1">
    <dataValidation type="list" allowBlank="1" showInputMessage="1" showErrorMessage="1" sqref="A3" xr:uid="{00000000-0002-0000-3200-000000000000}">
      <formula1>$A$6:$A$22</formula1>
    </dataValidation>
  </dataValidations>
  <pageMargins left="0.7" right="0.7" top="0.75" bottom="0.75" header="0.3" footer="0.3"/>
  <legacy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R22"/>
  <sheetViews>
    <sheetView workbookViewId="0">
      <selection activeCell="AP38" sqref="A1:XFD1048576"/>
    </sheetView>
  </sheetViews>
  <sheetFormatPr defaultRowHeight="14.25" x14ac:dyDescent="0.45"/>
  <cols>
    <col min="1" max="1" width="40.73046875" bestFit="1" customWidth="1"/>
    <col min="2" max="2" width="14" bestFit="1" customWidth="1"/>
    <col min="3" max="3" width="12.265625" bestFit="1" customWidth="1"/>
    <col min="4" max="8" width="13.3984375" bestFit="1" customWidth="1"/>
    <col min="9" max="9" width="14.1328125" bestFit="1" customWidth="1"/>
    <col min="10" max="11" width="8.73046875" bestFit="1" customWidth="1"/>
    <col min="12" max="12" width="11.86328125" bestFit="1" customWidth="1"/>
    <col min="13" max="13" width="12.265625" bestFit="1" customWidth="1"/>
    <col min="14" max="14" width="11.1328125" bestFit="1" customWidth="1"/>
    <col min="15" max="17" width="15.1328125" bestFit="1" customWidth="1"/>
    <col min="18" max="18" width="13.3984375" bestFit="1" customWidth="1"/>
    <col min="19" max="19" width="11.86328125" bestFit="1" customWidth="1"/>
    <col min="20" max="20" width="12.73046875" bestFit="1" customWidth="1"/>
    <col min="21" max="21" width="13.265625" bestFit="1" customWidth="1"/>
    <col min="22" max="22" width="14" bestFit="1" customWidth="1"/>
    <col min="23" max="24" width="13.265625" bestFit="1" customWidth="1"/>
    <col min="25" max="26" width="14.1328125" bestFit="1" customWidth="1"/>
    <col min="27" max="28" width="13.265625" bestFit="1" customWidth="1"/>
    <col min="29" max="29" width="15.1328125" customWidth="1"/>
    <col min="30" max="30" width="13.73046875" customWidth="1"/>
    <col min="31" max="31" width="15" bestFit="1" customWidth="1"/>
    <col min="32" max="33" width="13.265625" bestFit="1" customWidth="1"/>
    <col min="34" max="34" width="15.3984375" bestFit="1" customWidth="1"/>
    <col min="35" max="35" width="15" customWidth="1"/>
    <col min="36" max="36" width="15" bestFit="1" customWidth="1"/>
    <col min="37" max="37" width="15" customWidth="1"/>
    <col min="38" max="38" width="13.265625" bestFit="1" customWidth="1"/>
    <col min="39" max="39" width="15" bestFit="1" customWidth="1"/>
    <col min="40" max="40" width="8.3984375" bestFit="1" customWidth="1"/>
    <col min="42" max="43" width="8.86328125" bestFit="1" customWidth="1"/>
    <col min="44" max="44" width="8.73046875" bestFit="1" customWidth="1"/>
  </cols>
  <sheetData>
    <row r="1" spans="1:44" ht="20.65" x14ac:dyDescent="0.55000000000000004">
      <c r="A1" s="341" t="s">
        <v>191</v>
      </c>
      <c r="B1" s="388" t="s">
        <v>99</v>
      </c>
      <c r="C1" s="388"/>
      <c r="D1" s="388"/>
      <c r="E1" s="388"/>
      <c r="F1" s="388"/>
      <c r="G1" s="388"/>
      <c r="H1" s="388"/>
      <c r="I1" s="388"/>
      <c r="J1" s="388"/>
      <c r="K1" s="388"/>
      <c r="L1" s="388"/>
      <c r="M1" s="388"/>
      <c r="N1" s="388"/>
      <c r="O1" s="388"/>
      <c r="P1" s="388"/>
      <c r="Q1" s="388"/>
      <c r="R1" s="388"/>
      <c r="S1" s="388"/>
      <c r="T1" s="388"/>
      <c r="U1" s="388"/>
      <c r="V1" s="388"/>
      <c r="W1" s="388"/>
      <c r="X1" s="388"/>
      <c r="Y1" s="388"/>
      <c r="Z1" s="388"/>
      <c r="AA1" s="388"/>
      <c r="AB1" s="388"/>
      <c r="AC1" s="388"/>
      <c r="AD1" s="388"/>
      <c r="AE1" s="388"/>
      <c r="AF1" s="388"/>
      <c r="AG1" s="388"/>
      <c r="AH1" s="388"/>
      <c r="AI1" s="388"/>
      <c r="AJ1" s="388"/>
      <c r="AK1" s="388"/>
      <c r="AL1" s="388"/>
      <c r="AM1" s="388"/>
      <c r="AN1" s="388"/>
      <c r="AO1" s="388"/>
      <c r="AP1" s="388"/>
      <c r="AQ1" s="388"/>
      <c r="AR1" s="388"/>
    </row>
    <row r="2" spans="1:44" ht="69.75" x14ac:dyDescent="0.45">
      <c r="A2" s="349"/>
      <c r="B2" s="342" t="s">
        <v>148</v>
      </c>
      <c r="C2" s="342" t="s">
        <v>149</v>
      </c>
      <c r="D2" s="342" t="s">
        <v>150</v>
      </c>
      <c r="E2" s="342" t="s">
        <v>151</v>
      </c>
      <c r="F2" s="342" t="s">
        <v>152</v>
      </c>
      <c r="G2" s="342" t="s">
        <v>111</v>
      </c>
      <c r="H2" s="342" t="s">
        <v>153</v>
      </c>
      <c r="I2" s="342" t="s">
        <v>154</v>
      </c>
      <c r="J2" s="342" t="s">
        <v>114</v>
      </c>
      <c r="K2" s="342" t="s">
        <v>155</v>
      </c>
      <c r="L2" s="342" t="s">
        <v>156</v>
      </c>
      <c r="M2" s="342" t="s">
        <v>157</v>
      </c>
      <c r="N2" s="342" t="s">
        <v>116</v>
      </c>
      <c r="O2" s="342" t="s">
        <v>158</v>
      </c>
      <c r="P2" s="342" t="s">
        <v>159</v>
      </c>
      <c r="Q2" s="342" t="s">
        <v>160</v>
      </c>
      <c r="R2" s="342" t="s">
        <v>161</v>
      </c>
      <c r="S2" s="342" t="s">
        <v>162</v>
      </c>
      <c r="T2" s="342" t="s">
        <v>163</v>
      </c>
      <c r="U2" s="342" t="s">
        <v>164</v>
      </c>
      <c r="V2" s="342" t="s">
        <v>165</v>
      </c>
      <c r="W2" s="342" t="s">
        <v>166</v>
      </c>
      <c r="X2" s="342" t="s">
        <v>121</v>
      </c>
      <c r="Y2" s="342" t="s">
        <v>167</v>
      </c>
      <c r="Z2" s="342" t="s">
        <v>168</v>
      </c>
      <c r="AA2" s="342" t="s">
        <v>169</v>
      </c>
      <c r="AB2" s="342" t="s">
        <v>128</v>
      </c>
      <c r="AC2" s="342" t="s">
        <v>170</v>
      </c>
      <c r="AD2" s="342" t="s">
        <v>171</v>
      </c>
      <c r="AE2" s="342" t="s">
        <v>79</v>
      </c>
      <c r="AF2" s="342" t="s">
        <v>129</v>
      </c>
      <c r="AG2" s="342" t="s">
        <v>130</v>
      </c>
      <c r="AH2" s="343" t="s">
        <v>13</v>
      </c>
      <c r="AI2" s="343" t="s">
        <v>190</v>
      </c>
      <c r="AJ2" s="343" t="s">
        <v>172</v>
      </c>
      <c r="AK2" s="343" t="s">
        <v>174</v>
      </c>
      <c r="AL2" s="343" t="s">
        <v>173</v>
      </c>
      <c r="AM2" s="343" t="s">
        <v>175</v>
      </c>
      <c r="AN2" s="369" t="s">
        <v>185</v>
      </c>
      <c r="AO2" s="369" t="s">
        <v>186</v>
      </c>
      <c r="AP2" s="369" t="s">
        <v>178</v>
      </c>
      <c r="AQ2" s="369" t="s">
        <v>179</v>
      </c>
      <c r="AR2" s="344" t="s">
        <v>12</v>
      </c>
    </row>
    <row r="3" spans="1:44" x14ac:dyDescent="0.45">
      <c r="A3" s="350" t="s">
        <v>91</v>
      </c>
      <c r="B3" s="345">
        <f t="shared" ref="B3:AR3" si="0">INDEX(B6:B22,MATCH($A$3,$A$6:$A$22,0))</f>
        <v>0</v>
      </c>
      <c r="C3" s="345">
        <f t="shared" si="0"/>
        <v>0</v>
      </c>
      <c r="D3" s="345">
        <f t="shared" si="0"/>
        <v>5959514.8286733702</v>
      </c>
      <c r="E3" s="345">
        <f t="shared" si="0"/>
        <v>4527352.9200263601</v>
      </c>
      <c r="F3" s="345">
        <f t="shared" si="0"/>
        <v>3175399.7064831001</v>
      </c>
      <c r="G3" s="345">
        <f t="shared" si="0"/>
        <v>0</v>
      </c>
      <c r="H3" s="345">
        <f t="shared" si="0"/>
        <v>23158632.716580801</v>
      </c>
      <c r="I3" s="345">
        <f t="shared" si="0"/>
        <v>11362424.2399124</v>
      </c>
      <c r="J3" s="345">
        <f t="shared" si="0"/>
        <v>0</v>
      </c>
      <c r="K3" s="345">
        <f t="shared" si="0"/>
        <v>0</v>
      </c>
      <c r="L3" s="345">
        <f t="shared" si="0"/>
        <v>0</v>
      </c>
      <c r="M3" s="345">
        <f t="shared" si="0"/>
        <v>13676959.666536</v>
      </c>
      <c r="N3" s="345">
        <f t="shared" si="0"/>
        <v>0</v>
      </c>
      <c r="O3" s="345">
        <f t="shared" si="0"/>
        <v>61860284.078212202</v>
      </c>
      <c r="P3" s="345">
        <f t="shared" si="0"/>
        <v>61109210.078212202</v>
      </c>
      <c r="Q3" s="345">
        <f t="shared" si="0"/>
        <v>42762800.75</v>
      </c>
      <c r="R3" s="345">
        <f t="shared" si="0"/>
        <v>19097483.328212202</v>
      </c>
      <c r="S3" s="345">
        <f t="shared" si="0"/>
        <v>5173105.4800000004</v>
      </c>
      <c r="T3" s="345">
        <f t="shared" si="0"/>
        <v>42762800.75</v>
      </c>
      <c r="U3" s="345">
        <f t="shared" si="0"/>
        <v>7694087.6515182797</v>
      </c>
      <c r="V3" s="345">
        <f t="shared" si="0"/>
        <v>35068713.0984817</v>
      </c>
      <c r="W3" s="345">
        <f t="shared" si="0"/>
        <v>18427167.328212202</v>
      </c>
      <c r="X3" s="345">
        <f t="shared" si="0"/>
        <v>19436792.52</v>
      </c>
      <c r="Y3" s="345">
        <f t="shared" si="0"/>
        <v>-14326716.75</v>
      </c>
      <c r="Z3" s="345">
        <f t="shared" si="0"/>
        <v>-5173105.4800000004</v>
      </c>
      <c r="AA3" s="345">
        <f t="shared" si="0"/>
        <v>17445930.618212201</v>
      </c>
      <c r="AB3" s="345">
        <f t="shared" si="0"/>
        <v>17296931.530000001</v>
      </c>
      <c r="AC3" s="345">
        <f t="shared" si="0"/>
        <v>0</v>
      </c>
      <c r="AD3" s="345">
        <f t="shared" si="0"/>
        <v>0</v>
      </c>
      <c r="AE3" s="345">
        <f t="shared" si="0"/>
        <v>487510898.62589902</v>
      </c>
      <c r="AF3" s="345">
        <f t="shared" si="0"/>
        <v>77602388.079999894</v>
      </c>
      <c r="AG3" s="345">
        <f t="shared" si="0"/>
        <v>27007595.427000001</v>
      </c>
      <c r="AH3" s="345">
        <f t="shared" si="0"/>
        <v>609417813.65999997</v>
      </c>
      <c r="AI3" s="345">
        <f t="shared" si="0"/>
        <v>383201082.31349993</v>
      </c>
      <c r="AJ3" s="345">
        <f t="shared" si="0"/>
        <v>258410636</v>
      </c>
      <c r="AK3" s="345">
        <f t="shared" si="0"/>
        <v>0</v>
      </c>
      <c r="AL3" s="345">
        <f t="shared" si="0"/>
        <v>114286838.83402701</v>
      </c>
      <c r="AM3" s="345">
        <f t="shared" si="0"/>
        <v>408579857.68903202</v>
      </c>
      <c r="AN3" s="346">
        <f t="shared" si="0"/>
        <v>0.210560619504815</v>
      </c>
      <c r="AO3" s="346">
        <f t="shared" si="0"/>
        <v>0.30154484577083801</v>
      </c>
      <c r="AP3" s="346">
        <f t="shared" si="0"/>
        <v>0.12590716917582101</v>
      </c>
      <c r="AQ3" s="346">
        <f t="shared" si="0"/>
        <v>8.4653450328993907E-2</v>
      </c>
      <c r="AR3" s="346">
        <f t="shared" si="0"/>
        <v>9.0791911819377041E-2</v>
      </c>
    </row>
    <row r="4" spans="1:44" x14ac:dyDescent="0.45">
      <c r="A4" s="348"/>
      <c r="B4" s="347"/>
      <c r="C4" s="347"/>
      <c r="D4" s="347"/>
      <c r="E4" s="347"/>
      <c r="F4" s="347"/>
      <c r="G4" s="347"/>
      <c r="H4" s="347"/>
      <c r="I4" s="347"/>
      <c r="J4" s="347"/>
      <c r="K4" s="347"/>
      <c r="L4" s="347"/>
      <c r="M4" s="347"/>
      <c r="N4" s="347"/>
      <c r="O4" s="347"/>
      <c r="P4" s="347"/>
      <c r="Q4" s="347"/>
      <c r="R4" s="347"/>
      <c r="S4" s="347"/>
      <c r="T4" s="347"/>
      <c r="U4" s="347"/>
      <c r="V4" s="347"/>
      <c r="W4" s="347"/>
      <c r="X4" s="347"/>
      <c r="Y4" s="347"/>
      <c r="Z4" s="347"/>
      <c r="AA4" s="347"/>
      <c r="AB4" s="347"/>
      <c r="AC4" s="347"/>
      <c r="AD4" s="347"/>
      <c r="AE4" s="347"/>
      <c r="AF4" s="347"/>
      <c r="AG4" s="347"/>
      <c r="AH4" s="347"/>
      <c r="AI4" s="347"/>
      <c r="AJ4" s="347"/>
      <c r="AK4" s="347"/>
      <c r="AL4" s="347"/>
      <c r="AM4" s="347"/>
      <c r="AN4" s="370"/>
      <c r="AO4" s="370"/>
      <c r="AP4" s="370"/>
      <c r="AQ4" s="370"/>
      <c r="AR4" s="347"/>
    </row>
    <row r="5" spans="1:44" ht="71.25" x14ac:dyDescent="0.45">
      <c r="A5" s="332" t="s">
        <v>126</v>
      </c>
      <c r="B5" s="332" t="s">
        <v>148</v>
      </c>
      <c r="C5" s="332" t="s">
        <v>149</v>
      </c>
      <c r="D5" s="332" t="s">
        <v>150</v>
      </c>
      <c r="E5" s="332" t="s">
        <v>151</v>
      </c>
      <c r="F5" s="332" t="s">
        <v>152</v>
      </c>
      <c r="G5" s="332" t="s">
        <v>111</v>
      </c>
      <c r="H5" s="332" t="s">
        <v>153</v>
      </c>
      <c r="I5" s="332" t="s">
        <v>154</v>
      </c>
      <c r="J5" s="332" t="s">
        <v>114</v>
      </c>
      <c r="K5" s="332" t="s">
        <v>155</v>
      </c>
      <c r="L5" s="332" t="s">
        <v>156</v>
      </c>
      <c r="M5" s="332" t="s">
        <v>157</v>
      </c>
      <c r="N5" s="332" t="s">
        <v>116</v>
      </c>
      <c r="O5" s="335" t="s">
        <v>158</v>
      </c>
      <c r="P5" s="335" t="s">
        <v>159</v>
      </c>
      <c r="Q5" s="335" t="s">
        <v>160</v>
      </c>
      <c r="R5" s="335" t="s">
        <v>161</v>
      </c>
      <c r="S5" s="335" t="s">
        <v>162</v>
      </c>
      <c r="T5" s="335" t="s">
        <v>163</v>
      </c>
      <c r="U5" s="335" t="s">
        <v>164</v>
      </c>
      <c r="V5" s="335" t="s">
        <v>165</v>
      </c>
      <c r="W5" s="335" t="s">
        <v>166</v>
      </c>
      <c r="X5" s="335" t="s">
        <v>121</v>
      </c>
      <c r="Y5" s="335" t="s">
        <v>167</v>
      </c>
      <c r="Z5" s="335" t="s">
        <v>168</v>
      </c>
      <c r="AA5" s="335" t="s">
        <v>169</v>
      </c>
      <c r="AB5" s="335" t="s">
        <v>128</v>
      </c>
      <c r="AC5" s="335" t="s">
        <v>170</v>
      </c>
      <c r="AD5" s="335" t="s">
        <v>171</v>
      </c>
      <c r="AE5" s="335" t="s">
        <v>79</v>
      </c>
      <c r="AF5" s="335" t="s">
        <v>129</v>
      </c>
      <c r="AG5" s="335" t="s">
        <v>130</v>
      </c>
      <c r="AH5" s="336" t="s">
        <v>13</v>
      </c>
      <c r="AI5" s="336" t="s">
        <v>190</v>
      </c>
      <c r="AJ5" s="336" t="s">
        <v>172</v>
      </c>
      <c r="AK5" s="336" t="s">
        <v>174</v>
      </c>
      <c r="AL5" s="336" t="s">
        <v>173</v>
      </c>
      <c r="AM5" s="336" t="s">
        <v>175</v>
      </c>
      <c r="AN5" s="371" t="s">
        <v>11</v>
      </c>
      <c r="AO5" s="371" t="s">
        <v>186</v>
      </c>
      <c r="AP5" s="371" t="s">
        <v>178</v>
      </c>
      <c r="AQ5" s="371" t="s">
        <v>179</v>
      </c>
      <c r="AR5" s="337" t="s">
        <v>12</v>
      </c>
    </row>
    <row r="6" spans="1:44" x14ac:dyDescent="0.45">
      <c r="A6" s="333" t="s">
        <v>193</v>
      </c>
      <c r="B6" s="363"/>
      <c r="C6" s="363"/>
      <c r="D6" s="363"/>
      <c r="E6" s="363"/>
      <c r="F6" s="363"/>
      <c r="G6" s="363"/>
      <c r="H6" s="363"/>
      <c r="I6" s="363"/>
      <c r="J6" s="363"/>
      <c r="K6" s="363"/>
      <c r="L6" s="363"/>
      <c r="M6" s="363"/>
      <c r="N6" s="363"/>
      <c r="O6" s="363"/>
      <c r="P6" s="363"/>
      <c r="Q6" s="363"/>
      <c r="R6" s="363"/>
      <c r="S6" s="363"/>
      <c r="T6" s="363"/>
      <c r="U6" s="363"/>
      <c r="V6" s="363"/>
      <c r="W6" s="363"/>
      <c r="X6" s="363"/>
      <c r="Y6" s="363"/>
      <c r="Z6" s="363"/>
      <c r="AA6" s="363"/>
      <c r="AB6" s="363"/>
      <c r="AC6" s="363"/>
      <c r="AD6" s="363"/>
      <c r="AE6" s="363"/>
      <c r="AF6" s="363"/>
      <c r="AG6" s="363"/>
      <c r="AH6" s="363"/>
      <c r="AI6" s="379"/>
      <c r="AJ6" s="363"/>
      <c r="AK6" s="363"/>
      <c r="AL6" s="318"/>
      <c r="AM6" s="318"/>
      <c r="AN6" s="367"/>
      <c r="AO6" s="367"/>
      <c r="AP6" s="367"/>
      <c r="AQ6" s="367"/>
      <c r="AR6" s="364"/>
    </row>
    <row r="7" spans="1:44" x14ac:dyDescent="0.45">
      <c r="A7" s="333" t="s">
        <v>17</v>
      </c>
      <c r="B7" s="363">
        <v>0</v>
      </c>
      <c r="C7" s="363">
        <v>0</v>
      </c>
      <c r="D7" s="363">
        <v>66468918.9949148</v>
      </c>
      <c r="E7" s="363">
        <v>12820592.486841399</v>
      </c>
      <c r="F7" s="363">
        <v>14308398.7667058</v>
      </c>
      <c r="G7" s="363">
        <v>10741536.6727254</v>
      </c>
      <c r="H7" s="363">
        <v>83691311.127981201</v>
      </c>
      <c r="I7" s="363">
        <v>0</v>
      </c>
      <c r="J7" s="363">
        <v>0</v>
      </c>
      <c r="K7" s="363">
        <v>0</v>
      </c>
      <c r="L7" s="363">
        <v>0</v>
      </c>
      <c r="M7" s="363">
        <v>470799.041987176</v>
      </c>
      <c r="N7" s="363">
        <v>0</v>
      </c>
      <c r="O7" s="363">
        <v>188501557.09115601</v>
      </c>
      <c r="P7" s="363">
        <v>183752395.49713701</v>
      </c>
      <c r="Q7" s="363">
        <v>172360107.975328</v>
      </c>
      <c r="R7" s="363">
        <v>16141449.115827899</v>
      </c>
      <c r="S7" s="363">
        <v>11494944.954128699</v>
      </c>
      <c r="T7" s="363">
        <v>172360107.975328</v>
      </c>
      <c r="U7" s="363">
        <v>56259216.258484803</v>
      </c>
      <c r="V7" s="363">
        <v>116100891.71684299</v>
      </c>
      <c r="W7" s="363">
        <v>13560310.2342612</v>
      </c>
      <c r="X7" s="363">
        <v>100726149.967012</v>
      </c>
      <c r="Y7" s="363">
        <v>6671522.4238257604</v>
      </c>
      <c r="Z7" s="363">
        <v>-5049651.4141287003</v>
      </c>
      <c r="AA7" s="363">
        <v>112548737.70096999</v>
      </c>
      <c r="AB7" s="363">
        <v>251787688.02000001</v>
      </c>
      <c r="AC7" s="363">
        <v>0</v>
      </c>
      <c r="AD7" s="363">
        <v>233886.86898215499</v>
      </c>
      <c r="AE7" s="363">
        <v>1958437649.5016201</v>
      </c>
      <c r="AF7" s="363">
        <v>32137210.699999999</v>
      </c>
      <c r="AG7" s="363">
        <v>67684726.253656805</v>
      </c>
      <c r="AH7" s="363">
        <v>2310281161.3400002</v>
      </c>
      <c r="AI7" s="363">
        <v>1635291601.1400001</v>
      </c>
      <c r="AJ7" s="363">
        <v>1224080632.78141</v>
      </c>
      <c r="AK7" s="363">
        <v>31097209.911947299</v>
      </c>
      <c r="AL7" s="318">
        <v>314280380.972987</v>
      </c>
      <c r="AM7" s="318">
        <v>840572610.04000103</v>
      </c>
      <c r="AN7" s="367">
        <v>0.36872532207978198</v>
      </c>
      <c r="AO7" s="367">
        <v>7.3796644650940199E-2</v>
      </c>
      <c r="AP7" s="367">
        <v>0.30616861405412898</v>
      </c>
      <c r="AQ7" s="367">
        <v>6.2556708025652705E-2</v>
      </c>
      <c r="AR7" s="364">
        <f>O7/$O$22</f>
        <v>0.27666243380966576</v>
      </c>
    </row>
    <row r="8" spans="1:44" x14ac:dyDescent="0.45">
      <c r="A8" s="333" t="s">
        <v>53</v>
      </c>
      <c r="B8" s="363">
        <v>0</v>
      </c>
      <c r="C8" s="363">
        <v>0</v>
      </c>
      <c r="D8" s="363">
        <v>0</v>
      </c>
      <c r="E8" s="363">
        <v>0</v>
      </c>
      <c r="F8" s="363">
        <v>848753.05</v>
      </c>
      <c r="G8" s="363">
        <v>0</v>
      </c>
      <c r="H8" s="363">
        <v>0</v>
      </c>
      <c r="I8" s="363">
        <v>0</v>
      </c>
      <c r="J8" s="363">
        <v>0</v>
      </c>
      <c r="K8" s="363">
        <v>0</v>
      </c>
      <c r="L8" s="363">
        <v>0</v>
      </c>
      <c r="M8" s="363">
        <v>0</v>
      </c>
      <c r="N8" s="363">
        <v>0</v>
      </c>
      <c r="O8" s="363">
        <v>848753.05</v>
      </c>
      <c r="P8" s="363">
        <v>763877.74</v>
      </c>
      <c r="Q8" s="363">
        <v>106666.48</v>
      </c>
      <c r="R8" s="363">
        <v>742086.57</v>
      </c>
      <c r="S8" s="363">
        <v>2017322.84</v>
      </c>
      <c r="T8" s="363">
        <v>106666.48</v>
      </c>
      <c r="U8" s="363">
        <v>0</v>
      </c>
      <c r="V8" s="363">
        <v>106666.48</v>
      </c>
      <c r="W8" s="363">
        <v>657211.26</v>
      </c>
      <c r="X8" s="363">
        <v>387028.71</v>
      </c>
      <c r="Y8" s="363">
        <v>0</v>
      </c>
      <c r="Z8" s="363">
        <v>-2017322.84</v>
      </c>
      <c r="AA8" s="363">
        <v>-973082.87</v>
      </c>
      <c r="AB8" s="363">
        <v>472695</v>
      </c>
      <c r="AC8" s="363">
        <v>0</v>
      </c>
      <c r="AD8" s="363">
        <v>0</v>
      </c>
      <c r="AE8" s="363">
        <v>6067073.4199999999</v>
      </c>
      <c r="AF8" s="363">
        <v>8147713.2499999898</v>
      </c>
      <c r="AG8" s="363">
        <v>5799304.6299999999</v>
      </c>
      <c r="AH8" s="363">
        <v>20516286.300000001</v>
      </c>
      <c r="AI8" s="363">
        <v>30601131.899999902</v>
      </c>
      <c r="AJ8" s="363">
        <v>15720738.789999999</v>
      </c>
      <c r="AK8" s="363">
        <v>667048.73</v>
      </c>
      <c r="AL8" s="318">
        <v>0</v>
      </c>
      <c r="AM8" s="318">
        <v>0</v>
      </c>
      <c r="AN8" s="367">
        <v>2.6408975342048802</v>
      </c>
      <c r="AO8" s="367">
        <v>0.86036184272106098</v>
      </c>
      <c r="AP8" s="367">
        <v>0</v>
      </c>
      <c r="AQ8" s="367">
        <v>2.6408975342048802</v>
      </c>
      <c r="AR8" s="364">
        <f>O8/$O$22</f>
        <v>1.2457089911613998E-3</v>
      </c>
    </row>
    <row r="9" spans="1:44" x14ac:dyDescent="0.45">
      <c r="A9" s="333" t="s">
        <v>20</v>
      </c>
      <c r="B9" s="363">
        <v>3845107.5407999898</v>
      </c>
      <c r="C9" s="363">
        <v>0</v>
      </c>
      <c r="D9" s="363">
        <v>0</v>
      </c>
      <c r="E9" s="363">
        <v>16878279.627099101</v>
      </c>
      <c r="F9" s="363">
        <v>0</v>
      </c>
      <c r="G9" s="363">
        <v>1107918.9590849499</v>
      </c>
      <c r="H9" s="363">
        <v>6408512.568</v>
      </c>
      <c r="I9" s="363">
        <v>640851.25679999997</v>
      </c>
      <c r="J9" s="363">
        <v>0</v>
      </c>
      <c r="K9" s="363">
        <v>0</v>
      </c>
      <c r="L9" s="363">
        <v>0</v>
      </c>
      <c r="M9" s="363">
        <v>238716.75999999899</v>
      </c>
      <c r="N9" s="363">
        <v>150612.91327917101</v>
      </c>
      <c r="O9" s="363">
        <v>29269999.6250632</v>
      </c>
      <c r="P9" s="363">
        <v>29269999.6250632</v>
      </c>
      <c r="Q9" s="363">
        <v>19005856.776188899</v>
      </c>
      <c r="R9" s="363">
        <v>10264142.8488742</v>
      </c>
      <c r="S9" s="363">
        <v>9522149.6552999895</v>
      </c>
      <c r="T9" s="363">
        <v>19005856.776188899</v>
      </c>
      <c r="U9" s="363">
        <v>829352.706526628</v>
      </c>
      <c r="V9" s="363">
        <v>18176504.069662299</v>
      </c>
      <c r="W9" s="363">
        <v>10264142.8488742</v>
      </c>
      <c r="X9" s="363">
        <v>7695508.1899999902</v>
      </c>
      <c r="Y9" s="363">
        <v>312335.67485890503</v>
      </c>
      <c r="Z9" s="363">
        <v>-9522149.6552999895</v>
      </c>
      <c r="AA9" s="363">
        <v>8749837.0584331695</v>
      </c>
      <c r="AB9" s="363">
        <v>42451987.129999898</v>
      </c>
      <c r="AC9" s="363">
        <v>0</v>
      </c>
      <c r="AD9" s="363">
        <v>8848137</v>
      </c>
      <c r="AE9" s="363">
        <v>533028128.124295</v>
      </c>
      <c r="AF9" s="363">
        <v>74545465.890000001</v>
      </c>
      <c r="AG9" s="363">
        <v>13771144.189999999</v>
      </c>
      <c r="AH9" s="363">
        <v>675657427.78999996</v>
      </c>
      <c r="AI9" s="363">
        <v>407432724.42383599</v>
      </c>
      <c r="AJ9" s="363">
        <v>239459836.30648699</v>
      </c>
      <c r="AK9" s="363">
        <v>0</v>
      </c>
      <c r="AL9" s="318">
        <v>96316196.928299993</v>
      </c>
      <c r="AM9" s="318">
        <v>0</v>
      </c>
      <c r="AN9" s="367">
        <v>0.35365570531004897</v>
      </c>
      <c r="AO9" s="367">
        <v>0.350671096014818</v>
      </c>
      <c r="AP9" s="367">
        <v>2.8334564986344301E-2</v>
      </c>
      <c r="AQ9" s="367">
        <v>0.32532114032370502</v>
      </c>
      <c r="AR9" s="364">
        <f>O9/$O$22</f>
        <v>4.2959376351262624E-2</v>
      </c>
    </row>
    <row r="10" spans="1:44" x14ac:dyDescent="0.45">
      <c r="A10" s="333" t="s">
        <v>64</v>
      </c>
      <c r="B10" s="363"/>
      <c r="C10" s="363"/>
      <c r="D10" s="363"/>
      <c r="E10" s="363"/>
      <c r="F10" s="363"/>
      <c r="G10" s="363"/>
      <c r="H10" s="363"/>
      <c r="I10" s="363"/>
      <c r="J10" s="363"/>
      <c r="K10" s="363"/>
      <c r="L10" s="363"/>
      <c r="M10" s="363"/>
      <c r="N10" s="363"/>
      <c r="O10" s="363"/>
      <c r="P10" s="363"/>
      <c r="Q10" s="363"/>
      <c r="R10" s="363"/>
      <c r="S10" s="363"/>
      <c r="T10" s="363"/>
      <c r="U10" s="363"/>
      <c r="V10" s="363"/>
      <c r="W10" s="363"/>
      <c r="X10" s="363"/>
      <c r="Y10" s="363"/>
      <c r="Z10" s="363"/>
      <c r="AA10" s="363"/>
      <c r="AB10" s="363"/>
      <c r="AC10" s="363"/>
      <c r="AD10" s="363"/>
      <c r="AE10" s="363"/>
      <c r="AF10" s="363"/>
      <c r="AG10" s="363"/>
      <c r="AH10" s="363"/>
      <c r="AJ10" s="363"/>
      <c r="AK10" s="363"/>
      <c r="AL10" s="318"/>
      <c r="AM10" s="318"/>
      <c r="AN10" s="367"/>
      <c r="AO10" s="367"/>
      <c r="AP10" s="367"/>
      <c r="AQ10" s="367"/>
      <c r="AR10" s="364"/>
    </row>
    <row r="11" spans="1:44" x14ac:dyDescent="0.45">
      <c r="A11" s="333" t="s">
        <v>144</v>
      </c>
      <c r="B11" s="363"/>
      <c r="C11" s="363"/>
      <c r="D11" s="363"/>
      <c r="E11" s="363"/>
      <c r="F11" s="363"/>
      <c r="G11" s="363"/>
      <c r="H11" s="363"/>
      <c r="I11" s="363"/>
      <c r="J11" s="363"/>
      <c r="K11" s="363"/>
      <c r="L11" s="363"/>
      <c r="M11" s="363"/>
      <c r="N11" s="363"/>
      <c r="O11" s="363"/>
      <c r="P11" s="363"/>
      <c r="Q11" s="363"/>
      <c r="R11" s="363"/>
      <c r="S11" s="363"/>
      <c r="T11" s="363"/>
      <c r="U11" s="363"/>
      <c r="V11" s="363"/>
      <c r="W11" s="363"/>
      <c r="X11" s="363"/>
      <c r="Y11" s="363"/>
      <c r="Z11" s="363"/>
      <c r="AA11" s="363"/>
      <c r="AB11" s="363"/>
      <c r="AC11" s="363"/>
      <c r="AD11" s="363"/>
      <c r="AE11" s="363"/>
      <c r="AF11" s="363"/>
      <c r="AG11" s="363"/>
      <c r="AH11" s="363"/>
      <c r="AI11" s="318"/>
      <c r="AJ11" s="363"/>
      <c r="AK11" s="363"/>
      <c r="AL11" s="318"/>
      <c r="AM11" s="318"/>
      <c r="AN11" s="367"/>
      <c r="AO11" s="367"/>
      <c r="AP11" s="367"/>
      <c r="AQ11" s="367"/>
      <c r="AR11" s="364"/>
    </row>
    <row r="12" spans="1:44" x14ac:dyDescent="0.45">
      <c r="A12" s="333" t="s">
        <v>21</v>
      </c>
      <c r="B12" s="363">
        <v>0</v>
      </c>
      <c r="C12" s="363">
        <v>4821726</v>
      </c>
      <c r="D12" s="363">
        <v>0</v>
      </c>
      <c r="E12" s="363">
        <v>5907297</v>
      </c>
      <c r="F12" s="363">
        <v>2437100</v>
      </c>
      <c r="G12" s="363">
        <v>2697775</v>
      </c>
      <c r="H12" s="363">
        <v>0</v>
      </c>
      <c r="I12" s="363">
        <v>0</v>
      </c>
      <c r="J12" s="363">
        <v>0</v>
      </c>
      <c r="K12" s="363">
        <v>0</v>
      </c>
      <c r="L12" s="363">
        <v>0</v>
      </c>
      <c r="M12" s="363">
        <v>0</v>
      </c>
      <c r="N12" s="363">
        <v>0</v>
      </c>
      <c r="O12" s="363">
        <v>15863898</v>
      </c>
      <c r="P12" s="363">
        <v>15071690</v>
      </c>
      <c r="Q12" s="363">
        <v>13953600</v>
      </c>
      <c r="R12" s="363">
        <v>1910298</v>
      </c>
      <c r="S12" s="363">
        <v>360392</v>
      </c>
      <c r="T12" s="363">
        <v>13953600</v>
      </c>
      <c r="U12" s="363">
        <v>3026369</v>
      </c>
      <c r="V12" s="363">
        <v>10927231</v>
      </c>
      <c r="W12" s="363">
        <v>1583891</v>
      </c>
      <c r="X12" s="363">
        <v>24464787</v>
      </c>
      <c r="Y12" s="363">
        <v>-13533648.003580499</v>
      </c>
      <c r="Z12" s="363">
        <v>-360392</v>
      </c>
      <c r="AA12" s="363">
        <v>9687694.9964194503</v>
      </c>
      <c r="AB12" s="363">
        <v>33887131</v>
      </c>
      <c r="AC12" s="363">
        <v>5930185</v>
      </c>
      <c r="AD12" s="363">
        <v>2110233</v>
      </c>
      <c r="AE12" s="363">
        <v>339846211</v>
      </c>
      <c r="AF12" s="363">
        <v>1090385</v>
      </c>
      <c r="AG12" s="363">
        <v>7578031</v>
      </c>
      <c r="AH12" s="363">
        <v>390642621</v>
      </c>
      <c r="AI12" s="363">
        <v>287149352</v>
      </c>
      <c r="AJ12" s="363">
        <v>281031517</v>
      </c>
      <c r="AK12" s="363">
        <v>625</v>
      </c>
      <c r="AL12" s="318">
        <v>0</v>
      </c>
      <c r="AM12" s="318">
        <v>2244026.3333178302</v>
      </c>
      <c r="AN12" s="367">
        <v>0.22471010218495699</v>
      </c>
      <c r="AO12" s="367">
        <v>0.10509047094254099</v>
      </c>
      <c r="AP12" s="367">
        <v>0.200798251556394</v>
      </c>
      <c r="AQ12" s="367">
        <v>2.3911850628562499E-2</v>
      </c>
      <c r="AR12" s="364">
        <f>O12/$O$22</f>
        <v>2.3283333560294536E-2</v>
      </c>
    </row>
    <row r="13" spans="1:44" x14ac:dyDescent="0.45">
      <c r="A13" s="333" t="s">
        <v>91</v>
      </c>
      <c r="B13" s="363">
        <v>0</v>
      </c>
      <c r="C13" s="363">
        <v>0</v>
      </c>
      <c r="D13" s="363">
        <v>5959514.8286733702</v>
      </c>
      <c r="E13" s="363">
        <v>4527352.9200263601</v>
      </c>
      <c r="F13" s="363">
        <v>3175399.7064831001</v>
      </c>
      <c r="G13" s="363">
        <v>0</v>
      </c>
      <c r="H13" s="363">
        <v>23158632.716580801</v>
      </c>
      <c r="I13" s="363">
        <v>11362424.2399124</v>
      </c>
      <c r="J13" s="363">
        <v>0</v>
      </c>
      <c r="K13" s="363">
        <v>0</v>
      </c>
      <c r="L13" s="363">
        <v>0</v>
      </c>
      <c r="M13" s="363">
        <v>13676959.666536</v>
      </c>
      <c r="N13" s="363">
        <v>0</v>
      </c>
      <c r="O13" s="363">
        <v>61860284.078212202</v>
      </c>
      <c r="P13" s="363">
        <v>61109210.078212202</v>
      </c>
      <c r="Q13" s="363">
        <v>42762800.75</v>
      </c>
      <c r="R13" s="363">
        <v>19097483.328212202</v>
      </c>
      <c r="S13" s="363">
        <v>5173105.4800000004</v>
      </c>
      <c r="T13" s="363">
        <v>42762800.75</v>
      </c>
      <c r="U13" s="363">
        <v>7694087.6515182797</v>
      </c>
      <c r="V13" s="363">
        <v>35068713.0984817</v>
      </c>
      <c r="W13" s="363">
        <v>18427167.328212202</v>
      </c>
      <c r="X13" s="363">
        <v>19436792.52</v>
      </c>
      <c r="Y13" s="363">
        <v>-14326716.75</v>
      </c>
      <c r="Z13" s="363">
        <v>-5173105.4800000004</v>
      </c>
      <c r="AA13" s="363">
        <v>17445930.618212201</v>
      </c>
      <c r="AB13" s="363">
        <v>17296931.530000001</v>
      </c>
      <c r="AC13" s="363">
        <v>0</v>
      </c>
      <c r="AD13" s="363">
        <v>0</v>
      </c>
      <c r="AE13" s="363">
        <v>487510898.62589902</v>
      </c>
      <c r="AF13" s="363">
        <v>77602388.079999894</v>
      </c>
      <c r="AG13" s="363">
        <v>27007595.427000001</v>
      </c>
      <c r="AH13" s="363">
        <v>609417813.65999997</v>
      </c>
      <c r="AI13" s="363">
        <v>383201082.31349993</v>
      </c>
      <c r="AJ13" s="363">
        <v>258410636</v>
      </c>
      <c r="AK13" s="363">
        <v>0</v>
      </c>
      <c r="AL13" s="318">
        <v>114286838.83402701</v>
      </c>
      <c r="AM13" s="318">
        <v>408579857.68903202</v>
      </c>
      <c r="AN13" s="367">
        <v>0.210560619504815</v>
      </c>
      <c r="AO13" s="367">
        <v>0.30154484577083801</v>
      </c>
      <c r="AP13" s="367">
        <v>0.12590716917582101</v>
      </c>
      <c r="AQ13" s="367">
        <v>8.4653450328993907E-2</v>
      </c>
      <c r="AR13" s="364">
        <f t="shared" ref="AR13:AR14" si="1">O13/$O$22</f>
        <v>9.0791911819377041E-2</v>
      </c>
    </row>
    <row r="14" spans="1:44" x14ac:dyDescent="0.45">
      <c r="A14" s="333" t="s">
        <v>22</v>
      </c>
      <c r="B14" s="363">
        <v>8602955.5</v>
      </c>
      <c r="C14" s="363">
        <v>0</v>
      </c>
      <c r="D14" s="363">
        <v>0</v>
      </c>
      <c r="E14" s="363">
        <v>16759035.5</v>
      </c>
      <c r="F14" s="363">
        <v>524179.25</v>
      </c>
      <c r="G14" s="363">
        <v>764921</v>
      </c>
      <c r="H14" s="363">
        <v>3047659</v>
      </c>
      <c r="I14" s="363">
        <v>0</v>
      </c>
      <c r="J14" s="363">
        <v>0</v>
      </c>
      <c r="K14" s="363">
        <v>0</v>
      </c>
      <c r="L14" s="363">
        <v>0</v>
      </c>
      <c r="M14" s="363">
        <v>0</v>
      </c>
      <c r="N14" s="363">
        <v>0</v>
      </c>
      <c r="O14" s="363">
        <v>29698750.25</v>
      </c>
      <c r="P14" s="363">
        <v>25095685.25</v>
      </c>
      <c r="Q14" s="363">
        <v>32009782.25</v>
      </c>
      <c r="R14" s="363">
        <v>-2311032</v>
      </c>
      <c r="S14" s="363">
        <v>5066049.67</v>
      </c>
      <c r="T14" s="363">
        <v>32009782.25</v>
      </c>
      <c r="U14" s="363">
        <v>4342827.75</v>
      </c>
      <c r="V14" s="363">
        <v>27666954.5</v>
      </c>
      <c r="W14" s="363">
        <v>-6914097</v>
      </c>
      <c r="X14" s="363">
        <v>24462876.070250399</v>
      </c>
      <c r="Y14" s="363">
        <v>-14973569.609999999</v>
      </c>
      <c r="Z14" s="363">
        <v>-4648410.8024749998</v>
      </c>
      <c r="AA14" s="363">
        <v>-2073201.3422245199</v>
      </c>
      <c r="AB14" s="363">
        <v>34359052.649999999</v>
      </c>
      <c r="AC14" s="363">
        <v>0</v>
      </c>
      <c r="AD14" s="363">
        <v>25388883</v>
      </c>
      <c r="AE14" s="363">
        <v>530508289.95873398</v>
      </c>
      <c r="AF14" s="363">
        <v>19258728.676815499</v>
      </c>
      <c r="AG14" s="363">
        <v>10543335.51</v>
      </c>
      <c r="AH14" s="363">
        <v>620219093.45000005</v>
      </c>
      <c r="AI14" s="363">
        <v>580531252.12949991</v>
      </c>
      <c r="AJ14" s="363">
        <v>460391177</v>
      </c>
      <c r="AK14" s="363">
        <v>0</v>
      </c>
      <c r="AL14" s="318">
        <v>97817518.7894748</v>
      </c>
      <c r="AM14" s="318">
        <v>0</v>
      </c>
      <c r="AN14" s="367">
        <v>0.37492012376908501</v>
      </c>
      <c r="AO14" s="367">
        <v>-0.27550939259568502</v>
      </c>
      <c r="AP14" s="367">
        <v>0.173050773738087</v>
      </c>
      <c r="AQ14" s="367">
        <v>0.20186935003099801</v>
      </c>
      <c r="AR14" s="364">
        <f t="shared" si="1"/>
        <v>4.3588650683119033E-2</v>
      </c>
    </row>
    <row r="15" spans="1:44" x14ac:dyDescent="0.45">
      <c r="A15" s="333" t="s">
        <v>192</v>
      </c>
      <c r="B15" s="363">
        <v>1648233.6103193499</v>
      </c>
      <c r="C15" s="363">
        <v>0</v>
      </c>
      <c r="D15" s="363">
        <v>0</v>
      </c>
      <c r="E15" s="363">
        <v>298400.80399604997</v>
      </c>
      <c r="F15" s="363">
        <v>66254.610732020403</v>
      </c>
      <c r="G15" s="363">
        <v>914186.02554737905</v>
      </c>
      <c r="H15" s="363">
        <v>1978036.45564885</v>
      </c>
      <c r="I15" s="363">
        <v>167417.49218699001</v>
      </c>
      <c r="J15" s="363">
        <v>0</v>
      </c>
      <c r="K15" s="363">
        <v>0</v>
      </c>
      <c r="L15" s="363">
        <v>0</v>
      </c>
      <c r="M15" s="363">
        <v>6198677.3212184599</v>
      </c>
      <c r="N15" s="363">
        <v>0</v>
      </c>
      <c r="O15" s="363">
        <v>11271206.3196491</v>
      </c>
      <c r="P15" s="363">
        <v>11271206.3196491</v>
      </c>
      <c r="Q15" s="363">
        <v>9788714.7641600296</v>
      </c>
      <c r="R15" s="363">
        <v>1482491.55548908</v>
      </c>
      <c r="S15" s="363">
        <v>0</v>
      </c>
      <c r="T15" s="363">
        <v>9788714.7641600296</v>
      </c>
      <c r="U15" s="363">
        <v>1368622.99999999</v>
      </c>
      <c r="V15" s="363">
        <v>8420091.7641600296</v>
      </c>
      <c r="W15" s="363">
        <v>1482491.55548908</v>
      </c>
      <c r="X15" s="363">
        <v>5116516</v>
      </c>
      <c r="Y15" s="363">
        <v>-4500697.5520030502</v>
      </c>
      <c r="Z15" s="363">
        <v>0</v>
      </c>
      <c r="AA15" s="363">
        <v>2098310.00348602</v>
      </c>
      <c r="AB15" s="363">
        <v>2670514</v>
      </c>
      <c r="AC15" s="363">
        <v>0</v>
      </c>
      <c r="AD15" s="363">
        <v>0</v>
      </c>
      <c r="AE15" s="363">
        <v>241164677</v>
      </c>
      <c r="AF15" s="363">
        <v>4583865</v>
      </c>
      <c r="AG15" s="363">
        <v>6428374</v>
      </c>
      <c r="AH15" s="363">
        <v>254847430</v>
      </c>
      <c r="AI15" s="363">
        <v>135865214</v>
      </c>
      <c r="AJ15" s="363">
        <v>7025448</v>
      </c>
      <c r="AK15" s="363">
        <v>0</v>
      </c>
      <c r="AL15" s="318">
        <v>87185424</v>
      </c>
      <c r="AM15" s="318">
        <v>26920083.171124201</v>
      </c>
      <c r="AN15" s="367">
        <v>0.121426488095961</v>
      </c>
      <c r="AO15" s="367">
        <v>0.13152909399809701</v>
      </c>
      <c r="AP15" s="367">
        <v>0.121426488095961</v>
      </c>
      <c r="AQ15" s="367">
        <v>0</v>
      </c>
      <c r="AR15" s="364">
        <f t="shared" ref="AR15:AR20" si="2">O15/$O$22</f>
        <v>1.6542671691868526E-2</v>
      </c>
    </row>
    <row r="16" spans="1:44" x14ac:dyDescent="0.45">
      <c r="A16" s="333" t="s">
        <v>24</v>
      </c>
      <c r="B16" s="363">
        <v>79356048</v>
      </c>
      <c r="C16" s="363">
        <v>0</v>
      </c>
      <c r="D16" s="363">
        <v>0</v>
      </c>
      <c r="E16" s="363">
        <v>0</v>
      </c>
      <c r="F16" s="363">
        <v>0</v>
      </c>
      <c r="G16" s="363">
        <v>0</v>
      </c>
      <c r="H16" s="363">
        <v>0</v>
      </c>
      <c r="I16" s="363">
        <v>0</v>
      </c>
      <c r="J16" s="363">
        <v>0</v>
      </c>
      <c r="K16" s="363">
        <v>0</v>
      </c>
      <c r="L16" s="363">
        <v>0</v>
      </c>
      <c r="M16" s="363">
        <v>0</v>
      </c>
      <c r="N16" s="363">
        <v>0</v>
      </c>
      <c r="O16" s="363">
        <v>79356048</v>
      </c>
      <c r="P16" s="363">
        <v>75862606</v>
      </c>
      <c r="Q16" s="363">
        <v>36745044</v>
      </c>
      <c r="R16" s="363">
        <v>42611004</v>
      </c>
      <c r="S16" s="363">
        <v>2429279</v>
      </c>
      <c r="T16" s="363">
        <v>36745044</v>
      </c>
      <c r="U16" s="363">
        <v>36745044</v>
      </c>
      <c r="V16" s="363">
        <v>0</v>
      </c>
      <c r="W16" s="363">
        <v>46968776</v>
      </c>
      <c r="X16" s="363">
        <v>45453454</v>
      </c>
      <c r="Y16" s="363">
        <v>-44567882</v>
      </c>
      <c r="Z16" s="363">
        <v>-2422555</v>
      </c>
      <c r="AA16" s="363">
        <v>38627762</v>
      </c>
      <c r="AB16" s="363">
        <v>126946508</v>
      </c>
      <c r="AC16" s="363">
        <v>2661720.56408821</v>
      </c>
      <c r="AD16" s="363">
        <v>0</v>
      </c>
      <c r="AE16" s="363">
        <v>909601540.998119</v>
      </c>
      <c r="AF16" s="363">
        <v>32727927.25</v>
      </c>
      <c r="AG16" s="363">
        <v>17922742.042706002</v>
      </c>
      <c r="AH16" s="363">
        <v>1106164356</v>
      </c>
      <c r="AI16" s="363">
        <v>867838800.99904203</v>
      </c>
      <c r="AJ16" s="363">
        <v>853320299</v>
      </c>
      <c r="AK16" s="363">
        <v>0</v>
      </c>
      <c r="AL16" s="318">
        <v>0</v>
      </c>
      <c r="AM16" s="318">
        <v>0</v>
      </c>
      <c r="AN16" s="367">
        <v>0.51638514764441301</v>
      </c>
      <c r="AO16" s="367">
        <v>0.61912948258065303</v>
      </c>
      <c r="AP16" s="367">
        <v>0.48436306024077203</v>
      </c>
      <c r="AQ16" s="367">
        <v>3.2022087403641201E-2</v>
      </c>
      <c r="AR16" s="364">
        <f t="shared" si="2"/>
        <v>0.1164703237256533</v>
      </c>
    </row>
    <row r="17" spans="1:44" x14ac:dyDescent="0.45">
      <c r="A17" s="333" t="s">
        <v>25</v>
      </c>
      <c r="B17" s="363">
        <v>2223240</v>
      </c>
      <c r="C17" s="363">
        <v>0</v>
      </c>
      <c r="D17" s="363">
        <v>0</v>
      </c>
      <c r="E17" s="363">
        <v>372889</v>
      </c>
      <c r="F17" s="363">
        <v>0</v>
      </c>
      <c r="G17" s="363">
        <v>739464</v>
      </c>
      <c r="H17" s="363">
        <v>53796</v>
      </c>
      <c r="I17" s="363">
        <v>136318</v>
      </c>
      <c r="J17" s="363">
        <v>0</v>
      </c>
      <c r="K17" s="363">
        <v>0</v>
      </c>
      <c r="L17" s="363">
        <v>0</v>
      </c>
      <c r="M17" s="363">
        <v>1624198</v>
      </c>
      <c r="N17" s="363">
        <v>2019906</v>
      </c>
      <c r="O17" s="363">
        <v>7169811</v>
      </c>
      <c r="P17" s="363">
        <v>7169811</v>
      </c>
      <c r="Q17" s="363">
        <v>6886972</v>
      </c>
      <c r="R17" s="363">
        <v>282839</v>
      </c>
      <c r="S17" s="363">
        <v>4119975</v>
      </c>
      <c r="T17" s="363">
        <v>6886972</v>
      </c>
      <c r="U17" s="363">
        <v>193280</v>
      </c>
      <c r="V17" s="363">
        <v>6693692</v>
      </c>
      <c r="W17" s="363">
        <v>282839</v>
      </c>
      <c r="X17" s="363">
        <v>2954347</v>
      </c>
      <c r="Y17" s="363">
        <v>0</v>
      </c>
      <c r="Z17" s="363">
        <v>-3655467</v>
      </c>
      <c r="AA17" s="363">
        <v>-418281</v>
      </c>
      <c r="AB17" s="363">
        <v>6350501</v>
      </c>
      <c r="AC17" s="363">
        <v>0</v>
      </c>
      <c r="AD17" s="363">
        <v>0</v>
      </c>
      <c r="AE17" s="363">
        <v>116696024</v>
      </c>
      <c r="AF17" s="363">
        <v>24135229</v>
      </c>
      <c r="AG17" s="363">
        <v>2310752</v>
      </c>
      <c r="AH17" s="363">
        <v>149502566</v>
      </c>
      <c r="AI17" s="363">
        <v>102906416</v>
      </c>
      <c r="AJ17" s="363">
        <v>99348564</v>
      </c>
      <c r="AK17" s="363">
        <v>0</v>
      </c>
      <c r="AL17" s="318">
        <v>0</v>
      </c>
      <c r="AM17" s="318">
        <v>22828881</v>
      </c>
      <c r="AN17" s="367">
        <v>0.60158559270251299</v>
      </c>
      <c r="AO17" s="367">
        <v>3.9448599133226799E-2</v>
      </c>
      <c r="AP17" s="367">
        <v>2.6957474890202799E-2</v>
      </c>
      <c r="AQ17" s="367">
        <v>0.57462811781231005</v>
      </c>
      <c r="AR17" s="364">
        <f t="shared" si="2"/>
        <v>1.0523082099826216E-2</v>
      </c>
    </row>
    <row r="18" spans="1:44" x14ac:dyDescent="0.45">
      <c r="A18" s="333" t="s">
        <v>189</v>
      </c>
      <c r="B18" s="363">
        <v>79419152</v>
      </c>
      <c r="C18" s="363">
        <v>0</v>
      </c>
      <c r="D18" s="363">
        <v>0</v>
      </c>
      <c r="E18" s="363">
        <v>0</v>
      </c>
      <c r="F18" s="363">
        <v>0</v>
      </c>
      <c r="G18" s="363">
        <v>0</v>
      </c>
      <c r="H18" s="363">
        <v>0</v>
      </c>
      <c r="I18" s="363">
        <v>0</v>
      </c>
      <c r="J18" s="363">
        <v>0</v>
      </c>
      <c r="K18" s="363">
        <v>0</v>
      </c>
      <c r="L18" s="363">
        <v>0</v>
      </c>
      <c r="M18" s="363">
        <v>0</v>
      </c>
      <c r="N18" s="363">
        <v>0</v>
      </c>
      <c r="O18" s="363">
        <v>79419152</v>
      </c>
      <c r="P18" s="363">
        <v>69800817</v>
      </c>
      <c r="Q18" s="363">
        <v>50570324</v>
      </c>
      <c r="R18" s="363">
        <v>28848828</v>
      </c>
      <c r="S18" s="363">
        <v>264384</v>
      </c>
      <c r="T18" s="363">
        <v>50570324</v>
      </c>
      <c r="U18" s="363">
        <v>50570324</v>
      </c>
      <c r="V18" s="363">
        <v>0</v>
      </c>
      <c r="W18" s="363">
        <v>19230493</v>
      </c>
      <c r="X18" s="363">
        <v>8387587</v>
      </c>
      <c r="Y18" s="363">
        <v>-10641917</v>
      </c>
      <c r="Z18" s="363">
        <v>582308</v>
      </c>
      <c r="AA18" s="363">
        <v>17269723</v>
      </c>
      <c r="AB18" s="363">
        <v>66188024</v>
      </c>
      <c r="AC18" s="363">
        <v>5925979</v>
      </c>
      <c r="AD18" s="363">
        <v>0</v>
      </c>
      <c r="AE18" s="363">
        <v>210773207</v>
      </c>
      <c r="AF18" s="363">
        <v>2281233</v>
      </c>
      <c r="AG18" s="363">
        <v>10471343</v>
      </c>
      <c r="AH18" s="363">
        <v>296971870</v>
      </c>
      <c r="AI18" s="363">
        <v>133153566</v>
      </c>
      <c r="AJ18" s="363">
        <v>62089381</v>
      </c>
      <c r="AK18" s="363">
        <v>11686470</v>
      </c>
      <c r="AL18" s="318">
        <v>14199891</v>
      </c>
      <c r="AM18" s="318">
        <v>0</v>
      </c>
      <c r="AN18" s="367">
        <v>0.728282421106904</v>
      </c>
      <c r="AO18" s="367">
        <v>0.27550527094833199</v>
      </c>
      <c r="AP18" s="367">
        <v>0.72449472905166701</v>
      </c>
      <c r="AQ18" s="367">
        <v>3.7876920552376899E-3</v>
      </c>
      <c r="AR18" s="364">
        <f t="shared" si="2"/>
        <v>0.1165629410307437</v>
      </c>
    </row>
    <row r="19" spans="1:44" x14ac:dyDescent="0.45">
      <c r="A19" s="333" t="s">
        <v>27</v>
      </c>
      <c r="B19" s="363">
        <v>27989591.620000001</v>
      </c>
      <c r="C19" s="363">
        <v>0</v>
      </c>
      <c r="D19" s="363">
        <v>0</v>
      </c>
      <c r="E19" s="363">
        <v>15121084.529999999</v>
      </c>
      <c r="F19" s="363">
        <v>66472.13</v>
      </c>
      <c r="G19" s="363">
        <v>2992974.06</v>
      </c>
      <c r="H19" s="363">
        <v>2069283.71</v>
      </c>
      <c r="I19" s="363">
        <v>12992098.119999999</v>
      </c>
      <c r="J19" s="363">
        <v>0</v>
      </c>
      <c r="K19" s="363">
        <v>0</v>
      </c>
      <c r="L19" s="363">
        <v>0</v>
      </c>
      <c r="M19" s="363">
        <v>0</v>
      </c>
      <c r="N19" s="363">
        <v>0</v>
      </c>
      <c r="O19" s="363">
        <v>61231504.170000002</v>
      </c>
      <c r="P19" s="363">
        <v>56017405.350000001</v>
      </c>
      <c r="Q19" s="363">
        <v>51319417.960000001</v>
      </c>
      <c r="R19" s="363">
        <v>9912086.2099999897</v>
      </c>
      <c r="S19" s="363">
        <v>18407137.3699999</v>
      </c>
      <c r="T19" s="363">
        <v>51319417.960000001</v>
      </c>
      <c r="U19" s="363">
        <v>4212267.75</v>
      </c>
      <c r="V19" s="363">
        <v>47107150.210000001</v>
      </c>
      <c r="W19" s="363">
        <v>6139532.48999999</v>
      </c>
      <c r="X19" s="363">
        <v>38945112.560000002</v>
      </c>
      <c r="Y19" s="363">
        <v>-28697872.07</v>
      </c>
      <c r="Z19" s="363">
        <v>-15497180.4599999</v>
      </c>
      <c r="AA19" s="363">
        <v>889592.52000002097</v>
      </c>
      <c r="AB19" s="363">
        <v>26897023.780000001</v>
      </c>
      <c r="AC19" s="363">
        <v>0</v>
      </c>
      <c r="AD19" s="363">
        <v>0</v>
      </c>
      <c r="AE19" s="363">
        <v>1147981101.04599</v>
      </c>
      <c r="AF19" s="363">
        <v>192250996.35499901</v>
      </c>
      <c r="AG19" s="363">
        <v>101563304.943</v>
      </c>
      <c r="AH19" s="363">
        <v>1468692426.1199999</v>
      </c>
      <c r="AI19" s="363">
        <v>1591819225.1779988</v>
      </c>
      <c r="AJ19" s="363">
        <v>1469306782.0699999</v>
      </c>
      <c r="AK19" s="363">
        <v>0</v>
      </c>
      <c r="AL19" s="318">
        <v>0</v>
      </c>
      <c r="AM19" s="318">
        <v>0</v>
      </c>
      <c r="AN19" s="367">
        <v>0.40379244591342001</v>
      </c>
      <c r="AO19" s="367">
        <v>0.109600443855616</v>
      </c>
      <c r="AP19" s="367">
        <v>7.5195695403625099E-2</v>
      </c>
      <c r="AQ19" s="367">
        <v>0.32859675050979398</v>
      </c>
      <c r="AR19" s="364">
        <f t="shared" si="2"/>
        <v>8.9869055889585006E-2</v>
      </c>
    </row>
    <row r="20" spans="1:44" x14ac:dyDescent="0.45">
      <c r="A20" s="333" t="s">
        <v>28</v>
      </c>
      <c r="B20" s="363">
        <v>2973965</v>
      </c>
      <c r="C20" s="363">
        <v>0</v>
      </c>
      <c r="D20" s="363">
        <v>0</v>
      </c>
      <c r="E20" s="363">
        <v>28582165</v>
      </c>
      <c r="F20" s="363">
        <v>13117745</v>
      </c>
      <c r="G20" s="363">
        <v>0</v>
      </c>
      <c r="H20" s="363">
        <v>0</v>
      </c>
      <c r="I20" s="363">
        <v>72176514.831607997</v>
      </c>
      <c r="J20" s="363">
        <v>0</v>
      </c>
      <c r="K20" s="363">
        <v>0</v>
      </c>
      <c r="L20" s="363">
        <v>0</v>
      </c>
      <c r="M20" s="363">
        <v>0</v>
      </c>
      <c r="N20" s="363">
        <v>0</v>
      </c>
      <c r="O20" s="363">
        <v>116850389.831608</v>
      </c>
      <c r="P20" s="363">
        <v>115275966.831608</v>
      </c>
      <c r="Q20" s="363">
        <v>79181605.0026301</v>
      </c>
      <c r="R20" s="363">
        <v>37668784.828977801</v>
      </c>
      <c r="S20" s="363">
        <v>8428627</v>
      </c>
      <c r="T20" s="363">
        <v>79181605.0026301</v>
      </c>
      <c r="U20" s="363">
        <v>19671137</v>
      </c>
      <c r="V20" s="363">
        <v>59510468.0026301</v>
      </c>
      <c r="W20" s="363">
        <v>37318455.828977801</v>
      </c>
      <c r="X20" s="363">
        <v>52321950</v>
      </c>
      <c r="Y20" s="363">
        <v>-72144154.975999802</v>
      </c>
      <c r="Z20" s="363">
        <v>-1478448</v>
      </c>
      <c r="AA20" s="363">
        <v>13970437.852978</v>
      </c>
      <c r="AB20" s="363">
        <v>218019143</v>
      </c>
      <c r="AC20" s="363">
        <v>33728400</v>
      </c>
      <c r="AD20" s="363">
        <v>980226</v>
      </c>
      <c r="AE20" s="363">
        <v>2651212387</v>
      </c>
      <c r="AF20" s="363">
        <v>94764050.829999998</v>
      </c>
      <c r="AG20" s="363">
        <v>61872551</v>
      </c>
      <c r="AH20" s="363">
        <v>3060742716</v>
      </c>
      <c r="AI20" s="363">
        <v>1716346960</v>
      </c>
      <c r="AJ20" s="363">
        <v>1379448207</v>
      </c>
      <c r="AK20" s="363">
        <v>52011</v>
      </c>
      <c r="AL20" s="318">
        <v>0</v>
      </c>
      <c r="AM20" s="318">
        <v>762837598.00262105</v>
      </c>
      <c r="AN20" s="367">
        <v>0.24376081825492099</v>
      </c>
      <c r="AO20" s="367">
        <v>0.32373144944853599</v>
      </c>
      <c r="AP20" s="367">
        <v>0.17064386914867499</v>
      </c>
      <c r="AQ20" s="367">
        <v>7.3116949106246096E-2</v>
      </c>
      <c r="AR20" s="364">
        <f t="shared" si="2"/>
        <v>0.17150051034744285</v>
      </c>
    </row>
    <row r="21" spans="1:44" x14ac:dyDescent="0.45">
      <c r="A21" s="333" t="s">
        <v>31</v>
      </c>
      <c r="B21" s="363"/>
      <c r="C21" s="363"/>
      <c r="D21" s="363"/>
      <c r="E21" s="363"/>
      <c r="F21" s="363"/>
      <c r="G21" s="363"/>
      <c r="H21" s="363"/>
      <c r="I21" s="363"/>
      <c r="J21" s="363"/>
      <c r="K21" s="363"/>
      <c r="L21" s="363"/>
      <c r="M21" s="363"/>
      <c r="N21" s="363"/>
      <c r="O21" s="363"/>
      <c r="P21" s="363"/>
      <c r="Q21" s="363"/>
      <c r="R21" s="363"/>
      <c r="S21" s="363"/>
      <c r="T21" s="363"/>
      <c r="U21" s="363"/>
      <c r="V21" s="363"/>
      <c r="W21" s="363"/>
      <c r="X21" s="363"/>
      <c r="Y21" s="363"/>
      <c r="Z21" s="363"/>
      <c r="AA21" s="363"/>
      <c r="AB21" s="363"/>
      <c r="AC21" s="363"/>
      <c r="AD21" s="363"/>
      <c r="AE21" s="363"/>
      <c r="AF21" s="363"/>
      <c r="AG21" s="363"/>
      <c r="AH21" s="363"/>
      <c r="AI21" s="363"/>
      <c r="AJ21" s="363"/>
      <c r="AK21" s="363"/>
      <c r="AL21" s="318"/>
      <c r="AM21" s="318"/>
      <c r="AN21" s="367"/>
      <c r="AO21" s="367"/>
      <c r="AP21" s="367"/>
      <c r="AQ21" s="367"/>
      <c r="AR21" s="364"/>
    </row>
    <row r="22" spans="1:44" x14ac:dyDescent="0.45">
      <c r="A22" s="357" t="s">
        <v>67</v>
      </c>
      <c r="B22" s="358">
        <f t="shared" ref="B22:V22" si="3">SUM(B6:B21)</f>
        <v>206058293.27111936</v>
      </c>
      <c r="C22" s="358">
        <f t="shared" si="3"/>
        <v>4821726</v>
      </c>
      <c r="D22" s="358">
        <f t="shared" si="3"/>
        <v>72428433.823588163</v>
      </c>
      <c r="E22" s="358">
        <f t="shared" si="3"/>
        <v>101267096.86796291</v>
      </c>
      <c r="F22" s="358">
        <f t="shared" si="3"/>
        <v>34544302.513920918</v>
      </c>
      <c r="G22" s="358">
        <f t="shared" si="3"/>
        <v>19958775.717357729</v>
      </c>
      <c r="H22" s="358">
        <f t="shared" si="3"/>
        <v>120407231.57821086</v>
      </c>
      <c r="I22" s="358">
        <f t="shared" si="3"/>
        <v>97475623.940507382</v>
      </c>
      <c r="J22" s="358">
        <f t="shared" si="3"/>
        <v>0</v>
      </c>
      <c r="K22" s="358">
        <f t="shared" si="3"/>
        <v>0</v>
      </c>
      <c r="L22" s="358">
        <f t="shared" si="3"/>
        <v>0</v>
      </c>
      <c r="M22" s="358">
        <f t="shared" si="3"/>
        <v>22209350.789741635</v>
      </c>
      <c r="N22" s="358">
        <f t="shared" si="3"/>
        <v>2170518.9132791711</v>
      </c>
      <c r="O22" s="358">
        <f t="shared" si="3"/>
        <v>681341353.41568851</v>
      </c>
      <c r="P22" s="358">
        <f t="shared" si="3"/>
        <v>650460670.69166946</v>
      </c>
      <c r="Q22" s="358">
        <f t="shared" si="3"/>
        <v>514690891.95830703</v>
      </c>
      <c r="R22" s="358">
        <f t="shared" si="3"/>
        <v>166650461.45738119</v>
      </c>
      <c r="S22" s="360">
        <f t="shared" si="3"/>
        <v>67283366.969428599</v>
      </c>
      <c r="T22" s="360">
        <f t="shared" si="3"/>
        <v>514690891.95830703</v>
      </c>
      <c r="U22" s="360">
        <f t="shared" si="3"/>
        <v>184912529.1165297</v>
      </c>
      <c r="V22" s="360">
        <f t="shared" si="3"/>
        <v>329778362.84177715</v>
      </c>
      <c r="W22" s="360">
        <f>SUM(W6:W20)</f>
        <v>149001213.54581448</v>
      </c>
      <c r="X22" s="360">
        <f t="shared" ref="X22:AM22" si="4">SUM(X6:X21)</f>
        <v>330352109.0172624</v>
      </c>
      <c r="Y22" s="360">
        <f t="shared" si="4"/>
        <v>-196402599.86289868</v>
      </c>
      <c r="Z22" s="360">
        <f t="shared" si="4"/>
        <v>-49242374.651903585</v>
      </c>
      <c r="AA22" s="360">
        <f t="shared" si="4"/>
        <v>217823460.53827432</v>
      </c>
      <c r="AB22" s="360">
        <f t="shared" si="4"/>
        <v>827327199.1099999</v>
      </c>
      <c r="AC22" s="360">
        <f t="shared" si="4"/>
        <v>48246284.56408821</v>
      </c>
      <c r="AD22" s="360">
        <f t="shared" si="4"/>
        <v>37561365.868982151</v>
      </c>
      <c r="AE22" s="360">
        <f t="shared" si="4"/>
        <v>9132827187.6746559</v>
      </c>
      <c r="AF22" s="360">
        <f t="shared" si="4"/>
        <v>563525193.03181446</v>
      </c>
      <c r="AG22" s="360">
        <f t="shared" si="4"/>
        <v>332953203.99636281</v>
      </c>
      <c r="AH22" s="360">
        <f t="shared" si="4"/>
        <v>10963655767.66</v>
      </c>
      <c r="AI22" s="360">
        <f t="shared" si="4"/>
        <v>7872137326.0838766</v>
      </c>
      <c r="AJ22" s="360">
        <f t="shared" si="4"/>
        <v>6349633218.947897</v>
      </c>
      <c r="AK22" s="360">
        <f>SUM(AK6:AK21)</f>
        <v>43503364.641947299</v>
      </c>
      <c r="AL22" s="360">
        <f>SUM(AL6:AL21)</f>
        <v>724086250.52478874</v>
      </c>
      <c r="AM22" s="360">
        <f t="shared" si="4"/>
        <v>2063983056.2360964</v>
      </c>
      <c r="AN22" s="368">
        <f>SUM(AN6:AN21)/COUNT(AN6:AN21)</f>
        <v>0.5657251933976416</v>
      </c>
      <c r="AO22" s="368">
        <f>SUM(AO6:AO21)/COUNT(AO6:AO21)</f>
        <v>0.24290832062241452</v>
      </c>
      <c r="AP22" s="368">
        <f>SUM(AP6:AP21)/COUNT(AP6:AP21)</f>
        <v>0.20311172419513987</v>
      </c>
      <c r="AQ22" s="368">
        <f>SUM(AQ6:AQ21)/COUNT(AQ6:AQ21)</f>
        <v>0.36261346920250176</v>
      </c>
      <c r="AR22" s="364">
        <f>SUM(AR7:AR20)</f>
        <v>1</v>
      </c>
    </row>
  </sheetData>
  <sortState xmlns:xlrd2="http://schemas.microsoft.com/office/spreadsheetml/2017/richdata2" ref="A6:AR21">
    <sortCondition ref="A6"/>
  </sortState>
  <mergeCells count="1">
    <mergeCell ref="B1:AR1"/>
  </mergeCells>
  <dataValidations count="1">
    <dataValidation type="list" allowBlank="1" showInputMessage="1" showErrorMessage="1" sqref="A3" xr:uid="{00000000-0002-0000-3300-000000000000}">
      <formula1>$A$6:$A$22</formula1>
    </dataValidation>
  </dataValidations>
  <pageMargins left="0.7" right="0.7" top="0.75" bottom="0.75" header="0.3" footer="0.3"/>
  <legacy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A2CA0-23FE-4242-B7BE-314BAD752FCD}">
  <dimension ref="A1:AR22"/>
  <sheetViews>
    <sheetView topLeftCell="A5" workbookViewId="0">
      <selection activeCell="B18" sqref="B18"/>
    </sheetView>
  </sheetViews>
  <sheetFormatPr defaultRowHeight="14.25" x14ac:dyDescent="0.45"/>
  <cols>
    <col min="1" max="1" width="40.73046875" bestFit="1" customWidth="1"/>
    <col min="2" max="2" width="14" bestFit="1" customWidth="1"/>
    <col min="3" max="3" width="12.265625" bestFit="1" customWidth="1"/>
    <col min="4" max="8" width="13.3984375" bestFit="1" customWidth="1"/>
    <col min="9" max="9" width="14.1328125" bestFit="1" customWidth="1"/>
    <col min="10" max="11" width="8.73046875" bestFit="1" customWidth="1"/>
    <col min="12" max="12" width="11.86328125" bestFit="1" customWidth="1"/>
    <col min="13" max="13" width="15.1328125" customWidth="1"/>
    <col min="14" max="14" width="11.1328125" bestFit="1" customWidth="1"/>
    <col min="15" max="17" width="15.1328125" bestFit="1" customWidth="1"/>
    <col min="18" max="18" width="13.3984375" bestFit="1" customWidth="1"/>
    <col min="19" max="20" width="13.73046875" bestFit="1" customWidth="1"/>
    <col min="21" max="21" width="13.265625" bestFit="1" customWidth="1"/>
    <col min="22" max="22" width="14" bestFit="1" customWidth="1"/>
    <col min="23" max="24" width="13.265625" bestFit="1" customWidth="1"/>
    <col min="25" max="26" width="14.1328125" bestFit="1" customWidth="1"/>
    <col min="27" max="28" width="13.265625" bestFit="1" customWidth="1"/>
    <col min="29" max="29" width="15.1328125" customWidth="1"/>
    <col min="30" max="30" width="13.73046875" customWidth="1"/>
    <col min="31" max="31" width="15" bestFit="1" customWidth="1"/>
    <col min="32" max="33" width="13.265625" bestFit="1" customWidth="1"/>
    <col min="34" max="34" width="15.3984375" bestFit="1" customWidth="1"/>
    <col min="35" max="35" width="15" customWidth="1"/>
    <col min="36" max="36" width="15" bestFit="1" customWidth="1"/>
    <col min="37" max="37" width="15" customWidth="1"/>
    <col min="38" max="38" width="13.265625" bestFit="1" customWidth="1"/>
    <col min="39" max="39" width="15" bestFit="1" customWidth="1"/>
    <col min="40" max="40" width="8.3984375" bestFit="1" customWidth="1"/>
    <col min="42" max="43" width="8.86328125" bestFit="1" customWidth="1"/>
    <col min="44" max="44" width="8.73046875" bestFit="1" customWidth="1"/>
  </cols>
  <sheetData>
    <row r="1" spans="1:44" ht="20.65" x14ac:dyDescent="0.55000000000000004">
      <c r="A1" s="341" t="s">
        <v>194</v>
      </c>
      <c r="B1" s="388" t="s">
        <v>99</v>
      </c>
      <c r="C1" s="388"/>
      <c r="D1" s="388"/>
      <c r="E1" s="388"/>
      <c r="F1" s="388"/>
      <c r="G1" s="388"/>
      <c r="H1" s="388"/>
      <c r="I1" s="388"/>
      <c r="J1" s="388"/>
      <c r="K1" s="388"/>
      <c r="L1" s="388"/>
      <c r="M1" s="388"/>
      <c r="N1" s="388"/>
      <c r="O1" s="388"/>
      <c r="P1" s="388"/>
      <c r="Q1" s="388"/>
      <c r="R1" s="388"/>
      <c r="S1" s="388"/>
      <c r="T1" s="388"/>
      <c r="U1" s="388"/>
      <c r="V1" s="388"/>
      <c r="W1" s="388"/>
      <c r="X1" s="388"/>
      <c r="Y1" s="388"/>
      <c r="Z1" s="388"/>
      <c r="AA1" s="388"/>
      <c r="AB1" s="388"/>
      <c r="AC1" s="388"/>
      <c r="AD1" s="388"/>
      <c r="AE1" s="388"/>
      <c r="AF1" s="388"/>
      <c r="AG1" s="388"/>
      <c r="AH1" s="388"/>
      <c r="AI1" s="388"/>
      <c r="AJ1" s="388"/>
      <c r="AK1" s="388"/>
      <c r="AL1" s="388"/>
      <c r="AM1" s="388"/>
      <c r="AN1" s="388"/>
      <c r="AO1" s="388"/>
      <c r="AP1" s="388"/>
      <c r="AQ1" s="388"/>
      <c r="AR1" s="388"/>
    </row>
    <row r="2" spans="1:44" ht="69.75" x14ac:dyDescent="0.45">
      <c r="A2" s="349"/>
      <c r="B2" s="342" t="s">
        <v>148</v>
      </c>
      <c r="C2" s="342" t="s">
        <v>149</v>
      </c>
      <c r="D2" s="342" t="s">
        <v>150</v>
      </c>
      <c r="E2" s="342" t="s">
        <v>151</v>
      </c>
      <c r="F2" s="342" t="s">
        <v>152</v>
      </c>
      <c r="G2" s="342" t="s">
        <v>111</v>
      </c>
      <c r="H2" s="342" t="s">
        <v>153</v>
      </c>
      <c r="I2" s="342" t="s">
        <v>154</v>
      </c>
      <c r="J2" s="342" t="s">
        <v>114</v>
      </c>
      <c r="K2" s="342" t="s">
        <v>155</v>
      </c>
      <c r="L2" s="342" t="s">
        <v>156</v>
      </c>
      <c r="M2" s="342" t="s">
        <v>157</v>
      </c>
      <c r="N2" s="342" t="s">
        <v>116</v>
      </c>
      <c r="O2" s="342" t="s">
        <v>158</v>
      </c>
      <c r="P2" s="342" t="s">
        <v>159</v>
      </c>
      <c r="Q2" s="342" t="s">
        <v>160</v>
      </c>
      <c r="R2" s="342" t="s">
        <v>161</v>
      </c>
      <c r="S2" s="342" t="s">
        <v>162</v>
      </c>
      <c r="T2" s="342" t="s">
        <v>163</v>
      </c>
      <c r="U2" s="342" t="s">
        <v>164</v>
      </c>
      <c r="V2" s="342" t="s">
        <v>165</v>
      </c>
      <c r="W2" s="342" t="s">
        <v>166</v>
      </c>
      <c r="X2" s="342" t="s">
        <v>121</v>
      </c>
      <c r="Y2" s="342" t="s">
        <v>167</v>
      </c>
      <c r="Z2" s="342" t="s">
        <v>168</v>
      </c>
      <c r="AA2" s="342" t="s">
        <v>169</v>
      </c>
      <c r="AB2" s="342" t="s">
        <v>128</v>
      </c>
      <c r="AC2" s="342" t="s">
        <v>170</v>
      </c>
      <c r="AD2" s="342" t="s">
        <v>171</v>
      </c>
      <c r="AE2" s="342" t="s">
        <v>79</v>
      </c>
      <c r="AF2" s="342" t="s">
        <v>129</v>
      </c>
      <c r="AG2" s="342" t="s">
        <v>130</v>
      </c>
      <c r="AH2" s="343" t="s">
        <v>13</v>
      </c>
      <c r="AI2" s="343" t="s">
        <v>190</v>
      </c>
      <c r="AJ2" s="343" t="s">
        <v>172</v>
      </c>
      <c r="AK2" s="343" t="s">
        <v>174</v>
      </c>
      <c r="AL2" s="343" t="s">
        <v>173</v>
      </c>
      <c r="AM2" s="343" t="s">
        <v>175</v>
      </c>
      <c r="AN2" s="369" t="s">
        <v>185</v>
      </c>
      <c r="AO2" s="369" t="s">
        <v>186</v>
      </c>
      <c r="AP2" s="369" t="s">
        <v>178</v>
      </c>
      <c r="AQ2" s="369" t="s">
        <v>179</v>
      </c>
      <c r="AR2" s="344" t="s">
        <v>12</v>
      </c>
    </row>
    <row r="3" spans="1:44" x14ac:dyDescent="0.45">
      <c r="A3" s="350" t="s">
        <v>91</v>
      </c>
      <c r="B3" s="345">
        <f t="shared" ref="B3:AR3" si="0">INDEX(B6:B22,MATCH($A$3,$A$6:$A$22,0))</f>
        <v>0</v>
      </c>
      <c r="C3" s="345">
        <f t="shared" si="0"/>
        <v>0</v>
      </c>
      <c r="D3" s="345">
        <f t="shared" si="0"/>
        <v>11304805.268982399</v>
      </c>
      <c r="E3" s="345">
        <f t="shared" si="0"/>
        <v>8588088.7470908593</v>
      </c>
      <c r="F3" s="345">
        <f t="shared" si="0"/>
        <v>6023523.1544722002</v>
      </c>
      <c r="G3" s="345">
        <f t="shared" si="0"/>
        <v>0</v>
      </c>
      <c r="H3" s="345">
        <f t="shared" si="0"/>
        <v>43930392.643566497</v>
      </c>
      <c r="I3" s="345">
        <f t="shared" si="0"/>
        <v>21553766.401282798</v>
      </c>
      <c r="J3" s="345">
        <f t="shared" si="0"/>
        <v>0</v>
      </c>
      <c r="K3" s="345">
        <f t="shared" si="0"/>
        <v>0</v>
      </c>
      <c r="L3" s="345">
        <f t="shared" si="0"/>
        <v>0</v>
      </c>
      <c r="M3" s="345">
        <f t="shared" si="0"/>
        <v>25944286.969827101</v>
      </c>
      <c r="N3" s="345">
        <f t="shared" si="0"/>
        <v>0</v>
      </c>
      <c r="O3" s="345">
        <f t="shared" si="0"/>
        <v>117344863.185222</v>
      </c>
      <c r="P3" s="345">
        <f t="shared" si="0"/>
        <v>113558699.798521</v>
      </c>
      <c r="Q3" s="345">
        <f t="shared" si="0"/>
        <v>85525601.5</v>
      </c>
      <c r="R3" s="345">
        <f t="shared" si="0"/>
        <v>31819261.685222</v>
      </c>
      <c r="S3" s="345">
        <f t="shared" si="0"/>
        <v>6203239.0914049204</v>
      </c>
      <c r="T3" s="345">
        <f t="shared" si="0"/>
        <v>85525601.5</v>
      </c>
      <c r="U3" s="345">
        <f t="shared" si="0"/>
        <v>15388173.8425621</v>
      </c>
      <c r="V3" s="345">
        <f t="shared" si="0"/>
        <v>70137427.657437801</v>
      </c>
      <c r="W3" s="345">
        <f t="shared" si="0"/>
        <v>28196158.148521099</v>
      </c>
      <c r="X3" s="345">
        <f t="shared" si="0"/>
        <v>0</v>
      </c>
      <c r="Y3" s="345">
        <f t="shared" si="0"/>
        <v>13003620.182657899</v>
      </c>
      <c r="Z3" s="345">
        <f t="shared" si="0"/>
        <v>-8005350.0914049204</v>
      </c>
      <c r="AA3" s="345">
        <f t="shared" si="0"/>
        <v>31534706.823285501</v>
      </c>
      <c r="AB3" s="345">
        <f t="shared" si="0"/>
        <v>17186781.0699999</v>
      </c>
      <c r="AC3" s="345">
        <f t="shared" si="0"/>
        <v>0</v>
      </c>
      <c r="AD3" s="345">
        <f t="shared" si="0"/>
        <v>0</v>
      </c>
      <c r="AE3" s="345">
        <f t="shared" si="0"/>
        <v>535581164.328502</v>
      </c>
      <c r="AF3" s="345">
        <f t="shared" si="0"/>
        <v>79706708.989999995</v>
      </c>
      <c r="AG3" s="345">
        <f t="shared" si="0"/>
        <v>26355316.666999999</v>
      </c>
      <c r="AH3" s="345">
        <f t="shared" si="0"/>
        <v>658829971.05999994</v>
      </c>
      <c r="AI3" s="345">
        <f t="shared" si="0"/>
        <v>418420466.3858999</v>
      </c>
      <c r="AJ3" s="345">
        <f t="shared" si="0"/>
        <v>288675904.92000002</v>
      </c>
      <c r="AK3" s="345">
        <f t="shared" si="0"/>
        <v>0</v>
      </c>
      <c r="AL3" s="345">
        <f t="shared" si="0"/>
        <v>122143494.718529</v>
      </c>
      <c r="AM3" s="345">
        <f t="shared" si="0"/>
        <v>418963729.14775997</v>
      </c>
      <c r="AN3" s="346">
        <f t="shared" si="0"/>
        <v>0.190134379596412</v>
      </c>
      <c r="AO3" s="346">
        <f t="shared" si="0"/>
        <v>0.24829588748856299</v>
      </c>
      <c r="AP3" s="346">
        <f t="shared" si="0"/>
        <v>0.135508542012758</v>
      </c>
      <c r="AQ3" s="346">
        <f t="shared" si="0"/>
        <v>5.4625837583653802E-2</v>
      </c>
      <c r="AR3" s="346">
        <f t="shared" si="0"/>
        <v>8.9985666831739669E-2</v>
      </c>
    </row>
    <row r="4" spans="1:44" x14ac:dyDescent="0.45">
      <c r="A4" s="348"/>
      <c r="B4" s="347"/>
      <c r="C4" s="347"/>
      <c r="D4" s="347"/>
      <c r="E4" s="347"/>
      <c r="F4" s="347"/>
      <c r="G4" s="347"/>
      <c r="H4" s="347"/>
      <c r="I4" s="347"/>
      <c r="J4" s="347"/>
      <c r="K4" s="347"/>
      <c r="L4" s="347"/>
      <c r="M4" s="347"/>
      <c r="N4" s="347"/>
      <c r="O4" s="347"/>
      <c r="P4" s="347"/>
      <c r="Q4" s="347"/>
      <c r="R4" s="347"/>
      <c r="S4" s="347"/>
      <c r="T4" s="347"/>
      <c r="U4" s="347"/>
      <c r="V4" s="347"/>
      <c r="W4" s="347"/>
      <c r="X4" s="347"/>
      <c r="Y4" s="347"/>
      <c r="Z4" s="347"/>
      <c r="AA4" s="347"/>
      <c r="AB4" s="347"/>
      <c r="AC4" s="347"/>
      <c r="AD4" s="347"/>
      <c r="AE4" s="347"/>
      <c r="AF4" s="347"/>
      <c r="AG4" s="347"/>
      <c r="AH4" s="347"/>
      <c r="AI4" s="347"/>
      <c r="AJ4" s="347"/>
      <c r="AK4" s="347"/>
      <c r="AL4" s="347"/>
      <c r="AM4" s="347"/>
      <c r="AN4" s="370"/>
      <c r="AO4" s="370"/>
      <c r="AP4" s="370"/>
      <c r="AQ4" s="370"/>
      <c r="AR4" s="347"/>
    </row>
    <row r="5" spans="1:44" ht="71.25" x14ac:dyDescent="0.45">
      <c r="A5" s="332" t="s">
        <v>126</v>
      </c>
      <c r="B5" s="332" t="s">
        <v>148</v>
      </c>
      <c r="C5" s="332" t="s">
        <v>149</v>
      </c>
      <c r="D5" s="332" t="s">
        <v>150</v>
      </c>
      <c r="E5" s="332" t="s">
        <v>151</v>
      </c>
      <c r="F5" s="332" t="s">
        <v>152</v>
      </c>
      <c r="G5" s="332" t="s">
        <v>111</v>
      </c>
      <c r="H5" s="332" t="s">
        <v>153</v>
      </c>
      <c r="I5" s="332" t="s">
        <v>154</v>
      </c>
      <c r="J5" s="332" t="s">
        <v>114</v>
      </c>
      <c r="K5" s="332" t="s">
        <v>155</v>
      </c>
      <c r="L5" s="332" t="s">
        <v>156</v>
      </c>
      <c r="M5" s="332" t="s">
        <v>157</v>
      </c>
      <c r="N5" s="332" t="s">
        <v>116</v>
      </c>
      <c r="O5" s="335" t="s">
        <v>158</v>
      </c>
      <c r="P5" s="335" t="s">
        <v>159</v>
      </c>
      <c r="Q5" s="335" t="s">
        <v>160</v>
      </c>
      <c r="R5" s="335" t="s">
        <v>161</v>
      </c>
      <c r="S5" s="335" t="s">
        <v>162</v>
      </c>
      <c r="T5" s="335" t="s">
        <v>163</v>
      </c>
      <c r="U5" s="335" t="s">
        <v>164</v>
      </c>
      <c r="V5" s="335" t="s">
        <v>165</v>
      </c>
      <c r="W5" s="335" t="s">
        <v>166</v>
      </c>
      <c r="X5" s="335" t="s">
        <v>121</v>
      </c>
      <c r="Y5" s="335" t="s">
        <v>167</v>
      </c>
      <c r="Z5" s="335" t="s">
        <v>168</v>
      </c>
      <c r="AA5" s="335" t="s">
        <v>169</v>
      </c>
      <c r="AB5" s="335" t="s">
        <v>128</v>
      </c>
      <c r="AC5" s="335" t="s">
        <v>170</v>
      </c>
      <c r="AD5" s="335" t="s">
        <v>171</v>
      </c>
      <c r="AE5" s="335" t="s">
        <v>79</v>
      </c>
      <c r="AF5" s="335" t="s">
        <v>129</v>
      </c>
      <c r="AG5" s="335" t="s">
        <v>130</v>
      </c>
      <c r="AH5" s="336" t="s">
        <v>13</v>
      </c>
      <c r="AI5" s="336" t="s">
        <v>190</v>
      </c>
      <c r="AJ5" s="336" t="s">
        <v>172</v>
      </c>
      <c r="AK5" s="336" t="s">
        <v>174</v>
      </c>
      <c r="AL5" s="336" t="s">
        <v>173</v>
      </c>
      <c r="AM5" s="336" t="s">
        <v>175</v>
      </c>
      <c r="AN5" s="371" t="s">
        <v>11</v>
      </c>
      <c r="AO5" s="371" t="s">
        <v>186</v>
      </c>
      <c r="AP5" s="371" t="s">
        <v>178</v>
      </c>
      <c r="AQ5" s="371" t="s">
        <v>179</v>
      </c>
      <c r="AR5" s="337" t="s">
        <v>12</v>
      </c>
    </row>
    <row r="6" spans="1:44" x14ac:dyDescent="0.45">
      <c r="A6" s="333" t="s">
        <v>193</v>
      </c>
      <c r="B6" s="363"/>
      <c r="C6" s="363"/>
      <c r="D6" s="363"/>
      <c r="E6" s="363"/>
      <c r="F6" s="363"/>
      <c r="G6" s="363"/>
      <c r="H6" s="363"/>
      <c r="I6" s="363"/>
      <c r="J6" s="363"/>
      <c r="K6" s="363"/>
      <c r="L6" s="363"/>
      <c r="M6" s="363"/>
      <c r="N6" s="363"/>
      <c r="O6" s="363"/>
      <c r="P6" s="363"/>
      <c r="Q6" s="363"/>
      <c r="R6" s="363"/>
      <c r="S6" s="363"/>
      <c r="T6" s="363"/>
      <c r="U6" s="363"/>
      <c r="V6" s="363"/>
      <c r="W6" s="363"/>
      <c r="X6" s="363"/>
      <c r="Y6" s="363"/>
      <c r="Z6" s="363"/>
      <c r="AA6" s="363"/>
      <c r="AB6" s="363"/>
      <c r="AC6" s="363"/>
      <c r="AD6" s="363"/>
      <c r="AE6" s="363"/>
      <c r="AF6" s="363"/>
      <c r="AG6" s="363"/>
      <c r="AH6" s="363"/>
      <c r="AI6" s="379"/>
      <c r="AJ6" s="363"/>
      <c r="AK6" s="363"/>
      <c r="AL6" s="318"/>
      <c r="AM6" s="318"/>
      <c r="AN6" s="367"/>
      <c r="AO6" s="367"/>
      <c r="AP6" s="367"/>
      <c r="AQ6" s="367"/>
      <c r="AR6" s="364"/>
    </row>
    <row r="7" spans="1:44" x14ac:dyDescent="0.45">
      <c r="A7" s="333" t="s">
        <v>17</v>
      </c>
      <c r="B7" s="363">
        <v>0</v>
      </c>
      <c r="C7" s="363">
        <v>41733954.886697702</v>
      </c>
      <c r="D7" s="363">
        <v>70747712.241594493</v>
      </c>
      <c r="E7" s="363">
        <v>27778174.469613802</v>
      </c>
      <c r="F7" s="363">
        <v>0</v>
      </c>
      <c r="G7" s="363">
        <v>20528026.196284998</v>
      </c>
      <c r="H7" s="363">
        <v>182864108.19251299</v>
      </c>
      <c r="I7" s="363">
        <v>0</v>
      </c>
      <c r="J7" s="363">
        <v>0</v>
      </c>
      <c r="K7" s="363">
        <v>0</v>
      </c>
      <c r="L7" s="363">
        <v>0</v>
      </c>
      <c r="M7" s="363">
        <v>735328.97685897397</v>
      </c>
      <c r="N7" s="363">
        <v>0</v>
      </c>
      <c r="O7" s="363">
        <v>344387304.96356302</v>
      </c>
      <c r="P7" s="363">
        <v>342862963.17899698</v>
      </c>
      <c r="Q7" s="363">
        <v>229018385.914359</v>
      </c>
      <c r="R7" s="363">
        <v>115368919.04920299</v>
      </c>
      <c r="S7" s="363">
        <v>24522329.721941002</v>
      </c>
      <c r="T7" s="363">
        <v>229018385.914359</v>
      </c>
      <c r="U7" s="363">
        <v>200465256.31846401</v>
      </c>
      <c r="V7" s="363">
        <v>28553129.595894899</v>
      </c>
      <c r="W7" s="363">
        <v>104562665.314155</v>
      </c>
      <c r="X7" s="363">
        <v>133873197.157242</v>
      </c>
      <c r="Y7" s="363">
        <v>-111389138.46252701</v>
      </c>
      <c r="Z7" s="363">
        <v>-5656542.8082760703</v>
      </c>
      <c r="AA7" s="363">
        <v>117928546.320594</v>
      </c>
      <c r="AB7" s="363">
        <v>433731443.64880002</v>
      </c>
      <c r="AC7" s="363">
        <v>0</v>
      </c>
      <c r="AD7" s="363">
        <v>-1343490.33810059</v>
      </c>
      <c r="AE7" s="363">
        <v>1907951940.8706901</v>
      </c>
      <c r="AF7" s="363">
        <v>37010663.919999897</v>
      </c>
      <c r="AG7" s="363">
        <v>68109708.010001704</v>
      </c>
      <c r="AH7" s="363">
        <v>2445460266.1100001</v>
      </c>
      <c r="AI7" s="379">
        <v>1765090897.29</v>
      </c>
      <c r="AJ7" s="363">
        <v>1322947422.50899</v>
      </c>
      <c r="AK7" s="363">
        <v>34991819.451502398</v>
      </c>
      <c r="AL7" s="318">
        <v>344204827.01712698</v>
      </c>
      <c r="AM7" s="318">
        <v>844562390.62656605</v>
      </c>
      <c r="AN7" s="367">
        <v>0.65620265296180902</v>
      </c>
      <c r="AO7" s="367">
        <v>0.30496926336008601</v>
      </c>
      <c r="AP7" s="367">
        <v>0.58468040543010702</v>
      </c>
      <c r="AQ7" s="367">
        <v>7.1522247531701694E-2</v>
      </c>
      <c r="AR7" s="364">
        <f>O7/$O$22</f>
        <v>0.26409269604427532</v>
      </c>
    </row>
    <row r="8" spans="1:44" x14ac:dyDescent="0.45">
      <c r="A8" s="333" t="s">
        <v>53</v>
      </c>
      <c r="B8" s="363">
        <v>0</v>
      </c>
      <c r="C8" s="363">
        <v>0</v>
      </c>
      <c r="D8" s="363">
        <v>0</v>
      </c>
      <c r="E8" s="363">
        <v>0</v>
      </c>
      <c r="F8" s="363">
        <v>1534414.52</v>
      </c>
      <c r="G8" s="363">
        <v>0</v>
      </c>
      <c r="H8" s="363">
        <v>0</v>
      </c>
      <c r="I8" s="363">
        <v>0</v>
      </c>
      <c r="J8" s="363">
        <v>0</v>
      </c>
      <c r="K8" s="363">
        <v>0</v>
      </c>
      <c r="L8" s="363">
        <v>0</v>
      </c>
      <c r="M8" s="363">
        <v>0</v>
      </c>
      <c r="N8" s="363">
        <v>0</v>
      </c>
      <c r="O8" s="363">
        <v>1534414.52</v>
      </c>
      <c r="P8" s="363">
        <v>1380973.06</v>
      </c>
      <c r="Q8" s="363">
        <v>131519.39000000001</v>
      </c>
      <c r="R8" s="363">
        <v>1402895.13</v>
      </c>
      <c r="S8" s="363">
        <v>3708985.98</v>
      </c>
      <c r="T8" s="363">
        <v>131519.39000000001</v>
      </c>
      <c r="U8" s="363">
        <v>0</v>
      </c>
      <c r="V8" s="363">
        <v>131519.39000000001</v>
      </c>
      <c r="W8" s="363">
        <v>1249453.67</v>
      </c>
      <c r="X8" s="363">
        <v>688767.79</v>
      </c>
      <c r="Y8" s="363">
        <v>-313255</v>
      </c>
      <c r="Z8" s="363">
        <v>-3708985.98</v>
      </c>
      <c r="AA8" s="363">
        <v>-2084019.52</v>
      </c>
      <c r="AB8" s="363">
        <v>322846.70999999897</v>
      </c>
      <c r="AC8" s="363">
        <v>0</v>
      </c>
      <c r="AD8" s="363">
        <v>0</v>
      </c>
      <c r="AE8" s="363">
        <v>6037709.1399999997</v>
      </c>
      <c r="AF8" s="363">
        <v>7894177.7599999998</v>
      </c>
      <c r="AG8" s="363">
        <v>5638069.1999999899</v>
      </c>
      <c r="AH8" s="363">
        <v>19922302.809999999</v>
      </c>
      <c r="AI8" s="363">
        <v>31121852.52</v>
      </c>
      <c r="AJ8" s="363">
        <v>15908990.35</v>
      </c>
      <c r="AK8" s="363">
        <v>0</v>
      </c>
      <c r="AL8" s="318">
        <v>722048.73</v>
      </c>
      <c r="AM8" s="318">
        <v>0</v>
      </c>
      <c r="AN8" s="367">
        <v>2.68577721566849</v>
      </c>
      <c r="AO8" s="367">
        <v>0.90476324715559597</v>
      </c>
      <c r="AP8" s="367">
        <v>0</v>
      </c>
      <c r="AQ8" s="367">
        <v>2.68577721566849</v>
      </c>
      <c r="AR8" s="364">
        <f>O8/$O$22</f>
        <v>1.1766626167569001E-3</v>
      </c>
    </row>
    <row r="9" spans="1:44" x14ac:dyDescent="0.45">
      <c r="A9" s="333" t="s">
        <v>20</v>
      </c>
      <c r="B9" s="363">
        <v>5633863.4622463603</v>
      </c>
      <c r="C9" s="363">
        <v>0</v>
      </c>
      <c r="D9" s="363">
        <v>0</v>
      </c>
      <c r="E9" s="363">
        <v>50648896.539719202</v>
      </c>
      <c r="F9" s="363">
        <v>743737.45068795397</v>
      </c>
      <c r="G9" s="363">
        <v>4152067.3422114998</v>
      </c>
      <c r="H9" s="363">
        <v>2286136.3814452998</v>
      </c>
      <c r="I9" s="363">
        <v>1539392.41546454</v>
      </c>
      <c r="J9" s="363">
        <v>0</v>
      </c>
      <c r="K9" s="363">
        <v>0</v>
      </c>
      <c r="L9" s="363">
        <v>0</v>
      </c>
      <c r="M9" s="363">
        <v>2090476.37884882</v>
      </c>
      <c r="N9" s="363">
        <v>382950.14442973601</v>
      </c>
      <c r="O9" s="363">
        <v>67477520.1150534</v>
      </c>
      <c r="P9" s="363">
        <v>67477520.1150534</v>
      </c>
      <c r="Q9" s="363">
        <v>43662881.586165696</v>
      </c>
      <c r="R9" s="363">
        <v>23814638.5288876</v>
      </c>
      <c r="S9" s="363">
        <v>23920262.739999998</v>
      </c>
      <c r="T9" s="363">
        <v>43662881.586165696</v>
      </c>
      <c r="U9" s="363">
        <v>2361940.6897977102</v>
      </c>
      <c r="V9" s="363">
        <v>41300940.896367997</v>
      </c>
      <c r="W9" s="363">
        <v>23814638.5288876</v>
      </c>
      <c r="X9" s="363">
        <v>20262167.059999999</v>
      </c>
      <c r="Y9" s="363">
        <v>351273.80326651299</v>
      </c>
      <c r="Z9" s="363">
        <v>-22302995.969999999</v>
      </c>
      <c r="AA9" s="363">
        <v>22125083.422154199</v>
      </c>
      <c r="AB9" s="363">
        <v>30419411.7999999</v>
      </c>
      <c r="AC9" s="363">
        <v>0</v>
      </c>
      <c r="AD9" s="363">
        <v>0</v>
      </c>
      <c r="AE9" s="363">
        <v>555296297.93999898</v>
      </c>
      <c r="AF9" s="363">
        <v>85414132.329999998</v>
      </c>
      <c r="AG9" s="363">
        <v>19380986.48</v>
      </c>
      <c r="AH9" s="363">
        <v>694142069.00999999</v>
      </c>
      <c r="AI9" s="363">
        <v>439916156.77757698</v>
      </c>
      <c r="AJ9" s="363">
        <v>78373206</v>
      </c>
      <c r="AK9" s="363">
        <v>0</v>
      </c>
      <c r="AL9" s="318">
        <v>292820394.77644497</v>
      </c>
      <c r="AM9" s="318">
        <v>0</v>
      </c>
      <c r="AN9" s="367">
        <v>0.38949569256524003</v>
      </c>
      <c r="AO9" s="367">
        <v>0.35292699684698198</v>
      </c>
      <c r="AP9" s="367">
        <v>3.5003371282324197E-2</v>
      </c>
      <c r="AQ9" s="367">
        <v>0.35449232128291602</v>
      </c>
      <c r="AR9" s="364">
        <f>O9/$O$22</f>
        <v>5.1744997427973435E-2</v>
      </c>
    </row>
    <row r="10" spans="1:44" x14ac:dyDescent="0.45">
      <c r="A10" s="333" t="s">
        <v>64</v>
      </c>
      <c r="B10" s="363"/>
      <c r="C10" s="363"/>
      <c r="D10" s="363"/>
      <c r="E10" s="363"/>
      <c r="F10" s="363"/>
      <c r="G10" s="363"/>
      <c r="H10" s="363"/>
      <c r="I10" s="363"/>
      <c r="J10" s="363"/>
      <c r="K10" s="363"/>
      <c r="L10" s="363"/>
      <c r="M10" s="363"/>
      <c r="N10" s="363"/>
      <c r="O10" s="363"/>
      <c r="P10" s="363"/>
      <c r="Q10" s="363"/>
      <c r="R10" s="363"/>
      <c r="S10" s="363"/>
      <c r="T10" s="363"/>
      <c r="U10" s="363"/>
      <c r="V10" s="363"/>
      <c r="W10" s="363"/>
      <c r="X10" s="363"/>
      <c r="Y10" s="363"/>
      <c r="Z10" s="363"/>
      <c r="AA10" s="363"/>
      <c r="AB10" s="363"/>
      <c r="AC10" s="363"/>
      <c r="AD10" s="363"/>
      <c r="AE10" s="363"/>
      <c r="AF10" s="363"/>
      <c r="AG10" s="363"/>
      <c r="AH10" s="363"/>
      <c r="AJ10" s="363"/>
      <c r="AK10" s="363"/>
      <c r="AL10" s="318"/>
      <c r="AM10" s="318"/>
      <c r="AN10" s="367"/>
      <c r="AO10" s="367"/>
      <c r="AP10" s="367"/>
      <c r="AQ10" s="367"/>
      <c r="AR10" s="364"/>
    </row>
    <row r="11" spans="1:44" x14ac:dyDescent="0.45">
      <c r="A11" s="333" t="s">
        <v>144</v>
      </c>
      <c r="B11" s="363"/>
      <c r="C11" s="363"/>
      <c r="D11" s="363"/>
      <c r="E11" s="363"/>
      <c r="F11" s="363"/>
      <c r="G11" s="363"/>
      <c r="H11" s="363"/>
      <c r="I11" s="363"/>
      <c r="J11" s="363"/>
      <c r="K11" s="363"/>
      <c r="L11" s="363"/>
      <c r="M11" s="363"/>
      <c r="N11" s="363"/>
      <c r="O11" s="363"/>
      <c r="P11" s="363"/>
      <c r="Q11" s="363"/>
      <c r="R11" s="363"/>
      <c r="S11" s="363"/>
      <c r="T11" s="363"/>
      <c r="U11" s="363"/>
      <c r="V11" s="363"/>
      <c r="W11" s="363"/>
      <c r="X11" s="363"/>
      <c r="Y11" s="363"/>
      <c r="Z11" s="363"/>
      <c r="AA11" s="363"/>
      <c r="AB11" s="363"/>
      <c r="AC11" s="363"/>
      <c r="AD11" s="363"/>
      <c r="AE11" s="363"/>
      <c r="AF11" s="363"/>
      <c r="AG11" s="363"/>
      <c r="AH11" s="363"/>
      <c r="AI11" s="318"/>
      <c r="AJ11" s="363"/>
      <c r="AK11" s="363"/>
      <c r="AL11" s="318"/>
      <c r="AM11" s="318"/>
      <c r="AN11" s="367"/>
      <c r="AO11" s="367"/>
      <c r="AP11" s="367"/>
      <c r="AQ11" s="367"/>
      <c r="AR11" s="364"/>
    </row>
    <row r="12" spans="1:44" x14ac:dyDescent="0.45">
      <c r="A12" s="333" t="s">
        <v>21</v>
      </c>
      <c r="B12" s="363">
        <v>0</v>
      </c>
      <c r="C12" s="363">
        <v>9843235</v>
      </c>
      <c r="D12" s="363">
        <v>0</v>
      </c>
      <c r="E12" s="363">
        <v>7348936</v>
      </c>
      <c r="F12" s="363">
        <v>5328371</v>
      </c>
      <c r="G12" s="363">
        <v>5140365</v>
      </c>
      <c r="H12" s="363">
        <v>0</v>
      </c>
      <c r="I12" s="363">
        <v>0</v>
      </c>
      <c r="J12" s="363">
        <v>0</v>
      </c>
      <c r="K12" s="363">
        <v>0</v>
      </c>
      <c r="L12" s="363">
        <v>0</v>
      </c>
      <c r="M12" s="363">
        <v>0</v>
      </c>
      <c r="N12" s="363">
        <v>0</v>
      </c>
      <c r="O12" s="363">
        <v>27660907</v>
      </c>
      <c r="P12" s="363">
        <v>25976146</v>
      </c>
      <c r="Q12" s="363">
        <v>27017426</v>
      </c>
      <c r="R12" s="363">
        <v>643481</v>
      </c>
      <c r="S12" s="363">
        <v>1592610</v>
      </c>
      <c r="T12" s="363">
        <v>27017426</v>
      </c>
      <c r="U12" s="363">
        <v>6847880</v>
      </c>
      <c r="V12" s="363">
        <v>20169546</v>
      </c>
      <c r="W12" s="363">
        <v>-1554958</v>
      </c>
      <c r="X12" s="363">
        <v>33626331</v>
      </c>
      <c r="Y12" s="363">
        <v>-31185256</v>
      </c>
      <c r="Z12" s="363">
        <v>-1592610</v>
      </c>
      <c r="AA12" s="363">
        <v>-2068019</v>
      </c>
      <c r="AB12" s="363">
        <v>30813499</v>
      </c>
      <c r="AC12" s="363">
        <v>6347824</v>
      </c>
      <c r="AD12" s="363">
        <v>1886310</v>
      </c>
      <c r="AE12" s="363">
        <v>349651075</v>
      </c>
      <c r="AF12" s="363">
        <v>2111714</v>
      </c>
      <c r="AG12" s="363">
        <v>7172820</v>
      </c>
      <c r="AH12" s="363">
        <v>398137145</v>
      </c>
      <c r="AI12" s="363">
        <v>306399592</v>
      </c>
      <c r="AJ12" s="363">
        <v>298416736</v>
      </c>
      <c r="AK12" s="363">
        <v>672</v>
      </c>
      <c r="AL12" s="318">
        <v>0</v>
      </c>
      <c r="AM12" s="318">
        <v>1552225.8504419799</v>
      </c>
      <c r="AN12" s="367">
        <v>0.324932343697175</v>
      </c>
      <c r="AO12" s="367">
        <v>-5.9860997085556797E-2</v>
      </c>
      <c r="AP12" s="367">
        <v>0.26362186291992601</v>
      </c>
      <c r="AQ12" s="367">
        <v>6.1310480777248398E-2</v>
      </c>
      <c r="AR12" s="364">
        <f>O12/$O$22</f>
        <v>2.1211709605360913E-2</v>
      </c>
    </row>
    <row r="13" spans="1:44" x14ac:dyDescent="0.45">
      <c r="A13" s="333" t="s">
        <v>91</v>
      </c>
      <c r="B13" s="363">
        <v>0</v>
      </c>
      <c r="C13" s="363">
        <v>0</v>
      </c>
      <c r="D13" s="363">
        <v>11304805.268982399</v>
      </c>
      <c r="E13" s="363">
        <v>8588088.7470908593</v>
      </c>
      <c r="F13" s="363">
        <v>6023523.1544722002</v>
      </c>
      <c r="G13" s="363">
        <v>0</v>
      </c>
      <c r="H13" s="363">
        <v>43930392.643566497</v>
      </c>
      <c r="I13" s="363">
        <v>21553766.401282798</v>
      </c>
      <c r="J13" s="363">
        <v>0</v>
      </c>
      <c r="K13" s="363">
        <v>0</v>
      </c>
      <c r="L13" s="363">
        <v>0</v>
      </c>
      <c r="M13" s="363">
        <v>25944286.969827101</v>
      </c>
      <c r="N13" s="363">
        <v>0</v>
      </c>
      <c r="O13" s="363">
        <v>117344863.185222</v>
      </c>
      <c r="P13" s="363">
        <v>113558699.798521</v>
      </c>
      <c r="Q13" s="363">
        <v>85525601.5</v>
      </c>
      <c r="R13" s="363">
        <v>31819261.685222</v>
      </c>
      <c r="S13" s="363">
        <v>6203239.0914049204</v>
      </c>
      <c r="T13" s="363">
        <v>85525601.5</v>
      </c>
      <c r="U13" s="363">
        <v>15388173.8425621</v>
      </c>
      <c r="V13" s="363">
        <v>70137427.657437801</v>
      </c>
      <c r="W13" s="363">
        <v>28196158.148521099</v>
      </c>
      <c r="X13" s="363">
        <v>0</v>
      </c>
      <c r="Y13" s="363">
        <v>13003620.182657899</v>
      </c>
      <c r="Z13" s="363">
        <v>-8005350.0914049204</v>
      </c>
      <c r="AA13" s="363">
        <v>31534706.823285501</v>
      </c>
      <c r="AB13" s="363">
        <v>17186781.0699999</v>
      </c>
      <c r="AC13" s="363">
        <v>0</v>
      </c>
      <c r="AD13" s="363">
        <v>0</v>
      </c>
      <c r="AE13" s="363">
        <v>535581164.328502</v>
      </c>
      <c r="AF13" s="363">
        <v>79706708.989999995</v>
      </c>
      <c r="AG13" s="363">
        <v>26355316.666999999</v>
      </c>
      <c r="AH13" s="363">
        <v>658829971.05999994</v>
      </c>
      <c r="AI13" s="363">
        <v>418420466.3858999</v>
      </c>
      <c r="AJ13" s="363">
        <v>288675904.92000002</v>
      </c>
      <c r="AK13" s="363">
        <v>0</v>
      </c>
      <c r="AL13" s="318">
        <v>122143494.718529</v>
      </c>
      <c r="AM13" s="318">
        <v>418963729.14775997</v>
      </c>
      <c r="AN13" s="367">
        <v>0.190134379596412</v>
      </c>
      <c r="AO13" s="367">
        <v>0.24829588748856299</v>
      </c>
      <c r="AP13" s="367">
        <v>0.135508542012758</v>
      </c>
      <c r="AQ13" s="367">
        <v>5.4625837583653802E-2</v>
      </c>
      <c r="AR13" s="364">
        <f t="shared" ref="AR13:AR20" si="1">O13/$O$22</f>
        <v>8.9985666831739669E-2</v>
      </c>
    </row>
    <row r="14" spans="1:44" x14ac:dyDescent="0.45">
      <c r="A14" s="333" t="s">
        <v>22</v>
      </c>
      <c r="B14" s="363">
        <v>23956572</v>
      </c>
      <c r="C14" s="363">
        <v>0</v>
      </c>
      <c r="D14" s="363">
        <v>0</v>
      </c>
      <c r="E14" s="363">
        <v>33506592.469999999</v>
      </c>
      <c r="F14" s="363">
        <v>1099341.3299999901</v>
      </c>
      <c r="G14" s="363">
        <v>3254874</v>
      </c>
      <c r="H14" s="363">
        <v>3653229.88</v>
      </c>
      <c r="I14" s="363">
        <v>0</v>
      </c>
      <c r="J14" s="363">
        <v>0</v>
      </c>
      <c r="K14" s="363">
        <v>0</v>
      </c>
      <c r="L14" s="363">
        <v>0</v>
      </c>
      <c r="M14" s="363">
        <v>0</v>
      </c>
      <c r="N14" s="363">
        <v>0</v>
      </c>
      <c r="O14" s="363">
        <v>65470609.68</v>
      </c>
      <c r="P14" s="363">
        <v>65470609.68</v>
      </c>
      <c r="Q14" s="363">
        <v>49770324</v>
      </c>
      <c r="R14" s="363">
        <v>15700285.68</v>
      </c>
      <c r="S14" s="363">
        <v>34042000</v>
      </c>
      <c r="T14" s="363">
        <v>49770324</v>
      </c>
      <c r="U14" s="363">
        <v>13275244</v>
      </c>
      <c r="V14" s="363">
        <v>36495080</v>
      </c>
      <c r="W14" s="363">
        <v>15700285.68</v>
      </c>
      <c r="X14" s="363">
        <v>32126000</v>
      </c>
      <c r="Y14" s="363">
        <v>-31689000</v>
      </c>
      <c r="Z14" s="363">
        <v>-34316000</v>
      </c>
      <c r="AA14" s="363">
        <v>-18178714.3199999</v>
      </c>
      <c r="AB14" s="363">
        <v>76904000</v>
      </c>
      <c r="AC14" s="363">
        <v>0</v>
      </c>
      <c r="AD14" s="363">
        <v>20115941</v>
      </c>
      <c r="AE14" s="363">
        <v>500838868.72946799</v>
      </c>
      <c r="AF14" s="363">
        <v>19673302.926815499</v>
      </c>
      <c r="AG14" s="363">
        <v>14027856.82</v>
      </c>
      <c r="AH14" s="363">
        <v>631588969.48000002</v>
      </c>
      <c r="AI14" s="363">
        <v>567967704.1394999</v>
      </c>
      <c r="AJ14" s="363">
        <v>456172499</v>
      </c>
      <c r="AK14" s="363">
        <v>0</v>
      </c>
      <c r="AL14" s="318">
        <v>98422000</v>
      </c>
      <c r="AM14" s="318">
        <v>0</v>
      </c>
      <c r="AN14" s="367">
        <v>0.72272496363287198</v>
      </c>
      <c r="AO14" s="367">
        <v>0.23980662096684499</v>
      </c>
      <c r="AP14" s="367">
        <v>0.20276646368324999</v>
      </c>
      <c r="AQ14" s="367">
        <v>0.51995849994962096</v>
      </c>
      <c r="AR14" s="364">
        <f t="shared" si="1"/>
        <v>5.0206002291179067E-2</v>
      </c>
    </row>
    <row r="15" spans="1:44" x14ac:dyDescent="0.45">
      <c r="A15" s="333" t="s">
        <v>192</v>
      </c>
      <c r="B15" s="363">
        <v>9126358</v>
      </c>
      <c r="C15" s="363">
        <v>0</v>
      </c>
      <c r="D15" s="363">
        <v>0</v>
      </c>
      <c r="E15" s="363">
        <v>3096616</v>
      </c>
      <c r="F15" s="363">
        <v>161529</v>
      </c>
      <c r="G15" s="363">
        <v>676424</v>
      </c>
      <c r="H15" s="363">
        <v>3658544</v>
      </c>
      <c r="I15" s="363">
        <v>591743</v>
      </c>
      <c r="J15" s="363">
        <v>0</v>
      </c>
      <c r="K15" s="363">
        <v>0</v>
      </c>
      <c r="L15" s="363">
        <v>0</v>
      </c>
      <c r="M15" s="363">
        <v>4407317</v>
      </c>
      <c r="N15" s="363">
        <v>0</v>
      </c>
      <c r="O15" s="363">
        <v>21718531</v>
      </c>
      <c r="P15" s="363">
        <v>21554682</v>
      </c>
      <c r="Q15" s="363">
        <v>9615687</v>
      </c>
      <c r="R15" s="363">
        <v>12102844</v>
      </c>
      <c r="S15" s="363">
        <v>0</v>
      </c>
      <c r="T15" s="363">
        <v>9615687</v>
      </c>
      <c r="U15" s="363">
        <v>2775628</v>
      </c>
      <c r="V15" s="363">
        <v>6840059</v>
      </c>
      <c r="W15" s="363">
        <v>12266693</v>
      </c>
      <c r="X15" s="363">
        <v>6132647</v>
      </c>
      <c r="Y15" s="363">
        <v>0</v>
      </c>
      <c r="Z15" s="363">
        <v>0</v>
      </c>
      <c r="AA15" s="363">
        <v>18399340</v>
      </c>
      <c r="AB15" s="363">
        <v>1668866</v>
      </c>
      <c r="AC15" s="363">
        <v>0</v>
      </c>
      <c r="AD15" s="363">
        <v>0</v>
      </c>
      <c r="AE15" s="363">
        <v>266732385</v>
      </c>
      <c r="AF15" s="363">
        <v>4627574</v>
      </c>
      <c r="AG15" s="363">
        <v>6713247</v>
      </c>
      <c r="AH15" s="363">
        <v>279742072</v>
      </c>
      <c r="AI15" s="363">
        <v>142270709</v>
      </c>
      <c r="AJ15" s="363">
        <v>8725367</v>
      </c>
      <c r="AK15" s="363">
        <v>0</v>
      </c>
      <c r="AL15" s="318">
        <v>91985823</v>
      </c>
      <c r="AM15" s="318">
        <v>0</v>
      </c>
      <c r="AN15" s="367">
        <v>0.128771465985904</v>
      </c>
      <c r="AO15" s="367">
        <v>0.56909644967158401</v>
      </c>
      <c r="AP15" s="367">
        <v>0.128771465985905</v>
      </c>
      <c r="AQ15" s="367">
        <v>0</v>
      </c>
      <c r="AR15" s="364">
        <f t="shared" si="1"/>
        <v>1.6654810799480609E-2</v>
      </c>
    </row>
    <row r="16" spans="1:44" x14ac:dyDescent="0.45">
      <c r="A16" s="333" t="s">
        <v>24</v>
      </c>
      <c r="B16" s="363">
        <v>78131396.781483904</v>
      </c>
      <c r="C16" s="363">
        <v>0</v>
      </c>
      <c r="D16" s="363">
        <v>0</v>
      </c>
      <c r="E16" s="363">
        <v>23814385.640387598</v>
      </c>
      <c r="F16" s="363">
        <v>9898400.7281814497</v>
      </c>
      <c r="G16" s="363">
        <v>-3429914.4893715</v>
      </c>
      <c r="H16" s="363">
        <v>48898030.175633498</v>
      </c>
      <c r="I16" s="363">
        <v>106999202.75153001</v>
      </c>
      <c r="J16" s="363">
        <v>0</v>
      </c>
      <c r="K16" s="363">
        <v>0</v>
      </c>
      <c r="L16" s="363">
        <v>-365315.58578665002</v>
      </c>
      <c r="M16" s="363">
        <v>0</v>
      </c>
      <c r="N16" s="363">
        <v>0</v>
      </c>
      <c r="O16" s="363">
        <v>263946186.00205901</v>
      </c>
      <c r="P16" s="363">
        <v>249712004.909116</v>
      </c>
      <c r="Q16" s="363">
        <v>231181211.64497399</v>
      </c>
      <c r="R16" s="363">
        <v>32764974.357084502</v>
      </c>
      <c r="S16" s="363">
        <v>11123542</v>
      </c>
      <c r="T16" s="363">
        <v>231181211.64497399</v>
      </c>
      <c r="U16" s="363">
        <v>109471030.11497401</v>
      </c>
      <c r="V16" s="363">
        <v>121710181.53</v>
      </c>
      <c r="W16" s="363">
        <v>22308953.1454565</v>
      </c>
      <c r="X16" s="363">
        <v>94239298.373962</v>
      </c>
      <c r="Y16" s="363">
        <v>-101994827.86</v>
      </c>
      <c r="Z16" s="363">
        <v>-11002386.960000001</v>
      </c>
      <c r="AA16" s="363">
        <v>3373484.8646954298</v>
      </c>
      <c r="AB16" s="363">
        <v>141369741.093059</v>
      </c>
      <c r="AC16" s="363">
        <v>6838383.050237</v>
      </c>
      <c r="AD16" s="363">
        <v>6138012.3682403602</v>
      </c>
      <c r="AE16" s="363">
        <v>1046232611.2649601</v>
      </c>
      <c r="AF16" s="363">
        <v>30927160.6533489</v>
      </c>
      <c r="AG16" s="363">
        <v>17274681.086906999</v>
      </c>
      <c r="AH16" s="363">
        <v>1264548497.02</v>
      </c>
      <c r="AI16" s="363">
        <v>972616385.24575806</v>
      </c>
      <c r="AJ16" s="363">
        <v>849344973.16178703</v>
      </c>
      <c r="AK16" s="363">
        <v>9207018.5523605403</v>
      </c>
      <c r="AL16" s="318">
        <v>0</v>
      </c>
      <c r="AM16" s="318">
        <v>380563529.24741799</v>
      </c>
      <c r="AN16" s="367">
        <v>0.482934619658616</v>
      </c>
      <c r="AO16" s="367">
        <v>8.9338729043387105E-2</v>
      </c>
      <c r="AP16" s="367">
        <v>0.43838913613631397</v>
      </c>
      <c r="AQ16" s="367">
        <v>4.4545483522301699E-2</v>
      </c>
      <c r="AR16" s="364">
        <f t="shared" si="1"/>
        <v>0.2024065895206637</v>
      </c>
    </row>
    <row r="17" spans="1:44" x14ac:dyDescent="0.45">
      <c r="A17" s="333" t="s">
        <v>25</v>
      </c>
      <c r="B17" s="363">
        <v>5821498</v>
      </c>
      <c r="C17" s="363">
        <v>0</v>
      </c>
      <c r="D17" s="363">
        <v>0</v>
      </c>
      <c r="E17" s="363">
        <v>962378</v>
      </c>
      <c r="F17" s="363">
        <v>0</v>
      </c>
      <c r="G17" s="363">
        <v>2497511</v>
      </c>
      <c r="H17" s="363">
        <v>125932</v>
      </c>
      <c r="I17" s="363">
        <v>294595</v>
      </c>
      <c r="J17" s="363">
        <v>0</v>
      </c>
      <c r="K17" s="363">
        <v>0</v>
      </c>
      <c r="L17" s="363">
        <v>0</v>
      </c>
      <c r="M17" s="363">
        <v>3970590</v>
      </c>
      <c r="N17" s="363">
        <v>5828758</v>
      </c>
      <c r="O17" s="363">
        <v>19501262</v>
      </c>
      <c r="P17" s="363">
        <v>19501262</v>
      </c>
      <c r="Q17" s="363">
        <v>19930654</v>
      </c>
      <c r="R17" s="363">
        <v>-429392</v>
      </c>
      <c r="S17" s="363">
        <v>8489932</v>
      </c>
      <c r="T17" s="363">
        <v>19930654</v>
      </c>
      <c r="U17" s="363">
        <v>158768</v>
      </c>
      <c r="V17" s="363">
        <v>19771886</v>
      </c>
      <c r="W17" s="363">
        <v>-429392</v>
      </c>
      <c r="X17" s="363">
        <v>23762641</v>
      </c>
      <c r="Y17" s="363">
        <v>0</v>
      </c>
      <c r="Z17" s="363">
        <v>-8097153</v>
      </c>
      <c r="AA17" s="363">
        <v>15236096</v>
      </c>
      <c r="AB17" s="363">
        <v>2115138</v>
      </c>
      <c r="AC17" s="363">
        <v>0</v>
      </c>
      <c r="AD17" s="363">
        <v>0</v>
      </c>
      <c r="AE17" s="363">
        <v>133787705</v>
      </c>
      <c r="AF17" s="363">
        <v>27909154</v>
      </c>
      <c r="AG17" s="363">
        <v>2159851</v>
      </c>
      <c r="AH17" s="363">
        <v>165992904</v>
      </c>
      <c r="AI17" s="363">
        <v>107501579</v>
      </c>
      <c r="AJ17" s="363">
        <v>104049529</v>
      </c>
      <c r="AK17" s="363">
        <v>0</v>
      </c>
      <c r="AL17" s="318">
        <v>0</v>
      </c>
      <c r="AM17" s="318">
        <v>24751458</v>
      </c>
      <c r="AN17" s="367">
        <v>0.44349437487686599</v>
      </c>
      <c r="AO17" s="367">
        <v>-2.2018677560457299E-2</v>
      </c>
      <c r="AP17" s="367">
        <v>8.1414218218287607E-3</v>
      </c>
      <c r="AQ17" s="367">
        <v>0.43535295305503802</v>
      </c>
      <c r="AR17" s="364">
        <f t="shared" si="1"/>
        <v>1.4954502630085837E-2</v>
      </c>
    </row>
    <row r="18" spans="1:44" x14ac:dyDescent="0.45">
      <c r="A18" s="333" t="s">
        <v>189</v>
      </c>
      <c r="B18" s="363">
        <v>17480360</v>
      </c>
      <c r="C18" s="363">
        <v>0</v>
      </c>
      <c r="D18" s="363">
        <v>0</v>
      </c>
      <c r="E18" s="363">
        <v>44585366</v>
      </c>
      <c r="F18" s="363">
        <v>0</v>
      </c>
      <c r="G18" s="363">
        <v>32662896</v>
      </c>
      <c r="H18" s="363">
        <v>14450222</v>
      </c>
      <c r="I18" s="363">
        <v>0</v>
      </c>
      <c r="J18" s="363">
        <v>0</v>
      </c>
      <c r="K18" s="363">
        <v>0</v>
      </c>
      <c r="L18" s="363">
        <v>0</v>
      </c>
      <c r="M18" s="363">
        <v>46554242</v>
      </c>
      <c r="N18" s="363">
        <v>0</v>
      </c>
      <c r="O18" s="363">
        <v>155733086</v>
      </c>
      <c r="P18" s="363">
        <v>138523108</v>
      </c>
      <c r="Q18" s="363">
        <v>117638343</v>
      </c>
      <c r="R18" s="363">
        <v>38094743</v>
      </c>
      <c r="S18" s="363">
        <v>2079524</v>
      </c>
      <c r="T18" s="363">
        <v>117638343</v>
      </c>
      <c r="U18" s="363">
        <v>68782852</v>
      </c>
      <c r="V18" s="363">
        <v>48855491</v>
      </c>
      <c r="W18" s="363">
        <v>20884765</v>
      </c>
      <c r="X18" s="363">
        <v>9940524</v>
      </c>
      <c r="Y18" s="363">
        <v>-17154148</v>
      </c>
      <c r="Z18" s="363">
        <v>-1664149</v>
      </c>
      <c r="AA18" s="363">
        <v>11931579</v>
      </c>
      <c r="AB18" s="363">
        <v>35363623</v>
      </c>
      <c r="AC18" s="363">
        <v>0</v>
      </c>
      <c r="AD18" s="363">
        <v>6086309</v>
      </c>
      <c r="AE18" s="363">
        <v>257394020</v>
      </c>
      <c r="AF18" s="363">
        <v>1935398</v>
      </c>
      <c r="AG18" s="363">
        <v>9957238</v>
      </c>
      <c r="AH18" s="363">
        <v>310736588</v>
      </c>
      <c r="AI18" s="363">
        <v>152632596</v>
      </c>
      <c r="AJ18" s="363">
        <v>75930270</v>
      </c>
      <c r="AK18" s="363">
        <v>13333367.460000001</v>
      </c>
      <c r="AL18" s="318">
        <v>13415481</v>
      </c>
      <c r="AM18" s="318">
        <v>0</v>
      </c>
      <c r="AN18" s="367">
        <v>0.51155635347136397</v>
      </c>
      <c r="AO18" s="367">
        <v>0.15076737232895401</v>
      </c>
      <c r="AP18" s="367">
        <v>0.49654424444475997</v>
      </c>
      <c r="AQ18" s="367">
        <v>1.5012109026603699E-2</v>
      </c>
      <c r="AR18" s="364">
        <f t="shared" si="1"/>
        <v>0.11942359649228773</v>
      </c>
    </row>
    <row r="19" spans="1:44" x14ac:dyDescent="0.45">
      <c r="A19" s="333" t="s">
        <v>27</v>
      </c>
      <c r="B19" s="363"/>
      <c r="C19" s="363"/>
      <c r="D19" s="363"/>
      <c r="E19" s="363"/>
      <c r="F19" s="363"/>
      <c r="G19" s="363"/>
      <c r="H19" s="363"/>
      <c r="I19" s="363"/>
      <c r="J19" s="363"/>
      <c r="K19" s="363"/>
      <c r="L19" s="363"/>
      <c r="M19" s="363"/>
      <c r="N19" s="363"/>
      <c r="O19" s="363"/>
      <c r="P19" s="363"/>
      <c r="Q19" s="363"/>
      <c r="R19" s="363"/>
      <c r="S19" s="363"/>
      <c r="T19" s="363"/>
      <c r="U19" s="363"/>
      <c r="V19" s="363"/>
      <c r="W19" s="363"/>
      <c r="X19" s="363"/>
      <c r="Y19" s="363"/>
      <c r="Z19" s="363"/>
      <c r="AA19" s="363"/>
      <c r="AB19" s="363"/>
      <c r="AC19" s="363"/>
      <c r="AD19" s="363"/>
      <c r="AE19" s="363"/>
      <c r="AF19" s="363"/>
      <c r="AG19" s="363"/>
      <c r="AH19" s="363"/>
      <c r="AI19" s="363"/>
      <c r="AJ19" s="363"/>
      <c r="AK19" s="363"/>
      <c r="AL19" s="318"/>
      <c r="AM19" s="318"/>
      <c r="AN19" s="367"/>
      <c r="AO19" s="367"/>
      <c r="AP19" s="367"/>
      <c r="AQ19" s="367"/>
      <c r="AR19" s="364">
        <f t="shared" si="1"/>
        <v>0</v>
      </c>
    </row>
    <row r="20" spans="1:44" x14ac:dyDescent="0.45">
      <c r="A20" s="333" t="s">
        <v>28</v>
      </c>
      <c r="B20" s="363">
        <v>4847324</v>
      </c>
      <c r="C20" s="363">
        <v>0</v>
      </c>
      <c r="D20" s="363">
        <v>0</v>
      </c>
      <c r="E20" s="363">
        <v>54446484</v>
      </c>
      <c r="F20" s="363">
        <v>27614746</v>
      </c>
      <c r="G20" s="363">
        <v>0</v>
      </c>
      <c r="H20" s="363">
        <v>0</v>
      </c>
      <c r="I20" s="363">
        <v>132356252.674843</v>
      </c>
      <c r="J20" s="363">
        <v>0</v>
      </c>
      <c r="K20" s="363">
        <v>0</v>
      </c>
      <c r="L20" s="363">
        <v>0</v>
      </c>
      <c r="M20" s="363">
        <v>0</v>
      </c>
      <c r="N20" s="363">
        <v>0</v>
      </c>
      <c r="O20" s="363">
        <v>219264806.67484301</v>
      </c>
      <c r="P20" s="363">
        <v>211018023.67484301</v>
      </c>
      <c r="Q20" s="363">
        <v>165003336.76980501</v>
      </c>
      <c r="R20" s="363">
        <v>54261469.905037597</v>
      </c>
      <c r="S20" s="363">
        <v>16781173</v>
      </c>
      <c r="T20" s="363">
        <v>165003336.76980501</v>
      </c>
      <c r="U20" s="363">
        <v>50786332</v>
      </c>
      <c r="V20" s="363">
        <v>114217004.769805</v>
      </c>
      <c r="W20" s="363">
        <v>47575137.905037597</v>
      </c>
      <c r="X20" s="363">
        <v>109035012</v>
      </c>
      <c r="Y20" s="363">
        <v>-149563750.45330101</v>
      </c>
      <c r="Z20" s="363">
        <v>-50009956.189999998</v>
      </c>
      <c r="AA20" s="363">
        <v>-43883298.738263696</v>
      </c>
      <c r="AB20" s="363">
        <v>56598990.259999901</v>
      </c>
      <c r="AC20" s="363">
        <v>33918397</v>
      </c>
      <c r="AD20" s="363">
        <v>537626.59433780203</v>
      </c>
      <c r="AE20" s="363">
        <v>2021314994</v>
      </c>
      <c r="AF20" s="363">
        <v>621170604.93882</v>
      </c>
      <c r="AG20" s="363">
        <v>62484174.904606901</v>
      </c>
      <c r="AH20" s="363">
        <v>2796203507.2600002</v>
      </c>
      <c r="AI20" s="363">
        <v>1701197918.0000002</v>
      </c>
      <c r="AJ20" s="363">
        <v>1534850683</v>
      </c>
      <c r="AK20" s="363">
        <v>0</v>
      </c>
      <c r="AL20" s="318">
        <v>0</v>
      </c>
      <c r="AM20" s="318">
        <v>818181964.77881098</v>
      </c>
      <c r="AN20" s="367">
        <v>0.32019779080157801</v>
      </c>
      <c r="AO20" s="367">
        <v>0.225455328774882</v>
      </c>
      <c r="AP20" s="367">
        <v>0.240672958241028</v>
      </c>
      <c r="AQ20" s="367">
        <v>7.9524832560549596E-2</v>
      </c>
      <c r="AR20" s="364">
        <f t="shared" si="1"/>
        <v>0.16814276574019685</v>
      </c>
    </row>
    <row r="21" spans="1:44" x14ac:dyDescent="0.45">
      <c r="A21" s="333" t="s">
        <v>31</v>
      </c>
      <c r="B21" s="363"/>
      <c r="C21" s="363"/>
      <c r="D21" s="363"/>
      <c r="E21" s="363"/>
      <c r="F21" s="363"/>
      <c r="G21" s="363"/>
      <c r="H21" s="363"/>
      <c r="I21" s="363"/>
      <c r="J21" s="363"/>
      <c r="K21" s="363"/>
      <c r="L21" s="363"/>
      <c r="M21" s="363"/>
      <c r="N21" s="363"/>
      <c r="O21" s="363"/>
      <c r="P21" s="363"/>
      <c r="Q21" s="363"/>
      <c r="R21" s="363"/>
      <c r="S21" s="363"/>
      <c r="T21" s="363"/>
      <c r="U21" s="363"/>
      <c r="V21" s="363"/>
      <c r="W21" s="363"/>
      <c r="X21" s="363"/>
      <c r="Y21" s="363"/>
      <c r="Z21" s="363"/>
      <c r="AA21" s="363"/>
      <c r="AB21" s="363"/>
      <c r="AC21" s="363"/>
      <c r="AD21" s="363"/>
      <c r="AE21" s="363"/>
      <c r="AF21" s="363"/>
      <c r="AG21" s="363"/>
      <c r="AH21" s="363"/>
      <c r="AI21" s="363"/>
      <c r="AJ21" s="363"/>
      <c r="AK21" s="363"/>
      <c r="AL21" s="318"/>
      <c r="AM21" s="318"/>
      <c r="AN21" s="367"/>
      <c r="AO21" s="367"/>
      <c r="AP21" s="367"/>
      <c r="AQ21" s="367"/>
      <c r="AR21" s="364"/>
    </row>
    <row r="22" spans="1:44" x14ac:dyDescent="0.45">
      <c r="A22" s="357" t="s">
        <v>67</v>
      </c>
      <c r="B22" s="358"/>
      <c r="C22" s="358"/>
      <c r="D22" s="358"/>
      <c r="E22" s="358"/>
      <c r="F22" s="358"/>
      <c r="G22" s="358"/>
      <c r="H22" s="358"/>
      <c r="I22" s="358"/>
      <c r="J22" s="358"/>
      <c r="K22" s="358"/>
      <c r="L22" s="358"/>
      <c r="M22" s="358"/>
      <c r="N22" s="358"/>
      <c r="O22" s="358">
        <f t="shared" ref="O22:V22" si="2">SUM(O6:O21)</f>
        <v>1304039491.1407404</v>
      </c>
      <c r="P22" s="358">
        <f t="shared" si="2"/>
        <v>1257035992.4165304</v>
      </c>
      <c r="Q22" s="358">
        <f t="shared" si="2"/>
        <v>978495370.80530357</v>
      </c>
      <c r="R22" s="358">
        <f t="shared" si="2"/>
        <v>325544120.33543473</v>
      </c>
      <c r="S22" s="360">
        <f t="shared" si="2"/>
        <v>132463598.53334592</v>
      </c>
      <c r="T22" s="360">
        <f t="shared" si="2"/>
        <v>978495370.80530357</v>
      </c>
      <c r="U22" s="360">
        <f t="shared" si="2"/>
        <v>470313104.96579784</v>
      </c>
      <c r="V22" s="360">
        <f t="shared" si="2"/>
        <v>508182265.83950573</v>
      </c>
      <c r="W22" s="360">
        <f>SUM(W6:W20)</f>
        <v>274574400.39205778</v>
      </c>
      <c r="X22" s="360">
        <f t="shared" ref="X22:AM22" si="3">SUM(X6:X21)</f>
        <v>463686585.38120401</v>
      </c>
      <c r="Y22" s="360">
        <f t="shared" si="3"/>
        <v>-429934481.78990364</v>
      </c>
      <c r="Z22" s="360">
        <f t="shared" si="3"/>
        <v>-146356129.999681</v>
      </c>
      <c r="AA22" s="360">
        <f t="shared" si="3"/>
        <v>154314784.85246551</v>
      </c>
      <c r="AB22" s="360">
        <f t="shared" si="3"/>
        <v>826494340.58185875</v>
      </c>
      <c r="AC22" s="360">
        <f t="shared" si="3"/>
        <v>47104604.050237</v>
      </c>
      <c r="AD22" s="360">
        <f t="shared" si="3"/>
        <v>33420708.624477573</v>
      </c>
      <c r="AE22" s="360">
        <f t="shared" si="3"/>
        <v>7580818771.2736197</v>
      </c>
      <c r="AF22" s="360">
        <f t="shared" si="3"/>
        <v>918380591.51898432</v>
      </c>
      <c r="AG22" s="360">
        <f t="shared" si="3"/>
        <v>239273949.16851559</v>
      </c>
      <c r="AH22" s="360">
        <f t="shared" si="3"/>
        <v>9665304291.75</v>
      </c>
      <c r="AI22" s="360">
        <f t="shared" si="3"/>
        <v>6605135856.3587351</v>
      </c>
      <c r="AJ22" s="360">
        <f t="shared" si="3"/>
        <v>5033395580.9407768</v>
      </c>
      <c r="AK22" s="360">
        <f>SUM(AK6:AK21)</f>
        <v>57532877.463862941</v>
      </c>
      <c r="AL22" s="360">
        <f>SUM(AL6:AL21)</f>
        <v>963714069.24210095</v>
      </c>
      <c r="AM22" s="360">
        <f t="shared" si="3"/>
        <v>2488575297.6509972</v>
      </c>
      <c r="AN22" s="368">
        <f>SUM(AN6:AN21)/COUNT(AN6:AN21)</f>
        <v>0.62329289571966584</v>
      </c>
      <c r="AO22" s="368">
        <f>SUM(AO6:AO21)/COUNT(AO6:AO21)</f>
        <v>0.27304911099916956</v>
      </c>
      <c r="AP22" s="368">
        <f>SUM(AP6:AP21)/COUNT(AP6:AP21)</f>
        <v>0.2303727156325637</v>
      </c>
      <c r="AQ22" s="368">
        <f>SUM(AQ6:AQ21)/COUNT(AQ6:AQ21)</f>
        <v>0.39292018008710217</v>
      </c>
      <c r="AR22" s="364">
        <f>SUM(AR7:AR20)</f>
        <v>1</v>
      </c>
    </row>
  </sheetData>
  <mergeCells count="1">
    <mergeCell ref="B1:AR1"/>
  </mergeCells>
  <dataValidations count="1">
    <dataValidation type="list" allowBlank="1" showInputMessage="1" showErrorMessage="1" sqref="A3" xr:uid="{7346FF80-BE30-458B-9111-558E5BC334EC}">
      <formula1>$A$6:$A$22</formula1>
    </dataValidation>
  </dataValidations>
  <pageMargins left="0.7" right="0.7" top="0.75" bottom="0.75" header="0.3" footer="0.3"/>
  <legacy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68D65-4256-46B2-99B1-161C6200BD58}">
  <dimension ref="A1:AR22"/>
  <sheetViews>
    <sheetView workbookViewId="0">
      <selection activeCell="A7" sqref="A7"/>
    </sheetView>
  </sheetViews>
  <sheetFormatPr defaultRowHeight="14.25" x14ac:dyDescent="0.45"/>
  <cols>
    <col min="1" max="1" width="57.59765625" bestFit="1" customWidth="1"/>
    <col min="2" max="44" width="18.3984375" customWidth="1"/>
  </cols>
  <sheetData>
    <row r="1" spans="1:44" ht="20.65" x14ac:dyDescent="0.55000000000000004">
      <c r="A1" s="341" t="s">
        <v>231</v>
      </c>
      <c r="B1" s="388" t="s">
        <v>99</v>
      </c>
      <c r="C1" s="388"/>
      <c r="D1" s="388"/>
      <c r="E1" s="388"/>
      <c r="F1" s="388"/>
      <c r="G1" s="388"/>
      <c r="H1" s="388"/>
      <c r="I1" s="388"/>
      <c r="J1" s="388"/>
      <c r="K1" s="388"/>
      <c r="L1" s="388"/>
      <c r="M1" s="388"/>
      <c r="N1" s="388"/>
      <c r="O1" s="388"/>
      <c r="P1" s="388"/>
      <c r="Q1" s="388"/>
      <c r="R1" s="388"/>
      <c r="S1" s="388"/>
      <c r="T1" s="388"/>
      <c r="U1" s="388"/>
      <c r="V1" s="388"/>
      <c r="W1" s="388"/>
      <c r="X1" s="388"/>
      <c r="Y1" s="388"/>
      <c r="Z1" s="388"/>
      <c r="AA1" s="388"/>
      <c r="AB1" s="388"/>
      <c r="AC1" s="388"/>
      <c r="AD1" s="388"/>
      <c r="AE1" s="388"/>
      <c r="AF1" s="388"/>
      <c r="AG1" s="388"/>
      <c r="AH1" s="388"/>
      <c r="AI1" s="388"/>
      <c r="AJ1" s="388"/>
      <c r="AK1" s="388"/>
      <c r="AL1" s="388"/>
      <c r="AM1" s="388"/>
      <c r="AN1" s="388"/>
      <c r="AO1" s="388"/>
      <c r="AP1" s="388"/>
      <c r="AQ1" s="388"/>
      <c r="AR1" s="388"/>
    </row>
    <row r="2" spans="1:44" ht="42.75" x14ac:dyDescent="0.45">
      <c r="A2" s="349"/>
      <c r="B2" s="332" t="str">
        <f>B5</f>
        <v>Universal Life Products</v>
      </c>
      <c r="C2" s="332" t="str">
        <f t="shared" ref="C2:AR2" si="0">C5</f>
        <v>Unit-Linked Policies</v>
      </c>
      <c r="D2" s="332" t="str">
        <f t="shared" si="0"/>
        <v>Investment-Linked Policies</v>
      </c>
      <c r="E2" s="332" t="str">
        <f t="shared" si="0"/>
        <v>Group Policies</v>
      </c>
      <c r="F2" s="332" t="str">
        <f t="shared" si="0"/>
        <v>Term</v>
      </c>
      <c r="G2" s="332" t="str">
        <f t="shared" si="0"/>
        <v>Credit Life</v>
      </c>
      <c r="H2" s="332" t="str">
        <f t="shared" si="0"/>
        <v>Whole Life</v>
      </c>
      <c r="I2" s="332" t="str">
        <f t="shared" si="0"/>
        <v>Endowment Policy</v>
      </c>
      <c r="J2" s="332" t="str">
        <f t="shared" si="0"/>
        <v>Annuities</v>
      </c>
      <c r="K2" s="332" t="str">
        <f t="shared" si="0"/>
        <v>Critical Illness (Dread Disease)</v>
      </c>
      <c r="L2" s="332" t="str">
        <f t="shared" si="0"/>
        <v>Total and permanent disability &amp; income protection</v>
      </c>
      <c r="M2" s="332" t="str">
        <f t="shared" si="0"/>
        <v>Microinsurance</v>
      </c>
      <c r="N2" s="332" t="str">
        <f t="shared" si="0"/>
        <v>Other Approved Products</v>
      </c>
      <c r="O2" s="332" t="str">
        <f t="shared" si="0"/>
        <v>Insurance revenue</v>
      </c>
      <c r="P2" s="332" t="str">
        <f t="shared" si="0"/>
        <v>Insurance services expenses</v>
      </c>
      <c r="Q2" s="332" t="str">
        <f t="shared" si="0"/>
        <v>Insurance service result from insurance contracts issued</v>
      </c>
      <c r="R2" s="332" t="str">
        <f t="shared" si="0"/>
        <v>Total Incurred Claims</v>
      </c>
      <c r="S2" s="332" t="str">
        <f t="shared" si="0"/>
        <v>Non-Attributable Expenses</v>
      </c>
      <c r="T2" s="332" t="str">
        <f t="shared" si="0"/>
        <v>Acquisition Cashflow</v>
      </c>
      <c r="U2" s="332" t="str">
        <f t="shared" si="0"/>
        <v>Total Attributable Expenses</v>
      </c>
      <c r="V2" s="332" t="str">
        <f t="shared" si="0"/>
        <v>Insurance service result</v>
      </c>
      <c r="W2" s="332" t="str">
        <f t="shared" si="0"/>
        <v>Net investment income</v>
      </c>
      <c r="X2" s="332" t="str">
        <f t="shared" si="0"/>
        <v>Total insurance finance income or expenses</v>
      </c>
      <c r="Y2" s="332" t="str">
        <f t="shared" si="0"/>
        <v>Total other income and expenses</v>
      </c>
      <c r="Z2" s="332" t="str">
        <f t="shared" si="0"/>
        <v>Profit for the year</v>
      </c>
      <c r="AA2" s="332" t="str">
        <f t="shared" si="0"/>
        <v>Cash  and cash equivalents</v>
      </c>
      <c r="AB2" s="332" t="str">
        <f t="shared" si="0"/>
        <v>Insurance contract assets</v>
      </c>
      <c r="AC2" s="332" t="str">
        <f t="shared" si="0"/>
        <v>Reinsurance contract assets</v>
      </c>
      <c r="AD2" s="332" t="str">
        <f t="shared" si="0"/>
        <v>Total Investments</v>
      </c>
      <c r="AE2" s="332" t="str">
        <f t="shared" si="0"/>
        <v>Total Receivables</v>
      </c>
      <c r="AF2" s="332" t="str">
        <f t="shared" si="0"/>
        <v>Total Property, Plant &amp; Equipment</v>
      </c>
      <c r="AG2" s="332" t="str">
        <f t="shared" si="0"/>
        <v>Total Assets</v>
      </c>
      <c r="AH2" s="332" t="str">
        <f t="shared" si="0"/>
        <v>Total Liabilities</v>
      </c>
      <c r="AI2" s="332" t="str">
        <f t="shared" si="0"/>
        <v>Insurance contract liabilities:</v>
      </c>
      <c r="AJ2" s="332" t="str">
        <f t="shared" si="0"/>
        <v>Reinsurance contract liabilities</v>
      </c>
      <c r="AK2" s="332" t="str">
        <f t="shared" si="0"/>
        <v>Investment Contracts Liabilities</v>
      </c>
      <c r="AL2" s="332" t="str">
        <f t="shared" si="0"/>
        <v>CSM</v>
      </c>
      <c r="AM2" s="332" t="str">
        <f t="shared" si="0"/>
        <v>Technical Results Margin</v>
      </c>
      <c r="AN2" s="332" t="str">
        <f t="shared" si="0"/>
        <v>Expense Ratio</v>
      </c>
      <c r="AO2" s="332" t="str">
        <f t="shared" si="0"/>
        <v>Attributable Expense Ratio</v>
      </c>
      <c r="AP2" s="332" t="str">
        <f t="shared" si="0"/>
        <v>Non-attributable Expense Ratio</v>
      </c>
      <c r="AQ2" s="332" t="str">
        <f t="shared" si="0"/>
        <v>Market Share</v>
      </c>
      <c r="AR2" s="332" t="str">
        <f t="shared" si="0"/>
        <v>Share of Insurance Service Results</v>
      </c>
    </row>
    <row r="3" spans="1:44" ht="15.4" x14ac:dyDescent="0.45">
      <c r="A3" s="387" t="s">
        <v>225</v>
      </c>
      <c r="B3" s="345">
        <f t="shared" ref="B3:AR3" si="1">INDEX(B6:B22,MATCH($A$3,$A$6:$A$22,0))</f>
        <v>0</v>
      </c>
      <c r="C3" s="345">
        <f t="shared" si="1"/>
        <v>0</v>
      </c>
      <c r="D3" s="345">
        <f t="shared" si="1"/>
        <v>10677503.123385901</v>
      </c>
      <c r="E3" s="345">
        <f t="shared" si="1"/>
        <v>9979790.8331325091</v>
      </c>
      <c r="F3" s="345">
        <f t="shared" si="1"/>
        <v>10842728.737149</v>
      </c>
      <c r="G3" s="345">
        <f t="shared" si="1"/>
        <v>0</v>
      </c>
      <c r="H3" s="345">
        <f t="shared" si="1"/>
        <v>61651459.108231999</v>
      </c>
      <c r="I3" s="345">
        <f t="shared" si="1"/>
        <v>38801248.909042098</v>
      </c>
      <c r="J3" s="345">
        <f t="shared" si="1"/>
        <v>0</v>
      </c>
      <c r="K3" s="345">
        <f t="shared" si="1"/>
        <v>0</v>
      </c>
      <c r="L3" s="345">
        <f t="shared" si="1"/>
        <v>0</v>
      </c>
      <c r="M3" s="345">
        <f t="shared" si="1"/>
        <v>38973530.063196696</v>
      </c>
      <c r="N3" s="345">
        <f t="shared" si="1"/>
        <v>0</v>
      </c>
      <c r="O3" s="345">
        <f t="shared" si="1"/>
        <v>170926260.774138</v>
      </c>
      <c r="P3" s="345">
        <f t="shared" si="1"/>
        <v>141928683.867109</v>
      </c>
      <c r="Q3" s="345">
        <f t="shared" si="1"/>
        <v>28997576.9070292</v>
      </c>
      <c r="R3" s="345">
        <f t="shared" si="1"/>
        <v>109984954.99231689</v>
      </c>
      <c r="S3" s="345">
        <f t="shared" si="1"/>
        <v>12268432.859999999</v>
      </c>
      <c r="T3" s="345">
        <f t="shared" si="1"/>
        <v>25893256.576666947</v>
      </c>
      <c r="U3" s="345">
        <f t="shared" si="1"/>
        <v>141928683.867109</v>
      </c>
      <c r="V3" s="345">
        <f t="shared" si="1"/>
        <v>33819567.9090809</v>
      </c>
      <c r="W3" s="345">
        <f t="shared" si="1"/>
        <v>-3265300.14</v>
      </c>
      <c r="X3" s="345">
        <f t="shared" si="1"/>
        <v>6603395.0099999905</v>
      </c>
      <c r="Y3" s="345">
        <f t="shared" si="1"/>
        <v>37440668.850000702</v>
      </c>
      <c r="Z3" s="345">
        <f t="shared" si="1"/>
        <v>70868415.080627605</v>
      </c>
      <c r="AA3" s="345">
        <f t="shared" si="1"/>
        <v>10602767.92</v>
      </c>
      <c r="AB3" s="345">
        <f t="shared" si="1"/>
        <v>0</v>
      </c>
      <c r="AC3" s="345">
        <f t="shared" si="1"/>
        <v>0</v>
      </c>
      <c r="AD3" s="345">
        <f t="shared" si="1"/>
        <v>601081362.3822</v>
      </c>
      <c r="AE3" s="345">
        <f t="shared" si="1"/>
        <v>83582416</v>
      </c>
      <c r="AF3" s="345">
        <f t="shared" si="1"/>
        <v>25818338.886999998</v>
      </c>
      <c r="AG3" s="345">
        <f t="shared" si="1"/>
        <v>721084885.19000006</v>
      </c>
      <c r="AH3" s="345">
        <f t="shared" si="1"/>
        <v>441164956.71225905</v>
      </c>
      <c r="AI3" s="345">
        <f t="shared" si="1"/>
        <v>303239606</v>
      </c>
      <c r="AJ3" s="345">
        <f t="shared" si="1"/>
        <v>0</v>
      </c>
      <c r="AK3" s="345">
        <f t="shared" si="1"/>
        <v>127213456</v>
      </c>
      <c r="AL3" s="345">
        <f t="shared" si="1"/>
        <v>517059753.26329601</v>
      </c>
      <c r="AM3" s="346">
        <f t="shared" si="1"/>
        <v>0.19786057306764632</v>
      </c>
      <c r="AN3" s="346">
        <f t="shared" si="1"/>
        <v>0.2205567576579251</v>
      </c>
      <c r="AO3" s="346">
        <f t="shared" si="1"/>
        <v>0.83035036994492961</v>
      </c>
      <c r="AP3" s="346">
        <f t="shared" si="1"/>
        <v>7.1776172979127584E-2</v>
      </c>
      <c r="AQ3" s="346">
        <f t="shared" si="1"/>
        <v>7.7350906641715247E-2</v>
      </c>
      <c r="AR3" s="346">
        <f t="shared" si="1"/>
        <v>6.1504882767961344E-2</v>
      </c>
    </row>
    <row r="5" spans="1:44" ht="42.75" x14ac:dyDescent="0.45">
      <c r="A5" s="332" t="s">
        <v>195</v>
      </c>
      <c r="B5" s="332" t="s">
        <v>148</v>
      </c>
      <c r="C5" s="332" t="s">
        <v>149</v>
      </c>
      <c r="D5" s="332" t="s">
        <v>220</v>
      </c>
      <c r="E5" s="332" t="s">
        <v>151</v>
      </c>
      <c r="F5" s="332" t="s">
        <v>110</v>
      </c>
      <c r="G5" s="332" t="s">
        <v>111</v>
      </c>
      <c r="H5" s="332" t="s">
        <v>153</v>
      </c>
      <c r="I5" s="332" t="s">
        <v>154</v>
      </c>
      <c r="J5" s="332" t="s">
        <v>114</v>
      </c>
      <c r="K5" s="332" t="s">
        <v>155</v>
      </c>
      <c r="L5" s="332" t="s">
        <v>156</v>
      </c>
      <c r="M5" s="332" t="s">
        <v>157</v>
      </c>
      <c r="N5" s="332" t="s">
        <v>116</v>
      </c>
      <c r="O5" s="332" t="s">
        <v>196</v>
      </c>
      <c r="P5" s="332" t="s">
        <v>197</v>
      </c>
      <c r="Q5" s="332" t="s">
        <v>198</v>
      </c>
      <c r="R5" s="332" t="s">
        <v>199</v>
      </c>
      <c r="S5" s="332" t="s">
        <v>162</v>
      </c>
      <c r="T5" s="332" t="s">
        <v>200</v>
      </c>
      <c r="U5" s="332" t="s">
        <v>201</v>
      </c>
      <c r="V5" s="332" t="s">
        <v>202</v>
      </c>
      <c r="W5" s="332" t="s">
        <v>203</v>
      </c>
      <c r="X5" s="332" t="s">
        <v>204</v>
      </c>
      <c r="Y5" s="332" t="s">
        <v>205</v>
      </c>
      <c r="Z5" s="332" t="s">
        <v>206</v>
      </c>
      <c r="AA5" s="332" t="s">
        <v>207</v>
      </c>
      <c r="AB5" s="332" t="s">
        <v>208</v>
      </c>
      <c r="AC5" s="332" t="s">
        <v>209</v>
      </c>
      <c r="AD5" s="332" t="s">
        <v>210</v>
      </c>
      <c r="AE5" s="332" t="s">
        <v>211</v>
      </c>
      <c r="AF5" s="332" t="s">
        <v>212</v>
      </c>
      <c r="AG5" s="332" t="s">
        <v>13</v>
      </c>
      <c r="AH5" s="332" t="s">
        <v>190</v>
      </c>
      <c r="AI5" s="332" t="s">
        <v>213</v>
      </c>
      <c r="AJ5" s="332" t="s">
        <v>214</v>
      </c>
      <c r="AK5" s="332" t="s">
        <v>215</v>
      </c>
      <c r="AL5" s="332" t="s">
        <v>216</v>
      </c>
      <c r="AM5" s="332" t="s">
        <v>217</v>
      </c>
      <c r="AN5" s="332" t="s">
        <v>11</v>
      </c>
      <c r="AO5" s="332" t="s">
        <v>178</v>
      </c>
      <c r="AP5" s="332" t="s">
        <v>218</v>
      </c>
      <c r="AQ5" s="332" t="s">
        <v>12</v>
      </c>
      <c r="AR5" s="332" t="s">
        <v>219</v>
      </c>
    </row>
    <row r="6" spans="1:44" ht="15.4" x14ac:dyDescent="0.45">
      <c r="A6" s="380" t="s">
        <v>235</v>
      </c>
      <c r="B6" s="381">
        <v>0</v>
      </c>
      <c r="C6" s="381">
        <v>0</v>
      </c>
      <c r="D6" s="381">
        <v>0</v>
      </c>
      <c r="E6" s="381">
        <v>0</v>
      </c>
      <c r="F6" s="381">
        <v>0</v>
      </c>
      <c r="G6" s="381">
        <v>0</v>
      </c>
      <c r="H6" s="381">
        <v>0</v>
      </c>
      <c r="I6" s="381">
        <v>0</v>
      </c>
      <c r="J6" s="381">
        <v>0</v>
      </c>
      <c r="K6" s="381">
        <v>0</v>
      </c>
      <c r="L6" s="381">
        <v>0</v>
      </c>
      <c r="M6" s="381">
        <v>0</v>
      </c>
      <c r="N6" s="381">
        <v>0</v>
      </c>
      <c r="O6" s="381">
        <v>0</v>
      </c>
      <c r="P6" s="381">
        <v>0</v>
      </c>
      <c r="Q6" s="381">
        <v>0</v>
      </c>
      <c r="R6" s="381">
        <v>0</v>
      </c>
      <c r="S6" s="381">
        <v>0</v>
      </c>
      <c r="T6" s="381">
        <v>0</v>
      </c>
      <c r="U6" s="381">
        <v>0</v>
      </c>
      <c r="V6" s="381">
        <v>0</v>
      </c>
      <c r="W6" s="381">
        <v>0</v>
      </c>
      <c r="X6" s="381">
        <v>0</v>
      </c>
      <c r="Y6" s="381">
        <v>0</v>
      </c>
      <c r="Z6" s="381">
        <v>0</v>
      </c>
      <c r="AA6" s="381">
        <v>0</v>
      </c>
      <c r="AB6" s="381">
        <v>0</v>
      </c>
      <c r="AC6" s="381">
        <v>0</v>
      </c>
      <c r="AD6" s="381">
        <v>0</v>
      </c>
      <c r="AE6" s="381">
        <v>0</v>
      </c>
      <c r="AF6" s="381">
        <v>0</v>
      </c>
      <c r="AG6" s="381">
        <v>0</v>
      </c>
      <c r="AH6" s="381">
        <v>0</v>
      </c>
      <c r="AI6" s="381">
        <v>0</v>
      </c>
      <c r="AJ6" s="381">
        <v>0</v>
      </c>
      <c r="AK6" s="381">
        <v>0</v>
      </c>
      <c r="AL6" s="381">
        <v>0</v>
      </c>
      <c r="AM6" s="382" t="s">
        <v>221</v>
      </c>
      <c r="AN6" s="382" t="s">
        <v>221</v>
      </c>
      <c r="AO6" s="382" t="s">
        <v>221</v>
      </c>
      <c r="AP6" s="382" t="s">
        <v>221</v>
      </c>
      <c r="AQ6" s="382">
        <v>0</v>
      </c>
      <c r="AR6" s="382">
        <v>0</v>
      </c>
    </row>
    <row r="7" spans="1:44" ht="15.4" x14ac:dyDescent="0.45">
      <c r="A7" s="380" t="s">
        <v>222</v>
      </c>
      <c r="B7" s="381">
        <v>0</v>
      </c>
      <c r="C7" s="381">
        <v>0</v>
      </c>
      <c r="D7" s="381">
        <v>141202818</v>
      </c>
      <c r="E7" s="381">
        <v>41178658</v>
      </c>
      <c r="F7" s="381">
        <v>60485900</v>
      </c>
      <c r="G7" s="381">
        <v>30036987</v>
      </c>
      <c r="H7" s="381">
        <v>288676481</v>
      </c>
      <c r="I7" s="381">
        <v>0</v>
      </c>
      <c r="J7" s="381">
        <v>0</v>
      </c>
      <c r="K7" s="381">
        <v>0</v>
      </c>
      <c r="L7" s="381">
        <v>0</v>
      </c>
      <c r="M7" s="381">
        <v>896657</v>
      </c>
      <c r="N7" s="381">
        <v>0</v>
      </c>
      <c r="O7" s="381">
        <v>562477501</v>
      </c>
      <c r="P7" s="381">
        <v>377271229</v>
      </c>
      <c r="Q7" s="381">
        <v>185206272</v>
      </c>
      <c r="R7" s="381">
        <v>235182502</v>
      </c>
      <c r="S7" s="381">
        <v>31471180</v>
      </c>
      <c r="T7" s="381">
        <v>127355518</v>
      </c>
      <c r="U7" s="381">
        <v>377271229</v>
      </c>
      <c r="V7" s="381">
        <v>170027982</v>
      </c>
      <c r="W7" s="381">
        <v>302054362</v>
      </c>
      <c r="X7" s="381">
        <v>-247938323</v>
      </c>
      <c r="Y7" s="381">
        <v>-23830565</v>
      </c>
      <c r="Z7" s="381">
        <v>191884553</v>
      </c>
      <c r="AA7" s="381">
        <v>154545151</v>
      </c>
      <c r="AB7" s="381">
        <v>0</v>
      </c>
      <c r="AC7" s="381">
        <v>8987913</v>
      </c>
      <c r="AD7" s="381">
        <v>2328017635.5799999</v>
      </c>
      <c r="AE7" s="381">
        <v>42492943</v>
      </c>
      <c r="AF7" s="381">
        <v>94009684.25</v>
      </c>
      <c r="AG7" s="381">
        <v>2628053326.8299999</v>
      </c>
      <c r="AH7" s="381">
        <v>1963727976.8299999</v>
      </c>
      <c r="AI7" s="381">
        <v>1495811159.8299999</v>
      </c>
      <c r="AJ7" s="381">
        <v>0</v>
      </c>
      <c r="AK7" s="381">
        <v>376548016</v>
      </c>
      <c r="AL7" s="381">
        <v>919225266</v>
      </c>
      <c r="AM7" s="382">
        <v>0.30228405882495912</v>
      </c>
      <c r="AN7" s="382">
        <v>0.27511081048778924</v>
      </c>
      <c r="AO7" s="382">
        <v>0.67073123516810673</v>
      </c>
      <c r="AP7" s="382">
        <v>5.5951002385071398E-2</v>
      </c>
      <c r="AQ7" s="382">
        <v>0.25454335963862196</v>
      </c>
      <c r="AR7" s="382">
        <v>0.30921598786527021</v>
      </c>
    </row>
    <row r="8" spans="1:44" ht="15.4" x14ac:dyDescent="0.45">
      <c r="A8" s="380" t="s">
        <v>53</v>
      </c>
      <c r="B8" s="381">
        <v>0</v>
      </c>
      <c r="C8" s="381">
        <v>0</v>
      </c>
      <c r="D8" s="381">
        <v>0</v>
      </c>
      <c r="E8" s="381">
        <v>0</v>
      </c>
      <c r="F8" s="381">
        <v>2264578.5499999998</v>
      </c>
      <c r="G8" s="381">
        <v>0</v>
      </c>
      <c r="H8" s="381">
        <v>0</v>
      </c>
      <c r="I8" s="381">
        <v>0</v>
      </c>
      <c r="J8" s="381">
        <v>0</v>
      </c>
      <c r="K8" s="381">
        <v>0</v>
      </c>
      <c r="L8" s="381">
        <v>0</v>
      </c>
      <c r="M8" s="381">
        <v>0</v>
      </c>
      <c r="N8" s="381">
        <v>0</v>
      </c>
      <c r="O8" s="381">
        <v>2264578.5499999998</v>
      </c>
      <c r="P8" s="381">
        <v>189932.51</v>
      </c>
      <c r="Q8" s="381">
        <v>2074646.03999999</v>
      </c>
      <c r="R8" s="381">
        <v>189932.51</v>
      </c>
      <c r="S8" s="381">
        <v>5396295.7899999898</v>
      </c>
      <c r="T8" s="381">
        <v>0</v>
      </c>
      <c r="U8" s="381">
        <v>189932.51</v>
      </c>
      <c r="V8" s="381">
        <v>1848188.1799999899</v>
      </c>
      <c r="W8" s="381">
        <v>884254.02</v>
      </c>
      <c r="X8" s="381">
        <v>-313255</v>
      </c>
      <c r="Y8" s="381">
        <v>-5396295.7899999898</v>
      </c>
      <c r="Z8" s="381">
        <v>-2977108.5899999901</v>
      </c>
      <c r="AA8" s="381">
        <v>309097.99</v>
      </c>
      <c r="AB8" s="381">
        <v>0</v>
      </c>
      <c r="AC8" s="381">
        <v>0</v>
      </c>
      <c r="AD8" s="381">
        <v>6252424.8600000003</v>
      </c>
      <c r="AE8" s="381">
        <v>7722327.6299999999</v>
      </c>
      <c r="AF8" s="381">
        <v>5534660.71</v>
      </c>
      <c r="AG8" s="381">
        <v>19848011.190000001</v>
      </c>
      <c r="AH8" s="381">
        <v>31727719.590000004</v>
      </c>
      <c r="AI8" s="381">
        <v>15885990.35</v>
      </c>
      <c r="AJ8" s="381">
        <v>0</v>
      </c>
      <c r="AK8" s="381">
        <v>747698.73</v>
      </c>
      <c r="AL8" s="381">
        <v>0</v>
      </c>
      <c r="AM8" s="382">
        <v>0.81612897905439852</v>
      </c>
      <c r="AN8" s="382">
        <v>2.1662853936366151</v>
      </c>
      <c r="AO8" s="382">
        <v>8.3871018737680797E-2</v>
      </c>
      <c r="AP8" s="382">
        <v>2.3829139377832536</v>
      </c>
      <c r="AQ8" s="382">
        <v>1.0248115369196945E-3</v>
      </c>
      <c r="AR8" s="382">
        <v>3.3611487186833325E-3</v>
      </c>
    </row>
    <row r="9" spans="1:44" ht="15.4" x14ac:dyDescent="0.45">
      <c r="A9" s="380" t="s">
        <v>223</v>
      </c>
      <c r="B9" s="381">
        <v>5774710.0488025201</v>
      </c>
      <c r="C9" s="381">
        <v>0</v>
      </c>
      <c r="D9" s="381">
        <v>0</v>
      </c>
      <c r="E9" s="381">
        <v>62027821.102154098</v>
      </c>
      <c r="F9" s="381">
        <v>762330.88695515296</v>
      </c>
      <c r="G9" s="381">
        <v>3958901.01749179</v>
      </c>
      <c r="H9" s="381">
        <v>2343289.7909814301</v>
      </c>
      <c r="I9" s="381">
        <v>1577877.22585115</v>
      </c>
      <c r="J9" s="381">
        <v>0</v>
      </c>
      <c r="K9" s="381">
        <v>0</v>
      </c>
      <c r="L9" s="381">
        <v>0</v>
      </c>
      <c r="M9" s="381">
        <v>2316451.0495700198</v>
      </c>
      <c r="N9" s="381">
        <v>776627.93349215901</v>
      </c>
      <c r="O9" s="381">
        <v>79538009.055298299</v>
      </c>
      <c r="P9" s="381">
        <v>70551324.409773096</v>
      </c>
      <c r="Q9" s="381">
        <v>8986684.6455252003</v>
      </c>
      <c r="R9" s="381">
        <v>57572819.787288792</v>
      </c>
      <c r="S9" s="381">
        <v>34094139.310000002</v>
      </c>
      <c r="T9" s="381">
        <v>13363958.107293189</v>
      </c>
      <c r="U9" s="381">
        <v>70551324.409773096</v>
      </c>
      <c r="V9" s="381">
        <v>8986684.6455252003</v>
      </c>
      <c r="W9" s="381">
        <v>31821991.059999999</v>
      </c>
      <c r="X9" s="381">
        <v>376385.50969136</v>
      </c>
      <c r="Y9" s="381">
        <v>-34094139.310000002</v>
      </c>
      <c r="Z9" s="381">
        <v>7090921.9052165598</v>
      </c>
      <c r="AA9" s="381">
        <v>48389320.609999903</v>
      </c>
      <c r="AB9" s="381">
        <v>0</v>
      </c>
      <c r="AC9" s="381">
        <v>5532010.5099999998</v>
      </c>
      <c r="AD9" s="381">
        <v>542066857.78999996</v>
      </c>
      <c r="AE9" s="381">
        <v>77711429.540000007</v>
      </c>
      <c r="AF9" s="381">
        <v>19610219.059999999</v>
      </c>
      <c r="AG9" s="381">
        <v>693309837.50999999</v>
      </c>
      <c r="AH9" s="381">
        <v>451775359.22360003</v>
      </c>
      <c r="AI9" s="381">
        <v>107060048.07377701</v>
      </c>
      <c r="AJ9" s="381">
        <v>0</v>
      </c>
      <c r="AK9" s="381">
        <v>277019663.909302</v>
      </c>
      <c r="AL9" s="381">
        <v>0</v>
      </c>
      <c r="AM9" s="382">
        <v>0.11298603965906746</v>
      </c>
      <c r="AN9" s="382">
        <v>0.59667193057721934</v>
      </c>
      <c r="AO9" s="382">
        <v>0.88701396034093249</v>
      </c>
      <c r="AP9" s="382">
        <v>0.42865215907398774</v>
      </c>
      <c r="AQ9" s="382">
        <v>3.5994101111437637E-2</v>
      </c>
      <c r="AR9" s="382">
        <v>1.6343348533653303E-2</v>
      </c>
    </row>
    <row r="10" spans="1:44" ht="15.4" x14ac:dyDescent="0.45">
      <c r="A10" s="380" t="s">
        <v>64</v>
      </c>
      <c r="B10" s="381">
        <v>0</v>
      </c>
      <c r="C10" s="381">
        <v>0</v>
      </c>
      <c r="D10" s="381">
        <v>0</v>
      </c>
      <c r="E10" s="381">
        <v>0</v>
      </c>
      <c r="F10" s="381">
        <v>0</v>
      </c>
      <c r="G10" s="381">
        <v>0</v>
      </c>
      <c r="H10" s="381">
        <v>0</v>
      </c>
      <c r="I10" s="381">
        <v>0</v>
      </c>
      <c r="J10" s="381">
        <v>0</v>
      </c>
      <c r="K10" s="381">
        <v>0</v>
      </c>
      <c r="L10" s="381">
        <v>0</v>
      </c>
      <c r="M10" s="381">
        <v>0</v>
      </c>
      <c r="N10" s="381">
        <v>0</v>
      </c>
      <c r="O10" s="381">
        <v>0</v>
      </c>
      <c r="P10" s="381">
        <v>0</v>
      </c>
      <c r="Q10" s="381">
        <v>0</v>
      </c>
      <c r="R10" s="381">
        <v>0</v>
      </c>
      <c r="S10" s="381">
        <v>0</v>
      </c>
      <c r="T10" s="381">
        <v>0</v>
      </c>
      <c r="U10" s="381">
        <v>0</v>
      </c>
      <c r="V10" s="381">
        <v>0</v>
      </c>
      <c r="W10" s="381">
        <v>0</v>
      </c>
      <c r="X10" s="381">
        <v>0</v>
      </c>
      <c r="Y10" s="381">
        <v>0</v>
      </c>
      <c r="Z10" s="381">
        <v>0</v>
      </c>
      <c r="AA10" s="381">
        <v>0</v>
      </c>
      <c r="AB10" s="381">
        <v>0</v>
      </c>
      <c r="AC10" s="381">
        <v>0</v>
      </c>
      <c r="AD10" s="381">
        <v>0</v>
      </c>
      <c r="AE10" s="381">
        <v>0</v>
      </c>
      <c r="AF10" s="381">
        <v>0</v>
      </c>
      <c r="AG10" s="381">
        <v>0</v>
      </c>
      <c r="AH10" s="381">
        <v>0</v>
      </c>
      <c r="AI10" s="381">
        <v>0</v>
      </c>
      <c r="AJ10" s="381">
        <v>0</v>
      </c>
      <c r="AK10" s="381">
        <v>0</v>
      </c>
      <c r="AL10" s="381">
        <v>0</v>
      </c>
      <c r="AM10" s="382" t="s">
        <v>221</v>
      </c>
      <c r="AN10" s="382" t="s">
        <v>221</v>
      </c>
      <c r="AO10" s="382" t="s">
        <v>221</v>
      </c>
      <c r="AP10" s="382" t="s">
        <v>221</v>
      </c>
      <c r="AQ10" s="382">
        <v>0</v>
      </c>
      <c r="AR10" s="382">
        <v>0</v>
      </c>
    </row>
    <row r="11" spans="1:44" ht="15.4" x14ac:dyDescent="0.45">
      <c r="A11" s="380" t="s">
        <v>144</v>
      </c>
      <c r="B11" s="381">
        <v>0</v>
      </c>
      <c r="C11" s="381">
        <v>0</v>
      </c>
      <c r="D11" s="381">
        <v>0</v>
      </c>
      <c r="E11" s="381">
        <v>0</v>
      </c>
      <c r="F11" s="381">
        <v>0</v>
      </c>
      <c r="G11" s="381">
        <v>0</v>
      </c>
      <c r="H11" s="381">
        <v>0</v>
      </c>
      <c r="I11" s="381">
        <v>0</v>
      </c>
      <c r="J11" s="381">
        <v>0</v>
      </c>
      <c r="K11" s="381">
        <v>0</v>
      </c>
      <c r="L11" s="381">
        <v>0</v>
      </c>
      <c r="M11" s="381">
        <v>0</v>
      </c>
      <c r="N11" s="381">
        <v>0</v>
      </c>
      <c r="O11" s="381">
        <v>0</v>
      </c>
      <c r="P11" s="381">
        <v>0</v>
      </c>
      <c r="Q11" s="381">
        <v>0</v>
      </c>
      <c r="R11" s="381">
        <v>0</v>
      </c>
      <c r="S11" s="381">
        <v>0</v>
      </c>
      <c r="T11" s="381">
        <v>0</v>
      </c>
      <c r="U11" s="381">
        <v>0</v>
      </c>
      <c r="V11" s="381">
        <v>0</v>
      </c>
      <c r="W11" s="381">
        <v>0</v>
      </c>
      <c r="X11" s="381">
        <v>0</v>
      </c>
      <c r="Y11" s="381">
        <v>0</v>
      </c>
      <c r="Z11" s="381">
        <v>0</v>
      </c>
      <c r="AA11" s="381">
        <v>0</v>
      </c>
      <c r="AB11" s="381">
        <v>0</v>
      </c>
      <c r="AC11" s="381">
        <v>0</v>
      </c>
      <c r="AD11" s="381">
        <v>0</v>
      </c>
      <c r="AE11" s="381">
        <v>0</v>
      </c>
      <c r="AF11" s="381">
        <v>0</v>
      </c>
      <c r="AG11" s="381">
        <v>0</v>
      </c>
      <c r="AH11" s="381">
        <v>0</v>
      </c>
      <c r="AI11" s="381">
        <v>0</v>
      </c>
      <c r="AJ11" s="381">
        <v>0</v>
      </c>
      <c r="AK11" s="381">
        <v>0</v>
      </c>
      <c r="AL11" s="381">
        <v>0</v>
      </c>
      <c r="AM11" s="382" t="s">
        <v>221</v>
      </c>
      <c r="AN11" s="382" t="s">
        <v>221</v>
      </c>
      <c r="AO11" s="382" t="s">
        <v>221</v>
      </c>
      <c r="AP11" s="382" t="s">
        <v>221</v>
      </c>
      <c r="AQ11" s="382">
        <v>0</v>
      </c>
      <c r="AR11" s="382">
        <v>0</v>
      </c>
    </row>
    <row r="12" spans="1:44" ht="15.4" x14ac:dyDescent="0.45">
      <c r="A12" s="380" t="s">
        <v>224</v>
      </c>
      <c r="B12" s="381">
        <v>0</v>
      </c>
      <c r="C12" s="381">
        <v>14244011</v>
      </c>
      <c r="D12" s="381">
        <v>0</v>
      </c>
      <c r="E12" s="381">
        <v>11240890</v>
      </c>
      <c r="F12" s="381">
        <v>8165990</v>
      </c>
      <c r="G12" s="381">
        <v>8410630</v>
      </c>
      <c r="H12" s="381">
        <v>0</v>
      </c>
      <c r="I12" s="381">
        <v>0</v>
      </c>
      <c r="J12" s="381">
        <v>0</v>
      </c>
      <c r="K12" s="381">
        <v>0</v>
      </c>
      <c r="L12" s="381">
        <v>0</v>
      </c>
      <c r="M12" s="381">
        <v>0</v>
      </c>
      <c r="N12" s="381">
        <v>0</v>
      </c>
      <c r="O12" s="381">
        <v>42061521</v>
      </c>
      <c r="P12" s="381">
        <v>41230624</v>
      </c>
      <c r="Q12" s="381">
        <v>830897</v>
      </c>
      <c r="R12" s="381">
        <v>19973476</v>
      </c>
      <c r="S12" s="381">
        <v>1977230</v>
      </c>
      <c r="T12" s="381">
        <v>10079222</v>
      </c>
      <c r="U12" s="381">
        <v>41230624</v>
      </c>
      <c r="V12" s="381">
        <v>-2166283</v>
      </c>
      <c r="W12" s="381">
        <v>65144069</v>
      </c>
      <c r="X12" s="381">
        <v>-44548840</v>
      </c>
      <c r="Y12" s="381">
        <v>-1977230</v>
      </c>
      <c r="Z12" s="381">
        <v>14835791</v>
      </c>
      <c r="AA12" s="381">
        <v>48701382</v>
      </c>
      <c r="AB12" s="381">
        <v>7958661</v>
      </c>
      <c r="AC12" s="381">
        <v>1358186</v>
      </c>
      <c r="AD12" s="381">
        <v>365071913</v>
      </c>
      <c r="AE12" s="381">
        <v>630149</v>
      </c>
      <c r="AF12" s="381">
        <v>6307219</v>
      </c>
      <c r="AG12" s="381">
        <v>430377952</v>
      </c>
      <c r="AH12" s="381">
        <v>321736589</v>
      </c>
      <c r="AI12" s="381">
        <v>314584340</v>
      </c>
      <c r="AJ12" s="381">
        <v>629</v>
      </c>
      <c r="AK12" s="381">
        <v>0</v>
      </c>
      <c r="AL12" s="381">
        <v>1300390.8186006399</v>
      </c>
      <c r="AM12" s="382">
        <v>-5.1502726209068851E-2</v>
      </c>
      <c r="AN12" s="382">
        <v>0.27138629415987381</v>
      </c>
      <c r="AO12" s="382">
        <v>0.98024567394983175</v>
      </c>
      <c r="AP12" s="382">
        <v>4.7008048044672471E-2</v>
      </c>
      <c r="AQ12" s="382">
        <v>1.9034505109654955E-2</v>
      </c>
      <c r="AR12" s="382">
        <v>-3.9396417575593007E-3</v>
      </c>
    </row>
    <row r="13" spans="1:44" ht="15.4" x14ac:dyDescent="0.45">
      <c r="A13" s="380" t="s">
        <v>225</v>
      </c>
      <c r="B13" s="381">
        <v>0</v>
      </c>
      <c r="C13" s="381">
        <v>0</v>
      </c>
      <c r="D13" s="381">
        <v>10677503.123385901</v>
      </c>
      <c r="E13" s="381">
        <v>9979790.8331325091</v>
      </c>
      <c r="F13" s="381">
        <v>10842728.737149</v>
      </c>
      <c r="G13" s="381">
        <v>0</v>
      </c>
      <c r="H13" s="381">
        <v>61651459.108231999</v>
      </c>
      <c r="I13" s="381">
        <v>38801248.909042098</v>
      </c>
      <c r="J13" s="381">
        <v>0</v>
      </c>
      <c r="K13" s="381">
        <v>0</v>
      </c>
      <c r="L13" s="381">
        <v>0</v>
      </c>
      <c r="M13" s="381">
        <v>38973530.063196696</v>
      </c>
      <c r="N13" s="381">
        <v>0</v>
      </c>
      <c r="O13" s="381">
        <v>170926260.774138</v>
      </c>
      <c r="P13" s="381">
        <v>141928683.867109</v>
      </c>
      <c r="Q13" s="381">
        <v>28997576.9070292</v>
      </c>
      <c r="R13" s="381">
        <v>109984954.99231689</v>
      </c>
      <c r="S13" s="381">
        <v>12268432.859999999</v>
      </c>
      <c r="T13" s="381">
        <v>25893256.576666947</v>
      </c>
      <c r="U13" s="381">
        <v>141928683.867109</v>
      </c>
      <c r="V13" s="381">
        <v>33819567.9090809</v>
      </c>
      <c r="W13" s="381">
        <v>-3265300.14</v>
      </c>
      <c r="X13" s="381">
        <v>6603395.0099999905</v>
      </c>
      <c r="Y13" s="381">
        <v>37440668.850000702</v>
      </c>
      <c r="Z13" s="381">
        <v>70868415.080627605</v>
      </c>
      <c r="AA13" s="381">
        <v>10602767.92</v>
      </c>
      <c r="AB13" s="381">
        <v>0</v>
      </c>
      <c r="AC13" s="381">
        <v>0</v>
      </c>
      <c r="AD13" s="381">
        <v>601081362.3822</v>
      </c>
      <c r="AE13" s="381">
        <v>83582416</v>
      </c>
      <c r="AF13" s="381">
        <v>25818338.886999998</v>
      </c>
      <c r="AG13" s="381">
        <v>721084885.19000006</v>
      </c>
      <c r="AH13" s="381">
        <v>441164956.71225905</v>
      </c>
      <c r="AI13" s="381">
        <v>303239606</v>
      </c>
      <c r="AJ13" s="381">
        <v>0</v>
      </c>
      <c r="AK13" s="381">
        <v>127213456</v>
      </c>
      <c r="AL13" s="381">
        <v>517059753.26329601</v>
      </c>
      <c r="AM13" s="382">
        <v>0.19786057306764632</v>
      </c>
      <c r="AN13" s="382">
        <v>0.2205567576579251</v>
      </c>
      <c r="AO13" s="382">
        <v>0.83035036994492961</v>
      </c>
      <c r="AP13" s="382">
        <v>7.1776172979127584E-2</v>
      </c>
      <c r="AQ13" s="382">
        <v>7.7350906641715247E-2</v>
      </c>
      <c r="AR13" s="382">
        <v>6.1504882767961344E-2</v>
      </c>
    </row>
    <row r="14" spans="1:44" ht="15.4" x14ac:dyDescent="0.45">
      <c r="A14" s="380" t="s">
        <v>22</v>
      </c>
      <c r="B14" s="381">
        <v>35775216.964329898</v>
      </c>
      <c r="C14" s="381">
        <v>0</v>
      </c>
      <c r="D14" s="381">
        <v>0</v>
      </c>
      <c r="E14" s="381">
        <v>49023807.215876997</v>
      </c>
      <c r="F14" s="381">
        <v>1121938.2648229999</v>
      </c>
      <c r="G14" s="381">
        <v>4823127.47</v>
      </c>
      <c r="H14" s="381">
        <v>9580309.8449700102</v>
      </c>
      <c r="I14" s="381">
        <v>0</v>
      </c>
      <c r="J14" s="381">
        <v>0</v>
      </c>
      <c r="K14" s="381">
        <v>0</v>
      </c>
      <c r="L14" s="381">
        <v>0</v>
      </c>
      <c r="M14" s="381">
        <v>0</v>
      </c>
      <c r="N14" s="381">
        <v>0</v>
      </c>
      <c r="O14" s="381">
        <v>100324399.76000001</v>
      </c>
      <c r="P14" s="381">
        <v>78469723.387794897</v>
      </c>
      <c r="Q14" s="381">
        <v>21854676.372205101</v>
      </c>
      <c r="R14" s="381">
        <v>78469723.387794897</v>
      </c>
      <c r="S14" s="381">
        <v>9082865.2799999993</v>
      </c>
      <c r="T14" s="381">
        <v>0</v>
      </c>
      <c r="U14" s="381">
        <v>78469723.387794897</v>
      </c>
      <c r="V14" s="381">
        <v>14948241.472205101</v>
      </c>
      <c r="W14" s="381">
        <v>73473120.689999998</v>
      </c>
      <c r="X14" s="381">
        <v>-73343162.400543004</v>
      </c>
      <c r="Y14" s="381">
        <v>-10468916.0479492</v>
      </c>
      <c r="Z14" s="381">
        <v>4609283.7137128599</v>
      </c>
      <c r="AA14" s="381">
        <v>65587830.539999999</v>
      </c>
      <c r="AB14" s="381">
        <v>0</v>
      </c>
      <c r="AC14" s="381">
        <v>22279044.7299999</v>
      </c>
      <c r="AD14" s="381">
        <v>598895767.38999999</v>
      </c>
      <c r="AE14" s="381">
        <v>23525503.926815499</v>
      </c>
      <c r="AF14" s="381">
        <v>13677033.1299999</v>
      </c>
      <c r="AG14" s="381">
        <v>723965179.72000003</v>
      </c>
      <c r="AH14" s="381">
        <v>637556745.63950014</v>
      </c>
      <c r="AI14" s="381">
        <v>509055929.13999897</v>
      </c>
      <c r="AJ14" s="381">
        <v>0</v>
      </c>
      <c r="AK14" s="381">
        <v>109797638.61725</v>
      </c>
      <c r="AL14" s="381">
        <v>0</v>
      </c>
      <c r="AM14" s="382">
        <v>0.14899906212212458</v>
      </c>
      <c r="AN14" s="382">
        <v>8.1778298651092027E-2</v>
      </c>
      <c r="AO14" s="382">
        <v>0.7821599090103033</v>
      </c>
      <c r="AP14" s="382">
        <v>9.053495761478153E-2</v>
      </c>
      <c r="AQ14" s="382">
        <v>4.5400766649755404E-2</v>
      </c>
      <c r="AR14" s="382">
        <v>2.718514446449468E-2</v>
      </c>
    </row>
    <row r="15" spans="1:44" ht="15.4" x14ac:dyDescent="0.45">
      <c r="A15" s="380" t="s">
        <v>226</v>
      </c>
      <c r="B15" s="381">
        <v>14245658.832833201</v>
      </c>
      <c r="C15" s="381">
        <v>0</v>
      </c>
      <c r="D15" s="381">
        <v>0</v>
      </c>
      <c r="E15" s="381">
        <v>4672355.0258979397</v>
      </c>
      <c r="F15" s="381">
        <v>451595.653004719</v>
      </c>
      <c r="G15" s="381">
        <v>1006789.42697223</v>
      </c>
      <c r="H15" s="381">
        <v>5730075.0438914699</v>
      </c>
      <c r="I15" s="381">
        <v>1768453.8379749199</v>
      </c>
      <c r="J15" s="381">
        <v>0</v>
      </c>
      <c r="K15" s="381">
        <v>0</v>
      </c>
      <c r="L15" s="381">
        <v>0</v>
      </c>
      <c r="M15" s="381">
        <v>5583782.17942545</v>
      </c>
      <c r="N15" s="381">
        <v>0</v>
      </c>
      <c r="O15" s="381">
        <v>33458710</v>
      </c>
      <c r="P15" s="381">
        <v>35596772</v>
      </c>
      <c r="Q15" s="381">
        <v>-2138061.9999999902</v>
      </c>
      <c r="R15" s="381">
        <v>30861106.999999899</v>
      </c>
      <c r="S15" s="381">
        <v>0</v>
      </c>
      <c r="T15" s="381">
        <v>4735665</v>
      </c>
      <c r="U15" s="381">
        <v>35596772</v>
      </c>
      <c r="V15" s="381">
        <v>-2138061.9999999902</v>
      </c>
      <c r="W15" s="381">
        <v>10522050</v>
      </c>
      <c r="X15" s="381">
        <v>0</v>
      </c>
      <c r="Y15" s="381">
        <v>0</v>
      </c>
      <c r="Z15" s="381">
        <v>8383988</v>
      </c>
      <c r="AA15" s="381">
        <v>5285737</v>
      </c>
      <c r="AB15" s="381">
        <v>0</v>
      </c>
      <c r="AC15" s="381">
        <v>0</v>
      </c>
      <c r="AD15" s="381">
        <v>267412102</v>
      </c>
      <c r="AE15" s="381">
        <v>5418335</v>
      </c>
      <c r="AF15" s="381">
        <v>6406971</v>
      </c>
      <c r="AG15" s="381">
        <v>284523145</v>
      </c>
      <c r="AH15" s="381">
        <v>150284014</v>
      </c>
      <c r="AI15" s="381">
        <v>7947929</v>
      </c>
      <c r="AJ15" s="381">
        <v>0</v>
      </c>
      <c r="AK15" s="381">
        <v>98633350</v>
      </c>
      <c r="AL15" s="381">
        <v>0</v>
      </c>
      <c r="AM15" s="382">
        <v>-6.3901507260739884E-2</v>
      </c>
      <c r="AN15" s="382">
        <v>0.14153758468273284</v>
      </c>
      <c r="AO15" s="382">
        <v>1.0639015072607403</v>
      </c>
      <c r="AP15" s="382">
        <v>0</v>
      </c>
      <c r="AQ15" s="382">
        <v>1.5141392211124828E-2</v>
      </c>
      <c r="AR15" s="382">
        <v>-3.8883185324589237E-3</v>
      </c>
    </row>
    <row r="16" spans="1:44" ht="15.4" x14ac:dyDescent="0.45">
      <c r="A16" s="380" t="s">
        <v>227</v>
      </c>
      <c r="B16" s="381">
        <v>88926070.930069</v>
      </c>
      <c r="C16" s="381">
        <v>0</v>
      </c>
      <c r="D16" s="381">
        <v>0</v>
      </c>
      <c r="E16" s="381">
        <v>21875963.3488741</v>
      </c>
      <c r="F16" s="381">
        <v>37497471.490180001</v>
      </c>
      <c r="G16" s="381">
        <v>11359791.9222569</v>
      </c>
      <c r="H16" s="381">
        <v>84989824.053048998</v>
      </c>
      <c r="I16" s="381">
        <v>85021235.636579007</v>
      </c>
      <c r="J16" s="381">
        <v>0</v>
      </c>
      <c r="K16" s="381">
        <v>0</v>
      </c>
      <c r="L16" s="381">
        <v>3070976.8228859999</v>
      </c>
      <c r="M16" s="381">
        <v>0</v>
      </c>
      <c r="N16" s="381">
        <v>0</v>
      </c>
      <c r="O16" s="381">
        <v>332741334.20389402</v>
      </c>
      <c r="P16" s="381">
        <v>136491388.04951099</v>
      </c>
      <c r="Q16" s="381">
        <v>196249946.15438199</v>
      </c>
      <c r="R16" s="381">
        <v>101934109.300853</v>
      </c>
      <c r="S16" s="381">
        <v>9267292.4700000007</v>
      </c>
      <c r="T16" s="381">
        <v>64562360.805132769</v>
      </c>
      <c r="U16" s="381">
        <v>136491388.04951099</v>
      </c>
      <c r="V16" s="381">
        <v>188551297.64054301</v>
      </c>
      <c r="W16" s="381">
        <v>128993874.51453599</v>
      </c>
      <c r="X16" s="381">
        <v>-150358170.46749699</v>
      </c>
      <c r="Y16" s="381">
        <v>-8986006.4000000004</v>
      </c>
      <c r="Z16" s="381">
        <v>150290945.52320299</v>
      </c>
      <c r="AA16" s="381">
        <v>139036077.71000001</v>
      </c>
      <c r="AB16" s="381">
        <v>5778747.7931220103</v>
      </c>
      <c r="AC16" s="381">
        <v>13868948.477768101</v>
      </c>
      <c r="AD16" s="381">
        <v>1123878520.3169301</v>
      </c>
      <c r="AE16" s="381">
        <v>31152891.443348899</v>
      </c>
      <c r="AF16" s="381">
        <v>15082039.7609319</v>
      </c>
      <c r="AG16" s="381">
        <v>1343493114.95</v>
      </c>
      <c r="AH16" s="381">
        <v>904643542.51575804</v>
      </c>
      <c r="AI16" s="381">
        <v>855501095.30864596</v>
      </c>
      <c r="AJ16" s="381">
        <v>10338061.2999999</v>
      </c>
      <c r="AK16" s="381">
        <v>0</v>
      </c>
      <c r="AL16" s="381">
        <v>464583345.677809</v>
      </c>
      <c r="AM16" s="382">
        <v>0.56666028009914859</v>
      </c>
      <c r="AN16" s="382">
        <v>0.21367130892119485</v>
      </c>
      <c r="AO16" s="382">
        <v>0.41020268304229707</v>
      </c>
      <c r="AP16" s="382">
        <v>2.7851341319444486E-2</v>
      </c>
      <c r="AQ16" s="382">
        <v>0.15057863994260759</v>
      </c>
      <c r="AR16" s="382">
        <v>0.34290282738990041</v>
      </c>
    </row>
    <row r="17" spans="1:44" ht="15.4" x14ac:dyDescent="0.45">
      <c r="A17" s="380" t="s">
        <v>228</v>
      </c>
      <c r="B17" s="381">
        <v>7539930</v>
      </c>
      <c r="C17" s="381">
        <v>0</v>
      </c>
      <c r="D17" s="381">
        <v>0</v>
      </c>
      <c r="E17" s="381">
        <v>1123663</v>
      </c>
      <c r="F17" s="381">
        <v>0</v>
      </c>
      <c r="G17" s="381">
        <v>2967166</v>
      </c>
      <c r="H17" s="381">
        <v>153368</v>
      </c>
      <c r="I17" s="381">
        <v>704465</v>
      </c>
      <c r="J17" s="381">
        <v>0</v>
      </c>
      <c r="K17" s="381">
        <v>0</v>
      </c>
      <c r="L17" s="381">
        <v>0</v>
      </c>
      <c r="M17" s="381">
        <v>5262658</v>
      </c>
      <c r="N17" s="381">
        <v>6707610</v>
      </c>
      <c r="O17" s="381">
        <v>24458860</v>
      </c>
      <c r="P17" s="381">
        <v>27425468</v>
      </c>
      <c r="Q17" s="381">
        <v>-2966608</v>
      </c>
      <c r="R17" s="381">
        <v>27093463</v>
      </c>
      <c r="S17" s="381">
        <v>8396852</v>
      </c>
      <c r="T17" s="381">
        <v>332005</v>
      </c>
      <c r="U17" s="381">
        <v>27425468</v>
      </c>
      <c r="V17" s="381">
        <v>-2966608</v>
      </c>
      <c r="W17" s="381">
        <v>27173123</v>
      </c>
      <c r="X17" s="381">
        <v>0</v>
      </c>
      <c r="Y17" s="381">
        <v>-7340272</v>
      </c>
      <c r="Z17" s="381">
        <v>16022931</v>
      </c>
      <c r="AA17" s="381">
        <v>1359850</v>
      </c>
      <c r="AB17" s="381">
        <v>0</v>
      </c>
      <c r="AC17" s="381">
        <v>0</v>
      </c>
      <c r="AD17" s="381">
        <v>138697826</v>
      </c>
      <c r="AE17" s="381">
        <v>24739629</v>
      </c>
      <c r="AF17" s="381">
        <v>2067651</v>
      </c>
      <c r="AG17" s="381">
        <v>166898175</v>
      </c>
      <c r="AH17" s="381">
        <v>108337302</v>
      </c>
      <c r="AI17" s="381">
        <v>105164685</v>
      </c>
      <c r="AJ17" s="381">
        <v>0</v>
      </c>
      <c r="AK17" s="381">
        <v>0</v>
      </c>
      <c r="AL17" s="381">
        <v>25503820</v>
      </c>
      <c r="AM17" s="382">
        <v>-0.12128970851462414</v>
      </c>
      <c r="AN17" s="382">
        <v>0.35687914318165276</v>
      </c>
      <c r="AO17" s="382">
        <v>1.1212897085146241</v>
      </c>
      <c r="AP17" s="382">
        <v>0.34330512542285291</v>
      </c>
      <c r="AQ17" s="382">
        <v>1.1068603430825413E-2</v>
      </c>
      <c r="AR17" s="382">
        <v>-5.3951273933781881E-3</v>
      </c>
    </row>
    <row r="18" spans="1:44" ht="15.4" x14ac:dyDescent="0.45">
      <c r="A18" s="380" t="s">
        <v>229</v>
      </c>
      <c r="B18" s="381">
        <v>8275824</v>
      </c>
      <c r="C18" s="381">
        <v>0</v>
      </c>
      <c r="D18" s="381">
        <v>0</v>
      </c>
      <c r="E18" s="381">
        <v>0</v>
      </c>
      <c r="F18" s="381">
        <v>0</v>
      </c>
      <c r="G18" s="381">
        <v>0</v>
      </c>
      <c r="H18" s="381">
        <v>28980068</v>
      </c>
      <c r="I18" s="381">
        <v>0</v>
      </c>
      <c r="J18" s="381">
        <v>0</v>
      </c>
      <c r="K18" s="381">
        <v>0</v>
      </c>
      <c r="L18" s="381">
        <v>0</v>
      </c>
      <c r="M18" s="381">
        <v>190700290</v>
      </c>
      <c r="N18" s="381">
        <v>0</v>
      </c>
      <c r="O18" s="381">
        <v>227956182</v>
      </c>
      <c r="P18" s="381">
        <v>198765229</v>
      </c>
      <c r="Q18" s="381">
        <v>29190953</v>
      </c>
      <c r="R18" s="381">
        <v>82480103</v>
      </c>
      <c r="S18" s="381">
        <v>3390809</v>
      </c>
      <c r="T18" s="381">
        <v>110746854</v>
      </c>
      <c r="U18" s="381">
        <v>198765229</v>
      </c>
      <c r="V18" s="381">
        <v>2824062</v>
      </c>
      <c r="W18" s="381">
        <v>21201630</v>
      </c>
      <c r="X18" s="381">
        <v>-8823530</v>
      </c>
      <c r="Y18" s="381">
        <v>2596223</v>
      </c>
      <c r="Z18" s="381">
        <v>17426869</v>
      </c>
      <c r="AA18" s="381">
        <v>24304901</v>
      </c>
      <c r="AB18" s="381">
        <v>3267880</v>
      </c>
      <c r="AC18" s="381">
        <v>0</v>
      </c>
      <c r="AD18" s="381">
        <v>280148999</v>
      </c>
      <c r="AE18" s="381">
        <v>2028118</v>
      </c>
      <c r="AF18" s="381">
        <v>9981228</v>
      </c>
      <c r="AG18" s="381">
        <v>320356277</v>
      </c>
      <c r="AH18" s="381">
        <v>156756996</v>
      </c>
      <c r="AI18" s="381">
        <v>71556626</v>
      </c>
      <c r="AJ18" s="381">
        <v>21234047</v>
      </c>
      <c r="AK18" s="381">
        <v>15142261</v>
      </c>
      <c r="AL18" s="381">
        <v>30435304.758824602</v>
      </c>
      <c r="AM18" s="382">
        <v>1.2388617738824912E-2</v>
      </c>
      <c r="AN18" s="382">
        <v>0.44879004352074653</v>
      </c>
      <c r="AO18" s="382">
        <v>0.87194489421655608</v>
      </c>
      <c r="AP18" s="382">
        <v>1.4874828005322532E-2</v>
      </c>
      <c r="AQ18" s="382">
        <v>0.10315920603671072</v>
      </c>
      <c r="AR18" s="382">
        <v>5.1358906390053536E-3</v>
      </c>
    </row>
    <row r="19" spans="1:44" ht="15.4" x14ac:dyDescent="0.45">
      <c r="A19" s="380" t="s">
        <v>230</v>
      </c>
      <c r="B19" s="381">
        <v>103156072.84</v>
      </c>
      <c r="C19" s="381">
        <v>0</v>
      </c>
      <c r="D19" s="381">
        <v>0</v>
      </c>
      <c r="E19" s="381">
        <v>40774875.640000001</v>
      </c>
      <c r="F19" s="381">
        <v>179245.93</v>
      </c>
      <c r="G19" s="381">
        <v>8070726.9800000004</v>
      </c>
      <c r="H19" s="381">
        <v>7767767.4399999902</v>
      </c>
      <c r="I19" s="381">
        <v>48770304.509999998</v>
      </c>
      <c r="J19" s="381">
        <v>0</v>
      </c>
      <c r="K19" s="381">
        <v>0</v>
      </c>
      <c r="L19" s="381">
        <v>0</v>
      </c>
      <c r="M19" s="381">
        <v>2604734.9300000002</v>
      </c>
      <c r="N19" s="381">
        <v>0</v>
      </c>
      <c r="O19" s="381">
        <v>211323728.27000001</v>
      </c>
      <c r="P19" s="381">
        <v>270750810.43000001</v>
      </c>
      <c r="Q19" s="381">
        <v>-59427082.159999996</v>
      </c>
      <c r="R19" s="381">
        <v>188992777.48000002</v>
      </c>
      <c r="S19" s="381">
        <v>54180852.399999999</v>
      </c>
      <c r="T19" s="381">
        <v>17973154.879999999</v>
      </c>
      <c r="U19" s="381">
        <v>270750810.43000001</v>
      </c>
      <c r="V19" s="381">
        <v>-61803860.829999998</v>
      </c>
      <c r="W19" s="381">
        <v>128483430.19</v>
      </c>
      <c r="X19" s="381">
        <v>24774192.463259</v>
      </c>
      <c r="Y19" s="381">
        <v>-59936811.199999899</v>
      </c>
      <c r="Z19" s="381">
        <v>29943051.233259</v>
      </c>
      <c r="AA19" s="381">
        <v>28285781.719999898</v>
      </c>
      <c r="AB19" s="381">
        <v>0</v>
      </c>
      <c r="AC19" s="381">
        <v>0</v>
      </c>
      <c r="AD19" s="381">
        <v>1263835741.1559999</v>
      </c>
      <c r="AE19" s="381">
        <v>245458429.33700001</v>
      </c>
      <c r="AF19" s="381">
        <v>102047827.233</v>
      </c>
      <c r="AG19" s="381">
        <v>1639627779.45</v>
      </c>
      <c r="AH19" s="381">
        <v>1528694455.5280011</v>
      </c>
      <c r="AI19" s="381">
        <v>1401615097.73368</v>
      </c>
      <c r="AJ19" s="381">
        <v>0</v>
      </c>
      <c r="AK19" s="381">
        <v>0</v>
      </c>
      <c r="AL19" s="381">
        <v>0</v>
      </c>
      <c r="AM19" s="382">
        <v>-0.29246058327645835</v>
      </c>
      <c r="AN19" s="382">
        <v>0.33408603835289852</v>
      </c>
      <c r="AO19" s="382">
        <v>1.2812134853312467</v>
      </c>
      <c r="AP19" s="382">
        <v>0.25638792597287163</v>
      </c>
      <c r="AQ19" s="382">
        <v>9.5632361595926377E-2</v>
      </c>
      <c r="AR19" s="382">
        <v>-0.11239762805886933</v>
      </c>
    </row>
    <row r="20" spans="1:44" ht="15.4" x14ac:dyDescent="0.45">
      <c r="A20" s="380" t="s">
        <v>28</v>
      </c>
      <c r="B20" s="381">
        <v>12037445</v>
      </c>
      <c r="C20" s="381">
        <v>0</v>
      </c>
      <c r="D20" s="381">
        <v>0</v>
      </c>
      <c r="E20" s="381">
        <v>85197830</v>
      </c>
      <c r="F20" s="381">
        <v>86822751</v>
      </c>
      <c r="G20" s="381">
        <v>0</v>
      </c>
      <c r="H20" s="381">
        <v>0</v>
      </c>
      <c r="I20" s="381">
        <v>238162115.26251099</v>
      </c>
      <c r="J20" s="381">
        <v>0</v>
      </c>
      <c r="K20" s="381">
        <v>0</v>
      </c>
      <c r="L20" s="381">
        <v>0</v>
      </c>
      <c r="M20" s="381">
        <v>0</v>
      </c>
      <c r="N20" s="381">
        <v>0</v>
      </c>
      <c r="O20" s="381">
        <v>422220141.26251101</v>
      </c>
      <c r="P20" s="381">
        <v>214056591.51326901</v>
      </c>
      <c r="Q20" s="381">
        <v>208163549.74924201</v>
      </c>
      <c r="R20" s="381">
        <v>113183817.51326901</v>
      </c>
      <c r="S20" s="381">
        <v>25822960.370000001</v>
      </c>
      <c r="T20" s="381">
        <v>82731262</v>
      </c>
      <c r="U20" s="381">
        <v>214056591.51326901</v>
      </c>
      <c r="V20" s="381">
        <v>197936806.74924201</v>
      </c>
      <c r="W20" s="381">
        <v>184767674.53999999</v>
      </c>
      <c r="X20" s="381">
        <v>-273399727.80852699</v>
      </c>
      <c r="Y20" s="381">
        <v>-44381114.530000001</v>
      </c>
      <c r="Z20" s="381">
        <v>55937991.950714797</v>
      </c>
      <c r="AA20" s="381">
        <v>107769729</v>
      </c>
      <c r="AB20" s="381">
        <v>34223194</v>
      </c>
      <c r="AC20" s="381">
        <v>156590.49</v>
      </c>
      <c r="AD20" s="381">
        <v>2754030108</v>
      </c>
      <c r="AE20" s="381">
        <v>100686128.83999901</v>
      </c>
      <c r="AF20" s="381">
        <v>61613725</v>
      </c>
      <c r="AG20" s="381">
        <v>3058655910</v>
      </c>
      <c r="AH20" s="381">
        <v>1810239304.1300001</v>
      </c>
      <c r="AI20" s="381">
        <v>1614377413</v>
      </c>
      <c r="AJ20" s="381">
        <v>0</v>
      </c>
      <c r="AK20" s="381">
        <v>0</v>
      </c>
      <c r="AL20" s="381">
        <v>1023138402.54704</v>
      </c>
      <c r="AM20" s="382">
        <v>0.46880001071805061</v>
      </c>
      <c r="AN20" s="382">
        <v>0.25005869079811599</v>
      </c>
      <c r="AO20" s="382">
        <v>0.50697863648380892</v>
      </c>
      <c r="AP20" s="382">
        <v>6.1159944413795367E-2</v>
      </c>
      <c r="AQ20" s="382">
        <v>0.19107134609470025</v>
      </c>
      <c r="AR20" s="382">
        <v>0.35997148536329715</v>
      </c>
    </row>
    <row r="21" spans="1:44" ht="15.4" x14ac:dyDescent="0.45">
      <c r="A21" s="380" t="s">
        <v>31</v>
      </c>
      <c r="B21" s="381">
        <v>0</v>
      </c>
      <c r="C21" s="381">
        <v>0</v>
      </c>
      <c r="D21" s="381">
        <v>0</v>
      </c>
      <c r="E21" s="381">
        <v>0</v>
      </c>
      <c r="F21" s="381">
        <v>0</v>
      </c>
      <c r="G21" s="381">
        <v>0</v>
      </c>
      <c r="H21" s="381">
        <v>0</v>
      </c>
      <c r="I21" s="381">
        <v>0</v>
      </c>
      <c r="J21" s="381">
        <v>0</v>
      </c>
      <c r="K21" s="381">
        <v>0</v>
      </c>
      <c r="L21" s="381">
        <v>0</v>
      </c>
      <c r="M21" s="381">
        <v>0</v>
      </c>
      <c r="N21" s="381">
        <v>0</v>
      </c>
      <c r="O21" s="381">
        <v>0</v>
      </c>
      <c r="P21" s="381">
        <v>0</v>
      </c>
      <c r="Q21" s="381">
        <v>0</v>
      </c>
      <c r="R21" s="381">
        <v>0</v>
      </c>
      <c r="S21" s="381">
        <v>0</v>
      </c>
      <c r="T21" s="381">
        <v>0</v>
      </c>
      <c r="U21" s="381">
        <v>0</v>
      </c>
      <c r="V21" s="381">
        <v>0</v>
      </c>
      <c r="W21" s="381">
        <v>0</v>
      </c>
      <c r="X21" s="381">
        <v>0</v>
      </c>
      <c r="Y21" s="381">
        <v>0</v>
      </c>
      <c r="Z21" s="381">
        <v>0</v>
      </c>
      <c r="AA21" s="381">
        <v>0</v>
      </c>
      <c r="AB21" s="381">
        <v>0</v>
      </c>
      <c r="AC21" s="381">
        <v>0</v>
      </c>
      <c r="AD21" s="381">
        <v>0</v>
      </c>
      <c r="AE21" s="381">
        <v>0</v>
      </c>
      <c r="AF21" s="381">
        <v>0</v>
      </c>
      <c r="AG21" s="381">
        <v>0</v>
      </c>
      <c r="AH21" s="381">
        <v>0</v>
      </c>
      <c r="AI21" s="381">
        <v>0</v>
      </c>
      <c r="AJ21" s="381">
        <v>0</v>
      </c>
      <c r="AK21" s="381">
        <v>0</v>
      </c>
      <c r="AL21" s="381">
        <v>0</v>
      </c>
      <c r="AM21" s="382" t="s">
        <v>221</v>
      </c>
      <c r="AN21" s="382" t="s">
        <v>221</v>
      </c>
      <c r="AO21" s="382" t="s">
        <v>221</v>
      </c>
      <c r="AP21" s="382" t="s">
        <v>221</v>
      </c>
      <c r="AQ21" s="382">
        <v>0</v>
      </c>
      <c r="AR21" s="382">
        <v>0</v>
      </c>
    </row>
    <row r="22" spans="1:44" ht="15.4" x14ac:dyDescent="0.45">
      <c r="A22" s="380" t="s">
        <v>92</v>
      </c>
      <c r="B22" s="383">
        <v>275730928.61603463</v>
      </c>
      <c r="C22" s="383">
        <v>14244011</v>
      </c>
      <c r="D22" s="383">
        <v>151880321.12338591</v>
      </c>
      <c r="E22" s="383">
        <v>327095654.16593564</v>
      </c>
      <c r="F22" s="383">
        <v>208594530.5121119</v>
      </c>
      <c r="G22" s="383">
        <v>70634119.816720918</v>
      </c>
      <c r="H22" s="383">
        <v>489872642.28112394</v>
      </c>
      <c r="I22" s="383">
        <v>414805700.38195813</v>
      </c>
      <c r="J22" s="383">
        <v>0</v>
      </c>
      <c r="K22" s="383">
        <v>0</v>
      </c>
      <c r="L22" s="383">
        <v>3070976.8228859999</v>
      </c>
      <c r="M22" s="383">
        <v>246338103.22219217</v>
      </c>
      <c r="N22" s="383">
        <v>7484237.9334921595</v>
      </c>
      <c r="O22" s="383">
        <v>2209751225.8758411</v>
      </c>
      <c r="P22" s="383">
        <v>1592727776.1674569</v>
      </c>
      <c r="Q22" s="383">
        <v>617023449.70838356</v>
      </c>
      <c r="R22" s="383">
        <v>1045918785.9715226</v>
      </c>
      <c r="S22" s="383">
        <v>195348909.47999999</v>
      </c>
      <c r="T22" s="383">
        <v>457773256.36909294</v>
      </c>
      <c r="U22" s="383">
        <v>1592727776.1674569</v>
      </c>
      <c r="V22" s="383">
        <v>549868016.7665962</v>
      </c>
      <c r="W22" s="383">
        <v>971254278.87453604</v>
      </c>
      <c r="X22" s="383">
        <v>-766971035.69361663</v>
      </c>
      <c r="Y22" s="383">
        <v>-156374458.42794839</v>
      </c>
      <c r="Z22" s="383">
        <v>564317632.81673384</v>
      </c>
      <c r="AA22" s="383">
        <v>634177626.48999977</v>
      </c>
      <c r="AB22" s="383">
        <v>51228482.793122008</v>
      </c>
      <c r="AC22" s="383">
        <v>52182693.207768001</v>
      </c>
      <c r="AD22" s="383">
        <v>10269389257.47513</v>
      </c>
      <c r="AE22" s="383">
        <v>645148300.71716332</v>
      </c>
      <c r="AF22" s="383">
        <v>362156597.03093183</v>
      </c>
      <c r="AG22" s="383">
        <v>12030193593.84</v>
      </c>
      <c r="AH22" s="383">
        <v>8506644961.1691179</v>
      </c>
      <c r="AI22" s="383">
        <v>6801799919.436101</v>
      </c>
      <c r="AJ22" s="383">
        <v>31572737.2999999</v>
      </c>
      <c r="AK22" s="383">
        <v>1005102084.256552</v>
      </c>
      <c r="AL22" s="383">
        <v>2981246283.0655704</v>
      </c>
      <c r="AM22" s="384">
        <v>0.17474609133527744</v>
      </c>
      <c r="AN22" s="384">
        <v>0.44640102455232139</v>
      </c>
      <c r="AO22" s="385">
        <v>0.79082525683342142</v>
      </c>
      <c r="AP22" s="385">
        <v>0.31503462025126516</v>
      </c>
      <c r="AQ22" s="386">
        <v>0.99999999999999989</v>
      </c>
      <c r="AR22" s="386">
        <v>1</v>
      </c>
    </row>
  </sheetData>
  <mergeCells count="1">
    <mergeCell ref="B1:AR1"/>
  </mergeCells>
  <dataValidations count="1">
    <dataValidation type="list" allowBlank="1" showInputMessage="1" showErrorMessage="1" sqref="A3" xr:uid="{616899E3-09C7-4901-8530-F251BFC4507F}">
      <formula1>$A$6:$A$21</formula1>
    </dataValidation>
  </dataValidations>
  <pageMargins left="0.7" right="0.7" top="0.75" bottom="0.75" header="0.3" footer="0.3"/>
  <ignoredErrors>
    <ignoredError sqref="B3:AR3"/>
  </ignoredErrors>
  <legacy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9B65C-F89A-421C-880E-CCAC4A4E67A7}">
  <dimension ref="A1:AR22"/>
  <sheetViews>
    <sheetView tabSelected="1" topLeftCell="AM1" workbookViewId="0">
      <selection activeCell="AQ7" sqref="AQ7"/>
    </sheetView>
  </sheetViews>
  <sheetFormatPr defaultRowHeight="14.25" x14ac:dyDescent="0.45"/>
  <cols>
    <col min="1" max="1" width="57.59765625" bestFit="1" customWidth="1"/>
    <col min="2" max="44" width="18.3984375" customWidth="1"/>
  </cols>
  <sheetData>
    <row r="1" spans="1:44" ht="20.65" x14ac:dyDescent="0.55000000000000004">
      <c r="A1" s="341" t="s">
        <v>232</v>
      </c>
      <c r="B1" s="388" t="s">
        <v>99</v>
      </c>
      <c r="C1" s="388"/>
      <c r="D1" s="388"/>
      <c r="E1" s="388"/>
      <c r="F1" s="388"/>
      <c r="G1" s="388"/>
      <c r="H1" s="388"/>
      <c r="I1" s="388"/>
      <c r="J1" s="388"/>
      <c r="K1" s="388"/>
      <c r="L1" s="388"/>
      <c r="M1" s="388"/>
      <c r="N1" s="388"/>
      <c r="O1" s="388"/>
      <c r="P1" s="388"/>
      <c r="Q1" s="388"/>
      <c r="R1" s="388"/>
      <c r="S1" s="388"/>
      <c r="T1" s="388"/>
      <c r="U1" s="388"/>
      <c r="V1" s="388"/>
      <c r="W1" s="388"/>
      <c r="X1" s="388"/>
      <c r="Y1" s="388"/>
      <c r="Z1" s="388"/>
      <c r="AA1" s="388"/>
      <c r="AB1" s="388"/>
      <c r="AC1" s="388"/>
      <c r="AD1" s="388"/>
      <c r="AE1" s="388"/>
      <c r="AF1" s="388"/>
      <c r="AG1" s="388"/>
      <c r="AH1" s="388"/>
      <c r="AI1" s="388"/>
      <c r="AJ1" s="388"/>
      <c r="AK1" s="388"/>
      <c r="AL1" s="388"/>
      <c r="AM1" s="388"/>
      <c r="AN1" s="388"/>
      <c r="AO1" s="388"/>
      <c r="AP1" s="388"/>
      <c r="AQ1" s="388"/>
      <c r="AR1" s="388"/>
    </row>
    <row r="2" spans="1:44" ht="42.75" x14ac:dyDescent="0.45">
      <c r="A2" s="349"/>
      <c r="B2" s="332" t="str">
        <f>B5</f>
        <v>Universal Life Products</v>
      </c>
      <c r="C2" s="332" t="str">
        <f t="shared" ref="C2:AR2" si="0">C5</f>
        <v>Unit-Linked Policies</v>
      </c>
      <c r="D2" s="332" t="str">
        <f t="shared" si="0"/>
        <v>Investment-Linked Policies</v>
      </c>
      <c r="E2" s="332" t="str">
        <f t="shared" si="0"/>
        <v>Group Policies</v>
      </c>
      <c r="F2" s="332" t="str">
        <f t="shared" si="0"/>
        <v>Term</v>
      </c>
      <c r="G2" s="332" t="str">
        <f t="shared" si="0"/>
        <v>Credit Life</v>
      </c>
      <c r="H2" s="332" t="str">
        <f t="shared" si="0"/>
        <v>Whole Life</v>
      </c>
      <c r="I2" s="332" t="str">
        <f t="shared" si="0"/>
        <v>Endowment Policy</v>
      </c>
      <c r="J2" s="332" t="str">
        <f t="shared" si="0"/>
        <v>Annuities</v>
      </c>
      <c r="K2" s="332" t="str">
        <f t="shared" si="0"/>
        <v>Critical Illness (Dread Disease)</v>
      </c>
      <c r="L2" s="332" t="str">
        <f t="shared" si="0"/>
        <v>Total and permanent disability &amp; income protection</v>
      </c>
      <c r="M2" s="332" t="str">
        <f t="shared" si="0"/>
        <v>Microinsurance</v>
      </c>
      <c r="N2" s="332" t="str">
        <f t="shared" si="0"/>
        <v>Other Approved Products</v>
      </c>
      <c r="O2" s="332" t="str">
        <f t="shared" si="0"/>
        <v>Insurance revenue</v>
      </c>
      <c r="P2" s="332" t="str">
        <f t="shared" si="0"/>
        <v>Insurance services expenses</v>
      </c>
      <c r="Q2" s="332" t="str">
        <f t="shared" si="0"/>
        <v>Insurance service result from insurance contracts issued</v>
      </c>
      <c r="R2" s="332" t="str">
        <f t="shared" si="0"/>
        <v>Total Incurred Claims</v>
      </c>
      <c r="S2" s="332" t="str">
        <f t="shared" si="0"/>
        <v>Non-Attributable Expenses</v>
      </c>
      <c r="T2" s="332" t="str">
        <f t="shared" si="0"/>
        <v>Acquisition Cashflow</v>
      </c>
      <c r="U2" s="332" t="str">
        <f t="shared" si="0"/>
        <v>Total Attributable Expenses</v>
      </c>
      <c r="V2" s="332" t="str">
        <f t="shared" si="0"/>
        <v>Insurance service result</v>
      </c>
      <c r="W2" s="332" t="str">
        <f t="shared" si="0"/>
        <v>Net investment income</v>
      </c>
      <c r="X2" s="332" t="str">
        <f t="shared" si="0"/>
        <v>Total insurance finance income or expenses</v>
      </c>
      <c r="Y2" s="332" t="str">
        <f t="shared" si="0"/>
        <v>Total other income and expenses</v>
      </c>
      <c r="Z2" s="332" t="str">
        <f t="shared" si="0"/>
        <v>Profit for the year</v>
      </c>
      <c r="AA2" s="332" t="str">
        <f t="shared" si="0"/>
        <v>Cash  and cash equivalents</v>
      </c>
      <c r="AB2" s="332" t="str">
        <f t="shared" si="0"/>
        <v>Insurance contract assets</v>
      </c>
      <c r="AC2" s="332" t="str">
        <f t="shared" si="0"/>
        <v>Reinsurance contract assets</v>
      </c>
      <c r="AD2" s="332" t="str">
        <f t="shared" si="0"/>
        <v>Total Investments</v>
      </c>
      <c r="AE2" s="332" t="str">
        <f t="shared" si="0"/>
        <v>Total Receivables</v>
      </c>
      <c r="AF2" s="332" t="str">
        <f t="shared" si="0"/>
        <v>Total Property, Plant &amp; Equipment</v>
      </c>
      <c r="AG2" s="332" t="str">
        <f t="shared" si="0"/>
        <v>Total Assets</v>
      </c>
      <c r="AH2" s="332" t="str">
        <f t="shared" si="0"/>
        <v>Total Liabilities</v>
      </c>
      <c r="AI2" s="332" t="str">
        <f t="shared" si="0"/>
        <v>Insurance contract liabilities:</v>
      </c>
      <c r="AJ2" s="332" t="str">
        <f t="shared" si="0"/>
        <v>Reinsurance contract liabilities</v>
      </c>
      <c r="AK2" s="332" t="str">
        <f t="shared" si="0"/>
        <v>Investment Contracts Liabilities</v>
      </c>
      <c r="AL2" s="332" t="str">
        <f t="shared" si="0"/>
        <v>CSM</v>
      </c>
      <c r="AM2" s="332" t="str">
        <f t="shared" si="0"/>
        <v>Technical Results Margin</v>
      </c>
      <c r="AN2" s="332" t="str">
        <f t="shared" si="0"/>
        <v>Expense Ratio</v>
      </c>
      <c r="AO2" s="332" t="str">
        <f t="shared" si="0"/>
        <v>Attributable Expense Ratio</v>
      </c>
      <c r="AP2" s="332" t="str">
        <f t="shared" si="0"/>
        <v>Non-attributable Expense Ratio</v>
      </c>
      <c r="AQ2" s="332" t="str">
        <f t="shared" si="0"/>
        <v>Market Share</v>
      </c>
      <c r="AR2" s="332" t="str">
        <f t="shared" si="0"/>
        <v>Share of Insurance Service Results</v>
      </c>
    </row>
    <row r="3" spans="1:44" ht="15.4" x14ac:dyDescent="0.45">
      <c r="A3" s="387" t="s">
        <v>235</v>
      </c>
      <c r="B3" s="345">
        <f t="shared" ref="B3:AR3" si="1">INDEX(B6:B22,MATCH($A$3,$A$6:$A$22,0))</f>
        <v>0</v>
      </c>
      <c r="C3" s="345">
        <f t="shared" si="1"/>
        <v>0</v>
      </c>
      <c r="D3" s="345">
        <f t="shared" si="1"/>
        <v>0</v>
      </c>
      <c r="E3" s="345">
        <f t="shared" si="1"/>
        <v>0</v>
      </c>
      <c r="F3" s="345">
        <f t="shared" si="1"/>
        <v>0</v>
      </c>
      <c r="G3" s="345">
        <f t="shared" si="1"/>
        <v>0</v>
      </c>
      <c r="H3" s="345">
        <f t="shared" si="1"/>
        <v>0</v>
      </c>
      <c r="I3" s="345">
        <f t="shared" si="1"/>
        <v>0</v>
      </c>
      <c r="J3" s="345">
        <f t="shared" si="1"/>
        <v>0</v>
      </c>
      <c r="K3" s="345">
        <f t="shared" si="1"/>
        <v>0</v>
      </c>
      <c r="L3" s="345">
        <f t="shared" si="1"/>
        <v>0</v>
      </c>
      <c r="M3" s="345">
        <f t="shared" si="1"/>
        <v>0</v>
      </c>
      <c r="N3" s="345">
        <f t="shared" si="1"/>
        <v>0</v>
      </c>
      <c r="O3" s="345">
        <f t="shared" si="1"/>
        <v>0</v>
      </c>
      <c r="P3" s="345">
        <f t="shared" si="1"/>
        <v>0</v>
      </c>
      <c r="Q3" s="345">
        <f t="shared" si="1"/>
        <v>0</v>
      </c>
      <c r="R3" s="345">
        <f t="shared" si="1"/>
        <v>0</v>
      </c>
      <c r="S3" s="345">
        <f t="shared" si="1"/>
        <v>0</v>
      </c>
      <c r="T3" s="345">
        <f t="shared" si="1"/>
        <v>0</v>
      </c>
      <c r="U3" s="345">
        <f t="shared" si="1"/>
        <v>0</v>
      </c>
      <c r="V3" s="345">
        <f t="shared" si="1"/>
        <v>0</v>
      </c>
      <c r="W3" s="345">
        <f t="shared" si="1"/>
        <v>0</v>
      </c>
      <c r="X3" s="345">
        <f t="shared" si="1"/>
        <v>0</v>
      </c>
      <c r="Y3" s="345">
        <f t="shared" si="1"/>
        <v>0</v>
      </c>
      <c r="Z3" s="345">
        <f t="shared" si="1"/>
        <v>0</v>
      </c>
      <c r="AA3" s="345">
        <f t="shared" si="1"/>
        <v>0</v>
      </c>
      <c r="AB3" s="345">
        <f t="shared" si="1"/>
        <v>0</v>
      </c>
      <c r="AC3" s="345">
        <f t="shared" si="1"/>
        <v>0</v>
      </c>
      <c r="AD3" s="345">
        <f t="shared" si="1"/>
        <v>0</v>
      </c>
      <c r="AE3" s="345">
        <f t="shared" si="1"/>
        <v>0</v>
      </c>
      <c r="AF3" s="345">
        <f t="shared" si="1"/>
        <v>0</v>
      </c>
      <c r="AG3" s="345">
        <f t="shared" si="1"/>
        <v>0</v>
      </c>
      <c r="AH3" s="345">
        <f t="shared" si="1"/>
        <v>0</v>
      </c>
      <c r="AI3" s="345">
        <f t="shared" si="1"/>
        <v>0</v>
      </c>
      <c r="AJ3" s="345">
        <f t="shared" si="1"/>
        <v>0</v>
      </c>
      <c r="AK3" s="345">
        <f t="shared" si="1"/>
        <v>0</v>
      </c>
      <c r="AL3" s="345">
        <f t="shared" si="1"/>
        <v>0</v>
      </c>
      <c r="AM3" s="346" t="str">
        <f t="shared" si="1"/>
        <v/>
      </c>
      <c r="AN3" s="346" t="str">
        <f t="shared" si="1"/>
        <v/>
      </c>
      <c r="AO3" s="346" t="str">
        <f t="shared" si="1"/>
        <v/>
      </c>
      <c r="AP3" s="346" t="str">
        <f t="shared" si="1"/>
        <v/>
      </c>
      <c r="AQ3" s="346">
        <f t="shared" si="1"/>
        <v>0</v>
      </c>
      <c r="AR3" s="346">
        <f t="shared" si="1"/>
        <v>0</v>
      </c>
    </row>
    <row r="5" spans="1:44" ht="42.75" x14ac:dyDescent="0.45">
      <c r="A5" s="332" t="s">
        <v>195</v>
      </c>
      <c r="B5" s="332" t="s">
        <v>148</v>
      </c>
      <c r="C5" s="332" t="s">
        <v>149</v>
      </c>
      <c r="D5" s="332" t="s">
        <v>220</v>
      </c>
      <c r="E5" s="332" t="s">
        <v>151</v>
      </c>
      <c r="F5" s="332" t="s">
        <v>110</v>
      </c>
      <c r="G5" s="332" t="s">
        <v>111</v>
      </c>
      <c r="H5" s="332" t="s">
        <v>153</v>
      </c>
      <c r="I5" s="332" t="s">
        <v>154</v>
      </c>
      <c r="J5" s="332" t="s">
        <v>114</v>
      </c>
      <c r="K5" s="332" t="s">
        <v>155</v>
      </c>
      <c r="L5" s="332" t="s">
        <v>156</v>
      </c>
      <c r="M5" s="332" t="s">
        <v>157</v>
      </c>
      <c r="N5" s="332" t="s">
        <v>116</v>
      </c>
      <c r="O5" s="332" t="s">
        <v>196</v>
      </c>
      <c r="P5" s="332" t="s">
        <v>197</v>
      </c>
      <c r="Q5" s="332" t="s">
        <v>198</v>
      </c>
      <c r="R5" s="332" t="s">
        <v>199</v>
      </c>
      <c r="S5" s="332" t="s">
        <v>162</v>
      </c>
      <c r="T5" s="332" t="s">
        <v>200</v>
      </c>
      <c r="U5" s="332" t="s">
        <v>201</v>
      </c>
      <c r="V5" s="332" t="s">
        <v>202</v>
      </c>
      <c r="W5" s="332" t="s">
        <v>203</v>
      </c>
      <c r="X5" s="332" t="s">
        <v>204</v>
      </c>
      <c r="Y5" s="332" t="s">
        <v>205</v>
      </c>
      <c r="Z5" s="332" t="s">
        <v>206</v>
      </c>
      <c r="AA5" s="332" t="s">
        <v>207</v>
      </c>
      <c r="AB5" s="332" t="s">
        <v>208</v>
      </c>
      <c r="AC5" s="332" t="s">
        <v>209</v>
      </c>
      <c r="AD5" s="332" t="s">
        <v>210</v>
      </c>
      <c r="AE5" s="332" t="s">
        <v>211</v>
      </c>
      <c r="AF5" s="332" t="s">
        <v>212</v>
      </c>
      <c r="AG5" s="332" t="s">
        <v>13</v>
      </c>
      <c r="AH5" s="332" t="s">
        <v>190</v>
      </c>
      <c r="AI5" s="332" t="s">
        <v>213</v>
      </c>
      <c r="AJ5" s="332" t="s">
        <v>214</v>
      </c>
      <c r="AK5" s="332" t="s">
        <v>215</v>
      </c>
      <c r="AL5" s="332" t="s">
        <v>216</v>
      </c>
      <c r="AM5" s="332" t="s">
        <v>217</v>
      </c>
      <c r="AN5" s="332" t="s">
        <v>11</v>
      </c>
      <c r="AO5" s="332" t="s">
        <v>178</v>
      </c>
      <c r="AP5" s="332" t="s">
        <v>218</v>
      </c>
      <c r="AQ5" s="332" t="s">
        <v>12</v>
      </c>
      <c r="AR5" s="332" t="s">
        <v>219</v>
      </c>
    </row>
    <row r="6" spans="1:44" ht="15.4" x14ac:dyDescent="0.45">
      <c r="A6" s="380" t="s">
        <v>235</v>
      </c>
      <c r="B6" s="381">
        <v>0</v>
      </c>
      <c r="C6" s="381">
        <v>0</v>
      </c>
      <c r="D6" s="381">
        <v>0</v>
      </c>
      <c r="E6" s="381">
        <v>0</v>
      </c>
      <c r="F6" s="381">
        <v>0</v>
      </c>
      <c r="G6" s="381">
        <v>0</v>
      </c>
      <c r="H6" s="381">
        <v>0</v>
      </c>
      <c r="I6" s="381">
        <v>0</v>
      </c>
      <c r="J6" s="381">
        <v>0</v>
      </c>
      <c r="K6" s="381">
        <v>0</v>
      </c>
      <c r="L6" s="381">
        <v>0</v>
      </c>
      <c r="M6" s="381">
        <v>0</v>
      </c>
      <c r="N6" s="381">
        <v>0</v>
      </c>
      <c r="O6" s="381">
        <v>0</v>
      </c>
      <c r="P6" s="381">
        <v>0</v>
      </c>
      <c r="Q6" s="381">
        <v>0</v>
      </c>
      <c r="R6" s="381">
        <v>0</v>
      </c>
      <c r="S6" s="381">
        <v>0</v>
      </c>
      <c r="T6" s="381">
        <v>0</v>
      </c>
      <c r="U6" s="381">
        <v>0</v>
      </c>
      <c r="V6" s="381">
        <v>0</v>
      </c>
      <c r="W6" s="381">
        <v>0</v>
      </c>
      <c r="X6" s="381">
        <v>0</v>
      </c>
      <c r="Y6" s="381">
        <v>0</v>
      </c>
      <c r="Z6" s="381">
        <v>0</v>
      </c>
      <c r="AA6" s="381">
        <v>0</v>
      </c>
      <c r="AB6" s="381">
        <v>0</v>
      </c>
      <c r="AC6" s="381">
        <v>0</v>
      </c>
      <c r="AD6" s="381">
        <v>0</v>
      </c>
      <c r="AE6" s="381">
        <v>0</v>
      </c>
      <c r="AF6" s="381">
        <v>0</v>
      </c>
      <c r="AG6" s="381">
        <v>0</v>
      </c>
      <c r="AH6" s="381">
        <v>0</v>
      </c>
      <c r="AI6" s="381">
        <v>0</v>
      </c>
      <c r="AJ6" s="381">
        <v>0</v>
      </c>
      <c r="AK6" s="381">
        <v>0</v>
      </c>
      <c r="AL6" s="381">
        <v>0</v>
      </c>
      <c r="AM6" s="382" t="s">
        <v>221</v>
      </c>
      <c r="AN6" s="382" t="s">
        <v>221</v>
      </c>
      <c r="AO6" s="382" t="s">
        <v>221</v>
      </c>
      <c r="AP6" s="382" t="s">
        <v>221</v>
      </c>
      <c r="AQ6" s="382"/>
      <c r="AR6" s="382"/>
    </row>
    <row r="7" spans="1:44" ht="15.4" x14ac:dyDescent="0.45">
      <c r="A7" s="380" t="s">
        <v>222</v>
      </c>
      <c r="B7" s="381">
        <v>0</v>
      </c>
      <c r="C7" s="381">
        <v>0</v>
      </c>
      <c r="D7" s="381">
        <v>155227009</v>
      </c>
      <c r="E7" s="381">
        <v>55716356</v>
      </c>
      <c r="F7" s="381">
        <v>90866148</v>
      </c>
      <c r="G7" s="381">
        <v>42558215</v>
      </c>
      <c r="H7" s="381">
        <v>408260210</v>
      </c>
      <c r="I7" s="381">
        <v>0</v>
      </c>
      <c r="J7" s="381">
        <v>0</v>
      </c>
      <c r="K7" s="381">
        <v>0</v>
      </c>
      <c r="L7" s="381">
        <v>0</v>
      </c>
      <c r="M7" s="381">
        <v>967852</v>
      </c>
      <c r="N7" s="381">
        <v>0</v>
      </c>
      <c r="O7" s="381">
        <v>753595790</v>
      </c>
      <c r="P7" s="381">
        <v>475053805</v>
      </c>
      <c r="Q7" s="381">
        <v>278541985</v>
      </c>
      <c r="R7" s="381">
        <v>314005363</v>
      </c>
      <c r="S7" s="381">
        <v>46307069.310000002</v>
      </c>
      <c r="T7" s="381">
        <v>140324738</v>
      </c>
      <c r="U7" s="381">
        <v>475053805</v>
      </c>
      <c r="V7" s="381">
        <v>262044179</v>
      </c>
      <c r="W7" s="381">
        <v>431209395</v>
      </c>
      <c r="X7" s="381">
        <v>-418801934</v>
      </c>
      <c r="Y7" s="381">
        <v>-35258595.310000002</v>
      </c>
      <c r="Z7" s="381">
        <v>227397700.69</v>
      </c>
      <c r="AA7" s="381">
        <v>429875542</v>
      </c>
      <c r="AB7" s="381">
        <v>0</v>
      </c>
      <c r="AC7" s="381">
        <v>17351951</v>
      </c>
      <c r="AD7" s="381">
        <v>2305770740.8000002</v>
      </c>
      <c r="AE7" s="381">
        <v>54137002</v>
      </c>
      <c r="AF7" s="381">
        <v>115533097</v>
      </c>
      <c r="AG7" s="381">
        <v>2922668332.8000002</v>
      </c>
      <c r="AH7" s="381">
        <v>2221481523</v>
      </c>
      <c r="AI7" s="381">
        <v>1640455608</v>
      </c>
      <c r="AJ7" s="381">
        <v>0</v>
      </c>
      <c r="AK7" s="381">
        <v>407997453</v>
      </c>
      <c r="AL7" s="381">
        <v>1043808614</v>
      </c>
      <c r="AM7" s="382">
        <v>0.34772511003544754</v>
      </c>
      <c r="AN7" s="382">
        <v>0.24163360366903952</v>
      </c>
      <c r="AO7" s="382">
        <v>0.63038277456406699</v>
      </c>
      <c r="AP7" s="382">
        <v>6.1448152875164024E-2</v>
      </c>
      <c r="AQ7" s="382">
        <v>0.24618624316086696</v>
      </c>
      <c r="AR7" s="382">
        <v>0.36767115112685006</v>
      </c>
    </row>
    <row r="8" spans="1:44" ht="15.4" x14ac:dyDescent="0.45">
      <c r="A8" s="380" t="s">
        <v>53</v>
      </c>
      <c r="B8" s="381">
        <v>0</v>
      </c>
      <c r="C8" s="381">
        <v>0</v>
      </c>
      <c r="D8" s="381">
        <v>0</v>
      </c>
      <c r="E8" s="381">
        <v>0</v>
      </c>
      <c r="F8" s="381">
        <v>2969446.69</v>
      </c>
      <c r="G8" s="381">
        <v>0</v>
      </c>
      <c r="H8" s="381">
        <v>0</v>
      </c>
      <c r="I8" s="381">
        <v>0</v>
      </c>
      <c r="J8" s="381">
        <v>0</v>
      </c>
      <c r="K8" s="381">
        <v>0</v>
      </c>
      <c r="L8" s="381">
        <v>0</v>
      </c>
      <c r="M8" s="381">
        <v>0</v>
      </c>
      <c r="N8" s="381">
        <v>0</v>
      </c>
      <c r="O8" s="381">
        <v>2969446.69</v>
      </c>
      <c r="P8" s="381">
        <v>278387.03999999998</v>
      </c>
      <c r="Q8" s="381">
        <v>2691059.65</v>
      </c>
      <c r="R8" s="381">
        <v>278387.03999999998</v>
      </c>
      <c r="S8" s="381">
        <v>7405592.3899999904</v>
      </c>
      <c r="T8" s="381">
        <v>0</v>
      </c>
      <c r="U8" s="381">
        <v>278387.03999999998</v>
      </c>
      <c r="V8" s="381">
        <v>2484405.96999999</v>
      </c>
      <c r="W8" s="381">
        <v>1075080.06</v>
      </c>
      <c r="X8" s="381">
        <v>-163255</v>
      </c>
      <c r="Y8" s="381">
        <v>-7405592.3899999904</v>
      </c>
      <c r="Z8" s="381">
        <v>-4009361.3599999901</v>
      </c>
      <c r="AA8" s="381">
        <v>134050.16999999899</v>
      </c>
      <c r="AB8" s="381">
        <v>0</v>
      </c>
      <c r="AC8" s="381">
        <v>0</v>
      </c>
      <c r="AD8" s="381">
        <v>6392354.96</v>
      </c>
      <c r="AE8" s="381">
        <v>7498098.3700000001</v>
      </c>
      <c r="AF8" s="381">
        <v>5116390.01</v>
      </c>
      <c r="AG8" s="381">
        <v>19170393.510000002</v>
      </c>
      <c r="AH8" s="381">
        <v>32023708.919999901</v>
      </c>
      <c r="AI8" s="381">
        <v>15779490.347469499</v>
      </c>
      <c r="AJ8" s="381">
        <v>717674.7</v>
      </c>
      <c r="AK8" s="381">
        <v>0</v>
      </c>
      <c r="AL8" s="381">
        <v>0</v>
      </c>
      <c r="AM8" s="382">
        <v>0.83665619536681768</v>
      </c>
      <c r="AN8" s="382">
        <v>2.3316619524841999</v>
      </c>
      <c r="AO8" s="382">
        <v>9.3750475783082668E-2</v>
      </c>
      <c r="AP8" s="382">
        <v>2.4939300695106907</v>
      </c>
      <c r="AQ8" s="382">
        <v>9.7006503297685821E-4</v>
      </c>
      <c r="AR8" s="382">
        <v>3.4858412285369441E-3</v>
      </c>
    </row>
    <row r="9" spans="1:44" ht="15.4" x14ac:dyDescent="0.45">
      <c r="A9" s="380" t="s">
        <v>223</v>
      </c>
      <c r="B9" s="381">
        <v>20198602.831182901</v>
      </c>
      <c r="C9" s="381">
        <v>0</v>
      </c>
      <c r="D9" s="381">
        <v>0</v>
      </c>
      <c r="E9" s="381">
        <v>110403358</v>
      </c>
      <c r="F9" s="381">
        <v>2044380.83346627</v>
      </c>
      <c r="G9" s="381">
        <v>7723252</v>
      </c>
      <c r="H9" s="381">
        <v>7357901.6223121099</v>
      </c>
      <c r="I9" s="381">
        <v>3168251.3415021999</v>
      </c>
      <c r="J9" s="381">
        <v>0</v>
      </c>
      <c r="K9" s="381">
        <v>0</v>
      </c>
      <c r="L9" s="381">
        <v>0</v>
      </c>
      <c r="M9" s="381">
        <v>3542856.72754465</v>
      </c>
      <c r="N9" s="381">
        <v>1159909</v>
      </c>
      <c r="O9" s="381">
        <v>155598512.35600799</v>
      </c>
      <c r="P9" s="381">
        <v>85813687.304848105</v>
      </c>
      <c r="Q9" s="381">
        <v>69784825.051159993</v>
      </c>
      <c r="R9" s="381">
        <v>52245194.846228316</v>
      </c>
      <c r="S9" s="381">
        <v>56358442.592</v>
      </c>
      <c r="T9" s="381">
        <v>33912033.980631299</v>
      </c>
      <c r="U9" s="381">
        <v>85813687.304848105</v>
      </c>
      <c r="V9" s="381">
        <v>50808602.752417803</v>
      </c>
      <c r="W9" s="381">
        <v>40114945.289999999</v>
      </c>
      <c r="X9" s="381">
        <v>-884387.916896243</v>
      </c>
      <c r="Y9" s="381">
        <v>-62835277.347599998</v>
      </c>
      <c r="Z9" s="381">
        <v>25843688.639025498</v>
      </c>
      <c r="AA9" s="381">
        <v>25998448.149999999</v>
      </c>
      <c r="AB9" s="381">
        <v>0</v>
      </c>
      <c r="AC9" s="381">
        <v>6927369.6860752301</v>
      </c>
      <c r="AD9" s="381">
        <v>611854502.29999995</v>
      </c>
      <c r="AE9" s="381">
        <v>103394688.42999899</v>
      </c>
      <c r="AF9" s="381">
        <v>17944558.57</v>
      </c>
      <c r="AG9" s="381">
        <v>769821427.57000005</v>
      </c>
      <c r="AH9" s="381">
        <v>505255051.88644004</v>
      </c>
      <c r="AI9" s="381">
        <v>51184366.208877802</v>
      </c>
      <c r="AJ9" s="381">
        <v>0</v>
      </c>
      <c r="AK9" s="381">
        <v>387344139.44199997</v>
      </c>
      <c r="AL9" s="381">
        <v>161815432.165874</v>
      </c>
      <c r="AM9" s="382">
        <v>0.32653655862832531</v>
      </c>
      <c r="AN9" s="382">
        <v>0.52205240501968453</v>
      </c>
      <c r="AO9" s="382">
        <v>0.55150711922301132</v>
      </c>
      <c r="AP9" s="382">
        <v>0.36220425079034424</v>
      </c>
      <c r="AQ9" s="382">
        <v>5.083124628170408E-2</v>
      </c>
      <c r="AR9" s="382">
        <v>7.1288961778953677E-2</v>
      </c>
    </row>
    <row r="10" spans="1:44" ht="15.4" x14ac:dyDescent="0.45">
      <c r="A10" s="380" t="s">
        <v>64</v>
      </c>
      <c r="B10" s="381">
        <v>0</v>
      </c>
      <c r="C10" s="381">
        <v>0</v>
      </c>
      <c r="D10" s="381">
        <v>0</v>
      </c>
      <c r="E10" s="381">
        <v>0</v>
      </c>
      <c r="F10" s="381">
        <v>0</v>
      </c>
      <c r="G10" s="381">
        <v>0</v>
      </c>
      <c r="H10" s="381">
        <v>0</v>
      </c>
      <c r="I10" s="381">
        <v>0</v>
      </c>
      <c r="J10" s="381">
        <v>0</v>
      </c>
      <c r="K10" s="381">
        <v>0</v>
      </c>
      <c r="L10" s="381">
        <v>0</v>
      </c>
      <c r="M10" s="381">
        <v>0</v>
      </c>
      <c r="N10" s="381">
        <v>0</v>
      </c>
      <c r="O10" s="381">
        <v>0</v>
      </c>
      <c r="P10" s="381">
        <v>0</v>
      </c>
      <c r="Q10" s="381">
        <v>0</v>
      </c>
      <c r="R10" s="381">
        <v>0</v>
      </c>
      <c r="S10" s="381">
        <v>0</v>
      </c>
      <c r="T10" s="381">
        <v>0</v>
      </c>
      <c r="U10" s="381">
        <v>0</v>
      </c>
      <c r="V10" s="381">
        <v>0</v>
      </c>
      <c r="W10" s="381">
        <v>0</v>
      </c>
      <c r="X10" s="381">
        <v>0</v>
      </c>
      <c r="Y10" s="381">
        <v>0</v>
      </c>
      <c r="Z10" s="381">
        <v>0</v>
      </c>
      <c r="AA10" s="381">
        <v>0</v>
      </c>
      <c r="AB10" s="381">
        <v>0</v>
      </c>
      <c r="AC10" s="381">
        <v>0</v>
      </c>
      <c r="AD10" s="381">
        <v>0</v>
      </c>
      <c r="AE10" s="381">
        <v>0</v>
      </c>
      <c r="AF10" s="381">
        <v>0</v>
      </c>
      <c r="AG10" s="381">
        <v>0</v>
      </c>
      <c r="AH10" s="381">
        <v>0</v>
      </c>
      <c r="AI10" s="381">
        <v>0</v>
      </c>
      <c r="AJ10" s="381">
        <v>0</v>
      </c>
      <c r="AK10" s="381">
        <v>0</v>
      </c>
      <c r="AL10" s="381">
        <v>0</v>
      </c>
      <c r="AM10" s="382" t="s">
        <v>221</v>
      </c>
      <c r="AN10" s="382" t="s">
        <v>221</v>
      </c>
      <c r="AO10" s="382" t="s">
        <v>221</v>
      </c>
      <c r="AP10" s="382" t="s">
        <v>221</v>
      </c>
      <c r="AQ10" s="382"/>
      <c r="AR10" s="382"/>
    </row>
    <row r="11" spans="1:44" ht="15.4" x14ac:dyDescent="0.45">
      <c r="A11" s="380" t="s">
        <v>144</v>
      </c>
      <c r="B11" s="381">
        <v>9150634</v>
      </c>
      <c r="C11" s="381">
        <v>8894302</v>
      </c>
      <c r="D11" s="381">
        <v>10123865</v>
      </c>
      <c r="E11" s="381">
        <v>16392766</v>
      </c>
      <c r="F11" s="381">
        <v>0</v>
      </c>
      <c r="G11" s="381">
        <v>4810705</v>
      </c>
      <c r="H11" s="381">
        <v>0</v>
      </c>
      <c r="I11" s="381">
        <v>0</v>
      </c>
      <c r="J11" s="381">
        <v>0</v>
      </c>
      <c r="K11" s="381">
        <v>0</v>
      </c>
      <c r="L11" s="381">
        <v>0</v>
      </c>
      <c r="M11" s="381">
        <v>0</v>
      </c>
      <c r="N11" s="381">
        <v>677173</v>
      </c>
      <c r="O11" s="381">
        <v>50049445</v>
      </c>
      <c r="P11" s="381">
        <v>44523399</v>
      </c>
      <c r="Q11" s="381">
        <v>5526046</v>
      </c>
      <c r="R11" s="381">
        <v>14345000</v>
      </c>
      <c r="S11" s="381">
        <v>42792000</v>
      </c>
      <c r="T11" s="381">
        <v>30178399</v>
      </c>
      <c r="U11" s="381">
        <v>44523399</v>
      </c>
      <c r="V11" s="381">
        <v>-519944</v>
      </c>
      <c r="W11" s="381">
        <v>2026837</v>
      </c>
      <c r="X11" s="381">
        <v>0</v>
      </c>
      <c r="Y11" s="381">
        <v>-30689219</v>
      </c>
      <c r="Z11" s="381">
        <v>-29182326</v>
      </c>
      <c r="AA11" s="381">
        <v>22871455</v>
      </c>
      <c r="AB11" s="381">
        <v>0</v>
      </c>
      <c r="AC11" s="381">
        <v>1256340</v>
      </c>
      <c r="AD11" s="381">
        <v>107582350</v>
      </c>
      <c r="AE11" s="381">
        <v>2544835</v>
      </c>
      <c r="AF11" s="381">
        <v>7930095</v>
      </c>
      <c r="AG11" s="381">
        <v>143501940</v>
      </c>
      <c r="AH11" s="381">
        <v>42605711</v>
      </c>
      <c r="AI11" s="381">
        <v>26085602</v>
      </c>
      <c r="AJ11" s="381">
        <v>0</v>
      </c>
      <c r="AK11" s="381">
        <v>13646758</v>
      </c>
      <c r="AL11" s="381">
        <v>0</v>
      </c>
      <c r="AM11" s="382">
        <v>-1.0388606706827619E-2</v>
      </c>
      <c r="AN11" s="382">
        <v>1.3406287549387763</v>
      </c>
      <c r="AO11" s="382">
        <v>0.88958826616359088</v>
      </c>
      <c r="AP11" s="382">
        <v>0.85499449594296195</v>
      </c>
      <c r="AQ11" s="382">
        <v>1.6350256994981934E-2</v>
      </c>
      <c r="AR11" s="382">
        <v>-7.2952740156650812E-4</v>
      </c>
    </row>
    <row r="12" spans="1:44" ht="15.4" x14ac:dyDescent="0.45">
      <c r="A12" s="380" t="s">
        <v>234</v>
      </c>
      <c r="B12" s="381">
        <v>0</v>
      </c>
      <c r="C12" s="381">
        <v>19535349</v>
      </c>
      <c r="D12" s="381">
        <v>0</v>
      </c>
      <c r="E12" s="381">
        <v>16724587</v>
      </c>
      <c r="F12" s="381">
        <v>11085393</v>
      </c>
      <c r="G12" s="381">
        <v>11495379</v>
      </c>
      <c r="H12" s="381">
        <v>0</v>
      </c>
      <c r="I12" s="381">
        <v>0</v>
      </c>
      <c r="J12" s="381">
        <v>0</v>
      </c>
      <c r="K12" s="381">
        <v>0</v>
      </c>
      <c r="L12" s="381">
        <v>0</v>
      </c>
      <c r="M12" s="381">
        <v>0</v>
      </c>
      <c r="N12" s="381">
        <v>0</v>
      </c>
      <c r="O12" s="381">
        <v>58840708</v>
      </c>
      <c r="P12" s="381">
        <v>58947490</v>
      </c>
      <c r="Q12" s="381">
        <v>-106782</v>
      </c>
      <c r="R12" s="381">
        <v>25396003</v>
      </c>
      <c r="S12" s="381">
        <v>11930216</v>
      </c>
      <c r="T12" s="381">
        <v>13892350</v>
      </c>
      <c r="U12" s="381">
        <v>58947490</v>
      </c>
      <c r="V12" s="381">
        <v>-4510274</v>
      </c>
      <c r="W12" s="381">
        <v>87312291</v>
      </c>
      <c r="X12" s="381">
        <v>-57691910</v>
      </c>
      <c r="Y12" s="381">
        <v>-11930216</v>
      </c>
      <c r="Z12" s="381">
        <v>12402770</v>
      </c>
      <c r="AA12" s="381">
        <v>42446176</v>
      </c>
      <c r="AB12" s="381">
        <v>12448481</v>
      </c>
      <c r="AC12" s="381">
        <v>819208</v>
      </c>
      <c r="AD12" s="381">
        <v>388838708</v>
      </c>
      <c r="AE12" s="381">
        <v>837796</v>
      </c>
      <c r="AF12" s="381">
        <v>5809924</v>
      </c>
      <c r="AG12" s="381">
        <v>453623816</v>
      </c>
      <c r="AH12" s="381">
        <v>347415474</v>
      </c>
      <c r="AI12" s="381">
        <v>339872143</v>
      </c>
      <c r="AJ12" s="381">
        <v>592895</v>
      </c>
      <c r="AK12" s="381">
        <v>0</v>
      </c>
      <c r="AL12" s="381">
        <v>717839</v>
      </c>
      <c r="AM12" s="382">
        <v>-7.6652272776867328E-2</v>
      </c>
      <c r="AN12" s="382">
        <v>0.41242889243356512</v>
      </c>
      <c r="AO12" s="382">
        <v>1.0018147640235735</v>
      </c>
      <c r="AP12" s="382">
        <v>0.20275446039840309</v>
      </c>
      <c r="AQ12" s="382">
        <v>1.9222205112697843E-2</v>
      </c>
      <c r="AR12" s="382">
        <v>-6.3283131867527672E-3</v>
      </c>
    </row>
    <row r="13" spans="1:44" ht="15.4" x14ac:dyDescent="0.45">
      <c r="A13" s="380" t="s">
        <v>225</v>
      </c>
      <c r="B13" s="381">
        <v>0</v>
      </c>
      <c r="C13" s="381">
        <v>0</v>
      </c>
      <c r="D13" s="381">
        <v>14254663</v>
      </c>
      <c r="E13" s="381">
        <v>15392063</v>
      </c>
      <c r="F13" s="381">
        <v>15253292</v>
      </c>
      <c r="G13" s="381">
        <v>0</v>
      </c>
      <c r="H13" s="381">
        <v>81039859</v>
      </c>
      <c r="I13" s="381">
        <v>52452403</v>
      </c>
      <c r="J13" s="381">
        <v>0</v>
      </c>
      <c r="K13" s="381">
        <v>0</v>
      </c>
      <c r="L13" s="381">
        <v>0</v>
      </c>
      <c r="M13" s="381">
        <v>49761030</v>
      </c>
      <c r="N13" s="381">
        <v>0</v>
      </c>
      <c r="O13" s="381">
        <v>228153310</v>
      </c>
      <c r="P13" s="381">
        <v>195584434.34999999</v>
      </c>
      <c r="Q13" s="381">
        <v>32568875.649999902</v>
      </c>
      <c r="R13" s="381">
        <v>156796626.96000001</v>
      </c>
      <c r="S13" s="381">
        <v>17642209.940000001</v>
      </c>
      <c r="T13" s="381">
        <v>31939808.090000004</v>
      </c>
      <c r="U13" s="381">
        <v>195584434.34999999</v>
      </c>
      <c r="V13" s="381">
        <v>37914541.649999902</v>
      </c>
      <c r="W13" s="381">
        <v>-4584992</v>
      </c>
      <c r="X13" s="381">
        <v>89365322.652837396</v>
      </c>
      <c r="Y13" s="381">
        <v>-17642209.940000001</v>
      </c>
      <c r="Z13" s="381">
        <v>99800029.2446955</v>
      </c>
      <c r="AA13" s="381">
        <v>24466716</v>
      </c>
      <c r="AB13" s="381">
        <v>0</v>
      </c>
      <c r="AC13" s="381">
        <v>0</v>
      </c>
      <c r="AD13" s="381">
        <v>662561816.40303397</v>
      </c>
      <c r="AE13" s="381">
        <v>101095299.778088</v>
      </c>
      <c r="AF13" s="381">
        <v>25359178.237</v>
      </c>
      <c r="AG13" s="381">
        <v>813483010.41999996</v>
      </c>
      <c r="AH13" s="381">
        <v>504352257.00232095</v>
      </c>
      <c r="AI13" s="381">
        <v>327648819</v>
      </c>
      <c r="AJ13" s="381">
        <v>0</v>
      </c>
      <c r="AK13" s="381">
        <v>151876545.868606</v>
      </c>
      <c r="AL13" s="381">
        <v>0</v>
      </c>
      <c r="AM13" s="382">
        <v>0.16618010779681391</v>
      </c>
      <c r="AN13" s="382">
        <v>0.21184931209457375</v>
      </c>
      <c r="AO13" s="382">
        <v>0.85725004099217317</v>
      </c>
      <c r="AP13" s="382">
        <v>7.7326118740070005E-2</v>
      </c>
      <c r="AQ13" s="382">
        <v>7.4533598779282811E-2</v>
      </c>
      <c r="AR13" s="382">
        <v>5.3197454055647485E-2</v>
      </c>
    </row>
    <row r="14" spans="1:44" ht="15.4" x14ac:dyDescent="0.45">
      <c r="A14" s="380" t="s">
        <v>22</v>
      </c>
      <c r="B14" s="381">
        <v>47921098.487110898</v>
      </c>
      <c r="C14" s="381">
        <v>0</v>
      </c>
      <c r="D14" s="381">
        <v>0</v>
      </c>
      <c r="E14" s="381">
        <v>69504444.860595405</v>
      </c>
      <c r="F14" s="381">
        <v>1590649.5372951599</v>
      </c>
      <c r="G14" s="381">
        <v>6838081.6654661903</v>
      </c>
      <c r="H14" s="381">
        <v>11957337.170747699</v>
      </c>
      <c r="I14" s="381">
        <v>0</v>
      </c>
      <c r="J14" s="381">
        <v>0</v>
      </c>
      <c r="K14" s="381">
        <v>0</v>
      </c>
      <c r="L14" s="381">
        <v>0</v>
      </c>
      <c r="M14" s="381">
        <v>0</v>
      </c>
      <c r="N14" s="381">
        <v>0</v>
      </c>
      <c r="O14" s="381">
        <v>137811611.72121501</v>
      </c>
      <c r="P14" s="381">
        <v>103895494.95773201</v>
      </c>
      <c r="Q14" s="381">
        <v>33916116.7634831</v>
      </c>
      <c r="R14" s="381">
        <v>71301529.492484301</v>
      </c>
      <c r="S14" s="381">
        <v>15254198.99</v>
      </c>
      <c r="T14" s="381">
        <v>26093922.5830747</v>
      </c>
      <c r="U14" s="381">
        <v>103895494.95773201</v>
      </c>
      <c r="V14" s="381">
        <v>11672542.7634831</v>
      </c>
      <c r="W14" s="381">
        <v>81557473.669999897</v>
      </c>
      <c r="X14" s="381">
        <v>-77176557.519999996</v>
      </c>
      <c r="Y14" s="381">
        <v>-13219312.460000001</v>
      </c>
      <c r="Z14" s="381">
        <v>2334146.4534831098</v>
      </c>
      <c r="AA14" s="381">
        <v>50020593.719999999</v>
      </c>
      <c r="AB14" s="381">
        <v>0</v>
      </c>
      <c r="AC14" s="381">
        <v>20150620</v>
      </c>
      <c r="AD14" s="381">
        <v>643282026.19791496</v>
      </c>
      <c r="AE14" s="381">
        <v>19235819.166815501</v>
      </c>
      <c r="AF14" s="381">
        <v>12680279.8099999</v>
      </c>
      <c r="AG14" s="381">
        <v>745369338.88999999</v>
      </c>
      <c r="AH14" s="381">
        <v>661234690.58029902</v>
      </c>
      <c r="AI14" s="381">
        <v>504811625.20999998</v>
      </c>
      <c r="AJ14" s="381">
        <v>0</v>
      </c>
      <c r="AK14" s="381">
        <v>117328077.13</v>
      </c>
      <c r="AL14" s="381">
        <v>0</v>
      </c>
      <c r="AM14" s="382">
        <v>8.4699268934579949E-2</v>
      </c>
      <c r="AN14" s="382">
        <v>0.25458992076894443</v>
      </c>
      <c r="AO14" s="382">
        <v>0.75389507212140172</v>
      </c>
      <c r="AP14" s="382">
        <v>0.11068877868476258</v>
      </c>
      <c r="AQ14" s="382">
        <v>4.502058451466405E-2</v>
      </c>
      <c r="AR14" s="382">
        <v>1.6377609496249161E-2</v>
      </c>
    </row>
    <row r="15" spans="1:44" ht="15.4" x14ac:dyDescent="0.45">
      <c r="A15" s="380" t="s">
        <v>233</v>
      </c>
      <c r="B15" s="381">
        <v>16795027.593313899</v>
      </c>
      <c r="C15" s="381">
        <v>0</v>
      </c>
      <c r="D15" s="381">
        <v>0</v>
      </c>
      <c r="E15" s="381">
        <v>2023050.8010726599</v>
      </c>
      <c r="F15" s="381">
        <v>687932.46167043503</v>
      </c>
      <c r="G15" s="381">
        <v>9296065.5636234097</v>
      </c>
      <c r="H15" s="381">
        <v>9977204.8212384507</v>
      </c>
      <c r="I15" s="381">
        <v>1030870.92133837</v>
      </c>
      <c r="J15" s="381">
        <v>0</v>
      </c>
      <c r="K15" s="381">
        <v>0</v>
      </c>
      <c r="L15" s="381">
        <v>0</v>
      </c>
      <c r="M15" s="381">
        <v>8579484.8377427403</v>
      </c>
      <c r="N15" s="381">
        <v>0</v>
      </c>
      <c r="O15" s="381">
        <v>48389637</v>
      </c>
      <c r="P15" s="381">
        <v>52891549</v>
      </c>
      <c r="Q15" s="381">
        <v>-4501912</v>
      </c>
      <c r="R15" s="381">
        <v>45812991</v>
      </c>
      <c r="S15" s="381">
        <v>0</v>
      </c>
      <c r="T15" s="381">
        <v>6067195</v>
      </c>
      <c r="U15" s="381">
        <v>52891549</v>
      </c>
      <c r="V15" s="381">
        <v>-4842882</v>
      </c>
      <c r="W15" s="381">
        <v>11198123</v>
      </c>
      <c r="X15" s="381">
        <v>-355281</v>
      </c>
      <c r="Y15" s="381">
        <v>0</v>
      </c>
      <c r="Z15" s="381">
        <v>5999960</v>
      </c>
      <c r="AA15" s="381">
        <v>5485513</v>
      </c>
      <c r="AB15" s="381">
        <v>0</v>
      </c>
      <c r="AC15" s="381">
        <v>0</v>
      </c>
      <c r="AD15" s="381">
        <v>268020234</v>
      </c>
      <c r="AE15" s="381">
        <v>4760411</v>
      </c>
      <c r="AF15" s="381">
        <v>6204107</v>
      </c>
      <c r="AG15" s="381">
        <v>284470265</v>
      </c>
      <c r="AH15" s="381">
        <v>157238020</v>
      </c>
      <c r="AI15" s="381">
        <v>8080937</v>
      </c>
      <c r="AJ15" s="381">
        <v>0</v>
      </c>
      <c r="AK15" s="381">
        <v>100283967</v>
      </c>
      <c r="AL15" s="381">
        <v>20102388</v>
      </c>
      <c r="AM15" s="382">
        <v>-0.10008097394902962</v>
      </c>
      <c r="AN15" s="382">
        <v>0.12446825738839072</v>
      </c>
      <c r="AO15" s="382">
        <v>1.0930346305346328</v>
      </c>
      <c r="AP15" s="382">
        <v>0</v>
      </c>
      <c r="AQ15" s="382">
        <v>1.5808027458523999E-2</v>
      </c>
      <c r="AR15" s="382">
        <v>-6.7949916174688315E-3</v>
      </c>
    </row>
    <row r="16" spans="1:44" ht="15.4" x14ac:dyDescent="0.45">
      <c r="A16" s="380" t="s">
        <v>227</v>
      </c>
      <c r="B16" s="381">
        <v>99174557.627541497</v>
      </c>
      <c r="C16" s="381">
        <v>0</v>
      </c>
      <c r="D16" s="381">
        <v>0</v>
      </c>
      <c r="E16" s="381">
        <v>30287530.3099121</v>
      </c>
      <c r="F16" s="381">
        <v>54003519.174918503</v>
      </c>
      <c r="G16" s="381">
        <v>14893952.001320999</v>
      </c>
      <c r="H16" s="381">
        <v>117016236.881917</v>
      </c>
      <c r="I16" s="381">
        <v>107057315.124983</v>
      </c>
      <c r="J16" s="381">
        <v>0</v>
      </c>
      <c r="K16" s="381">
        <v>0</v>
      </c>
      <c r="L16" s="381">
        <v>4488857.6999289999</v>
      </c>
      <c r="M16" s="381">
        <v>0</v>
      </c>
      <c r="N16" s="381">
        <v>0</v>
      </c>
      <c r="O16" s="381">
        <v>426921968.82052201</v>
      </c>
      <c r="P16" s="381">
        <v>188114678.70000899</v>
      </c>
      <c r="Q16" s="381">
        <v>238807290.12051299</v>
      </c>
      <c r="R16" s="381">
        <v>147416646.9894</v>
      </c>
      <c r="S16" s="381">
        <v>9267292.4700000007</v>
      </c>
      <c r="T16" s="381">
        <v>74582599.319436997</v>
      </c>
      <c r="U16" s="381">
        <v>188114678.70000899</v>
      </c>
      <c r="V16" s="381">
        <v>219983421.265443</v>
      </c>
      <c r="W16" s="381">
        <v>179286097.571675</v>
      </c>
      <c r="X16" s="381">
        <v>-349737691.24871302</v>
      </c>
      <c r="Y16" s="381">
        <v>-8734174.2599999998</v>
      </c>
      <c r="Z16" s="381">
        <v>38757770.661984697</v>
      </c>
      <c r="AA16" s="381">
        <v>143291912.15000001</v>
      </c>
      <c r="AB16" s="381">
        <v>10007479.126584901</v>
      </c>
      <c r="AC16" s="381">
        <v>8637243.6286384501</v>
      </c>
      <c r="AD16" s="381">
        <v>1268721296.9969299</v>
      </c>
      <c r="AE16" s="381">
        <v>18212856.289999999</v>
      </c>
      <c r="AF16" s="381">
        <v>45465554.867350399</v>
      </c>
      <c r="AG16" s="381">
        <v>1508228219.05</v>
      </c>
      <c r="AH16" s="381">
        <v>1180911821.4757581</v>
      </c>
      <c r="AI16" s="381">
        <v>1107332521.1891699</v>
      </c>
      <c r="AJ16" s="381">
        <v>3497370.7899999898</v>
      </c>
      <c r="AK16" s="381">
        <v>0</v>
      </c>
      <c r="AL16" s="381">
        <v>569159221.49653602</v>
      </c>
      <c r="AM16" s="382">
        <v>0.5152778196755764</v>
      </c>
      <c r="AN16" s="382">
        <v>0.18812549648936372</v>
      </c>
      <c r="AO16" s="382">
        <v>0.44063012081510472</v>
      </c>
      <c r="AP16" s="382">
        <v>2.1707227893666841E-2</v>
      </c>
      <c r="AQ16" s="382">
        <v>0.13946775847402904</v>
      </c>
      <c r="AR16" s="382">
        <v>0.30865618932709898</v>
      </c>
    </row>
    <row r="17" spans="1:44" ht="15.4" x14ac:dyDescent="0.45">
      <c r="A17" s="380" t="s">
        <v>228</v>
      </c>
      <c r="B17" s="381">
        <v>11541626</v>
      </c>
      <c r="C17" s="381">
        <v>0</v>
      </c>
      <c r="D17" s="381">
        <v>0</v>
      </c>
      <c r="E17" s="381">
        <v>1444397</v>
      </c>
      <c r="F17" s="381">
        <v>0</v>
      </c>
      <c r="G17" s="381">
        <v>3749788</v>
      </c>
      <c r="H17" s="381">
        <v>244093</v>
      </c>
      <c r="I17" s="381">
        <v>722809</v>
      </c>
      <c r="J17" s="381">
        <v>0</v>
      </c>
      <c r="K17" s="381">
        <v>0</v>
      </c>
      <c r="L17" s="381">
        <v>0</v>
      </c>
      <c r="M17" s="381">
        <v>8021734</v>
      </c>
      <c r="N17" s="381">
        <v>10700177</v>
      </c>
      <c r="O17" s="381">
        <v>36424624</v>
      </c>
      <c r="P17" s="381">
        <v>35685461</v>
      </c>
      <c r="Q17" s="381">
        <v>739163</v>
      </c>
      <c r="R17" s="381">
        <v>35353456</v>
      </c>
      <c r="S17" s="381">
        <v>17496742</v>
      </c>
      <c r="T17" s="381">
        <v>332005</v>
      </c>
      <c r="U17" s="381">
        <v>35685461</v>
      </c>
      <c r="V17" s="381">
        <v>739163</v>
      </c>
      <c r="W17" s="381">
        <v>23914522</v>
      </c>
      <c r="X17" s="381">
        <v>0</v>
      </c>
      <c r="Y17" s="381">
        <v>-16237858</v>
      </c>
      <c r="Z17" s="381">
        <v>7995036</v>
      </c>
      <c r="AA17" s="381">
        <v>3231202</v>
      </c>
      <c r="AB17" s="381">
        <v>0</v>
      </c>
      <c r="AC17" s="381">
        <v>0</v>
      </c>
      <c r="AD17" s="381">
        <v>136442353</v>
      </c>
      <c r="AE17" s="381">
        <v>20879924</v>
      </c>
      <c r="AF17" s="381">
        <v>2074805</v>
      </c>
      <c r="AG17" s="381">
        <v>162722000</v>
      </c>
      <c r="AH17" s="381">
        <v>111883715</v>
      </c>
      <c r="AI17" s="381">
        <v>109293300</v>
      </c>
      <c r="AJ17" s="381">
        <v>0</v>
      </c>
      <c r="AK17" s="381">
        <v>0</v>
      </c>
      <c r="AL17" s="381">
        <v>26554314</v>
      </c>
      <c r="AM17" s="382">
        <v>2.0292947979366927E-2</v>
      </c>
      <c r="AN17" s="382">
        <v>0.48946962362603935</v>
      </c>
      <c r="AO17" s="382">
        <v>0.97970705202063313</v>
      </c>
      <c r="AP17" s="382">
        <v>0.48035477318859898</v>
      </c>
      <c r="AQ17" s="382">
        <v>1.1899272076755034E-2</v>
      </c>
      <c r="AR17" s="382">
        <v>1.0371110402737696E-3</v>
      </c>
    </row>
    <row r="18" spans="1:44" ht="15.4" x14ac:dyDescent="0.45">
      <c r="A18" s="380" t="s">
        <v>229</v>
      </c>
      <c r="B18" s="381">
        <v>21427841</v>
      </c>
      <c r="C18" s="381">
        <v>0</v>
      </c>
      <c r="D18" s="381">
        <v>0</v>
      </c>
      <c r="E18" s="381">
        <v>87601810</v>
      </c>
      <c r="F18" s="381">
        <v>0</v>
      </c>
      <c r="G18" s="381">
        <v>70576824</v>
      </c>
      <c r="H18" s="381">
        <v>31133242</v>
      </c>
      <c r="I18" s="381">
        <v>0</v>
      </c>
      <c r="J18" s="381">
        <v>0</v>
      </c>
      <c r="K18" s="381">
        <v>0</v>
      </c>
      <c r="L18" s="381">
        <v>0</v>
      </c>
      <c r="M18" s="381">
        <v>100600337</v>
      </c>
      <c r="N18" s="381">
        <v>0</v>
      </c>
      <c r="O18" s="381">
        <v>311340054</v>
      </c>
      <c r="P18" s="381">
        <v>269976830</v>
      </c>
      <c r="Q18" s="381">
        <v>41363224</v>
      </c>
      <c r="R18" s="381">
        <v>82907922</v>
      </c>
      <c r="S18" s="381">
        <v>4448798</v>
      </c>
      <c r="T18" s="381">
        <v>187068908</v>
      </c>
      <c r="U18" s="381">
        <v>269976830</v>
      </c>
      <c r="V18" s="381">
        <v>3259976</v>
      </c>
      <c r="W18" s="381">
        <v>38773214</v>
      </c>
      <c r="X18" s="381">
        <v>-11588319</v>
      </c>
      <c r="Y18" s="381">
        <v>-9609321</v>
      </c>
      <c r="Z18" s="381">
        <v>20247457</v>
      </c>
      <c r="AA18" s="381">
        <v>25978869</v>
      </c>
      <c r="AB18" s="381">
        <v>4751456</v>
      </c>
      <c r="AC18" s="381">
        <v>0</v>
      </c>
      <c r="AD18" s="381">
        <v>286606602</v>
      </c>
      <c r="AE18" s="381">
        <v>1583932</v>
      </c>
      <c r="AF18" s="381">
        <v>9645406</v>
      </c>
      <c r="AG18" s="381">
        <v>329006027</v>
      </c>
      <c r="AH18" s="381">
        <v>162586157</v>
      </c>
      <c r="AI18" s="381">
        <v>92699365</v>
      </c>
      <c r="AJ18" s="381">
        <v>10750075</v>
      </c>
      <c r="AK18" s="381">
        <v>15591759</v>
      </c>
      <c r="AL18" s="381">
        <v>27174987.660114501</v>
      </c>
      <c r="AM18" s="382">
        <v>1.0470788959264458E-2</v>
      </c>
      <c r="AN18" s="382">
        <v>0.5359896104759394</v>
      </c>
      <c r="AO18" s="382">
        <v>0.86714454671482777</v>
      </c>
      <c r="AP18" s="382">
        <v>1.4289192613809979E-2</v>
      </c>
      <c r="AQ18" s="382">
        <v>0.10170921766927792</v>
      </c>
      <c r="AR18" s="382">
        <v>4.5740345507385002E-3</v>
      </c>
    </row>
    <row r="19" spans="1:44" ht="15.4" x14ac:dyDescent="0.45">
      <c r="A19" s="380" t="s">
        <v>230</v>
      </c>
      <c r="B19" s="381">
        <v>105671630.93398</v>
      </c>
      <c r="C19" s="381">
        <v>0</v>
      </c>
      <c r="D19" s="381">
        <v>0</v>
      </c>
      <c r="E19" s="381">
        <v>51454343.299999997</v>
      </c>
      <c r="F19" s="381">
        <v>226192.76</v>
      </c>
      <c r="G19" s="381">
        <v>10184554.83</v>
      </c>
      <c r="H19" s="381">
        <v>7957191.77999999</v>
      </c>
      <c r="I19" s="381">
        <v>49959614.359999999</v>
      </c>
      <c r="J19" s="381">
        <v>0</v>
      </c>
      <c r="K19" s="381">
        <v>0</v>
      </c>
      <c r="L19" s="381">
        <v>0</v>
      </c>
      <c r="M19" s="381">
        <v>3550640.6660190099</v>
      </c>
      <c r="N19" s="381">
        <v>0</v>
      </c>
      <c r="O19" s="381">
        <v>229004168.63</v>
      </c>
      <c r="P19" s="381">
        <v>318060197.73000002</v>
      </c>
      <c r="Q19" s="381">
        <v>-89056029.099999994</v>
      </c>
      <c r="R19" s="381">
        <v>203738767.93000001</v>
      </c>
      <c r="S19" s="381">
        <v>80954108.200000003</v>
      </c>
      <c r="T19" s="381">
        <v>26036619.019999899</v>
      </c>
      <c r="U19" s="381">
        <v>318060197.73000002</v>
      </c>
      <c r="V19" s="381">
        <v>-93080774.650000006</v>
      </c>
      <c r="W19" s="381">
        <v>378575078.24000001</v>
      </c>
      <c r="X19" s="381">
        <v>21694677.23</v>
      </c>
      <c r="Y19" s="381">
        <v>-45695613.869999997</v>
      </c>
      <c r="Z19" s="381">
        <v>248418698.59999999</v>
      </c>
      <c r="AA19" s="381">
        <v>26193371.399999999</v>
      </c>
      <c r="AB19" s="381">
        <v>0</v>
      </c>
      <c r="AC19" s="381">
        <v>0</v>
      </c>
      <c r="AD19" s="381">
        <v>1545175182.7360599</v>
      </c>
      <c r="AE19" s="381">
        <v>215875757.651999</v>
      </c>
      <c r="AF19" s="381">
        <v>102053586.043</v>
      </c>
      <c r="AG19" s="381">
        <v>1889297897.8299999</v>
      </c>
      <c r="AH19" s="381">
        <v>1556593283.2379999</v>
      </c>
      <c r="AI19" s="381">
        <v>1380276125.595</v>
      </c>
      <c r="AJ19" s="381">
        <v>0</v>
      </c>
      <c r="AK19" s="381">
        <v>0</v>
      </c>
      <c r="AL19" s="381">
        <v>0</v>
      </c>
      <c r="AM19" s="382">
        <v>-0.40645886582261209</v>
      </c>
      <c r="AN19" s="382">
        <v>0.45469973222463395</v>
      </c>
      <c r="AO19" s="382">
        <v>1.3888838776724937</v>
      </c>
      <c r="AP19" s="382">
        <v>0.35350495444821722</v>
      </c>
      <c r="AQ19" s="382">
        <v>7.4811559049709347E-2</v>
      </c>
      <c r="AR19" s="382">
        <v>-0.13060055634109097</v>
      </c>
    </row>
    <row r="20" spans="1:44" ht="15.4" x14ac:dyDescent="0.45">
      <c r="A20" s="380" t="s">
        <v>28</v>
      </c>
      <c r="B20" s="381">
        <v>12770808</v>
      </c>
      <c r="C20" s="381">
        <v>0</v>
      </c>
      <c r="D20" s="381">
        <v>0</v>
      </c>
      <c r="E20" s="381">
        <v>114548097</v>
      </c>
      <c r="F20" s="381">
        <v>54988685</v>
      </c>
      <c r="G20" s="381">
        <v>0</v>
      </c>
      <c r="H20" s="381">
        <v>0</v>
      </c>
      <c r="I20" s="381">
        <v>439673153.21930099</v>
      </c>
      <c r="J20" s="381">
        <v>0</v>
      </c>
      <c r="K20" s="381">
        <v>0</v>
      </c>
      <c r="L20" s="381">
        <v>0</v>
      </c>
      <c r="M20" s="381">
        <v>0</v>
      </c>
      <c r="N20" s="381">
        <v>0</v>
      </c>
      <c r="O20" s="381">
        <v>621980743.21930099</v>
      </c>
      <c r="P20" s="381">
        <v>384986152.96287298</v>
      </c>
      <c r="Q20" s="381">
        <v>236994590.256428</v>
      </c>
      <c r="R20" s="381">
        <v>189245478.96287301</v>
      </c>
      <c r="S20" s="381">
        <v>36447244.656733297</v>
      </c>
      <c r="T20" s="381">
        <v>134456543</v>
      </c>
      <c r="U20" s="381">
        <v>384986152.96287298</v>
      </c>
      <c r="V20" s="381">
        <v>226760504.256428</v>
      </c>
      <c r="W20" s="381">
        <v>324680495</v>
      </c>
      <c r="X20" s="381">
        <v>-664028463.46948099</v>
      </c>
      <c r="Y20" s="381">
        <v>-69430794.666733295</v>
      </c>
      <c r="Z20" s="381">
        <v>-202055679.87978601</v>
      </c>
      <c r="AA20" s="381">
        <v>48918737.039999999</v>
      </c>
      <c r="AB20" s="381">
        <v>70582700</v>
      </c>
      <c r="AC20" s="381">
        <v>541400</v>
      </c>
      <c r="AD20" s="381">
        <v>2962342847</v>
      </c>
      <c r="AE20" s="381">
        <v>81188261.549999997</v>
      </c>
      <c r="AF20" s="381">
        <v>61685374</v>
      </c>
      <c r="AG20" s="381">
        <v>3225428411.0900002</v>
      </c>
      <c r="AH20" s="381">
        <v>2306596167.9700003</v>
      </c>
      <c r="AI20" s="381">
        <v>2120949166</v>
      </c>
      <c r="AJ20" s="381">
        <v>7291</v>
      </c>
      <c r="AK20" s="381">
        <v>0</v>
      </c>
      <c r="AL20" s="381">
        <v>976931906.66401303</v>
      </c>
      <c r="AM20" s="382">
        <v>0.36457801423681002</v>
      </c>
      <c r="AN20" s="382">
        <v>0.26940233201479041</v>
      </c>
      <c r="AO20" s="382">
        <v>0.61896796188613301</v>
      </c>
      <c r="AP20" s="382">
        <v>5.8598670544182024E-2</v>
      </c>
      <c r="AQ20" s="382">
        <v>0.20318996539453013</v>
      </c>
      <c r="AR20" s="382">
        <v>0.31816503594253037</v>
      </c>
    </row>
    <row r="21" spans="1:44" ht="15.4" x14ac:dyDescent="0.45">
      <c r="A21" s="380" t="s">
        <v>31</v>
      </c>
      <c r="B21" s="381">
        <v>0</v>
      </c>
      <c r="C21" s="381">
        <v>0</v>
      </c>
      <c r="D21" s="381">
        <v>0</v>
      </c>
      <c r="E21" s="381">
        <v>0</v>
      </c>
      <c r="F21" s="381">
        <v>0</v>
      </c>
      <c r="G21" s="381">
        <v>0</v>
      </c>
      <c r="H21" s="381">
        <v>0</v>
      </c>
      <c r="I21" s="381">
        <v>0</v>
      </c>
      <c r="J21" s="381">
        <v>0</v>
      </c>
      <c r="K21" s="381">
        <v>0</v>
      </c>
      <c r="L21" s="381">
        <v>0</v>
      </c>
      <c r="M21" s="381">
        <v>0</v>
      </c>
      <c r="N21" s="381">
        <v>0</v>
      </c>
      <c r="O21" s="381">
        <v>0</v>
      </c>
      <c r="P21" s="381">
        <v>0</v>
      </c>
      <c r="Q21" s="381">
        <v>0</v>
      </c>
      <c r="R21" s="381">
        <v>0</v>
      </c>
      <c r="S21" s="381">
        <v>0</v>
      </c>
      <c r="T21" s="381">
        <v>0</v>
      </c>
      <c r="U21" s="381">
        <v>0</v>
      </c>
      <c r="V21" s="381">
        <v>0</v>
      </c>
      <c r="W21" s="381">
        <v>0</v>
      </c>
      <c r="X21" s="381">
        <v>0</v>
      </c>
      <c r="Y21" s="381">
        <v>0</v>
      </c>
      <c r="Z21" s="381">
        <v>0</v>
      </c>
      <c r="AA21" s="381">
        <v>0</v>
      </c>
      <c r="AB21" s="381">
        <v>0</v>
      </c>
      <c r="AC21" s="381">
        <v>0</v>
      </c>
      <c r="AD21" s="381">
        <v>0</v>
      </c>
      <c r="AE21" s="381">
        <v>0</v>
      </c>
      <c r="AF21" s="381">
        <v>0</v>
      </c>
      <c r="AG21" s="381">
        <v>0</v>
      </c>
      <c r="AH21" s="381">
        <v>0</v>
      </c>
      <c r="AI21" s="381">
        <v>0</v>
      </c>
      <c r="AJ21" s="381">
        <v>0</v>
      </c>
      <c r="AK21" s="381">
        <v>0</v>
      </c>
      <c r="AL21" s="381">
        <v>0</v>
      </c>
      <c r="AM21" s="382" t="s">
        <v>221</v>
      </c>
      <c r="AN21" s="382" t="s">
        <v>221</v>
      </c>
      <c r="AO21" s="382" t="s">
        <v>221</v>
      </c>
      <c r="AP21" s="382" t="s">
        <v>221</v>
      </c>
      <c r="AQ21" s="382"/>
      <c r="AR21" s="382"/>
    </row>
    <row r="22" spans="1:44" ht="15.4" x14ac:dyDescent="0.45">
      <c r="A22" s="380" t="s">
        <v>92</v>
      </c>
      <c r="B22" s="383">
        <v>344651826.47312921</v>
      </c>
      <c r="C22" s="383">
        <v>28429651</v>
      </c>
      <c r="D22" s="383">
        <v>179605537</v>
      </c>
      <c r="E22" s="383">
        <v>571492803.27158022</v>
      </c>
      <c r="F22" s="383">
        <v>233715639.45735037</v>
      </c>
      <c r="G22" s="383">
        <v>182126817.06041062</v>
      </c>
      <c r="H22" s="383">
        <v>674943276.27621531</v>
      </c>
      <c r="I22" s="383">
        <v>654064416.96712458</v>
      </c>
      <c r="J22" s="383">
        <v>0</v>
      </c>
      <c r="K22" s="383">
        <v>0</v>
      </c>
      <c r="L22" s="383">
        <v>4488857.6999289999</v>
      </c>
      <c r="M22" s="383">
        <v>175023935.2313064</v>
      </c>
      <c r="N22" s="383">
        <v>12537259</v>
      </c>
      <c r="O22" s="383">
        <v>3061080019.4370461</v>
      </c>
      <c r="P22" s="383">
        <v>2213811567.0454621</v>
      </c>
      <c r="Q22" s="383">
        <v>847268452.39158392</v>
      </c>
      <c r="R22" s="383">
        <v>1338843367.2209857</v>
      </c>
      <c r="S22" s="383">
        <v>346303914.54873329</v>
      </c>
      <c r="T22" s="383">
        <v>704885120.99314284</v>
      </c>
      <c r="U22" s="383">
        <v>2213811567.0454621</v>
      </c>
      <c r="V22" s="383">
        <v>712713462.00777185</v>
      </c>
      <c r="W22" s="383">
        <v>1595138559.8316751</v>
      </c>
      <c r="X22" s="383">
        <v>-1469367799.2722528</v>
      </c>
      <c r="Y22" s="383">
        <v>-328688184.24433327</v>
      </c>
      <c r="Z22" s="383">
        <v>453949890.04940283</v>
      </c>
      <c r="AA22" s="383">
        <v>848912585.62999988</v>
      </c>
      <c r="AB22" s="383">
        <v>97790116.126584902</v>
      </c>
      <c r="AC22" s="383">
        <v>55684132.314713672</v>
      </c>
      <c r="AD22" s="383">
        <v>11193591014.39394</v>
      </c>
      <c r="AE22" s="383">
        <v>631244681.23690152</v>
      </c>
      <c r="AF22" s="383">
        <v>417502355.5373503</v>
      </c>
      <c r="AG22" s="383">
        <v>13266791079.160002</v>
      </c>
      <c r="AH22" s="383">
        <v>9790177581.0728188</v>
      </c>
      <c r="AI22" s="383">
        <v>7724469068.5505171</v>
      </c>
      <c r="AJ22" s="383">
        <v>15565306.489999991</v>
      </c>
      <c r="AK22" s="383">
        <v>1194068699.4406059</v>
      </c>
      <c r="AL22" s="383">
        <v>2826264702.9865375</v>
      </c>
      <c r="AM22" s="384">
        <v>0.15991046864289735</v>
      </c>
      <c r="AN22" s="384">
        <v>0.56746153027907242</v>
      </c>
      <c r="AO22" s="385">
        <v>0.78204282327036367</v>
      </c>
      <c r="AP22" s="385">
        <v>0.39167701120237469</v>
      </c>
      <c r="AQ22" s="386">
        <v>1</v>
      </c>
      <c r="AR22" s="386">
        <v>0.99999999999999978</v>
      </c>
    </row>
  </sheetData>
  <mergeCells count="1">
    <mergeCell ref="B1:AR1"/>
  </mergeCells>
  <dataValidations count="1">
    <dataValidation type="list" allowBlank="1" showDropDown="1" showInputMessage="1" showErrorMessage="1" sqref="A3" xr:uid="{5E25CBD4-02E3-4909-A606-30A5216DEB19}">
      <formula1>$A$6:$A$21</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55</vt:i4>
      </vt:variant>
    </vt:vector>
  </HeadingPairs>
  <TitlesOfParts>
    <vt:vector size="55" baseType="lpstr">
      <vt:lpstr>Introduction</vt:lpstr>
      <vt:lpstr>PERIOD SHORTCUTS</vt:lpstr>
      <vt:lpstr>Reliance and Limitation</vt:lpstr>
      <vt:lpstr>Q1,2013</vt:lpstr>
      <vt:lpstr>Q2,2013</vt:lpstr>
      <vt:lpstr>Q3,2013</vt:lpstr>
      <vt:lpstr>Q4,2013</vt:lpstr>
      <vt:lpstr>Q1,2014</vt:lpstr>
      <vt:lpstr>Q2, 2014</vt:lpstr>
      <vt:lpstr>Q3, 2014</vt:lpstr>
      <vt:lpstr>Q4,2014</vt:lpstr>
      <vt:lpstr>Q1, 2015</vt:lpstr>
      <vt:lpstr>Q2,2015</vt:lpstr>
      <vt:lpstr>Q3,2015</vt:lpstr>
      <vt:lpstr>Q4,2015</vt:lpstr>
      <vt:lpstr>Q1, 2016</vt:lpstr>
      <vt:lpstr>Q2, 2016</vt:lpstr>
      <vt:lpstr>Q3,2016</vt:lpstr>
      <vt:lpstr>Q4, 2016</vt:lpstr>
      <vt:lpstr>Q1, 2017</vt:lpstr>
      <vt:lpstr>Q2, 2017</vt:lpstr>
      <vt:lpstr>Q3, 2017</vt:lpstr>
      <vt:lpstr>Q4, 2017</vt:lpstr>
      <vt:lpstr>Q1, 2018</vt:lpstr>
      <vt:lpstr>Q2, 2018</vt:lpstr>
      <vt:lpstr>Q3, 2018</vt:lpstr>
      <vt:lpstr>Q4, 2018</vt:lpstr>
      <vt:lpstr>Q1, 2019</vt:lpstr>
      <vt:lpstr>Q2,2019</vt:lpstr>
      <vt:lpstr>Q3, 2019</vt:lpstr>
      <vt:lpstr>Q4, 2019</vt:lpstr>
      <vt:lpstr>Q1, 2020</vt:lpstr>
      <vt:lpstr>Q2, 2020</vt:lpstr>
      <vt:lpstr>Q3 2020</vt:lpstr>
      <vt:lpstr>Q4 2020</vt:lpstr>
      <vt:lpstr>Q1, 2021</vt:lpstr>
      <vt:lpstr>Q2, 2021</vt:lpstr>
      <vt:lpstr>Q3, 2021</vt:lpstr>
      <vt:lpstr>Q4, 2021</vt:lpstr>
      <vt:lpstr>Q1, 2022</vt:lpstr>
      <vt:lpstr>Q2, 2022</vt:lpstr>
      <vt:lpstr>Q3,2022</vt:lpstr>
      <vt:lpstr>Q4,2022</vt:lpstr>
      <vt:lpstr>Q1,2023</vt:lpstr>
      <vt:lpstr>Q2 2023</vt:lpstr>
      <vt:lpstr>Q3, 2023</vt:lpstr>
      <vt:lpstr>Q4, 2023</vt:lpstr>
      <vt:lpstr>Q1, 2024</vt:lpstr>
      <vt:lpstr>Q2, 2024</vt:lpstr>
      <vt:lpstr>Q3, 2024</vt:lpstr>
      <vt:lpstr>Q4, 2024</vt:lpstr>
      <vt:lpstr>Q1, 2025</vt:lpstr>
      <vt:lpstr>Q2, 2025</vt:lpstr>
      <vt:lpstr>Q3 2025</vt:lpstr>
      <vt:lpstr>Q4 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2026-03-24T07:46:13Z</dcterms:modified>
  <cp:category/>
  <cp:contentStatus/>
</cp:coreProperties>
</file>