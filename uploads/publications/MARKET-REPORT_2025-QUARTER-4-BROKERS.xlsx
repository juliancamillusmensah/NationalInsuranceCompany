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ustomProperty2.bin" ContentType="application/vnd.openxmlformats-officedocument.spreadsheetml.customProperty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ustomProperty3.bin" ContentType="application/vnd.openxmlformats-officedocument.spreadsheetml.customProperty"/>
  <Override PartName="/xl/comments3.xml" ContentType="application/vnd.openxmlformats-officedocument.spreadsheetml.comments+xml"/>
  <Override PartName="/xl/customProperty4.bin" ContentType="application/vnd.openxmlformats-officedocument.spreadsheetml.customProperty"/>
  <Override PartName="/xl/comments4.xml" ContentType="application/vnd.openxmlformats-officedocument.spreadsheetml.comments+xml"/>
  <Override PartName="/xl/customProperty5.bin" ContentType="application/vnd.openxmlformats-officedocument.spreadsheetml.customProperty"/>
  <Override PartName="/xl/comments5.xml" ContentType="application/vnd.openxmlformats-officedocument.spreadsheetml.comments+xml"/>
  <Override PartName="/xl/customProperty6.bin" ContentType="application/vnd.openxmlformats-officedocument.spreadsheetml.customProperty"/>
  <Override PartName="/xl/comments6.xml" ContentType="application/vnd.openxmlformats-officedocument.spreadsheetml.comments+xml"/>
  <Override PartName="/xl/customProperty7.bin" ContentType="application/vnd.openxmlformats-officedocument.spreadsheetml.customProperty"/>
  <Override PartName="/xl/comments7.xml" ContentType="application/vnd.openxmlformats-officedocument.spreadsheetml.comments+xml"/>
  <Override PartName="/xl/customProperty8.bin" ContentType="application/vnd.openxmlformats-officedocument.spreadsheetml.customProperty"/>
  <Override PartName="/xl/comments8.xml" ContentType="application/vnd.openxmlformats-officedocument.spreadsheetml.comments+xml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customProperty14.bin" ContentType="application/vnd.openxmlformats-officedocument.spreadsheetml.customProperty"/>
  <Override PartName="/xl/customProperty15.bin" ContentType="application/vnd.openxmlformats-officedocument.spreadsheetml.customProperty"/>
  <Override PartName="/xl/customProperty16.bin" ContentType="application/vnd.openxmlformats-officedocument.spreadsheetml.customProperty"/>
  <Override PartName="/xl/customProperty17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tobil\Downloads\"/>
    </mc:Choice>
  </mc:AlternateContent>
  <xr:revisionPtr revIDLastSave="0" documentId="13_ncr:1_{9C10DEC7-0976-4DC2-B6EC-DE33376A1356}" xr6:coauthVersionLast="47" xr6:coauthVersionMax="47" xr10:uidLastSave="{00000000-0000-0000-0000-000000000000}"/>
  <bookViews>
    <workbookView xWindow="-98" yWindow="-98" windowWidth="21795" windowHeight="12975" firstSheet="18" activeTab="20" xr2:uid="{00000000-000D-0000-FFFF-FFFF00000000}"/>
  </bookViews>
  <sheets>
    <sheet name="Annual 2020" sheetId="3" r:id="rId1"/>
    <sheet name="Q1, 2021" sheetId="1" r:id="rId2"/>
    <sheet name="Q2, 2021" sheetId="4" r:id="rId3"/>
    <sheet name="Q3, 2021" sheetId="5" r:id="rId4"/>
    <sheet name="Annual 2021" sheetId="7" r:id="rId5"/>
    <sheet name="Q1 2022" sheetId="8" r:id="rId6"/>
    <sheet name="Q2 2022" sheetId="9" r:id="rId7"/>
    <sheet name="Q3 2022" sheetId="10" r:id="rId8"/>
    <sheet name="Annual 2022" sheetId="11" r:id="rId9"/>
    <sheet name="Q1 2023" sheetId="13" r:id="rId10"/>
    <sheet name="Q2 2023" sheetId="14" r:id="rId11"/>
    <sheet name="Q3 2023" sheetId="15" r:id="rId12"/>
    <sheet name="Q4 2023" sheetId="16" r:id="rId13"/>
    <sheet name="Q1 2024" sheetId="17" r:id="rId14"/>
    <sheet name="Q2 2024" sheetId="18" r:id="rId15"/>
    <sheet name="Q3 2024" sheetId="19" r:id="rId16"/>
    <sheet name="Q4 2024" sheetId="20" r:id="rId17"/>
    <sheet name="Q1 2025" sheetId="21" r:id="rId18"/>
    <sheet name="Q2 2025" sheetId="23" r:id="rId19"/>
    <sheet name="Q3 2025" sheetId="24" r:id="rId20"/>
    <sheet name="Q4 2025" sheetId="25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7" i="25" l="1"/>
  <c r="E137" i="25"/>
  <c r="D137" i="25"/>
  <c r="C137" i="25"/>
  <c r="B137" i="25"/>
  <c r="G5" i="25" s="1"/>
  <c r="F135" i="24"/>
  <c r="E135" i="24"/>
  <c r="D135" i="24"/>
  <c r="C135" i="24"/>
  <c r="B135" i="24"/>
  <c r="G49" i="24" s="1"/>
  <c r="C131" i="23"/>
  <c r="D131" i="23"/>
  <c r="E131" i="23"/>
  <c r="F131" i="23"/>
  <c r="B131" i="23"/>
  <c r="G6" i="23" s="1"/>
  <c r="G128" i="25" l="1"/>
  <c r="G81" i="25"/>
  <c r="G132" i="25"/>
  <c r="G131" i="25"/>
  <c r="G116" i="25"/>
  <c r="G67" i="25"/>
  <c r="G68" i="25"/>
  <c r="G52" i="25"/>
  <c r="G115" i="25"/>
  <c r="G51" i="25"/>
  <c r="G100" i="25"/>
  <c r="G36" i="25"/>
  <c r="G99" i="25"/>
  <c r="G35" i="25"/>
  <c r="G84" i="25"/>
  <c r="G20" i="25"/>
  <c r="G83" i="25"/>
  <c r="G19" i="25"/>
  <c r="G113" i="25"/>
  <c r="G130" i="25"/>
  <c r="G114" i="25"/>
  <c r="G98" i="25"/>
  <c r="G82" i="25"/>
  <c r="G66" i="25"/>
  <c r="G50" i="25"/>
  <c r="G34" i="25"/>
  <c r="G18" i="25"/>
  <c r="G129" i="25"/>
  <c r="G97" i="25"/>
  <c r="G65" i="25"/>
  <c r="G49" i="25"/>
  <c r="G33" i="25"/>
  <c r="G17" i="25"/>
  <c r="G124" i="25"/>
  <c r="G108" i="25"/>
  <c r="G92" i="25"/>
  <c r="G76" i="25"/>
  <c r="G60" i="25"/>
  <c r="G44" i="25"/>
  <c r="G28" i="25"/>
  <c r="G12" i="25"/>
  <c r="G123" i="25"/>
  <c r="G107" i="25"/>
  <c r="G91" i="25"/>
  <c r="G75" i="25"/>
  <c r="G59" i="25"/>
  <c r="G43" i="25"/>
  <c r="G27" i="25"/>
  <c r="G11" i="25"/>
  <c r="G122" i="25"/>
  <c r="G106" i="25"/>
  <c r="G90" i="25"/>
  <c r="G74" i="25"/>
  <c r="G58" i="25"/>
  <c r="G42" i="25"/>
  <c r="G26" i="25"/>
  <c r="G10" i="25"/>
  <c r="G4" i="25"/>
  <c r="G121" i="25"/>
  <c r="G105" i="25"/>
  <c r="G89" i="25"/>
  <c r="G73" i="25"/>
  <c r="G57" i="25"/>
  <c r="G41" i="25"/>
  <c r="G25" i="25"/>
  <c r="G9" i="25"/>
  <c r="G136" i="25"/>
  <c r="G120" i="25"/>
  <c r="G112" i="25"/>
  <c r="G104" i="25"/>
  <c r="G96" i="25"/>
  <c r="G88" i="25"/>
  <c r="G80" i="25"/>
  <c r="G72" i="25"/>
  <c r="G64" i="25"/>
  <c r="G56" i="25"/>
  <c r="G48" i="25"/>
  <c r="G40" i="25"/>
  <c r="G32" i="25"/>
  <c r="G24" i="25"/>
  <c r="G16" i="25"/>
  <c r="G8" i="25"/>
  <c r="G135" i="25"/>
  <c r="G127" i="25"/>
  <c r="G119" i="25"/>
  <c r="G111" i="25"/>
  <c r="G103" i="25"/>
  <c r="G95" i="25"/>
  <c r="G87" i="25"/>
  <c r="G79" i="25"/>
  <c r="G71" i="25"/>
  <c r="G63" i="25"/>
  <c r="G55" i="25"/>
  <c r="G47" i="25"/>
  <c r="G39" i="25"/>
  <c r="G31" i="25"/>
  <c r="G23" i="25"/>
  <c r="G15" i="25"/>
  <c r="G7" i="25"/>
  <c r="G134" i="25"/>
  <c r="G126" i="25"/>
  <c r="G118" i="25"/>
  <c r="G110" i="25"/>
  <c r="G102" i="25"/>
  <c r="G94" i="25"/>
  <c r="G86" i="25"/>
  <c r="G78" i="25"/>
  <c r="G70" i="25"/>
  <c r="G62" i="25"/>
  <c r="G54" i="25"/>
  <c r="G46" i="25"/>
  <c r="G38" i="25"/>
  <c r="G30" i="25"/>
  <c r="G22" i="25"/>
  <c r="G14" i="25"/>
  <c r="G6" i="25"/>
  <c r="G133" i="25"/>
  <c r="G125" i="25"/>
  <c r="G117" i="25"/>
  <c r="G109" i="25"/>
  <c r="G101" i="25"/>
  <c r="G93" i="25"/>
  <c r="G85" i="25"/>
  <c r="G77" i="25"/>
  <c r="G69" i="25"/>
  <c r="G61" i="25"/>
  <c r="G53" i="25"/>
  <c r="G45" i="25"/>
  <c r="G37" i="25"/>
  <c r="G29" i="25"/>
  <c r="G21" i="25"/>
  <c r="G13" i="25"/>
  <c r="G3" i="25"/>
  <c r="G58" i="24"/>
  <c r="G127" i="24"/>
  <c r="G128" i="24"/>
  <c r="G129" i="24"/>
  <c r="G130" i="24"/>
  <c r="G131" i="24"/>
  <c r="G132" i="24"/>
  <c r="G133" i="24"/>
  <c r="G12" i="24"/>
  <c r="G90" i="24"/>
  <c r="G72" i="24"/>
  <c r="G59" i="24"/>
  <c r="G120" i="24"/>
  <c r="G29" i="24"/>
  <c r="G105" i="24"/>
  <c r="G77" i="24"/>
  <c r="G57" i="24"/>
  <c r="G125" i="24"/>
  <c r="G44" i="24"/>
  <c r="G24" i="24"/>
  <c r="G42" i="24"/>
  <c r="G118" i="24"/>
  <c r="G107" i="24"/>
  <c r="G7" i="24"/>
  <c r="G103" i="24"/>
  <c r="G5" i="24"/>
  <c r="G92" i="24"/>
  <c r="G4" i="24"/>
  <c r="G86" i="24"/>
  <c r="G55" i="24"/>
  <c r="G22" i="24"/>
  <c r="G84" i="24"/>
  <c r="G36" i="24"/>
  <c r="G3" i="24"/>
  <c r="G83" i="24"/>
  <c r="G19" i="24"/>
  <c r="G98" i="24"/>
  <c r="G34" i="24"/>
  <c r="G66" i="24"/>
  <c r="G17" i="24"/>
  <c r="G113" i="24"/>
  <c r="G95" i="24"/>
  <c r="G80" i="24"/>
  <c r="G65" i="24"/>
  <c r="G47" i="24"/>
  <c r="G32" i="24"/>
  <c r="G16" i="24"/>
  <c r="G70" i="24"/>
  <c r="G117" i="24"/>
  <c r="G69" i="24"/>
  <c r="G20" i="24"/>
  <c r="G116" i="24"/>
  <c r="G68" i="24"/>
  <c r="G35" i="24"/>
  <c r="G82" i="24"/>
  <c r="G50" i="24"/>
  <c r="G18" i="24"/>
  <c r="G114" i="24"/>
  <c r="G81" i="24"/>
  <c r="G48" i="24"/>
  <c r="G110" i="24"/>
  <c r="G94" i="24"/>
  <c r="G79" i="24"/>
  <c r="G62" i="24"/>
  <c r="G46" i="24"/>
  <c r="G31" i="24"/>
  <c r="G15" i="24"/>
  <c r="G38" i="24"/>
  <c r="G102" i="24"/>
  <c r="G54" i="24"/>
  <c r="G101" i="24"/>
  <c r="G53" i="24"/>
  <c r="G115" i="24"/>
  <c r="G67" i="24"/>
  <c r="G96" i="24"/>
  <c r="G33" i="24"/>
  <c r="G126" i="24"/>
  <c r="G108" i="24"/>
  <c r="G93" i="24"/>
  <c r="G78" i="24"/>
  <c r="G60" i="24"/>
  <c r="G45" i="24"/>
  <c r="G30" i="24"/>
  <c r="G13" i="24"/>
  <c r="G11" i="24"/>
  <c r="G122" i="24"/>
  <c r="G106" i="24"/>
  <c r="G91" i="24"/>
  <c r="G74" i="24"/>
  <c r="G43" i="24"/>
  <c r="G26" i="24"/>
  <c r="G10" i="24"/>
  <c r="G9" i="24"/>
  <c r="G119" i="24"/>
  <c r="G104" i="24"/>
  <c r="G89" i="24"/>
  <c r="G71" i="24"/>
  <c r="G56" i="24"/>
  <c r="G41" i="24"/>
  <c r="G23" i="24"/>
  <c r="G8" i="24"/>
  <c r="G6" i="24"/>
  <c r="G124" i="24"/>
  <c r="G112" i="24"/>
  <c r="G100" i="24"/>
  <c r="G88" i="24"/>
  <c r="G76" i="24"/>
  <c r="G64" i="24"/>
  <c r="G52" i="24"/>
  <c r="G40" i="24"/>
  <c r="G28" i="24"/>
  <c r="G123" i="24"/>
  <c r="G111" i="24"/>
  <c r="G99" i="24"/>
  <c r="G87" i="24"/>
  <c r="G75" i="24"/>
  <c r="G63" i="24"/>
  <c r="G51" i="24"/>
  <c r="G39" i="24"/>
  <c r="G27" i="24"/>
  <c r="G14" i="24"/>
  <c r="G121" i="24"/>
  <c r="G109" i="24"/>
  <c r="G97" i="24"/>
  <c r="G85" i="24"/>
  <c r="G73" i="24"/>
  <c r="G61" i="24"/>
  <c r="G37" i="24"/>
  <c r="G25" i="24"/>
  <c r="G111" i="23"/>
  <c r="G123" i="23"/>
  <c r="G77" i="23"/>
  <c r="G42" i="23"/>
  <c r="G76" i="23"/>
  <c r="G5" i="23"/>
  <c r="G120" i="23"/>
  <c r="G108" i="23"/>
  <c r="G97" i="23"/>
  <c r="G86" i="23"/>
  <c r="G74" i="23"/>
  <c r="G63" i="23"/>
  <c r="G51" i="23"/>
  <c r="G39" i="23"/>
  <c r="G27" i="23"/>
  <c r="G15" i="23"/>
  <c r="G64" i="23"/>
  <c r="G96" i="23"/>
  <c r="G14" i="23"/>
  <c r="G18" i="23"/>
  <c r="G87" i="23"/>
  <c r="G119" i="23"/>
  <c r="G107" i="23"/>
  <c r="G85" i="23"/>
  <c r="G73" i="23"/>
  <c r="G62" i="23"/>
  <c r="G50" i="23"/>
  <c r="G38" i="23"/>
  <c r="G26" i="23"/>
  <c r="G3" i="23"/>
  <c r="G118" i="23"/>
  <c r="G106" i="23"/>
  <c r="G95" i="23"/>
  <c r="G84" i="23"/>
  <c r="G61" i="23"/>
  <c r="G49" i="23"/>
  <c r="G37" i="23"/>
  <c r="G25" i="23"/>
  <c r="G13" i="23"/>
  <c r="G88" i="23"/>
  <c r="G110" i="23"/>
  <c r="G17" i="23"/>
  <c r="G75" i="23"/>
  <c r="G16" i="23"/>
  <c r="G129" i="23"/>
  <c r="G94" i="23"/>
  <c r="G72" i="23"/>
  <c r="G48" i="23"/>
  <c r="G12" i="23"/>
  <c r="G53" i="23"/>
  <c r="G109" i="23"/>
  <c r="G4" i="23"/>
  <c r="G117" i="23"/>
  <c r="G105" i="23"/>
  <c r="G83" i="23"/>
  <c r="G60" i="23"/>
  <c r="G36" i="23"/>
  <c r="G24" i="23"/>
  <c r="G128" i="23"/>
  <c r="G116" i="23"/>
  <c r="G104" i="23"/>
  <c r="G93" i="23"/>
  <c r="G82" i="23"/>
  <c r="G71" i="23"/>
  <c r="G59" i="23"/>
  <c r="G47" i="23"/>
  <c r="G35" i="23"/>
  <c r="G23" i="23"/>
  <c r="G11" i="23"/>
  <c r="G99" i="23"/>
  <c r="G29" i="23"/>
  <c r="G52" i="23"/>
  <c r="G127" i="23"/>
  <c r="G103" i="23"/>
  <c r="G81" i="23"/>
  <c r="G70" i="23"/>
  <c r="G58" i="23"/>
  <c r="G46" i="23"/>
  <c r="G34" i="23"/>
  <c r="G22" i="23"/>
  <c r="G10" i="23"/>
  <c r="G66" i="23"/>
  <c r="G65" i="23"/>
  <c r="G98" i="23"/>
  <c r="G40" i="23"/>
  <c r="G115" i="23"/>
  <c r="G126" i="23"/>
  <c r="G91" i="23"/>
  <c r="G69" i="23"/>
  <c r="G57" i="23"/>
  <c r="G45" i="23"/>
  <c r="G33" i="23"/>
  <c r="G21" i="23"/>
  <c r="G9" i="23"/>
  <c r="G54" i="23"/>
  <c r="G122" i="23"/>
  <c r="G41" i="23"/>
  <c r="G121" i="23"/>
  <c r="G28" i="23"/>
  <c r="G92" i="23"/>
  <c r="G114" i="23"/>
  <c r="G102" i="23"/>
  <c r="G80" i="23"/>
  <c r="G125" i="23"/>
  <c r="G113" i="23"/>
  <c r="G101" i="23"/>
  <c r="G90" i="23"/>
  <c r="G79" i="23"/>
  <c r="G68" i="23"/>
  <c r="G56" i="23"/>
  <c r="G44" i="23"/>
  <c r="G32" i="23"/>
  <c r="G20" i="23"/>
  <c r="G8" i="23"/>
  <c r="G30" i="23"/>
  <c r="G124" i="23"/>
  <c r="G112" i="23"/>
  <c r="G100" i="23"/>
  <c r="G89" i="23"/>
  <c r="G78" i="23"/>
  <c r="G67" i="23"/>
  <c r="G55" i="23"/>
  <c r="G43" i="23"/>
  <c r="G31" i="23"/>
  <c r="G19" i="23"/>
  <c r="G7" i="23"/>
  <c r="C134" i="21"/>
  <c r="D134" i="21"/>
  <c r="E134" i="21"/>
  <c r="F134" i="21"/>
  <c r="B134" i="21"/>
  <c r="G137" i="25" l="1"/>
  <c r="G135" i="24"/>
  <c r="G131" i="23"/>
  <c r="G92" i="21"/>
  <c r="G94" i="21"/>
  <c r="G115" i="21"/>
  <c r="G19" i="21"/>
  <c r="G119" i="21"/>
  <c r="G104" i="21"/>
  <c r="G86" i="21"/>
  <c r="G56" i="21"/>
  <c r="G70" i="21"/>
  <c r="G30" i="21"/>
  <c r="G102" i="21"/>
  <c r="G41" i="21"/>
  <c r="G116" i="21"/>
  <c r="G67" i="21"/>
  <c r="G28" i="21"/>
  <c r="G114" i="21"/>
  <c r="G127" i="21"/>
  <c r="G78" i="21"/>
  <c r="G65" i="21"/>
  <c r="G52" i="21"/>
  <c r="G38" i="21"/>
  <c r="G26" i="21"/>
  <c r="G10" i="21"/>
  <c r="G17" i="21"/>
  <c r="G118" i="21"/>
  <c r="G117" i="21"/>
  <c r="G55" i="21"/>
  <c r="G131" i="21"/>
  <c r="G40" i="21"/>
  <c r="G79" i="21"/>
  <c r="G39" i="21"/>
  <c r="G11" i="21"/>
  <c r="G77" i="21"/>
  <c r="G37" i="21"/>
  <c r="G25" i="21"/>
  <c r="G9" i="21"/>
  <c r="G71" i="21"/>
  <c r="G31" i="21"/>
  <c r="G85" i="21"/>
  <c r="G16" i="21"/>
  <c r="G82" i="21"/>
  <c r="G29" i="21"/>
  <c r="G101" i="21"/>
  <c r="G54" i="21"/>
  <c r="G130" i="21"/>
  <c r="G66" i="21"/>
  <c r="G112" i="21"/>
  <c r="G126" i="21"/>
  <c r="G64" i="21"/>
  <c r="G125" i="21"/>
  <c r="G109" i="21"/>
  <c r="G96" i="21"/>
  <c r="G76" i="21"/>
  <c r="G63" i="21"/>
  <c r="G50" i="21"/>
  <c r="G36" i="21"/>
  <c r="G24" i="21"/>
  <c r="G7" i="21"/>
  <c r="G57" i="21"/>
  <c r="G44" i="21"/>
  <c r="G103" i="21"/>
  <c r="G42" i="21"/>
  <c r="G132" i="21"/>
  <c r="G69" i="21"/>
  <c r="G14" i="21"/>
  <c r="G80" i="21"/>
  <c r="G13" i="21"/>
  <c r="G100" i="21"/>
  <c r="G53" i="21"/>
  <c r="G27" i="21"/>
  <c r="G99" i="21"/>
  <c r="G110" i="21"/>
  <c r="G98" i="21"/>
  <c r="G4" i="21"/>
  <c r="G124" i="21"/>
  <c r="G108" i="21"/>
  <c r="G95" i="21"/>
  <c r="G75" i="21"/>
  <c r="G61" i="21"/>
  <c r="G49" i="21"/>
  <c r="G35" i="21"/>
  <c r="G22" i="21"/>
  <c r="G6" i="21"/>
  <c r="G122" i="21"/>
  <c r="G107" i="21"/>
  <c r="G91" i="21"/>
  <c r="G74" i="21"/>
  <c r="G60" i="21"/>
  <c r="G48" i="21"/>
  <c r="G34" i="21"/>
  <c r="G21" i="21"/>
  <c r="G5" i="21"/>
  <c r="G121" i="21"/>
  <c r="G106" i="21"/>
  <c r="G89" i="21"/>
  <c r="G73" i="21"/>
  <c r="G59" i="21"/>
  <c r="G46" i="21"/>
  <c r="G33" i="21"/>
  <c r="G20" i="21"/>
  <c r="G129" i="21"/>
  <c r="G120" i="21"/>
  <c r="G105" i="21"/>
  <c r="G87" i="21"/>
  <c r="G72" i="21"/>
  <c r="G58" i="21"/>
  <c r="G45" i="21"/>
  <c r="G32" i="21"/>
  <c r="G18" i="21"/>
  <c r="C124" i="20"/>
  <c r="D124" i="20"/>
  <c r="E124" i="20"/>
  <c r="F124" i="20"/>
  <c r="B124" i="20"/>
  <c r="G134" i="21" l="1"/>
  <c r="G12" i="20"/>
  <c r="G71" i="20"/>
  <c r="G72" i="20"/>
  <c r="G86" i="20"/>
  <c r="G59" i="20"/>
  <c r="G85" i="20"/>
  <c r="G44" i="20"/>
  <c r="G45" i="20"/>
  <c r="G118" i="20"/>
  <c r="G117" i="20"/>
  <c r="G31" i="20"/>
  <c r="G58" i="20"/>
  <c r="G116" i="20"/>
  <c r="G30" i="20"/>
  <c r="G102" i="20"/>
  <c r="G16" i="20"/>
  <c r="G101" i="20"/>
  <c r="G15" i="20"/>
  <c r="G99" i="20"/>
  <c r="G69" i="20"/>
  <c r="G111" i="20"/>
  <c r="G81" i="20"/>
  <c r="G67" i="20"/>
  <c r="G54" i="20"/>
  <c r="G39" i="20"/>
  <c r="G26" i="20"/>
  <c r="G10" i="20"/>
  <c r="G95" i="20"/>
  <c r="G65" i="20"/>
  <c r="G37" i="20"/>
  <c r="G8" i="20"/>
  <c r="G107" i="20"/>
  <c r="G78" i="20"/>
  <c r="G51" i="20"/>
  <c r="G20" i="20"/>
  <c r="G106" i="20"/>
  <c r="G76" i="20"/>
  <c r="G50" i="20"/>
  <c r="G5" i="20"/>
  <c r="G120" i="20"/>
  <c r="G105" i="20"/>
  <c r="G91" i="20"/>
  <c r="G75" i="20"/>
  <c r="G61" i="20"/>
  <c r="G49" i="20"/>
  <c r="G33" i="20"/>
  <c r="G18" i="20"/>
  <c r="G84" i="20"/>
  <c r="G57" i="20"/>
  <c r="G29" i="20"/>
  <c r="G97" i="20"/>
  <c r="G109" i="20"/>
  <c r="G96" i="20"/>
  <c r="G80" i="20"/>
  <c r="G66" i="20"/>
  <c r="G53" i="20"/>
  <c r="G38" i="20"/>
  <c r="G22" i="20"/>
  <c r="G9" i="20"/>
  <c r="G108" i="20"/>
  <c r="G79" i="20"/>
  <c r="G52" i="20"/>
  <c r="G21" i="20"/>
  <c r="G4" i="20"/>
  <c r="G94" i="20"/>
  <c r="G63" i="20"/>
  <c r="G36" i="20"/>
  <c r="G7" i="20"/>
  <c r="G121" i="20"/>
  <c r="G92" i="20"/>
  <c r="G62" i="20"/>
  <c r="G34" i="20"/>
  <c r="G19" i="20"/>
  <c r="G119" i="20"/>
  <c r="G103" i="20"/>
  <c r="G90" i="20"/>
  <c r="G73" i="20"/>
  <c r="G60" i="20"/>
  <c r="G48" i="20"/>
  <c r="G32" i="20"/>
  <c r="G17" i="20"/>
  <c r="G100" i="20"/>
  <c r="G70" i="20"/>
  <c r="G42" i="20"/>
  <c r="G14" i="20"/>
  <c r="G115" i="20"/>
  <c r="G83" i="20"/>
  <c r="G56" i="20"/>
  <c r="G41" i="20"/>
  <c r="G28" i="20"/>
  <c r="G13" i="20"/>
  <c r="G112" i="20"/>
  <c r="G98" i="20"/>
  <c r="G82" i="20"/>
  <c r="G68" i="20"/>
  <c r="G55" i="20"/>
  <c r="G40" i="20"/>
  <c r="G27" i="20"/>
  <c r="F124" i="19"/>
  <c r="E124" i="19"/>
  <c r="D124" i="19"/>
  <c r="C124" i="19"/>
  <c r="B124" i="19"/>
  <c r="G118" i="19" s="1"/>
  <c r="G91" i="19"/>
  <c r="G80" i="19"/>
  <c r="G79" i="19"/>
  <c r="G66" i="19"/>
  <c r="G65" i="19"/>
  <c r="G55" i="19"/>
  <c r="G54" i="19"/>
  <c r="G53" i="19"/>
  <c r="G43" i="19"/>
  <c r="G42" i="19"/>
  <c r="G41" i="19"/>
  <c r="G31" i="19"/>
  <c r="G30" i="19"/>
  <c r="G29" i="19"/>
  <c r="G19" i="19"/>
  <c r="G18" i="19"/>
  <c r="G17" i="19"/>
  <c r="G7" i="19"/>
  <c r="G6" i="19"/>
  <c r="G5" i="19"/>
  <c r="G92" i="19" l="1"/>
  <c r="G67" i="19"/>
  <c r="G78" i="19"/>
  <c r="G124" i="20"/>
  <c r="G104" i="19"/>
  <c r="G105" i="19"/>
  <c r="G93" i="19"/>
  <c r="G107" i="19"/>
  <c r="G8" i="19"/>
  <c r="G20" i="19"/>
  <c r="G32" i="19"/>
  <c r="G44" i="19"/>
  <c r="G56" i="19"/>
  <c r="G68" i="19"/>
  <c r="G81" i="19"/>
  <c r="G95" i="19"/>
  <c r="G108" i="19"/>
  <c r="G9" i="19"/>
  <c r="G21" i="19"/>
  <c r="G33" i="19"/>
  <c r="G45" i="19"/>
  <c r="G57" i="19"/>
  <c r="G69" i="19"/>
  <c r="G83" i="19"/>
  <c r="G96" i="19"/>
  <c r="G109" i="19"/>
  <c r="G10" i="19"/>
  <c r="G22" i="19"/>
  <c r="G34" i="19"/>
  <c r="G46" i="19"/>
  <c r="G58" i="19"/>
  <c r="G71" i="19"/>
  <c r="G84" i="19"/>
  <c r="G97" i="19"/>
  <c r="G110" i="19"/>
  <c r="G11" i="19"/>
  <c r="G23" i="19"/>
  <c r="G35" i="19"/>
  <c r="G47" i="19"/>
  <c r="G59" i="19"/>
  <c r="G72" i="19"/>
  <c r="G85" i="19"/>
  <c r="G98" i="19"/>
  <c r="G111" i="19"/>
  <c r="G12" i="19"/>
  <c r="G24" i="19"/>
  <c r="G36" i="19"/>
  <c r="G48" i="19"/>
  <c r="G60" i="19"/>
  <c r="G73" i="19"/>
  <c r="G86" i="19"/>
  <c r="G99" i="19"/>
  <c r="G112" i="19"/>
  <c r="G13" i="19"/>
  <c r="G25" i="19"/>
  <c r="G37" i="19"/>
  <c r="G49" i="19"/>
  <c r="G61" i="19"/>
  <c r="G74" i="19"/>
  <c r="G87" i="19"/>
  <c r="G100" i="19"/>
  <c r="G113" i="19"/>
  <c r="G14" i="19"/>
  <c r="G26" i="19"/>
  <c r="G38" i="19"/>
  <c r="G50" i="19"/>
  <c r="G62" i="19"/>
  <c r="G75" i="19"/>
  <c r="G88" i="19"/>
  <c r="G101" i="19"/>
  <c r="G114" i="19"/>
  <c r="G3" i="19"/>
  <c r="G15" i="19"/>
  <c r="G27" i="19"/>
  <c r="G39" i="19"/>
  <c r="G51" i="19"/>
  <c r="G63" i="19"/>
  <c r="G76" i="19"/>
  <c r="G89" i="19"/>
  <c r="G102" i="19"/>
  <c r="G115" i="19"/>
  <c r="G4" i="19"/>
  <c r="G16" i="19"/>
  <c r="G28" i="19"/>
  <c r="G40" i="19"/>
  <c r="G52" i="19"/>
  <c r="G64" i="19"/>
  <c r="G77" i="19"/>
  <c r="G90" i="19"/>
  <c r="G103" i="19"/>
  <c r="G116" i="19"/>
  <c r="G117" i="19"/>
  <c r="G119" i="19"/>
  <c r="G120" i="19"/>
  <c r="G121" i="19"/>
  <c r="G122" i="19"/>
  <c r="G70" i="19"/>
  <c r="G82" i="19"/>
  <c r="G94" i="19"/>
  <c r="G106" i="19"/>
  <c r="C121" i="17"/>
  <c r="D121" i="17"/>
  <c r="E121" i="17"/>
  <c r="F121" i="17"/>
  <c r="B121" i="17"/>
  <c r="G4" i="17" l="1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3" i="17"/>
  <c r="G124" i="19"/>
  <c r="C122" i="18"/>
  <c r="D122" i="18"/>
  <c r="E122" i="18"/>
  <c r="F122" i="18"/>
  <c r="B122" i="18"/>
  <c r="G122" i="18" s="1"/>
  <c r="G121" i="17" l="1"/>
  <c r="G74" i="18"/>
  <c r="G26" i="18"/>
  <c r="G85" i="18"/>
  <c r="G37" i="18"/>
  <c r="G13" i="18"/>
  <c r="G120" i="18"/>
  <c r="G108" i="18"/>
  <c r="G96" i="18"/>
  <c r="G84" i="18"/>
  <c r="G72" i="18"/>
  <c r="G60" i="18"/>
  <c r="G48" i="18"/>
  <c r="G36" i="18"/>
  <c r="G24" i="18"/>
  <c r="G12" i="18"/>
  <c r="G38" i="18"/>
  <c r="G119" i="18"/>
  <c r="G95" i="18"/>
  <c r="G83" i="18"/>
  <c r="G71" i="18"/>
  <c r="G59" i="18"/>
  <c r="G47" i="18"/>
  <c r="G35" i="18"/>
  <c r="G23" i="18"/>
  <c r="G11" i="18"/>
  <c r="G86" i="18"/>
  <c r="G14" i="18"/>
  <c r="G61" i="18"/>
  <c r="G25" i="18"/>
  <c r="G107" i="18"/>
  <c r="G118" i="18"/>
  <c r="G106" i="18"/>
  <c r="G94" i="18"/>
  <c r="G82" i="18"/>
  <c r="G70" i="18"/>
  <c r="G58" i="18"/>
  <c r="G46" i="18"/>
  <c r="G34" i="18"/>
  <c r="G22" i="18"/>
  <c r="G10" i="18"/>
  <c r="G62" i="18"/>
  <c r="G97" i="18"/>
  <c r="G105" i="18"/>
  <c r="G69" i="18"/>
  <c r="G33" i="18"/>
  <c r="G9" i="18"/>
  <c r="G98" i="18"/>
  <c r="G3" i="18"/>
  <c r="G49" i="18"/>
  <c r="G93" i="18"/>
  <c r="G45" i="18"/>
  <c r="G104" i="18"/>
  <c r="G80" i="18"/>
  <c r="G56" i="18"/>
  <c r="G44" i="18"/>
  <c r="G20" i="18"/>
  <c r="G8" i="18"/>
  <c r="G110" i="18"/>
  <c r="G50" i="18"/>
  <c r="G109" i="18"/>
  <c r="G73" i="18"/>
  <c r="G117" i="18"/>
  <c r="G81" i="18"/>
  <c r="G57" i="18"/>
  <c r="G21" i="18"/>
  <c r="G116" i="18"/>
  <c r="G92" i="18"/>
  <c r="G68" i="18"/>
  <c r="G32" i="18"/>
  <c r="G115" i="18"/>
  <c r="G103" i="18"/>
  <c r="G91" i="18"/>
  <c r="G79" i="18"/>
  <c r="G67" i="18"/>
  <c r="G55" i="18"/>
  <c r="G43" i="18"/>
  <c r="G31" i="18"/>
  <c r="G19" i="18"/>
  <c r="G7" i="18"/>
  <c r="G114" i="18"/>
  <c r="G102" i="18"/>
  <c r="G90" i="18"/>
  <c r="G78" i="18"/>
  <c r="G66" i="18"/>
  <c r="G54" i="18"/>
  <c r="G42" i="18"/>
  <c r="G30" i="18"/>
  <c r="G18" i="18"/>
  <c r="G6" i="18"/>
  <c r="G113" i="18"/>
  <c r="G101" i="18"/>
  <c r="G89" i="18"/>
  <c r="G77" i="18"/>
  <c r="G65" i="18"/>
  <c r="G53" i="18"/>
  <c r="G41" i="18"/>
  <c r="G29" i="18"/>
  <c r="G17" i="18"/>
  <c r="G5" i="18"/>
  <c r="G112" i="18"/>
  <c r="G100" i="18"/>
  <c r="G88" i="18"/>
  <c r="G76" i="18"/>
  <c r="G64" i="18"/>
  <c r="G52" i="18"/>
  <c r="G40" i="18"/>
  <c r="G28" i="18"/>
  <c r="G16" i="18"/>
  <c r="G4" i="18"/>
  <c r="G111" i="18"/>
  <c r="G99" i="18"/>
  <c r="G87" i="18"/>
  <c r="G75" i="18"/>
  <c r="G63" i="18"/>
  <c r="G51" i="18"/>
  <c r="G39" i="18"/>
  <c r="G27" i="18"/>
  <c r="G15" i="18"/>
  <c r="C127" i="16"/>
  <c r="D127" i="16"/>
  <c r="E127" i="16"/>
  <c r="F127" i="16"/>
  <c r="B127" i="16"/>
  <c r="F125" i="15" l="1"/>
  <c r="E125" i="15"/>
  <c r="D125" i="15"/>
  <c r="C125" i="15"/>
  <c r="B125" i="15"/>
  <c r="G118" i="15" s="1"/>
  <c r="F124" i="14"/>
  <c r="E124" i="14"/>
  <c r="D124" i="14"/>
  <c r="C124" i="14"/>
  <c r="B124" i="14"/>
  <c r="G8" i="14" s="1"/>
  <c r="G46" i="15" l="1"/>
  <c r="G47" i="15"/>
  <c r="G65" i="15"/>
  <c r="G10" i="15"/>
  <c r="G100" i="15"/>
  <c r="G11" i="15"/>
  <c r="G124" i="15"/>
  <c r="G29" i="15"/>
  <c r="G61" i="14"/>
  <c r="G11" i="14"/>
  <c r="G79" i="14"/>
  <c r="G64" i="14"/>
  <c r="G26" i="14"/>
  <c r="G29" i="14"/>
  <c r="G82" i="14"/>
  <c r="G43" i="14"/>
  <c r="G97" i="14"/>
  <c r="G46" i="14"/>
  <c r="G100" i="14"/>
  <c r="G14" i="14"/>
  <c r="G32" i="14"/>
  <c r="G49" i="14"/>
  <c r="G67" i="14"/>
  <c r="G85" i="14"/>
  <c r="G106" i="14"/>
  <c r="G17" i="14"/>
  <c r="G35" i="14"/>
  <c r="G52" i="14"/>
  <c r="G70" i="14"/>
  <c r="G88" i="14"/>
  <c r="G112" i="14"/>
  <c r="G20" i="14"/>
  <c r="G38" i="14"/>
  <c r="G55" i="14"/>
  <c r="G73" i="14"/>
  <c r="G91" i="14"/>
  <c r="G5" i="14"/>
  <c r="G23" i="14"/>
  <c r="G41" i="14"/>
  <c r="G58" i="14"/>
  <c r="G76" i="14"/>
  <c r="G94" i="14"/>
  <c r="G64" i="15"/>
  <c r="G28" i="15"/>
  <c r="G82" i="15"/>
  <c r="G83" i="15"/>
  <c r="G101" i="15"/>
  <c r="G16" i="15"/>
  <c r="G52" i="15"/>
  <c r="G70" i="15"/>
  <c r="G88" i="15"/>
  <c r="G106" i="15"/>
  <c r="G34" i="15"/>
  <c r="G17" i="15"/>
  <c r="G35" i="15"/>
  <c r="G53" i="15"/>
  <c r="G71" i="15"/>
  <c r="G89" i="15"/>
  <c r="G107" i="15"/>
  <c r="G4" i="15"/>
  <c r="G22" i="15"/>
  <c r="G40" i="15"/>
  <c r="G58" i="15"/>
  <c r="G76" i="15"/>
  <c r="G94" i="15"/>
  <c r="G112" i="15"/>
  <c r="G5" i="15"/>
  <c r="G23" i="15"/>
  <c r="G41" i="15"/>
  <c r="G59" i="15"/>
  <c r="G77" i="15"/>
  <c r="G95" i="15"/>
  <c r="G6" i="15"/>
  <c r="G12" i="15"/>
  <c r="G18" i="15"/>
  <c r="G24" i="15"/>
  <c r="G30" i="15"/>
  <c r="G36" i="15"/>
  <c r="G42" i="15"/>
  <c r="G48" i="15"/>
  <c r="G54" i="15"/>
  <c r="G60" i="15"/>
  <c r="G66" i="15"/>
  <c r="G72" i="15"/>
  <c r="G78" i="15"/>
  <c r="G84" i="15"/>
  <c r="G90" i="15"/>
  <c r="G96" i="15"/>
  <c r="G102" i="15"/>
  <c r="G108" i="15"/>
  <c r="G114" i="15"/>
  <c r="G120" i="15"/>
  <c r="G113" i="15"/>
  <c r="G7" i="15"/>
  <c r="G13" i="15"/>
  <c r="G19" i="15"/>
  <c r="G25" i="15"/>
  <c r="G31" i="15"/>
  <c r="G37" i="15"/>
  <c r="G43" i="15"/>
  <c r="G49" i="15"/>
  <c r="G55" i="15"/>
  <c r="G61" i="15"/>
  <c r="G67" i="15"/>
  <c r="G73" i="15"/>
  <c r="G79" i="15"/>
  <c r="G85" i="15"/>
  <c r="G91" i="15"/>
  <c r="G97" i="15"/>
  <c r="G103" i="15"/>
  <c r="G109" i="15"/>
  <c r="G115" i="15"/>
  <c r="G121" i="15"/>
  <c r="G119" i="15"/>
  <c r="G8" i="15"/>
  <c r="G14" i="15"/>
  <c r="G20" i="15"/>
  <c r="G26" i="15"/>
  <c r="G32" i="15"/>
  <c r="G38" i="15"/>
  <c r="G44" i="15"/>
  <c r="G50" i="15"/>
  <c r="G56" i="15"/>
  <c r="G62" i="15"/>
  <c r="G68" i="15"/>
  <c r="G74" i="15"/>
  <c r="G80" i="15"/>
  <c r="G86" i="15"/>
  <c r="G92" i="15"/>
  <c r="G98" i="15"/>
  <c r="G104" i="15"/>
  <c r="G110" i="15"/>
  <c r="G116" i="15"/>
  <c r="G122" i="15"/>
  <c r="G3" i="15"/>
  <c r="G9" i="15"/>
  <c r="G15" i="15"/>
  <c r="G21" i="15"/>
  <c r="G27" i="15"/>
  <c r="G33" i="15"/>
  <c r="G39" i="15"/>
  <c r="G45" i="15"/>
  <c r="G51" i="15"/>
  <c r="G57" i="15"/>
  <c r="G63" i="15"/>
  <c r="G69" i="15"/>
  <c r="G75" i="15"/>
  <c r="G81" i="15"/>
  <c r="G87" i="15"/>
  <c r="G93" i="15"/>
  <c r="G99" i="15"/>
  <c r="G105" i="15"/>
  <c r="G111" i="15"/>
  <c r="G117" i="15"/>
  <c r="G123" i="15"/>
  <c r="G118" i="14"/>
  <c r="G6" i="14"/>
  <c r="G12" i="14"/>
  <c r="G18" i="14"/>
  <c r="G24" i="14"/>
  <c r="G30" i="14"/>
  <c r="G36" i="14"/>
  <c r="G47" i="14"/>
  <c r="G53" i="14"/>
  <c r="G59" i="14"/>
  <c r="G65" i="14"/>
  <c r="G71" i="14"/>
  <c r="G77" i="14"/>
  <c r="G83" i="14"/>
  <c r="G89" i="14"/>
  <c r="G95" i="14"/>
  <c r="G101" i="14"/>
  <c r="G107" i="14"/>
  <c r="G113" i="14"/>
  <c r="G119" i="14"/>
  <c r="G7" i="14"/>
  <c r="G13" i="14"/>
  <c r="G19" i="14"/>
  <c r="G25" i="14"/>
  <c r="G31" i="14"/>
  <c r="G37" i="14"/>
  <c r="G42" i="14"/>
  <c r="G48" i="14"/>
  <c r="G54" i="14"/>
  <c r="G60" i="14"/>
  <c r="G66" i="14"/>
  <c r="G72" i="14"/>
  <c r="G78" i="14"/>
  <c r="G84" i="14"/>
  <c r="G90" i="14"/>
  <c r="G96" i="14"/>
  <c r="G102" i="14"/>
  <c r="G108" i="14"/>
  <c r="G114" i="14"/>
  <c r="G120" i="14"/>
  <c r="G103" i="14"/>
  <c r="G109" i="14"/>
  <c r="G115" i="14"/>
  <c r="G121" i="14"/>
  <c r="G3" i="14"/>
  <c r="G9" i="14"/>
  <c r="G15" i="14"/>
  <c r="G21" i="14"/>
  <c r="G27" i="14"/>
  <c r="G33" i="14"/>
  <c r="G39" i="14"/>
  <c r="G44" i="14"/>
  <c r="G50" i="14"/>
  <c r="G56" i="14"/>
  <c r="G62" i="14"/>
  <c r="G68" i="14"/>
  <c r="G74" i="14"/>
  <c r="G80" i="14"/>
  <c r="G86" i="14"/>
  <c r="G92" i="14"/>
  <c r="G98" i="14"/>
  <c r="G104" i="14"/>
  <c r="G110" i="14"/>
  <c r="G116" i="14"/>
  <c r="G122" i="14"/>
  <c r="G4" i="14"/>
  <c r="G10" i="14"/>
  <c r="G16" i="14"/>
  <c r="G22" i="14"/>
  <c r="G28" i="14"/>
  <c r="G34" i="14"/>
  <c r="G40" i="14"/>
  <c r="G45" i="14"/>
  <c r="G51" i="14"/>
  <c r="G57" i="14"/>
  <c r="G63" i="14"/>
  <c r="G69" i="14"/>
  <c r="G75" i="14"/>
  <c r="G81" i="14"/>
  <c r="G87" i="14"/>
  <c r="G93" i="14"/>
  <c r="G99" i="14"/>
  <c r="G105" i="14"/>
  <c r="G111" i="14"/>
  <c r="G117" i="14"/>
  <c r="G123" i="14"/>
  <c r="B124" i="13"/>
  <c r="G103" i="13" s="1"/>
  <c r="C124" i="13"/>
  <c r="D124" i="13"/>
  <c r="E124" i="13"/>
  <c r="F124" i="13"/>
  <c r="B122" i="11"/>
  <c r="G103" i="11" s="1"/>
  <c r="C122" i="11"/>
  <c r="D122" i="11"/>
  <c r="E122" i="11"/>
  <c r="F122" i="11"/>
  <c r="G124" i="14" l="1"/>
  <c r="G125" i="15"/>
  <c r="G114" i="11"/>
  <c r="G89" i="11"/>
  <c r="G39" i="11"/>
  <c r="G99" i="11"/>
  <c r="G106" i="11"/>
  <c r="G82" i="11"/>
  <c r="G33" i="11"/>
  <c r="G75" i="11"/>
  <c r="G19" i="11"/>
  <c r="G96" i="11"/>
  <c r="G63" i="11"/>
  <c r="G11" i="11"/>
  <c r="G57" i="11"/>
  <c r="G3" i="11"/>
  <c r="G104" i="13"/>
  <c r="G102" i="13"/>
  <c r="G101" i="13"/>
  <c r="G109" i="13"/>
  <c r="G116" i="13"/>
  <c r="G108" i="13"/>
  <c r="G120" i="13"/>
  <c r="G112" i="13"/>
  <c r="G119" i="13"/>
  <c r="G118" i="13"/>
  <c r="G117" i="13"/>
  <c r="G3" i="13"/>
  <c r="G123" i="13"/>
  <c r="G115" i="13"/>
  <c r="G107" i="13"/>
  <c r="G106" i="13"/>
  <c r="G111" i="13"/>
  <c r="G110" i="13"/>
  <c r="G122" i="13"/>
  <c r="G114" i="13"/>
  <c r="G121" i="13"/>
  <c r="G113" i="13"/>
  <c r="G105" i="13"/>
  <c r="G5" i="11"/>
  <c r="G85" i="11"/>
  <c r="G47" i="11"/>
  <c r="G7" i="11"/>
  <c r="G109" i="11"/>
  <c r="G98" i="11"/>
  <c r="G91" i="11"/>
  <c r="G84" i="11"/>
  <c r="G76" i="11"/>
  <c r="G71" i="11"/>
  <c r="G65" i="11"/>
  <c r="G59" i="11"/>
  <c r="G53" i="11"/>
  <c r="G46" i="11"/>
  <c r="G41" i="11"/>
  <c r="G35" i="11"/>
  <c r="G27" i="11"/>
  <c r="G21" i="11"/>
  <c r="G13" i="11"/>
  <c r="G6" i="11"/>
  <c r="G116" i="11"/>
  <c r="G108" i="11"/>
  <c r="G101" i="11"/>
  <c r="G92" i="11"/>
  <c r="G77" i="11"/>
  <c r="G66" i="11"/>
  <c r="G54" i="11"/>
  <c r="G28" i="11"/>
  <c r="G14" i="11"/>
  <c r="G117" i="11"/>
  <c r="G102" i="11"/>
  <c r="G97" i="11"/>
  <c r="G90" i="11"/>
  <c r="G83" i="11"/>
  <c r="G70" i="11"/>
  <c r="G64" i="11"/>
  <c r="G58" i="11"/>
  <c r="G52" i="11"/>
  <c r="G40" i="11"/>
  <c r="G34" i="11"/>
  <c r="G26" i="11"/>
  <c r="G20" i="11"/>
  <c r="G12" i="11"/>
  <c r="G4" i="11"/>
  <c r="G115" i="11"/>
  <c r="G107" i="11"/>
  <c r="G100" i="11"/>
  <c r="G95" i="11"/>
  <c r="G88" i="11"/>
  <c r="G81" i="11"/>
  <c r="G74" i="11"/>
  <c r="G69" i="11"/>
  <c r="G56" i="11"/>
  <c r="G51" i="11"/>
  <c r="G45" i="11"/>
  <c r="G38" i="11"/>
  <c r="G32" i="11"/>
  <c r="G25" i="11"/>
  <c r="G18" i="11"/>
  <c r="G10" i="11"/>
  <c r="G121" i="11"/>
  <c r="G113" i="11"/>
  <c r="G105" i="11"/>
  <c r="G87" i="11"/>
  <c r="G80" i="11"/>
  <c r="G73" i="11"/>
  <c r="G62" i="11"/>
  <c r="G55" i="11"/>
  <c r="G50" i="11"/>
  <c r="G44" i="11"/>
  <c r="G31" i="11"/>
  <c r="G24" i="11"/>
  <c r="G17" i="11"/>
  <c r="G9" i="11"/>
  <c r="G120" i="11"/>
  <c r="G112" i="11"/>
  <c r="G94" i="11"/>
  <c r="G86" i="11"/>
  <c r="G79" i="11"/>
  <c r="G68" i="11"/>
  <c r="G61" i="11"/>
  <c r="G49" i="11"/>
  <c r="G43" i="11"/>
  <c r="G37" i="11"/>
  <c r="G30" i="11"/>
  <c r="G23" i="11"/>
  <c r="G16" i="11"/>
  <c r="G119" i="11"/>
  <c r="G111" i="11"/>
  <c r="G104" i="11"/>
  <c r="G93" i="11"/>
  <c r="G78" i="11"/>
  <c r="G72" i="11"/>
  <c r="G67" i="11"/>
  <c r="G60" i="11"/>
  <c r="G48" i="11"/>
  <c r="G42" i="11"/>
  <c r="G36" i="11"/>
  <c r="G29" i="11"/>
  <c r="G22" i="11"/>
  <c r="G15" i="11"/>
  <c r="G8" i="11"/>
  <c r="G118" i="11"/>
  <c r="G110" i="11"/>
  <c r="G95" i="13"/>
  <c r="G88" i="13"/>
  <c r="G81" i="13"/>
  <c r="G74" i="13"/>
  <c r="G62" i="13"/>
  <c r="G55" i="13"/>
  <c r="G50" i="13"/>
  <c r="G44" i="13"/>
  <c r="G30" i="13"/>
  <c r="G23" i="13"/>
  <c r="G16" i="13"/>
  <c r="G87" i="13"/>
  <c r="G80" i="13"/>
  <c r="G73" i="13"/>
  <c r="G68" i="13"/>
  <c r="G61" i="13"/>
  <c r="G49" i="13"/>
  <c r="G43" i="13"/>
  <c r="G37" i="13"/>
  <c r="G29" i="13"/>
  <c r="G22" i="13"/>
  <c r="G15" i="13"/>
  <c r="G8" i="13"/>
  <c r="G89" i="13"/>
  <c r="G69" i="13"/>
  <c r="G56" i="13"/>
  <c r="G45" i="13"/>
  <c r="G31" i="13"/>
  <c r="G9" i="13"/>
  <c r="G94" i="13"/>
  <c r="G86" i="13"/>
  <c r="G79" i="13"/>
  <c r="G72" i="13"/>
  <c r="G67" i="13"/>
  <c r="G60" i="13"/>
  <c r="G48" i="13"/>
  <c r="G42" i="13"/>
  <c r="G36" i="13"/>
  <c r="G28" i="13"/>
  <c r="G14" i="13"/>
  <c r="G7" i="13"/>
  <c r="G96" i="13"/>
  <c r="G75" i="13"/>
  <c r="G51" i="13"/>
  <c r="G38" i="13"/>
  <c r="G17" i="13"/>
  <c r="G100" i="13"/>
  <c r="G93" i="13"/>
  <c r="G78" i="13"/>
  <c r="G66" i="13"/>
  <c r="G54" i="13"/>
  <c r="G47" i="13"/>
  <c r="G35" i="13"/>
  <c r="G27" i="13"/>
  <c r="G21" i="13"/>
  <c r="G13" i="13"/>
  <c r="G6" i="13"/>
  <c r="G82" i="13"/>
  <c r="G24" i="13"/>
  <c r="G99" i="13"/>
  <c r="G92" i="13"/>
  <c r="G85" i="13"/>
  <c r="G77" i="13"/>
  <c r="G71" i="13"/>
  <c r="G65" i="13"/>
  <c r="G59" i="13"/>
  <c r="G53" i="13"/>
  <c r="G46" i="13"/>
  <c r="G41" i="13"/>
  <c r="G34" i="13"/>
  <c r="G26" i="13"/>
  <c r="G20" i="13"/>
  <c r="G12" i="13"/>
  <c r="G5" i="13"/>
  <c r="G98" i="13"/>
  <c r="G91" i="13"/>
  <c r="G84" i="13"/>
  <c r="G76" i="13"/>
  <c r="G70" i="13"/>
  <c r="G64" i="13"/>
  <c r="G58" i="13"/>
  <c r="G52" i="13"/>
  <c r="G40" i="13"/>
  <c r="G33" i="13"/>
  <c r="G19" i="13"/>
  <c r="G11" i="13"/>
  <c r="G4" i="13"/>
  <c r="G97" i="13"/>
  <c r="G90" i="13"/>
  <c r="G83" i="13"/>
  <c r="G63" i="13"/>
  <c r="G57" i="13"/>
  <c r="G39" i="13"/>
  <c r="G32" i="13"/>
  <c r="G25" i="13"/>
  <c r="G18" i="13"/>
  <c r="G10" i="13"/>
  <c r="C127" i="10"/>
  <c r="D127" i="10"/>
  <c r="E127" i="10"/>
  <c r="F127" i="10"/>
  <c r="B127" i="10"/>
  <c r="C3" i="10"/>
  <c r="D3" i="10"/>
  <c r="E3" i="10"/>
  <c r="F3" i="10"/>
  <c r="C127" i="9"/>
  <c r="D127" i="9"/>
  <c r="E127" i="9"/>
  <c r="F127" i="9"/>
  <c r="B127" i="9"/>
  <c r="G8" i="9" s="1"/>
  <c r="G55" i="9"/>
  <c r="G61" i="9"/>
  <c r="G103" i="9"/>
  <c r="G109" i="9"/>
  <c r="G115" i="9"/>
  <c r="C3" i="9"/>
  <c r="D3" i="9"/>
  <c r="E3" i="9"/>
  <c r="F3" i="9"/>
  <c r="B3" i="9"/>
  <c r="G121" i="9" l="1"/>
  <c r="G97" i="9"/>
  <c r="G73" i="9"/>
  <c r="G67" i="9"/>
  <c r="G11" i="10"/>
  <c r="G127" i="10"/>
  <c r="G9" i="10"/>
  <c r="G10" i="10"/>
  <c r="G14" i="10"/>
  <c r="G17" i="10"/>
  <c r="G18" i="10"/>
  <c r="G22" i="10"/>
  <c r="G25" i="10"/>
  <c r="G26" i="10"/>
  <c r="G30" i="10"/>
  <c r="G33" i="10"/>
  <c r="G34" i="10"/>
  <c r="G38" i="10"/>
  <c r="G41" i="10"/>
  <c r="G42" i="10"/>
  <c r="G46" i="10"/>
  <c r="G49" i="10"/>
  <c r="G50" i="10"/>
  <c r="G54" i="10"/>
  <c r="G57" i="10"/>
  <c r="G58" i="10"/>
  <c r="G62" i="10"/>
  <c r="G63" i="10"/>
  <c r="G64" i="10"/>
  <c r="G65" i="10"/>
  <c r="G66" i="10"/>
  <c r="G70" i="10"/>
  <c r="G71" i="10"/>
  <c r="G72" i="10"/>
  <c r="G73" i="10"/>
  <c r="G74" i="10"/>
  <c r="G78" i="10"/>
  <c r="G79" i="10"/>
  <c r="G80" i="10"/>
  <c r="G81" i="10"/>
  <c r="G82" i="10"/>
  <c r="G86" i="10"/>
  <c r="G87" i="10"/>
  <c r="G88" i="10"/>
  <c r="G89" i="10"/>
  <c r="G90" i="10"/>
  <c r="G91" i="10"/>
  <c r="G94" i="10"/>
  <c r="G95" i="10"/>
  <c r="G96" i="10"/>
  <c r="G97" i="10"/>
  <c r="G98" i="10"/>
  <c r="G99" i="10"/>
  <c r="G102" i="10"/>
  <c r="G103" i="10"/>
  <c r="G104" i="10"/>
  <c r="G105" i="10"/>
  <c r="G106" i="10"/>
  <c r="G107" i="10"/>
  <c r="G110" i="10"/>
  <c r="G111" i="10"/>
  <c r="G112" i="10"/>
  <c r="G113" i="10"/>
  <c r="G114" i="10"/>
  <c r="G115" i="10"/>
  <c r="G118" i="10"/>
  <c r="G119" i="10"/>
  <c r="G120" i="10"/>
  <c r="G121" i="10"/>
  <c r="G122" i="10"/>
  <c r="G123" i="10"/>
  <c r="G3" i="10" s="1"/>
  <c r="G126" i="10"/>
  <c r="G6" i="10"/>
  <c r="G122" i="11"/>
  <c r="G124" i="13"/>
  <c r="G56" i="10"/>
  <c r="G48" i="10"/>
  <c r="G40" i="10"/>
  <c r="G32" i="10"/>
  <c r="G24" i="10"/>
  <c r="G16" i="10"/>
  <c r="G8" i="10"/>
  <c r="G55" i="10"/>
  <c r="G47" i="10"/>
  <c r="G39" i="10"/>
  <c r="G31" i="10"/>
  <c r="G23" i="10"/>
  <c r="G15" i="10"/>
  <c r="G7" i="10"/>
  <c r="G91" i="9"/>
  <c r="G125" i="10"/>
  <c r="G117" i="10"/>
  <c r="G109" i="10"/>
  <c r="G101" i="10"/>
  <c r="G93" i="10"/>
  <c r="G85" i="10"/>
  <c r="G77" i="10"/>
  <c r="G69" i="10"/>
  <c r="G61" i="10"/>
  <c r="G53" i="10"/>
  <c r="G45" i="10"/>
  <c r="G37" i="10"/>
  <c r="G29" i="10"/>
  <c r="G21" i="10"/>
  <c r="G13" i="10"/>
  <c r="G85" i="9"/>
  <c r="G124" i="10"/>
  <c r="G116" i="10"/>
  <c r="G108" i="10"/>
  <c r="G100" i="10"/>
  <c r="G92" i="10"/>
  <c r="G84" i="10"/>
  <c r="G76" i="10"/>
  <c r="G68" i="10"/>
  <c r="G60" i="10"/>
  <c r="G52" i="10"/>
  <c r="G44" i="10"/>
  <c r="G36" i="10"/>
  <c r="G28" i="10"/>
  <c r="G20" i="10"/>
  <c r="G12" i="10"/>
  <c r="G6" i="9"/>
  <c r="G3" i="9" s="1"/>
  <c r="G79" i="9"/>
  <c r="G83" i="10"/>
  <c r="G75" i="10"/>
  <c r="G67" i="10"/>
  <c r="G59" i="10"/>
  <c r="G51" i="10"/>
  <c r="G43" i="10"/>
  <c r="G35" i="10"/>
  <c r="G27" i="10"/>
  <c r="G19" i="10"/>
  <c r="G125" i="9"/>
  <c r="G113" i="9"/>
  <c r="G101" i="9"/>
  <c r="G89" i="9"/>
  <c r="G77" i="9"/>
  <c r="G65" i="9"/>
  <c r="G53" i="9"/>
  <c r="G41" i="9"/>
  <c r="G29" i="9"/>
  <c r="G23" i="9"/>
  <c r="G11" i="9"/>
  <c r="G124" i="9"/>
  <c r="G118" i="9"/>
  <c r="G112" i="9"/>
  <c r="G106" i="9"/>
  <c r="G100" i="9"/>
  <c r="G94" i="9"/>
  <c r="G88" i="9"/>
  <c r="G82" i="9"/>
  <c r="G76" i="9"/>
  <c r="G70" i="9"/>
  <c r="G64" i="9"/>
  <c r="G58" i="9"/>
  <c r="G52" i="9"/>
  <c r="G46" i="9"/>
  <c r="G40" i="9"/>
  <c r="G34" i="9"/>
  <c r="G28" i="9"/>
  <c r="G22" i="9"/>
  <c r="G16" i="9"/>
  <c r="G10" i="9"/>
  <c r="G49" i="9"/>
  <c r="G43" i="9"/>
  <c r="G37" i="9"/>
  <c r="G31" i="9"/>
  <c r="G25" i="9"/>
  <c r="G19" i="9"/>
  <c r="G13" i="9"/>
  <c r="G7" i="9"/>
  <c r="G126" i="9"/>
  <c r="G120" i="9"/>
  <c r="G114" i="9"/>
  <c r="G108" i="9"/>
  <c r="G102" i="9"/>
  <c r="G96" i="9"/>
  <c r="G90" i="9"/>
  <c r="G84" i="9"/>
  <c r="G78" i="9"/>
  <c r="G72" i="9"/>
  <c r="G66" i="9"/>
  <c r="G60" i="9"/>
  <c r="G54" i="9"/>
  <c r="G48" i="9"/>
  <c r="G42" i="9"/>
  <c r="G36" i="9"/>
  <c r="G30" i="9"/>
  <c r="G24" i="9"/>
  <c r="G18" i="9"/>
  <c r="G12" i="9"/>
  <c r="G119" i="9"/>
  <c r="G107" i="9"/>
  <c r="G95" i="9"/>
  <c r="G83" i="9"/>
  <c r="G71" i="9"/>
  <c r="G59" i="9"/>
  <c r="G47" i="9"/>
  <c r="G35" i="9"/>
  <c r="G17" i="9"/>
  <c r="G123" i="9"/>
  <c r="G117" i="9"/>
  <c r="G111" i="9"/>
  <c r="G105" i="9"/>
  <c r="G99" i="9"/>
  <c r="G93" i="9"/>
  <c r="G87" i="9"/>
  <c r="G81" i="9"/>
  <c r="G75" i="9"/>
  <c r="G69" i="9"/>
  <c r="G63" i="9"/>
  <c r="G57" i="9"/>
  <c r="G51" i="9"/>
  <c r="G45" i="9"/>
  <c r="G39" i="9"/>
  <c r="G33" i="9"/>
  <c r="G27" i="9"/>
  <c r="G21" i="9"/>
  <c r="G15" i="9"/>
  <c r="G9" i="9"/>
  <c r="G122" i="9"/>
  <c r="G116" i="9"/>
  <c r="G110" i="9"/>
  <c r="G104" i="9"/>
  <c r="G98" i="9"/>
  <c r="G92" i="9"/>
  <c r="G86" i="9"/>
  <c r="G80" i="9"/>
  <c r="G74" i="9"/>
  <c r="G68" i="9"/>
  <c r="G62" i="9"/>
  <c r="G56" i="9"/>
  <c r="G50" i="9"/>
  <c r="G44" i="9"/>
  <c r="G38" i="9"/>
  <c r="G32" i="9"/>
  <c r="G26" i="9"/>
  <c r="G20" i="9"/>
  <c r="G14" i="9"/>
  <c r="B3" i="10"/>
  <c r="C125" i="8"/>
  <c r="D125" i="8"/>
  <c r="E125" i="8"/>
  <c r="B125" i="8"/>
  <c r="G33" i="8" s="1"/>
  <c r="G122" i="8" l="1"/>
  <c r="G127" i="9"/>
  <c r="G104" i="8"/>
  <c r="G86" i="8"/>
  <c r="G68" i="8"/>
  <c r="G45" i="8"/>
  <c r="G116" i="8"/>
  <c r="G98" i="8"/>
  <c r="G80" i="8"/>
  <c r="G62" i="8"/>
  <c r="G9" i="8"/>
  <c r="G38" i="8"/>
  <c r="G14" i="8"/>
  <c r="G10" i="8"/>
  <c r="G11" i="8"/>
  <c r="G16" i="8"/>
  <c r="G22" i="8"/>
  <c r="G28" i="8"/>
  <c r="G34" i="8"/>
  <c r="G40" i="8"/>
  <c r="G46" i="8"/>
  <c r="G52" i="8"/>
  <c r="G58" i="8"/>
  <c r="G64" i="8"/>
  <c r="G70" i="8"/>
  <c r="G76" i="8"/>
  <c r="G82" i="8"/>
  <c r="G88" i="8"/>
  <c r="G94" i="8"/>
  <c r="G100" i="8"/>
  <c r="G106" i="8"/>
  <c r="G112" i="8"/>
  <c r="G118" i="8"/>
  <c r="G124" i="8"/>
  <c r="G17" i="8"/>
  <c r="G23" i="8"/>
  <c r="G29" i="8"/>
  <c r="G35" i="8"/>
  <c r="G41" i="8"/>
  <c r="G47" i="8"/>
  <c r="G53" i="8"/>
  <c r="G59" i="8"/>
  <c r="G65" i="8"/>
  <c r="G71" i="8"/>
  <c r="G77" i="8"/>
  <c r="G83" i="8"/>
  <c r="G89" i="8"/>
  <c r="G95" i="8"/>
  <c r="G101" i="8"/>
  <c r="G107" i="8"/>
  <c r="G113" i="8"/>
  <c r="G119" i="8"/>
  <c r="G6" i="8"/>
  <c r="G7" i="8"/>
  <c r="G12" i="8"/>
  <c r="G18" i="8"/>
  <c r="G24" i="8"/>
  <c r="G30" i="8"/>
  <c r="G36" i="8"/>
  <c r="G42" i="8"/>
  <c r="G48" i="8"/>
  <c r="G54" i="8"/>
  <c r="G60" i="8"/>
  <c r="G66" i="8"/>
  <c r="G72" i="8"/>
  <c r="G78" i="8"/>
  <c r="G84" i="8"/>
  <c r="G90" i="8"/>
  <c r="G96" i="8"/>
  <c r="G102" i="8"/>
  <c r="G108" i="8"/>
  <c r="G114" i="8"/>
  <c r="G120" i="8"/>
  <c r="G8" i="8"/>
  <c r="G13" i="8"/>
  <c r="G19" i="8"/>
  <c r="G25" i="8"/>
  <c r="G31" i="8"/>
  <c r="G37" i="8"/>
  <c r="G43" i="8"/>
  <c r="G49" i="8"/>
  <c r="G55" i="8"/>
  <c r="G61" i="8"/>
  <c r="G67" i="8"/>
  <c r="G73" i="8"/>
  <c r="G79" i="8"/>
  <c r="G85" i="8"/>
  <c r="G91" i="8"/>
  <c r="G97" i="8"/>
  <c r="G103" i="8"/>
  <c r="G109" i="8"/>
  <c r="G115" i="8"/>
  <c r="G121" i="8"/>
  <c r="G20" i="8"/>
  <c r="G26" i="8"/>
  <c r="G32" i="8"/>
  <c r="G44" i="8"/>
  <c r="G50" i="8"/>
  <c r="G117" i="8"/>
  <c r="G99" i="8"/>
  <c r="G81" i="8"/>
  <c r="G63" i="8"/>
  <c r="G39" i="8"/>
  <c r="G111" i="8"/>
  <c r="G93" i="8"/>
  <c r="G75" i="8"/>
  <c r="G57" i="8"/>
  <c r="G27" i="8"/>
  <c r="G110" i="8"/>
  <c r="G92" i="8"/>
  <c r="G74" i="8"/>
  <c r="G56" i="8"/>
  <c r="G21" i="8"/>
  <c r="G123" i="8"/>
  <c r="G105" i="8"/>
  <c r="G87" i="8"/>
  <c r="G69" i="8"/>
  <c r="G51" i="8"/>
  <c r="G15" i="8"/>
  <c r="C3" i="8"/>
  <c r="D3" i="8"/>
  <c r="E3" i="8"/>
  <c r="G3" i="8"/>
  <c r="B3" i="8"/>
  <c r="C106" i="7"/>
  <c r="D106" i="7"/>
  <c r="E106" i="7"/>
  <c r="F106" i="7"/>
  <c r="B106" i="7"/>
  <c r="C3" i="7"/>
  <c r="D3" i="7"/>
  <c r="E3" i="7"/>
  <c r="F3" i="7"/>
  <c r="B3" i="7"/>
  <c r="G11" i="7" l="1"/>
  <c r="G9" i="7"/>
  <c r="G10" i="7"/>
  <c r="G17" i="7"/>
  <c r="G18" i="7"/>
  <c r="G25" i="7"/>
  <c r="G26" i="7"/>
  <c r="G33" i="7"/>
  <c r="G34" i="7"/>
  <c r="G41" i="7"/>
  <c r="G42" i="7"/>
  <c r="G49" i="7"/>
  <c r="G50" i="7"/>
  <c r="G57" i="7"/>
  <c r="G58" i="7"/>
  <c r="G65" i="7"/>
  <c r="G66" i="7"/>
  <c r="G73" i="7"/>
  <c r="G74" i="7"/>
  <c r="G81" i="7"/>
  <c r="G82" i="7"/>
  <c r="G89" i="7"/>
  <c r="G90" i="7"/>
  <c r="G97" i="7"/>
  <c r="G98" i="7"/>
  <c r="G105" i="7"/>
  <c r="G3" i="7" s="1"/>
  <c r="G6" i="7"/>
  <c r="G104" i="7"/>
  <c r="G96" i="7"/>
  <c r="G88" i="7"/>
  <c r="G80" i="7"/>
  <c r="G72" i="7"/>
  <c r="G64" i="7"/>
  <c r="G56" i="7"/>
  <c r="G48" i="7"/>
  <c r="G40" i="7"/>
  <c r="G32" i="7"/>
  <c r="G24" i="7"/>
  <c r="G16" i="7"/>
  <c r="G8" i="7"/>
  <c r="G103" i="7"/>
  <c r="G95" i="7"/>
  <c r="G87" i="7"/>
  <c r="G79" i="7"/>
  <c r="G71" i="7"/>
  <c r="G63" i="7"/>
  <c r="G55" i="7"/>
  <c r="G47" i="7"/>
  <c r="G39" i="7"/>
  <c r="G31" i="7"/>
  <c r="G23" i="7"/>
  <c r="G15" i="7"/>
  <c r="G7" i="7"/>
  <c r="G102" i="7"/>
  <c r="G94" i="7"/>
  <c r="G86" i="7"/>
  <c r="G78" i="7"/>
  <c r="G70" i="7"/>
  <c r="G62" i="7"/>
  <c r="G54" i="7"/>
  <c r="G46" i="7"/>
  <c r="G38" i="7"/>
  <c r="G30" i="7"/>
  <c r="G22" i="7"/>
  <c r="G14" i="7"/>
  <c r="G101" i="7"/>
  <c r="G93" i="7"/>
  <c r="G85" i="7"/>
  <c r="G77" i="7"/>
  <c r="G69" i="7"/>
  <c r="G61" i="7"/>
  <c r="G53" i="7"/>
  <c r="G45" i="7"/>
  <c r="G37" i="7"/>
  <c r="G29" i="7"/>
  <c r="G21" i="7"/>
  <c r="G13" i="7"/>
  <c r="G100" i="7"/>
  <c r="G92" i="7"/>
  <c r="G84" i="7"/>
  <c r="G76" i="7"/>
  <c r="G68" i="7"/>
  <c r="G60" i="7"/>
  <c r="G52" i="7"/>
  <c r="G44" i="7"/>
  <c r="G36" i="7"/>
  <c r="G28" i="7"/>
  <c r="G20" i="7"/>
  <c r="G12" i="7"/>
  <c r="G99" i="7"/>
  <c r="G91" i="7"/>
  <c r="G83" i="7"/>
  <c r="G75" i="7"/>
  <c r="G67" i="7"/>
  <c r="G59" i="7"/>
  <c r="G51" i="7"/>
  <c r="G43" i="7"/>
  <c r="G35" i="7"/>
  <c r="G27" i="7"/>
  <c r="G19" i="7"/>
  <c r="G125" i="8"/>
  <c r="F3" i="8"/>
  <c r="F125" i="8"/>
  <c r="C117" i="5"/>
  <c r="D117" i="5"/>
  <c r="E117" i="5"/>
  <c r="F117" i="5"/>
  <c r="B117" i="5"/>
  <c r="G7" i="5" s="1"/>
  <c r="F3" i="5"/>
  <c r="E3" i="5"/>
  <c r="D3" i="5"/>
  <c r="C3" i="5"/>
  <c r="B3" i="5"/>
  <c r="C117" i="4"/>
  <c r="D117" i="4"/>
  <c r="E117" i="4"/>
  <c r="F117" i="4"/>
  <c r="B117" i="4"/>
  <c r="G7" i="4" s="1"/>
  <c r="F3" i="4"/>
  <c r="E3" i="4"/>
  <c r="D3" i="4"/>
  <c r="C3" i="4"/>
  <c r="B3" i="4"/>
  <c r="G106" i="7" l="1"/>
  <c r="G104" i="4"/>
  <c r="G81" i="4"/>
  <c r="G116" i="4"/>
  <c r="G110" i="4"/>
  <c r="G72" i="4"/>
  <c r="G99" i="4"/>
  <c r="G68" i="4"/>
  <c r="G93" i="4"/>
  <c r="G87" i="4"/>
  <c r="G108" i="4"/>
  <c r="G97" i="4"/>
  <c r="G85" i="4"/>
  <c r="G74" i="4"/>
  <c r="G66" i="4"/>
  <c r="G51" i="4"/>
  <c r="G41" i="4"/>
  <c r="G35" i="4"/>
  <c r="G29" i="4"/>
  <c r="G24" i="4"/>
  <c r="G18" i="4"/>
  <c r="G12" i="4"/>
  <c r="G102" i="4"/>
  <c r="G90" i="4"/>
  <c r="G78" i="4"/>
  <c r="G55" i="4"/>
  <c r="G46" i="4"/>
  <c r="G34" i="4"/>
  <c r="G17" i="4"/>
  <c r="G112" i="4"/>
  <c r="G106" i="4"/>
  <c r="G101" i="4"/>
  <c r="G95" i="4"/>
  <c r="G89" i="4"/>
  <c r="G83" i="4"/>
  <c r="G77" i="4"/>
  <c r="G73" i="4"/>
  <c r="G70" i="4"/>
  <c r="G65" i="4"/>
  <c r="G59" i="4"/>
  <c r="G49" i="4"/>
  <c r="G45" i="4"/>
  <c r="G39" i="4"/>
  <c r="G33" i="4"/>
  <c r="G27" i="4"/>
  <c r="G22" i="4"/>
  <c r="G16" i="4"/>
  <c r="G10" i="4"/>
  <c r="G57" i="4"/>
  <c r="G43" i="4"/>
  <c r="G114" i="4"/>
  <c r="G103" i="4"/>
  <c r="G91" i="4"/>
  <c r="G79" i="4"/>
  <c r="G71" i="4"/>
  <c r="G61" i="4"/>
  <c r="G47" i="4"/>
  <c r="G113" i="4"/>
  <c r="G107" i="4"/>
  <c r="G96" i="4"/>
  <c r="G84" i="4"/>
  <c r="G60" i="4"/>
  <c r="G50" i="4"/>
  <c r="G40" i="4"/>
  <c r="G28" i="4"/>
  <c r="G23" i="4"/>
  <c r="G11" i="4"/>
  <c r="G3" i="4" s="1"/>
  <c r="G6" i="4"/>
  <c r="G111" i="4"/>
  <c r="G105" i="4"/>
  <c r="G100" i="4"/>
  <c r="G94" i="4"/>
  <c r="G88" i="4"/>
  <c r="G82" i="4"/>
  <c r="G76" i="4"/>
  <c r="G69" i="4"/>
  <c r="G64" i="4"/>
  <c r="G58" i="4"/>
  <c r="G54" i="4"/>
  <c r="G44" i="4"/>
  <c r="G38" i="4"/>
  <c r="G32" i="4"/>
  <c r="G21" i="4"/>
  <c r="G15" i="4"/>
  <c r="G9" i="4"/>
  <c r="G63" i="4"/>
  <c r="G53" i="4"/>
  <c r="G37" i="4"/>
  <c r="G31" i="4"/>
  <c r="G26" i="4"/>
  <c r="G20" i="4"/>
  <c r="G14" i="4"/>
  <c r="G8" i="4"/>
  <c r="G115" i="4"/>
  <c r="G109" i="4"/>
  <c r="G98" i="4"/>
  <c r="G92" i="4"/>
  <c r="G86" i="4"/>
  <c r="G80" i="4"/>
  <c r="G75" i="4"/>
  <c r="G67" i="4"/>
  <c r="G62" i="4"/>
  <c r="G56" i="4"/>
  <c r="G52" i="4"/>
  <c r="G48" i="4"/>
  <c r="G42" i="4"/>
  <c r="G36" i="4"/>
  <c r="G30" i="4"/>
  <c r="G25" i="4"/>
  <c r="G19" i="4"/>
  <c r="G13" i="4"/>
  <c r="G114" i="5"/>
  <c r="G108" i="5"/>
  <c r="G103" i="5"/>
  <c r="G97" i="5"/>
  <c r="G85" i="5"/>
  <c r="G74" i="5"/>
  <c r="G66" i="5"/>
  <c r="G42" i="5"/>
  <c r="G107" i="5"/>
  <c r="G96" i="5"/>
  <c r="G84" i="5"/>
  <c r="G61" i="5"/>
  <c r="G51" i="5"/>
  <c r="G41" i="5"/>
  <c r="G23" i="5"/>
  <c r="G112" i="5"/>
  <c r="G106" i="5"/>
  <c r="G101" i="5"/>
  <c r="G95" i="5"/>
  <c r="G89" i="5"/>
  <c r="G83" i="5"/>
  <c r="G77" i="5"/>
  <c r="G73" i="5"/>
  <c r="G70" i="5"/>
  <c r="G65" i="5"/>
  <c r="G60" i="5"/>
  <c r="G50" i="5"/>
  <c r="G46" i="5"/>
  <c r="G40" i="5"/>
  <c r="G34" i="5"/>
  <c r="G28" i="5"/>
  <c r="G22" i="5"/>
  <c r="G16" i="5"/>
  <c r="G10" i="5"/>
  <c r="G91" i="5"/>
  <c r="G79" i="5"/>
  <c r="G71" i="5"/>
  <c r="G62" i="5"/>
  <c r="G52" i="5"/>
  <c r="G48" i="5"/>
  <c r="G36" i="5"/>
  <c r="G30" i="5"/>
  <c r="G24" i="5"/>
  <c r="G18" i="5"/>
  <c r="G12" i="5"/>
  <c r="G113" i="5"/>
  <c r="G102" i="5"/>
  <c r="G90" i="5"/>
  <c r="G78" i="5"/>
  <c r="G56" i="5"/>
  <c r="G47" i="5"/>
  <c r="G35" i="5"/>
  <c r="G29" i="5"/>
  <c r="G17" i="5"/>
  <c r="G11" i="5"/>
  <c r="G3" i="5" s="1"/>
  <c r="G6" i="5"/>
  <c r="G111" i="5"/>
  <c r="G105" i="5"/>
  <c r="G100" i="5"/>
  <c r="G94" i="5"/>
  <c r="G88" i="5"/>
  <c r="G82" i="5"/>
  <c r="G76" i="5"/>
  <c r="G69" i="5"/>
  <c r="G64" i="5"/>
  <c r="G59" i="5"/>
  <c r="G55" i="5"/>
  <c r="G45" i="5"/>
  <c r="G39" i="5"/>
  <c r="G33" i="5"/>
  <c r="G27" i="5"/>
  <c r="G21" i="5"/>
  <c r="G15" i="5"/>
  <c r="G9" i="5"/>
  <c r="G116" i="5"/>
  <c r="G110" i="5"/>
  <c r="G104" i="5"/>
  <c r="G99" i="5"/>
  <c r="G93" i="5"/>
  <c r="G87" i="5"/>
  <c r="G81" i="5"/>
  <c r="G72" i="5"/>
  <c r="G68" i="5"/>
  <c r="G63" i="5"/>
  <c r="G58" i="5"/>
  <c r="G54" i="5"/>
  <c r="G44" i="5"/>
  <c r="G38" i="5"/>
  <c r="G32" i="5"/>
  <c r="G26" i="5"/>
  <c r="G20" i="5"/>
  <c r="G14" i="5"/>
  <c r="G8" i="5"/>
  <c r="G115" i="5"/>
  <c r="G109" i="5"/>
  <c r="G98" i="5"/>
  <c r="G92" i="5"/>
  <c r="G86" i="5"/>
  <c r="G80" i="5"/>
  <c r="G75" i="5"/>
  <c r="G67" i="5"/>
  <c r="G57" i="5"/>
  <c r="G53" i="5"/>
  <c r="G49" i="5"/>
  <c r="G43" i="5"/>
  <c r="G37" i="5"/>
  <c r="G31" i="5"/>
  <c r="G25" i="5"/>
  <c r="G19" i="5"/>
  <c r="G13" i="5"/>
  <c r="B3" i="1"/>
  <c r="F3" i="1"/>
  <c r="E3" i="1"/>
  <c r="D3" i="1"/>
  <c r="C3" i="1"/>
  <c r="B3" i="3"/>
  <c r="C3" i="3"/>
  <c r="D3" i="3"/>
  <c r="E3" i="3"/>
  <c r="F3" i="3"/>
  <c r="B104" i="3" l="1"/>
  <c r="G82" i="3" s="1"/>
  <c r="C104" i="3"/>
  <c r="D104" i="3"/>
  <c r="E104" i="3"/>
  <c r="F104" i="3"/>
  <c r="G67" i="3" l="1"/>
  <c r="G99" i="3"/>
  <c r="G83" i="3"/>
  <c r="G98" i="3"/>
  <c r="G66" i="3"/>
  <c r="G50" i="3"/>
  <c r="G34" i="3"/>
  <c r="G14" i="3"/>
  <c r="G94" i="3"/>
  <c r="G78" i="3"/>
  <c r="G62" i="3"/>
  <c r="G46" i="3"/>
  <c r="G30" i="3"/>
  <c r="G13" i="3"/>
  <c r="G93" i="3"/>
  <c r="G77" i="3"/>
  <c r="G61" i="3"/>
  <c r="G45" i="3"/>
  <c r="G29" i="3"/>
  <c r="G11" i="3"/>
  <c r="G91" i="3"/>
  <c r="G35" i="3"/>
  <c r="G19" i="3"/>
  <c r="G59" i="3"/>
  <c r="G43" i="3"/>
  <c r="G27" i="3"/>
  <c r="G6" i="3"/>
  <c r="G90" i="3"/>
  <c r="G74" i="3"/>
  <c r="G58" i="3"/>
  <c r="G42" i="3"/>
  <c r="G26" i="3"/>
  <c r="G102" i="3"/>
  <c r="G54" i="3"/>
  <c r="G22" i="3"/>
  <c r="G51" i="3"/>
  <c r="G86" i="3"/>
  <c r="G70" i="3"/>
  <c r="G38" i="3"/>
  <c r="G101" i="3"/>
  <c r="G85" i="3"/>
  <c r="G69" i="3"/>
  <c r="G53" i="3"/>
  <c r="G37" i="3"/>
  <c r="G21" i="3"/>
  <c r="G100" i="3"/>
  <c r="G92" i="3"/>
  <c r="G76" i="3"/>
  <c r="G68" i="3"/>
  <c r="G60" i="3"/>
  <c r="G52" i="3"/>
  <c r="G44" i="3"/>
  <c r="G36" i="3"/>
  <c r="G28" i="3"/>
  <c r="G20" i="3"/>
  <c r="G12" i="3"/>
  <c r="G18" i="3"/>
  <c r="G10" i="3"/>
  <c r="G97" i="3"/>
  <c r="G89" i="3"/>
  <c r="G81" i="3"/>
  <c r="G73" i="3"/>
  <c r="G65" i="3"/>
  <c r="G57" i="3"/>
  <c r="G49" i="3"/>
  <c r="G41" i="3"/>
  <c r="G33" i="3"/>
  <c r="G25" i="3"/>
  <c r="G3" i="3" s="1"/>
  <c r="G17" i="3"/>
  <c r="G9" i="3"/>
  <c r="G96" i="3"/>
  <c r="G88" i="3"/>
  <c r="G80" i="3"/>
  <c r="G72" i="3"/>
  <c r="G64" i="3"/>
  <c r="G56" i="3"/>
  <c r="G48" i="3"/>
  <c r="G40" i="3"/>
  <c r="G32" i="3"/>
  <c r="G24" i="3"/>
  <c r="G16" i="3"/>
  <c r="G8" i="3"/>
  <c r="G103" i="3"/>
  <c r="G95" i="3"/>
  <c r="G87" i="3"/>
  <c r="G79" i="3"/>
  <c r="G71" i="3"/>
  <c r="G63" i="3"/>
  <c r="G47" i="3"/>
  <c r="G39" i="3"/>
  <c r="G31" i="3"/>
  <c r="G23" i="3"/>
  <c r="G15" i="3"/>
  <c r="G7" i="3"/>
  <c r="B108" i="1"/>
  <c r="G92" i="1" s="1"/>
  <c r="C108" i="1"/>
  <c r="D108" i="1"/>
  <c r="E108" i="1"/>
  <c r="F108" i="1"/>
  <c r="G43" i="1" l="1"/>
  <c r="G24" i="1"/>
  <c r="G32" i="1"/>
  <c r="G20" i="1"/>
  <c r="G19" i="1"/>
  <c r="G70" i="1"/>
  <c r="G54" i="1"/>
  <c r="G102" i="1"/>
  <c r="G71" i="1"/>
  <c r="G66" i="1"/>
  <c r="G62" i="1"/>
  <c r="G63" i="1"/>
  <c r="G44" i="1"/>
  <c r="G51" i="1"/>
  <c r="G55" i="1"/>
  <c r="G39" i="1"/>
  <c r="G85" i="1"/>
  <c r="G95" i="1"/>
  <c r="G72" i="1"/>
  <c r="G73" i="1"/>
  <c r="G67" i="1"/>
  <c r="G57" i="1"/>
  <c r="G68" i="1"/>
  <c r="G94" i="1"/>
  <c r="G56" i="1"/>
  <c r="G7" i="1"/>
  <c r="G103" i="1"/>
  <c r="G80" i="1"/>
  <c r="G89" i="1"/>
  <c r="G90" i="1"/>
  <c r="G83" i="1"/>
  <c r="G100" i="1"/>
  <c r="G31" i="1"/>
  <c r="G45" i="1"/>
  <c r="G47" i="1"/>
  <c r="G15" i="1"/>
  <c r="G69" i="1"/>
  <c r="G104" i="1"/>
  <c r="G97" i="1"/>
  <c r="G98" i="1"/>
  <c r="G107" i="1"/>
  <c r="G36" i="1"/>
  <c r="G8" i="1"/>
  <c r="G105" i="1"/>
  <c r="G93" i="1"/>
  <c r="G21" i="1"/>
  <c r="G60" i="1"/>
  <c r="G59" i="1"/>
  <c r="G101" i="1"/>
  <c r="G65" i="1"/>
  <c r="G42" i="1"/>
  <c r="G16" i="1"/>
  <c r="G17" i="1"/>
  <c r="G18" i="1"/>
  <c r="G11" i="1"/>
  <c r="G12" i="1"/>
  <c r="G75" i="1"/>
  <c r="G64" i="1"/>
  <c r="G6" i="1"/>
  <c r="G108" i="1"/>
  <c r="G104" i="3"/>
  <c r="G53" i="1"/>
  <c r="G52" i="1"/>
  <c r="G48" i="1"/>
  <c r="G46" i="1"/>
  <c r="G61" i="1"/>
  <c r="G9" i="1"/>
  <c r="G81" i="1"/>
  <c r="G38" i="1"/>
  <c r="G106" i="1"/>
  <c r="G50" i="1"/>
  <c r="G77" i="1"/>
  <c r="G58" i="1"/>
  <c r="G13" i="1"/>
  <c r="G28" i="1"/>
  <c r="G78" i="1"/>
  <c r="G22" i="1"/>
  <c r="G79" i="1"/>
  <c r="G23" i="1"/>
  <c r="G88" i="1"/>
  <c r="G37" i="1"/>
  <c r="G27" i="1"/>
  <c r="G74" i="1"/>
  <c r="G25" i="1"/>
  <c r="G91" i="1"/>
  <c r="G34" i="1"/>
  <c r="G84" i="1"/>
  <c r="G35" i="1"/>
  <c r="G86" i="1"/>
  <c r="G29" i="1"/>
  <c r="G87" i="1"/>
  <c r="G30" i="1"/>
  <c r="G96" i="1"/>
  <c r="G49" i="1"/>
  <c r="G10" i="1"/>
  <c r="G82" i="1"/>
  <c r="G33" i="1"/>
  <c r="G99" i="1"/>
  <c r="G40" i="1"/>
  <c r="G3" i="1" l="1"/>
  <c r="G44" i="16" l="1"/>
  <c r="G89" i="16"/>
  <c r="G21" i="16"/>
  <c r="G116" i="16"/>
  <c r="G79" i="16"/>
  <c r="G7" i="16"/>
  <c r="G124" i="16"/>
  <c r="G43" i="16"/>
  <c r="G35" i="16"/>
  <c r="G31" i="16"/>
  <c r="G113" i="16"/>
  <c r="G72" i="16"/>
  <c r="G45" i="16"/>
  <c r="G85" i="16"/>
  <c r="G50" i="16"/>
  <c r="G117" i="16"/>
  <c r="G122" i="16"/>
  <c r="G88" i="16"/>
  <c r="G54" i="16"/>
  <c r="G103" i="16"/>
  <c r="G32" i="16"/>
  <c r="G9" i="16"/>
  <c r="G97" i="16"/>
  <c r="G51" i="16"/>
  <c r="G126" i="16"/>
  <c r="G62" i="16"/>
  <c r="G90" i="16"/>
  <c r="G119" i="16"/>
  <c r="G125" i="16"/>
  <c r="G28" i="16"/>
  <c r="G91" i="16"/>
  <c r="G27" i="16"/>
  <c r="G102" i="16"/>
  <c r="G115" i="16"/>
  <c r="G84" i="16"/>
  <c r="G6" i="16"/>
  <c r="G107" i="16"/>
  <c r="G81" i="16"/>
  <c r="G76" i="16"/>
  <c r="G24" i="16"/>
  <c r="G87" i="16"/>
  <c r="G100" i="16"/>
  <c r="G19" i="16"/>
  <c r="G29" i="16"/>
  <c r="G25" i="16"/>
  <c r="G95" i="16"/>
  <c r="G98" i="16"/>
  <c r="G36" i="16"/>
  <c r="G38" i="16"/>
  <c r="G41" i="16"/>
  <c r="G4" i="16"/>
  <c r="G110" i="16"/>
  <c r="G96" i="16"/>
  <c r="G86" i="16"/>
  <c r="G5" i="16"/>
  <c r="G82" i="16"/>
  <c r="G10" i="16"/>
  <c r="G8" i="16"/>
  <c r="G37" i="16"/>
  <c r="G65" i="16"/>
  <c r="G39" i="16"/>
  <c r="G26" i="16"/>
  <c r="G77" i="16"/>
  <c r="G80" i="16"/>
  <c r="G61" i="16"/>
  <c r="G93" i="16"/>
  <c r="G111" i="16"/>
  <c r="G99" i="16"/>
  <c r="G42" i="16"/>
  <c r="G22" i="16"/>
  <c r="G108" i="16"/>
  <c r="G15" i="16"/>
  <c r="G63" i="16"/>
  <c r="G12" i="16"/>
  <c r="G101" i="16"/>
  <c r="G66" i="16"/>
  <c r="G13" i="16"/>
  <c r="G83" i="16"/>
  <c r="G71" i="16"/>
  <c r="G104" i="16"/>
  <c r="G40" i="16"/>
  <c r="G53" i="16"/>
  <c r="G75" i="16"/>
  <c r="G58" i="16"/>
  <c r="G106" i="16"/>
  <c r="G112" i="16"/>
  <c r="G78" i="16"/>
  <c r="G57" i="16"/>
  <c r="G109" i="16"/>
  <c r="G18" i="16"/>
  <c r="G105" i="16"/>
  <c r="G121" i="16"/>
  <c r="G34" i="16"/>
  <c r="G67" i="16"/>
  <c r="G92" i="16"/>
  <c r="G14" i="16"/>
  <c r="G49" i="16"/>
  <c r="G16" i="16"/>
  <c r="G48" i="16"/>
  <c r="G120" i="16"/>
  <c r="G73" i="16"/>
  <c r="G118" i="16"/>
  <c r="G33" i="16"/>
  <c r="G59" i="16"/>
  <c r="G68" i="16"/>
  <c r="G69" i="16"/>
  <c r="G23" i="16"/>
  <c r="G123" i="16"/>
  <c r="G20" i="16"/>
  <c r="G11" i="16"/>
  <c r="G55" i="16"/>
  <c r="G46" i="16"/>
  <c r="G47" i="16"/>
  <c r="G114" i="16"/>
  <c r="G3" i="16"/>
  <c r="G60" i="16"/>
  <c r="G74" i="16"/>
  <c r="G70" i="16"/>
  <c r="G94" i="16"/>
  <c r="G56" i="16"/>
  <c r="G64" i="16"/>
  <c r="G17" i="16"/>
  <c r="G52" i="16"/>
  <c r="G30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Please select from drop dwon list to display company specific data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Please select from drop dwon list to display company specific data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Please select from drop dwon list to display company specific data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Please select from drop dwon list to display company specific data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Please select from drop dwon list to display company specific data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Please select from drop dwon list to display company specific data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Please select from drop dwon list to display company specific data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Please select from drop dwon list to display company specific data</t>
        </r>
      </text>
    </comment>
  </commentList>
</comments>
</file>

<file path=xl/sharedStrings.xml><?xml version="1.0" encoding="utf-8"?>
<sst xmlns="http://schemas.openxmlformats.org/spreadsheetml/2006/main" count="2746" uniqueCount="194">
  <si>
    <t xml:space="preserve">ANNUAL 2020 - COMPANY  SPECIFIC DATA </t>
  </si>
  <si>
    <t>Insurance Broker</t>
  </si>
  <si>
    <t>Commission Income</t>
  </si>
  <si>
    <t>General &amp; Admin Expenses</t>
  </si>
  <si>
    <t>Operational Results</t>
  </si>
  <si>
    <t>Total Investments Income</t>
  </si>
  <si>
    <t>Profit &amp; Loss After Tax</t>
  </si>
  <si>
    <t>Market Share (%)</t>
  </si>
  <si>
    <t>Boaitey &amp; Associates Insurance Brokers Limited</t>
  </si>
  <si>
    <t>Market Share</t>
  </si>
  <si>
    <t>Afro-Asian Reinsurance Brokers</t>
  </si>
  <si>
    <t>AG &amp; Associates</t>
  </si>
  <si>
    <t>Akoto Risk Management</t>
  </si>
  <si>
    <t>Alhet Insurance Brokers Limited</t>
  </si>
  <si>
    <t>All Risks Consultancy Ltd</t>
  </si>
  <si>
    <t>Allied Insurance Brokers</t>
  </si>
  <si>
    <t>AllStar Insurance Brokers</t>
  </si>
  <si>
    <t>Alpha Insurance Brokers</t>
  </si>
  <si>
    <t>Anchor Premier Insurance Brokers</t>
  </si>
  <si>
    <t>AP&amp;L Consult</t>
  </si>
  <si>
    <t>Apex Insurance Brokers Ltd</t>
  </si>
  <si>
    <t>ARB Insurance Brokers Limited</t>
  </si>
  <si>
    <t>Ark Insurance Brokers</t>
  </si>
  <si>
    <t>Arrowclass Insurance Brokers Limited</t>
  </si>
  <si>
    <t>Ascoma Ghana Management Ltd</t>
  </si>
  <si>
    <t>Asterix Brokers Ltd</t>
  </si>
  <si>
    <t>Banbo Insurance Brokers</t>
  </si>
  <si>
    <t>Baobab Insurance Brokers Limited</t>
  </si>
  <si>
    <t>Beulah Insurance Brokers</t>
  </si>
  <si>
    <t>Byllwych Insurance Brokers</t>
  </si>
  <si>
    <t>Cardinal Insurance Brokers Limited</t>
  </si>
  <si>
    <t>Ceris International Ltd</t>
  </si>
  <si>
    <t>Claim Ltd</t>
  </si>
  <si>
    <t>Corporate Trust Insurance Brokers</t>
  </si>
  <si>
    <t>Cover Universal Insurance Brokers</t>
  </si>
  <si>
    <t>Crown Insurance Brokers</t>
  </si>
  <si>
    <t>Danniads Ltd</t>
  </si>
  <si>
    <t>Dezag Insurance Brokers</t>
  </si>
  <si>
    <t>Dynamic Insurance Brokers</t>
  </si>
  <si>
    <t>Edward Mensah Wood &amp; Associates</t>
  </si>
  <si>
    <t>Excel Insurance Brokers Limited</t>
  </si>
  <si>
    <t>Expertis Insurance Brokers Limited</t>
  </si>
  <si>
    <t>Felin Insurance Brokers Ltd.</t>
  </si>
  <si>
    <t>First Anchor Risk Management</t>
  </si>
  <si>
    <t>Functions Risk Management</t>
  </si>
  <si>
    <t>GBL Insurance Brokers</t>
  </si>
  <si>
    <t>GG and B Partners Brokerage Limited</t>
  </si>
  <si>
    <t>Global Impact Insurance Brokers(Gh) Ltd</t>
  </si>
  <si>
    <t>Global Reinsurance Brokers Limited</t>
  </si>
  <si>
    <t>Glow Insurance Brokers</t>
  </si>
  <si>
    <t>Goldlink Insurance Brokers</t>
  </si>
  <si>
    <t>Goodwill Insurance Brokers Limited</t>
  </si>
  <si>
    <t>Horizon Insurance Brokers Ltd</t>
  </si>
  <si>
    <t>Ideal Insurance Brokers Limited</t>
  </si>
  <si>
    <t>Insurance Center of Excellence</t>
  </si>
  <si>
    <t>Insurance Consultancies Int. Ltd</t>
  </si>
  <si>
    <t>Insurance Management Services Limited</t>
  </si>
  <si>
    <t>Insurance Solutions Limited</t>
  </si>
  <si>
    <t>Inter-Africa Brokers Ltd</t>
  </si>
  <si>
    <t>N-S</t>
  </si>
  <si>
    <t>IRisk Management Limited</t>
  </si>
  <si>
    <t>Irisk Reinsurance Brokers Limited</t>
  </si>
  <si>
    <t>J in G Insurance Brokers</t>
  </si>
  <si>
    <t>K &amp; A Insurance Brokers Limited</t>
  </si>
  <si>
    <t>KAV Insurance Brokers Ltd</t>
  </si>
  <si>
    <t>KEK  Insurance  Brokers</t>
  </si>
  <si>
    <t>KEK  Reinsurance  Brokers (Africa) Ltd</t>
  </si>
  <si>
    <t>Khols &amp; Hols International Insurance Brokers &amp; Mgt. Cons. Ltd.</t>
  </si>
  <si>
    <t>Liberty Insurance  Brokers</t>
  </si>
  <si>
    <t>Lordship Insurance Brokers</t>
  </si>
  <si>
    <t>Merite</t>
  </si>
  <si>
    <t>Metrix Brokerage Company Limited</t>
  </si>
  <si>
    <t>Midas Insurance Brokers Ltd</t>
  </si>
  <si>
    <t>Multinational Insurance Brokers Limited</t>
  </si>
  <si>
    <t>NDL Insurance Consult Ltd.</t>
  </si>
  <si>
    <t>Novelty Insurance Brokers Limited</t>
  </si>
  <si>
    <t>Oak Insurance Brokers</t>
  </si>
  <si>
    <t>Olea M&amp;G Insurance Brokers Ltd</t>
  </si>
  <si>
    <t>Pacific Insurance Brokers</t>
  </si>
  <si>
    <t>Premier Brokers  &amp; Consultants</t>
  </si>
  <si>
    <t>Progressive Insurance Brokers Ltd</t>
  </si>
  <si>
    <t>Prudent Insurance Brokers</t>
  </si>
  <si>
    <t>RCH Loss Adjustors</t>
  </si>
  <si>
    <t>Rellius Insurance Brokers</t>
  </si>
  <si>
    <t>Ringfence Insurance Brokers Limited</t>
  </si>
  <si>
    <t>Riscovery Limited</t>
  </si>
  <si>
    <t>Risk  Management &amp; Advisory Services</t>
  </si>
  <si>
    <t>Risk Partners Limited</t>
  </si>
  <si>
    <t>Risk Solution Ltd</t>
  </si>
  <si>
    <t>Rudder Insurance Brokers Limited</t>
  </si>
  <si>
    <t>Safeguard Insurance Brokers Limited</t>
  </si>
  <si>
    <t>Safety Insurance Brokers Lrd</t>
  </si>
  <si>
    <t>Saviour Insurance Brokers &amp; Consultants</t>
  </si>
  <si>
    <t>Sealand Insurance Brokers Limited</t>
  </si>
  <si>
    <t>Shield Insurance Brokers</t>
  </si>
  <si>
    <t>Strategic Insurance Consult</t>
  </si>
  <si>
    <t>Supreme Trust Insurance Brokers</t>
  </si>
  <si>
    <t>Titan Insurance Brokers</t>
  </si>
  <si>
    <t>Trans-National Brokers Ltd</t>
  </si>
  <si>
    <t>Trinity Insurance Brokers Ltd</t>
  </si>
  <si>
    <t>Tri-Star Insurance Services Ltd</t>
  </si>
  <si>
    <t>UGroup Insurance Brokers</t>
  </si>
  <si>
    <t>Universal Insurance Consultants Ltd</t>
  </si>
  <si>
    <t>Visal Insurance Brokers Limited</t>
  </si>
  <si>
    <t>Visal Reinsurance Brokers Limited</t>
  </si>
  <si>
    <t>Westom Insurance Brokers</t>
  </si>
  <si>
    <t>Willis Towers Watson Limited</t>
  </si>
  <si>
    <t>Worldwide Insurance Brokers Limited</t>
  </si>
  <si>
    <t>TOTAL</t>
  </si>
  <si>
    <t xml:space="preserve">FIRST QUARTER 2021 - COMPANY  SPECIFIC DATA </t>
  </si>
  <si>
    <t>Maxmens Loss Adjusters Limited</t>
  </si>
  <si>
    <t>Planwell Insurance Brokers</t>
  </si>
  <si>
    <t>Resolute Insurance Brokers Limited</t>
  </si>
  <si>
    <t>Securisk Insurance Brokers Ghana Limited</t>
  </si>
  <si>
    <t>SpotOn Insurance Brokers Limited</t>
  </si>
  <si>
    <t xml:space="preserve">second QUARTER 2021 - COMPANY  SPECIFIC DATA </t>
  </si>
  <si>
    <t xml:space="preserve">Market Share </t>
  </si>
  <si>
    <t>African Sureties and Insurance Advisory Company Limited</t>
  </si>
  <si>
    <t>Benefits Insurance Brokers Limited</t>
  </si>
  <si>
    <t>Double D&amp;M</t>
  </si>
  <si>
    <t>Eureka Insurance Brokers</t>
  </si>
  <si>
    <t>Felin Insurance Brokers Ltd</t>
  </si>
  <si>
    <t>First Choice Insurance Brokers</t>
  </si>
  <si>
    <t>Goldstar Insurance Brokers Limited</t>
  </si>
  <si>
    <t>International Consortium Brokers Ltd</t>
  </si>
  <si>
    <t>Merite Insurance Brokers Limited</t>
  </si>
  <si>
    <t>NDL Insurance Consult Ltd</t>
  </si>
  <si>
    <t>Ogyeaman Insurance Brokers Limited</t>
  </si>
  <si>
    <t xml:space="preserve">third QUARTER 2021 - COMPANY  SPECIFIC DATA </t>
  </si>
  <si>
    <t>BIMA Ghana</t>
  </si>
  <si>
    <t xml:space="preserve">ANNUAL 2021 - COMPANY  SPECIFIC DATA </t>
  </si>
  <si>
    <t xml:space="preserve">Total </t>
  </si>
  <si>
    <t xml:space="preserve">Q1 2022 - COMPANY  SPECIFIC DATA </t>
  </si>
  <si>
    <t xml:space="preserve">Insurance Broker </t>
  </si>
  <si>
    <t>Arete Insurance Brokers Limited</t>
  </si>
  <si>
    <t>AROD Insurance Brokers Limited</t>
  </si>
  <si>
    <t>Aseda Insurance Brokerage Limited</t>
  </si>
  <si>
    <t>Genuine Insurance Brokers Limited</t>
  </si>
  <si>
    <t>Hedge Risk Consult</t>
  </si>
  <si>
    <t>Kingsgate Insurance Brokers Limited</t>
  </si>
  <si>
    <t>Lloyds Brokers</t>
  </si>
  <si>
    <t>Magnum Insurance Brokers Limited</t>
  </si>
  <si>
    <t>Maxpal Intermediaries</t>
  </si>
  <si>
    <t>MDS Risk Solutions</t>
  </si>
  <si>
    <t>Safe Haven Insurance Brokers Limited</t>
  </si>
  <si>
    <t>Surge Insurance Brokers Limited</t>
  </si>
  <si>
    <t>Wing Heights Insurance Brokers Limited</t>
  </si>
  <si>
    <t>Total</t>
  </si>
  <si>
    <t xml:space="preserve">Q2 2022 - COMPANY  SPECIFIC DATA </t>
  </si>
  <si>
    <t>Firm</t>
  </si>
  <si>
    <t xml:space="preserve">Q3 2022 - COMPANY  SPECIFIC DATA </t>
  </si>
  <si>
    <t>Manyo-Plange Asscoaites</t>
  </si>
  <si>
    <t xml:space="preserve">ANNUAL 2022 - COMPANY  SPECIFIC DATA </t>
  </si>
  <si>
    <t>Harmonia Africa Insurance Brokers</t>
  </si>
  <si>
    <t>Pelmax Insurance Brokers</t>
  </si>
  <si>
    <t>Spirit Insurance Brokers</t>
  </si>
  <si>
    <t>Verasure Insurance Brokerage</t>
  </si>
  <si>
    <t>VIBA Insurance Broker</t>
  </si>
  <si>
    <t xml:space="preserve">Q1 2023 - COMPANY  SPECIFIC DATA </t>
  </si>
  <si>
    <t xml:space="preserve">Q2 2023 - COMPANY  SPECIFIC DATA </t>
  </si>
  <si>
    <t xml:space="preserve">Q3 2023 - COMPANY  SPECIFIC DATA </t>
  </si>
  <si>
    <t xml:space="preserve">Q4 2023 - COMPANY  SPECIFIC DATA </t>
  </si>
  <si>
    <t>Agile Insurance Brokers Limited</t>
  </si>
  <si>
    <t xml:space="preserve">   </t>
  </si>
  <si>
    <t xml:space="preserve">Q1 2024 - COMPANY  SPECIFIC DATA </t>
  </si>
  <si>
    <t>AEGIS Risk Management Brokers</t>
  </si>
  <si>
    <t xml:space="preserve">Q2 2024 - COMPANY  SPECIFIC DATA </t>
  </si>
  <si>
    <t>Q3 2024 - COMPANY SPECIFIC DATA</t>
  </si>
  <si>
    <t>Dosh Risk Services Limited</t>
  </si>
  <si>
    <t>S</t>
  </si>
  <si>
    <t>Q4 2024 - COMPANY SPECIFIC DATA</t>
  </si>
  <si>
    <t>Regal Reinsurance Brokerage Limited</t>
  </si>
  <si>
    <t>Safety Insurance Brokers Ltd</t>
  </si>
  <si>
    <t>Star Micro Insurance Company</t>
  </si>
  <si>
    <t>Assure Advisory Services Limited</t>
  </si>
  <si>
    <t>Contour Insurance Brokers Limited</t>
  </si>
  <si>
    <t>Ethos Risk Protection Partners Limited</t>
  </si>
  <si>
    <t>Rhino Insurance Brokers Limited</t>
  </si>
  <si>
    <t>Stream Risk Limited</t>
  </si>
  <si>
    <t>Well Max Micro Insure  Limited</t>
  </si>
  <si>
    <t>Aces Re Brokers Limited</t>
  </si>
  <si>
    <t>Safelite MGA Limited</t>
  </si>
  <si>
    <t>Prestige Risk Management Services</t>
  </si>
  <si>
    <t>Q1 2025 - COMPANY SPECIFIC DATA</t>
  </si>
  <si>
    <t>Noble Insurance Brokers Limited</t>
  </si>
  <si>
    <t>Risk Arena Brokerage Services Limited</t>
  </si>
  <si>
    <t>TK Insurance Brokers Company Limited</t>
  </si>
  <si>
    <t>Q2 2025 - COMPANY SPECIFIC DATA</t>
  </si>
  <si>
    <t>Q3 2025 - COMPANY SPECIFIC DATA</t>
  </si>
  <si>
    <t>Nexia Insurance Brokers Limited</t>
  </si>
  <si>
    <t>Regal Risk Management Limited</t>
  </si>
  <si>
    <t>Synergy Insurance Brokers Limited</t>
  </si>
  <si>
    <t>Asanti Brokers Limited</t>
  </si>
  <si>
    <t>Q4 2025 - COMPANY SPECIFIC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</si>
</sst>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_(* #,##0_);_(* \(\ #,##0\ \);_(* &quot;-&quot;_);_(\ @_ \)"/>
    <numFmt numFmtId="166" formatCode="_(* #,##0.00_);_(* \(\ #,##0.00\ \);_(* &quot;-&quot;??_);_(\ @_ \)"/>
    <numFmt numFmtId="167" formatCode="0.0%"/>
    <numFmt numFmtId="168" formatCode="_(* #,##0_);_(* \(\ #,##0\ \);_(* &quot;-&quot;??_);_(\ @_ \)"/>
    <numFmt numFmtId="169" formatCode="_(* #,##0.00_);_(* \(\ #,##0.00\ \);_(* &quot;-&quot;_);_(\ @_ \)"/>
  </numFmts>
  <fonts count="48" x14ac:knownFonts="1">
    <font>
      <sz val="10"/>
      <name val="Tahoma"/>
    </font>
    <font>
      <sz val="10"/>
      <name val="Tahoma"/>
      <family val="2"/>
    </font>
    <font>
      <sz val="9"/>
      <color indexed="63"/>
      <name val="Arial"/>
      <family val="2"/>
    </font>
    <font>
      <sz val="10"/>
      <name val="Tahoma"/>
      <family val="2"/>
    </font>
    <font>
      <sz val="10"/>
      <name val="Times New Roman"/>
      <family val="1"/>
    </font>
    <font>
      <sz val="10"/>
      <name val="Arial"/>
      <family val="2"/>
    </font>
    <font>
      <b/>
      <sz val="11"/>
      <color indexed="63"/>
      <name val="Arial"/>
      <family val="2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indexed="63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6"/>
      <color theme="1"/>
      <name val="Calibri"/>
      <family val="2"/>
      <scheme val="minor"/>
    </font>
    <font>
      <sz val="16"/>
      <name val="Tahoma"/>
      <family val="2"/>
    </font>
    <font>
      <sz val="18"/>
      <name val="Stencil"/>
      <family val="5"/>
    </font>
    <font>
      <b/>
      <sz val="16"/>
      <name val="Calibri"/>
      <family val="2"/>
      <scheme val="minor"/>
    </font>
    <font>
      <sz val="9"/>
      <color rgb="FF303030"/>
      <name val="Arial"/>
      <family val="2"/>
    </font>
    <font>
      <b/>
      <sz val="9"/>
      <color indexed="63"/>
      <name val="Arial"/>
      <family val="2"/>
    </font>
    <font>
      <sz val="9"/>
      <name val="Tahoma"/>
      <family val="2"/>
    </font>
    <font>
      <sz val="11"/>
      <name val="Calibri"/>
      <family val="2"/>
    </font>
    <font>
      <sz val="12"/>
      <color theme="1"/>
      <name val="Times New Roman"/>
      <family val="2"/>
    </font>
    <font>
      <b/>
      <sz val="16"/>
      <color theme="1"/>
      <name val="Garamond"/>
      <family val="1"/>
    </font>
    <font>
      <b/>
      <sz val="16"/>
      <name val="Garamond"/>
      <family val="1"/>
    </font>
    <font>
      <sz val="16"/>
      <name val="Garamond"/>
      <family val="1"/>
    </font>
    <font>
      <b/>
      <sz val="12"/>
      <color indexed="63"/>
      <name val="Garamond"/>
      <family val="1"/>
    </font>
    <font>
      <sz val="12"/>
      <color rgb="FF303030"/>
      <name val="Garamond"/>
      <family val="1"/>
    </font>
    <font>
      <sz val="14"/>
      <name val="Stencil"/>
      <family val="5"/>
    </font>
    <font>
      <b/>
      <sz val="14"/>
      <color theme="1"/>
      <name val="Garamond"/>
      <family val="1"/>
    </font>
    <font>
      <b/>
      <sz val="14"/>
      <name val="Garamond"/>
      <family val="1"/>
    </font>
    <font>
      <sz val="14"/>
      <name val="Garamond"/>
      <family val="1"/>
    </font>
    <font>
      <b/>
      <sz val="12"/>
      <color theme="1"/>
      <name val="Garamond"/>
      <family val="1"/>
    </font>
    <font>
      <sz val="12"/>
      <color indexed="63"/>
      <name val="Garamond"/>
      <family val="1"/>
    </font>
    <font>
      <b/>
      <sz val="12"/>
      <color rgb="FF303030"/>
      <name val="Garamond"/>
      <family val="1"/>
    </font>
    <font>
      <b/>
      <sz val="12"/>
      <name val="Garamond"/>
      <family val="1"/>
    </font>
    <font>
      <sz val="10"/>
      <name val="Garamond"/>
      <family val="1"/>
    </font>
    <font>
      <b/>
      <sz val="10"/>
      <name val="Garamond"/>
      <family val="1"/>
    </font>
    <font>
      <b/>
      <sz val="11"/>
      <name val="Garamond"/>
      <family val="1"/>
    </font>
    <font>
      <b/>
      <sz val="11"/>
      <name val="Tahoma"/>
      <family val="2"/>
    </font>
    <font>
      <b/>
      <sz val="12"/>
      <color theme="0"/>
      <name val="Garamond"/>
      <family val="1"/>
    </font>
    <font>
      <b/>
      <sz val="10"/>
      <color theme="0"/>
      <name val="Tahoma"/>
      <family val="2"/>
    </font>
    <font>
      <b/>
      <sz val="10"/>
      <color theme="0"/>
      <name val="Garamond"/>
      <family val="1"/>
    </font>
    <font>
      <sz val="9"/>
      <color rgb="FF303030"/>
      <name val="Arial"/>
      <family val="2"/>
    </font>
    <font>
      <sz val="14"/>
      <name val="Verdana Pro Black"/>
      <family val="2"/>
    </font>
  </fonts>
  <fills count="18">
    <fill>
      <patternFill patternType="none"/>
    </fill>
    <fill>
      <patternFill patternType="gray125"/>
    </fill>
    <fill>
      <patternFill patternType="solid">
        <fgColor indexed="1"/>
        <bgColor indexed="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9"/>
      </patternFill>
    </fill>
    <fill>
      <patternFill patternType="solid">
        <fgColor theme="0" tint="-0.14999847407452621"/>
        <bgColor indexed="9"/>
      </patternFill>
    </fill>
    <fill>
      <patternFill patternType="solid">
        <fgColor theme="0" tint="-0.249977111117893"/>
        <bgColor indexed="1"/>
      </patternFill>
    </fill>
    <fill>
      <patternFill patternType="solid">
        <fgColor theme="0" tint="-0.249977111117893"/>
        <bgColor indexed="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0F4F7"/>
        <bgColor rgb="FFFFFFFF"/>
      </patternFill>
    </fill>
    <fill>
      <patternFill patternType="solid">
        <fgColor rgb="FFFAFAFA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rgb="FFFFFFFF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rgb="FFFFFFFF"/>
      </patternFill>
    </fill>
  </fills>
  <borders count="31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22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/>
      <top style="thin">
        <color indexed="55"/>
      </top>
      <bottom/>
      <diagonal/>
    </border>
    <border>
      <left style="thin">
        <color indexed="22"/>
      </left>
      <right style="thin">
        <color indexed="55"/>
      </right>
      <top style="thin">
        <color indexed="55"/>
      </top>
      <bottom style="thin">
        <color indexed="22"/>
      </bottom>
      <diagonal/>
    </border>
    <border>
      <left style="thin">
        <color indexed="55"/>
      </left>
      <right style="thin">
        <color indexed="22"/>
      </right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55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22"/>
      </right>
      <top style="thin">
        <color indexed="55"/>
      </top>
      <bottom style="thin">
        <color indexed="22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thin">
        <color indexed="22"/>
      </right>
      <top/>
      <bottom style="thin">
        <color indexed="55"/>
      </bottom>
      <diagonal/>
    </border>
    <border>
      <left style="thin">
        <color rgb="FFCCCCCC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CCCCCC"/>
      </right>
      <top style="thin">
        <color rgb="FFA0A0A0"/>
      </top>
      <bottom style="thin">
        <color rgb="FFA0A0A0"/>
      </bottom>
      <diagonal/>
    </border>
    <border>
      <left style="thin">
        <color rgb="FFCCCCCC"/>
      </left>
      <right style="thin">
        <color rgb="FFA0A0A0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1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4" fillId="0" borderId="0"/>
    <xf numFmtId="0" fontId="8" fillId="0" borderId="0"/>
    <xf numFmtId="0" fontId="9" fillId="0" borderId="0"/>
    <xf numFmtId="0" fontId="5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166" fontId="3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24" fillId="0" borderId="0"/>
    <xf numFmtId="0" fontId="25" fillId="0" borderId="0"/>
    <xf numFmtId="164" fontId="25" fillId="0" borderId="0" applyFont="0" applyFill="0" applyBorder="0" applyAlignment="0" applyProtection="0"/>
  </cellStyleXfs>
  <cellXfs count="17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1" fillId="7" borderId="14" xfId="0" applyFont="1" applyFill="1" applyBorder="1" applyAlignment="1">
      <alignment horizontal="left" wrapText="1"/>
    </xf>
    <xf numFmtId="0" fontId="12" fillId="6" borderId="12" xfId="0" applyFont="1" applyFill="1" applyBorder="1" applyAlignment="1">
      <alignment horizontal="left"/>
    </xf>
    <xf numFmtId="0" fontId="13" fillId="6" borderId="4" xfId="0" applyFont="1" applyFill="1" applyBorder="1" applyAlignment="1">
      <alignment horizontal="right"/>
    </xf>
    <xf numFmtId="0" fontId="13" fillId="6" borderId="5" xfId="0" applyFont="1" applyFill="1" applyBorder="1" applyAlignment="1">
      <alignment horizontal="right"/>
    </xf>
    <xf numFmtId="0" fontId="2" fillId="5" borderId="13" xfId="0" applyFont="1" applyFill="1" applyBorder="1"/>
    <xf numFmtId="0" fontId="2" fillId="5" borderId="14" xfId="0" applyFont="1" applyFill="1" applyBorder="1"/>
    <xf numFmtId="0" fontId="6" fillId="7" borderId="14" xfId="0" applyFont="1" applyFill="1" applyBorder="1"/>
    <xf numFmtId="0" fontId="6" fillId="6" borderId="12" xfId="0" applyFont="1" applyFill="1" applyBorder="1"/>
    <xf numFmtId="0" fontId="11" fillId="6" borderId="4" xfId="0" applyFont="1" applyFill="1" applyBorder="1" applyAlignment="1">
      <alignment horizontal="center"/>
    </xf>
    <xf numFmtId="0" fontId="11" fillId="6" borderId="5" xfId="0" applyFont="1" applyFill="1" applyBorder="1" applyAlignment="1">
      <alignment horizontal="center"/>
    </xf>
    <xf numFmtId="9" fontId="6" fillId="7" borderId="6" xfId="14" applyFont="1" applyFill="1" applyBorder="1" applyAlignment="1">
      <alignment horizontal="center" wrapText="1"/>
    </xf>
    <xf numFmtId="0" fontId="7" fillId="8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1" fillId="7" borderId="0" xfId="1" applyNumberFormat="1" applyFont="1" applyFill="1"/>
    <xf numFmtId="168" fontId="2" fillId="4" borderId="1" xfId="1" applyNumberFormat="1" applyFont="1" applyFill="1" applyBorder="1" applyAlignment="1">
      <alignment horizontal="center" wrapText="1"/>
    </xf>
    <xf numFmtId="168" fontId="2" fillId="4" borderId="3" xfId="1" applyNumberFormat="1" applyFont="1" applyFill="1" applyBorder="1" applyAlignment="1">
      <alignment horizontal="center" wrapText="1"/>
    </xf>
    <xf numFmtId="168" fontId="2" fillId="4" borderId="6" xfId="1" applyNumberFormat="1" applyFont="1" applyFill="1" applyBorder="1" applyAlignment="1">
      <alignment horizontal="center" wrapText="1"/>
    </xf>
    <xf numFmtId="168" fontId="2" fillId="4" borderId="7" xfId="1" applyNumberFormat="1" applyFont="1" applyFill="1" applyBorder="1" applyAlignment="1">
      <alignment horizontal="center" wrapText="1"/>
    </xf>
    <xf numFmtId="3" fontId="6" fillId="7" borderId="6" xfId="0" applyNumberFormat="1" applyFont="1" applyFill="1" applyBorder="1" applyAlignment="1">
      <alignment horizontal="right" wrapText="1"/>
    </xf>
    <xf numFmtId="0" fontId="10" fillId="0" borderId="0" xfId="0" applyFont="1"/>
    <xf numFmtId="165" fontId="0" fillId="0" borderId="0" xfId="2" applyFont="1" applyFill="1"/>
    <xf numFmtId="167" fontId="0" fillId="0" borderId="0" xfId="15" applyNumberFormat="1" applyFont="1" applyFill="1"/>
    <xf numFmtId="10" fontId="18" fillId="8" borderId="0" xfId="14" applyNumberFormat="1" applyFont="1" applyFill="1"/>
    <xf numFmtId="9" fontId="20" fillId="10" borderId="0" xfId="17" applyFont="1" applyFill="1" applyAlignment="1">
      <alignment wrapText="1"/>
    </xf>
    <xf numFmtId="10" fontId="0" fillId="3" borderId="15" xfId="14" applyNumberFormat="1" applyFont="1" applyFill="1" applyBorder="1" applyAlignment="1">
      <alignment horizontal="right"/>
    </xf>
    <xf numFmtId="9" fontId="11" fillId="7" borderId="15" xfId="14" applyFont="1" applyFill="1" applyBorder="1"/>
    <xf numFmtId="0" fontId="17" fillId="10" borderId="15" xfId="0" applyFont="1" applyFill="1" applyBorder="1" applyAlignment="1">
      <alignment vertical="center"/>
    </xf>
    <xf numFmtId="0" fontId="17" fillId="10" borderId="15" xfId="0" applyFont="1" applyFill="1" applyBorder="1" applyAlignment="1">
      <alignment wrapText="1"/>
    </xf>
    <xf numFmtId="0" fontId="17" fillId="8" borderId="15" xfId="0" applyFont="1" applyFill="1" applyBorder="1"/>
    <xf numFmtId="165" fontId="18" fillId="8" borderId="15" xfId="2" applyFont="1" applyFill="1" applyBorder="1"/>
    <xf numFmtId="9" fontId="20" fillId="10" borderId="15" xfId="17" applyFont="1" applyFill="1" applyBorder="1" applyAlignment="1">
      <alignment wrapText="1"/>
    </xf>
    <xf numFmtId="10" fontId="18" fillId="8" borderId="15" xfId="14" applyNumberFormat="1" applyFont="1" applyFill="1" applyBorder="1"/>
    <xf numFmtId="0" fontId="21" fillId="11" borderId="18" xfId="0" applyFont="1" applyFill="1" applyBorder="1" applyAlignment="1">
      <alignment horizontal="left" wrapText="1"/>
    </xf>
    <xf numFmtId="4" fontId="21" fillId="11" borderId="19" xfId="0" applyNumberFormat="1" applyFont="1" applyFill="1" applyBorder="1" applyAlignment="1">
      <alignment horizontal="right" wrapText="1"/>
    </xf>
    <xf numFmtId="0" fontId="21" fillId="11" borderId="19" xfId="0" applyFont="1" applyFill="1" applyBorder="1" applyAlignment="1">
      <alignment horizontal="right" wrapText="1"/>
    </xf>
    <xf numFmtId="0" fontId="17" fillId="0" borderId="0" xfId="0" applyFont="1"/>
    <xf numFmtId="165" fontId="18" fillId="0" borderId="0" xfId="2" applyFont="1" applyFill="1" applyBorder="1"/>
    <xf numFmtId="10" fontId="18" fillId="0" borderId="0" xfId="14" applyNumberFormat="1" applyFont="1" applyFill="1"/>
    <xf numFmtId="0" fontId="21" fillId="11" borderId="21" xfId="0" applyFont="1" applyFill="1" applyBorder="1" applyAlignment="1">
      <alignment horizontal="left" wrapText="1"/>
    </xf>
    <xf numFmtId="4" fontId="0" fillId="0" borderId="0" xfId="0" applyNumberFormat="1"/>
    <xf numFmtId="10" fontId="0" fillId="0" borderId="0" xfId="14" applyNumberFormat="1" applyFont="1"/>
    <xf numFmtId="0" fontId="22" fillId="6" borderId="12" xfId="0" applyFont="1" applyFill="1" applyBorder="1"/>
    <xf numFmtId="10" fontId="23" fillId="0" borderId="0" xfId="14" applyNumberFormat="1" applyFont="1"/>
    <xf numFmtId="3" fontId="23" fillId="0" borderId="0" xfId="0" applyNumberFormat="1" applyFont="1"/>
    <xf numFmtId="168" fontId="23" fillId="0" borderId="0" xfId="0" applyNumberFormat="1" applyFont="1"/>
    <xf numFmtId="168" fontId="21" fillId="11" borderId="19" xfId="0" applyNumberFormat="1" applyFont="1" applyFill="1" applyBorder="1" applyAlignment="1">
      <alignment horizontal="right" wrapText="1"/>
    </xf>
    <xf numFmtId="168" fontId="0" fillId="0" borderId="0" xfId="0" applyNumberFormat="1"/>
    <xf numFmtId="168" fontId="21" fillId="11" borderId="20" xfId="0" applyNumberFormat="1" applyFont="1" applyFill="1" applyBorder="1" applyAlignment="1">
      <alignment horizontal="right" wrapText="1"/>
    </xf>
    <xf numFmtId="0" fontId="24" fillId="0" borderId="0" xfId="18"/>
    <xf numFmtId="4" fontId="21" fillId="11" borderId="20" xfId="18" applyNumberFormat="1" applyFont="1" applyFill="1" applyBorder="1" applyAlignment="1">
      <alignment horizontal="right" wrapText="1"/>
    </xf>
    <xf numFmtId="4" fontId="21" fillId="11" borderId="19" xfId="18" applyNumberFormat="1" applyFont="1" applyFill="1" applyBorder="1" applyAlignment="1">
      <alignment horizontal="right" wrapText="1"/>
    </xf>
    <xf numFmtId="0" fontId="21" fillId="11" borderId="18" xfId="18" applyFont="1" applyFill="1" applyBorder="1" applyAlignment="1">
      <alignment horizontal="left" wrapText="1"/>
    </xf>
    <xf numFmtId="0" fontId="21" fillId="11" borderId="20" xfId="18" applyFont="1" applyFill="1" applyBorder="1" applyAlignment="1">
      <alignment horizontal="right" wrapText="1"/>
    </xf>
    <xf numFmtId="0" fontId="21" fillId="11" borderId="19" xfId="18" applyFont="1" applyFill="1" applyBorder="1" applyAlignment="1">
      <alignment horizontal="right" wrapText="1"/>
    </xf>
    <xf numFmtId="0" fontId="2" fillId="12" borderId="20" xfId="18" applyFont="1" applyFill="1" applyBorder="1" applyAlignment="1">
      <alignment horizontal="center" wrapText="1"/>
    </xf>
    <xf numFmtId="0" fontId="2" fillId="12" borderId="19" xfId="18" applyFont="1" applyFill="1" applyBorder="1" applyAlignment="1">
      <alignment horizontal="center" wrapText="1"/>
    </xf>
    <xf numFmtId="0" fontId="25" fillId="0" borderId="0" xfId="19"/>
    <xf numFmtId="0" fontId="22" fillId="12" borderId="18" xfId="18" applyFont="1" applyFill="1" applyBorder="1" applyAlignment="1">
      <alignment horizontal="left" wrapText="1"/>
    </xf>
    <xf numFmtId="0" fontId="26" fillId="10" borderId="15" xfId="0" applyFont="1" applyFill="1" applyBorder="1" applyAlignment="1">
      <alignment vertical="center"/>
    </xf>
    <xf numFmtId="0" fontId="26" fillId="10" borderId="15" xfId="0" applyFont="1" applyFill="1" applyBorder="1" applyAlignment="1">
      <alignment wrapText="1"/>
    </xf>
    <xf numFmtId="9" fontId="27" fillId="10" borderId="15" xfId="17" applyFont="1" applyFill="1" applyBorder="1" applyAlignment="1">
      <alignment wrapText="1"/>
    </xf>
    <xf numFmtId="0" fontId="26" fillId="8" borderId="15" xfId="0" applyFont="1" applyFill="1" applyBorder="1"/>
    <xf numFmtId="165" fontId="28" fillId="8" borderId="15" xfId="2" applyFont="1" applyFill="1" applyBorder="1"/>
    <xf numFmtId="4" fontId="24" fillId="0" borderId="0" xfId="18" applyNumberFormat="1"/>
    <xf numFmtId="10" fontId="24" fillId="0" borderId="0" xfId="14" applyNumberFormat="1" applyFont="1"/>
    <xf numFmtId="0" fontId="29" fillId="0" borderId="0" xfId="19" applyFont="1" applyAlignment="1">
      <alignment horizontal="left" wrapText="1"/>
    </xf>
    <xf numFmtId="0" fontId="30" fillId="0" borderId="0" xfId="19" applyFont="1" applyAlignment="1">
      <alignment horizontal="left" wrapText="1"/>
    </xf>
    <xf numFmtId="0" fontId="32" fillId="10" borderId="15" xfId="0" applyFont="1" applyFill="1" applyBorder="1" applyAlignment="1">
      <alignment vertical="center"/>
    </xf>
    <xf numFmtId="0" fontId="32" fillId="10" borderId="15" xfId="0" applyFont="1" applyFill="1" applyBorder="1" applyAlignment="1">
      <alignment wrapText="1"/>
    </xf>
    <xf numFmtId="9" fontId="33" fillId="10" borderId="15" xfId="17" applyFont="1" applyFill="1" applyBorder="1" applyAlignment="1">
      <alignment wrapText="1"/>
    </xf>
    <xf numFmtId="0" fontId="32" fillId="8" borderId="15" xfId="0" applyFont="1" applyFill="1" applyBorder="1"/>
    <xf numFmtId="0" fontId="29" fillId="0" borderId="0" xfId="19" applyFont="1" applyAlignment="1">
      <alignment horizontal="center" wrapText="1"/>
    </xf>
    <xf numFmtId="0" fontId="35" fillId="0" borderId="0" xfId="19" applyFont="1"/>
    <xf numFmtId="169" fontId="34" fillId="8" borderId="15" xfId="2" applyNumberFormat="1" applyFont="1" applyFill="1" applyBorder="1"/>
    <xf numFmtId="10" fontId="34" fillId="8" borderId="15" xfId="14" applyNumberFormat="1" applyFont="1" applyFill="1" applyBorder="1"/>
    <xf numFmtId="165" fontId="34" fillId="8" borderId="15" xfId="2" applyFont="1" applyFill="1" applyBorder="1"/>
    <xf numFmtId="0" fontId="2" fillId="0" borderId="20" xfId="0" applyFont="1" applyBorder="1" applyAlignment="1">
      <alignment horizontal="center" wrapText="1"/>
    </xf>
    <xf numFmtId="4" fontId="21" fillId="0" borderId="20" xfId="0" applyNumberFormat="1" applyFont="1" applyBorder="1" applyAlignment="1">
      <alignment horizontal="right" wrapText="1"/>
    </xf>
    <xf numFmtId="0" fontId="21" fillId="0" borderId="20" xfId="0" applyFont="1" applyBorder="1" applyAlignment="1">
      <alignment horizontal="right" wrapText="1"/>
    </xf>
    <xf numFmtId="0" fontId="29" fillId="12" borderId="18" xfId="0" applyFont="1" applyFill="1" applyBorder="1" applyAlignment="1">
      <alignment horizontal="left" wrapText="1"/>
    </xf>
    <xf numFmtId="0" fontId="36" fillId="12" borderId="19" xfId="0" applyFont="1" applyFill="1" applyBorder="1" applyAlignment="1">
      <alignment horizontal="center" wrapText="1"/>
    </xf>
    <xf numFmtId="0" fontId="36" fillId="12" borderId="20" xfId="0" applyFont="1" applyFill="1" applyBorder="1" applyAlignment="1">
      <alignment horizontal="center" wrapText="1"/>
    </xf>
    <xf numFmtId="0" fontId="30" fillId="11" borderId="18" xfId="0" applyFont="1" applyFill="1" applyBorder="1" applyAlignment="1">
      <alignment horizontal="left" wrapText="1"/>
    </xf>
    <xf numFmtId="4" fontId="30" fillId="11" borderId="19" xfId="0" applyNumberFormat="1" applyFont="1" applyFill="1" applyBorder="1" applyAlignment="1">
      <alignment horizontal="right" wrapText="1"/>
    </xf>
    <xf numFmtId="0" fontId="30" fillId="11" borderId="19" xfId="0" applyFont="1" applyFill="1" applyBorder="1" applyAlignment="1">
      <alignment horizontal="right" wrapText="1"/>
    </xf>
    <xf numFmtId="4" fontId="30" fillId="11" borderId="20" xfId="0" applyNumberFormat="1" applyFont="1" applyFill="1" applyBorder="1" applyAlignment="1">
      <alignment horizontal="right" wrapText="1"/>
    </xf>
    <xf numFmtId="0" fontId="30" fillId="11" borderId="20" xfId="0" applyFont="1" applyFill="1" applyBorder="1" applyAlignment="1">
      <alignment horizontal="right" wrapText="1"/>
    </xf>
    <xf numFmtId="10" fontId="30" fillId="11" borderId="19" xfId="14" applyNumberFormat="1" applyFont="1" applyFill="1" applyBorder="1" applyAlignment="1">
      <alignment horizontal="right" wrapText="1"/>
    </xf>
    <xf numFmtId="10" fontId="28" fillId="8" borderId="15" xfId="14" applyNumberFormat="1" applyFont="1" applyFill="1" applyBorder="1"/>
    <xf numFmtId="169" fontId="28" fillId="8" borderId="15" xfId="2" applyNumberFormat="1" applyFont="1" applyFill="1" applyBorder="1"/>
    <xf numFmtId="0" fontId="37" fillId="11" borderId="21" xfId="0" applyFont="1" applyFill="1" applyBorder="1" applyAlignment="1">
      <alignment horizontal="left" wrapText="1"/>
    </xf>
    <xf numFmtId="166" fontId="37" fillId="11" borderId="21" xfId="1" applyFont="1" applyFill="1" applyBorder="1" applyAlignment="1">
      <alignment horizontal="left" wrapText="1"/>
    </xf>
    <xf numFmtId="10" fontId="37" fillId="11" borderId="21" xfId="14" applyNumberFormat="1" applyFont="1" applyFill="1" applyBorder="1" applyAlignment="1">
      <alignment horizontal="right" wrapText="1"/>
    </xf>
    <xf numFmtId="0" fontId="29" fillId="12" borderId="19" xfId="0" applyFont="1" applyFill="1" applyBorder="1" applyAlignment="1">
      <alignment horizontal="center" wrapText="1"/>
    </xf>
    <xf numFmtId="0" fontId="29" fillId="12" borderId="20" xfId="0" applyFont="1" applyFill="1" applyBorder="1" applyAlignment="1">
      <alignment horizontal="center" wrapText="1"/>
    </xf>
    <xf numFmtId="10" fontId="30" fillId="11" borderId="20" xfId="14" applyNumberFormat="1" applyFont="1" applyFill="1" applyBorder="1" applyAlignment="1">
      <alignment horizontal="right" wrapText="1"/>
    </xf>
    <xf numFmtId="4" fontId="38" fillId="0" borderId="0" xfId="0" applyNumberFormat="1" applyFont="1"/>
    <xf numFmtId="10" fontId="38" fillId="0" borderId="0" xfId="14" applyNumberFormat="1" applyFont="1"/>
    <xf numFmtId="4" fontId="37" fillId="11" borderId="19" xfId="0" applyNumberFormat="1" applyFont="1" applyFill="1" applyBorder="1" applyAlignment="1">
      <alignment horizontal="right" wrapText="1"/>
    </xf>
    <xf numFmtId="10" fontId="37" fillId="11" borderId="19" xfId="14" applyNumberFormat="1" applyFont="1" applyFill="1" applyBorder="1" applyAlignment="1">
      <alignment horizontal="right" wrapText="1"/>
    </xf>
    <xf numFmtId="168" fontId="39" fillId="0" borderId="0" xfId="1" applyNumberFormat="1" applyFont="1"/>
    <xf numFmtId="167" fontId="40" fillId="0" borderId="0" xfId="14" applyNumberFormat="1" applyFont="1"/>
    <xf numFmtId="167" fontId="33" fillId="10" borderId="15" xfId="17" applyNumberFormat="1" applyFont="1" applyFill="1" applyBorder="1" applyAlignment="1">
      <alignment wrapText="1"/>
    </xf>
    <xf numFmtId="167" fontId="7" fillId="0" borderId="0" xfId="0" applyNumberFormat="1" applyFont="1"/>
    <xf numFmtId="0" fontId="41" fillId="13" borderId="0" xfId="0" applyFont="1" applyFill="1"/>
    <xf numFmtId="168" fontId="42" fillId="13" borderId="0" xfId="1" applyNumberFormat="1" applyFont="1" applyFill="1"/>
    <xf numFmtId="9" fontId="42" fillId="13" borderId="0" xfId="14" applyFont="1" applyFill="1"/>
    <xf numFmtId="0" fontId="42" fillId="0" borderId="0" xfId="0" applyFont="1"/>
    <xf numFmtId="168" fontId="41" fillId="13" borderId="0" xfId="0" applyNumberFormat="1" applyFont="1" applyFill="1"/>
    <xf numFmtId="9" fontId="7" fillId="13" borderId="0" xfId="14" applyFont="1" applyFill="1"/>
    <xf numFmtId="0" fontId="1" fillId="0" borderId="0" xfId="0" applyFont="1"/>
    <xf numFmtId="168" fontId="42" fillId="0" borderId="0" xfId="0" applyNumberFormat="1" applyFont="1"/>
    <xf numFmtId="10" fontId="40" fillId="0" borderId="0" xfId="14" applyNumberFormat="1" applyFont="1"/>
    <xf numFmtId="0" fontId="43" fillId="14" borderId="21" xfId="0" applyFont="1" applyFill="1" applyBorder="1" applyAlignment="1">
      <alignment horizontal="left" wrapText="1"/>
    </xf>
    <xf numFmtId="168" fontId="44" fillId="15" borderId="0" xfId="0" applyNumberFormat="1" applyFont="1" applyFill="1"/>
    <xf numFmtId="10" fontId="45" fillId="15" borderId="0" xfId="14" applyNumberFormat="1" applyFont="1" applyFill="1"/>
    <xf numFmtId="0" fontId="37" fillId="11" borderId="18" xfId="0" applyFont="1" applyFill="1" applyBorder="1" applyAlignment="1">
      <alignment horizontal="left" wrapText="1"/>
    </xf>
    <xf numFmtId="168" fontId="38" fillId="0" borderId="0" xfId="1" applyNumberFormat="1" applyFont="1"/>
    <xf numFmtId="9" fontId="44" fillId="15" borderId="0" xfId="14" applyFont="1" applyFill="1" applyBorder="1"/>
    <xf numFmtId="0" fontId="30" fillId="11" borderId="21" xfId="0" applyFont="1" applyFill="1" applyBorder="1" applyAlignment="1">
      <alignment horizontal="left" wrapText="1"/>
    </xf>
    <xf numFmtId="0" fontId="46" fillId="11" borderId="19" xfId="0" applyFont="1" applyFill="1" applyBorder="1" applyAlignment="1">
      <alignment horizontal="right" wrapText="1"/>
    </xf>
    <xf numFmtId="0" fontId="46" fillId="11" borderId="20" xfId="0" applyFont="1" applyFill="1" applyBorder="1" applyAlignment="1">
      <alignment horizontal="right" wrapText="1"/>
    </xf>
    <xf numFmtId="166" fontId="43" fillId="14" borderId="21" xfId="1" applyFont="1" applyFill="1" applyBorder="1" applyAlignment="1">
      <alignment horizontal="center" wrapText="1"/>
    </xf>
    <xf numFmtId="0" fontId="7" fillId="0" borderId="0" xfId="0" applyFont="1"/>
    <xf numFmtId="9" fontId="43" fillId="14" borderId="21" xfId="14" applyFont="1" applyFill="1" applyBorder="1" applyAlignment="1">
      <alignment horizontal="center" wrapText="1"/>
    </xf>
    <xf numFmtId="0" fontId="2" fillId="5" borderId="13" xfId="0" applyFont="1" applyFill="1" applyBorder="1" applyAlignment="1">
      <alignment horizontal="left"/>
    </xf>
    <xf numFmtId="168" fontId="2" fillId="4" borderId="1" xfId="1" applyNumberFormat="1" applyFont="1" applyFill="1" applyBorder="1" applyAlignment="1">
      <alignment horizontal="right" wrapText="1"/>
    </xf>
    <xf numFmtId="168" fontId="2" fillId="4" borderId="3" xfId="1" applyNumberFormat="1" applyFont="1" applyFill="1" applyBorder="1" applyAlignment="1">
      <alignment horizontal="right" wrapText="1"/>
    </xf>
    <xf numFmtId="0" fontId="2" fillId="3" borderId="13" xfId="0" applyFont="1" applyFill="1" applyBorder="1" applyAlignment="1">
      <alignment horizontal="left"/>
    </xf>
    <xf numFmtId="168" fontId="2" fillId="4" borderId="1" xfId="1" applyNumberFormat="1" applyFont="1" applyFill="1" applyBorder="1" applyAlignment="1">
      <alignment horizontal="right" vertical="center" wrapText="1"/>
    </xf>
    <xf numFmtId="0" fontId="2" fillId="5" borderId="14" xfId="0" applyFont="1" applyFill="1" applyBorder="1" applyAlignment="1">
      <alignment horizontal="left"/>
    </xf>
    <xf numFmtId="168" fontId="2" fillId="4" borderId="6" xfId="1" applyNumberFormat="1" applyFont="1" applyFill="1" applyBorder="1" applyAlignment="1">
      <alignment horizontal="right" wrapText="1"/>
    </xf>
    <xf numFmtId="168" fontId="2" fillId="4" borderId="7" xfId="1" applyNumberFormat="1" applyFont="1" applyFill="1" applyBorder="1" applyAlignment="1">
      <alignment horizontal="right" wrapText="1"/>
    </xf>
    <xf numFmtId="10" fontId="2" fillId="5" borderId="4" xfId="14" applyNumberFormat="1" applyFont="1" applyFill="1" applyBorder="1" applyAlignment="1">
      <alignment horizontal="center" wrapText="1"/>
    </xf>
    <xf numFmtId="10" fontId="2" fillId="5" borderId="1" xfId="14" applyNumberFormat="1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168" fontId="43" fillId="14" borderId="21" xfId="0" applyNumberFormat="1" applyFont="1" applyFill="1" applyBorder="1" applyAlignment="1">
      <alignment horizontal="left" wrapText="1"/>
    </xf>
    <xf numFmtId="9" fontId="0" fillId="0" borderId="0" xfId="14" applyFont="1"/>
    <xf numFmtId="9" fontId="43" fillId="14" borderId="21" xfId="14" applyFont="1" applyFill="1" applyBorder="1" applyAlignment="1">
      <alignment horizontal="right" wrapText="1"/>
    </xf>
    <xf numFmtId="10" fontId="40" fillId="3" borderId="27" xfId="14" applyNumberFormat="1" applyFont="1" applyFill="1" applyBorder="1"/>
    <xf numFmtId="10" fontId="40" fillId="3" borderId="30" xfId="14" applyNumberFormat="1" applyFont="1" applyFill="1" applyBorder="1"/>
    <xf numFmtId="0" fontId="0" fillId="3" borderId="0" xfId="0" applyFill="1"/>
    <xf numFmtId="0" fontId="0" fillId="16" borderId="0" xfId="0" applyFill="1"/>
    <xf numFmtId="168" fontId="39" fillId="16" borderId="15" xfId="1" applyNumberFormat="1" applyFont="1" applyFill="1" applyBorder="1"/>
    <xf numFmtId="168" fontId="39" fillId="16" borderId="29" xfId="1" applyNumberFormat="1" applyFont="1" applyFill="1" applyBorder="1"/>
    <xf numFmtId="0" fontId="30" fillId="17" borderId="26" xfId="0" applyFont="1" applyFill="1" applyBorder="1" applyAlignment="1">
      <alignment horizontal="left" wrapText="1"/>
    </xf>
    <xf numFmtId="0" fontId="30" fillId="17" borderId="28" xfId="0" applyFont="1" applyFill="1" applyBorder="1" applyAlignment="1">
      <alignment horizontal="left" wrapText="1"/>
    </xf>
    <xf numFmtId="0" fontId="32" fillId="13" borderId="26" xfId="0" applyFont="1" applyFill="1" applyBorder="1" applyAlignment="1">
      <alignment vertical="center"/>
    </xf>
    <xf numFmtId="0" fontId="32" fillId="13" borderId="15" xfId="0" applyFont="1" applyFill="1" applyBorder="1" applyAlignment="1">
      <alignment wrapText="1"/>
    </xf>
    <xf numFmtId="0" fontId="32" fillId="13" borderId="27" xfId="0" applyFont="1" applyFill="1" applyBorder="1" applyAlignment="1">
      <alignment wrapText="1"/>
    </xf>
    <xf numFmtId="0" fontId="47" fillId="9" borderId="23" xfId="0" applyFont="1" applyFill="1" applyBorder="1" applyAlignment="1">
      <alignment horizontal="center"/>
    </xf>
    <xf numFmtId="0" fontId="47" fillId="9" borderId="24" xfId="0" applyFont="1" applyFill="1" applyBorder="1" applyAlignment="1">
      <alignment horizontal="center"/>
    </xf>
    <xf numFmtId="0" fontId="47" fillId="9" borderId="25" xfId="0" applyFont="1" applyFill="1" applyBorder="1" applyAlignment="1">
      <alignment horizontal="center"/>
    </xf>
    <xf numFmtId="0" fontId="0" fillId="2" borderId="8" xfId="0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0" fontId="0" fillId="2" borderId="11" xfId="0" applyFill="1" applyBorder="1" applyAlignment="1">
      <alignment horizontal="right"/>
    </xf>
    <xf numFmtId="0" fontId="19" fillId="9" borderId="0" xfId="0" applyFont="1" applyFill="1" applyAlignment="1">
      <alignment horizontal="center"/>
    </xf>
    <xf numFmtId="0" fontId="0" fillId="2" borderId="16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1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19" fillId="9" borderId="15" xfId="0" applyFont="1" applyFill="1" applyBorder="1" applyAlignment="1">
      <alignment horizontal="center"/>
    </xf>
    <xf numFmtId="0" fontId="31" fillId="9" borderId="15" xfId="0" applyFont="1" applyFill="1" applyBorder="1" applyAlignment="1">
      <alignment horizontal="center"/>
    </xf>
    <xf numFmtId="0" fontId="31" fillId="9" borderId="22" xfId="0" applyFont="1" applyFill="1" applyBorder="1" applyAlignment="1">
      <alignment horizontal="center"/>
    </xf>
    <xf numFmtId="0" fontId="31" fillId="9" borderId="0" xfId="0" applyFont="1" applyFill="1" applyAlignment="1">
      <alignment horizontal="center"/>
    </xf>
  </cellXfs>
  <cellStyles count="21">
    <cellStyle name="Comma" xfId="1" builtinId="3"/>
    <cellStyle name="Comma [0]" xfId="2" builtinId="6"/>
    <cellStyle name="Comma 2" xfId="3" xr:uid="{00000000-0005-0000-0000-000002000000}"/>
    <cellStyle name="Comma 2 2" xfId="4" xr:uid="{00000000-0005-0000-0000-000003000000}"/>
    <cellStyle name="Comma 2 3" xfId="5" xr:uid="{00000000-0005-0000-0000-000004000000}"/>
    <cellStyle name="Comma 2 4" xfId="6" xr:uid="{00000000-0005-0000-0000-000005000000}"/>
    <cellStyle name="Comma 3" xfId="7" xr:uid="{00000000-0005-0000-0000-000006000000}"/>
    <cellStyle name="Comma 4" xfId="16" xr:uid="{00000000-0005-0000-0000-000007000000}"/>
    <cellStyle name="Comma 5" xfId="20" xr:uid="{00000000-0005-0000-0000-000008000000}"/>
    <cellStyle name="Normal" xfId="0" builtinId="0"/>
    <cellStyle name="Normal 10" xfId="8" xr:uid="{00000000-0005-0000-0000-00000A000000}"/>
    <cellStyle name="Normal 2" xfId="9" xr:uid="{00000000-0005-0000-0000-00000B000000}"/>
    <cellStyle name="Normal 2 2" xfId="10" xr:uid="{00000000-0005-0000-0000-00000C000000}"/>
    <cellStyle name="Normal 3" xfId="11" xr:uid="{00000000-0005-0000-0000-00000D000000}"/>
    <cellStyle name="Normal 4" xfId="12" xr:uid="{00000000-0005-0000-0000-00000E000000}"/>
    <cellStyle name="Normal 5" xfId="18" xr:uid="{00000000-0005-0000-0000-00000F000000}"/>
    <cellStyle name="Normal 6" xfId="13" xr:uid="{00000000-0005-0000-0000-000010000000}"/>
    <cellStyle name="Normal 7" xfId="19" xr:uid="{00000000-0005-0000-0000-000011000000}"/>
    <cellStyle name="Percent" xfId="14" builtinId="5"/>
    <cellStyle name="Percent 2" xfId="15" xr:uid="{00000000-0005-0000-0000-000013000000}"/>
    <cellStyle name="Percent 8" xfId="17" xr:uid="{00000000-0005-0000-0000-000014000000}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63"/>
        <name val="Arial"/>
        <scheme val="none"/>
      </font>
      <numFmt numFmtId="4" formatCode="#,##0.00"/>
      <fill>
        <patternFill patternType="solid">
          <fgColor indexed="9"/>
          <bgColor indexed="9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63"/>
        <name val="Arial"/>
        <scheme val="none"/>
      </font>
      <numFmt numFmtId="4" formatCode="#,##0.00"/>
      <fill>
        <patternFill patternType="solid">
          <fgColor indexed="9"/>
          <bgColor indexed="9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55"/>
        </left>
        <right/>
        <top style="thin">
          <color indexed="55"/>
        </top>
        <bottom style="thin">
          <color indexed="5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63"/>
        <name val="Arial"/>
        <scheme val="none"/>
      </font>
      <numFmt numFmtId="4" formatCode="#,##0.00"/>
      <fill>
        <patternFill patternType="solid">
          <fgColor indexed="9"/>
          <bgColor indexed="9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63"/>
        <name val="Arial"/>
        <scheme val="none"/>
      </font>
      <numFmt numFmtId="4" formatCode="#,##0.00"/>
      <fill>
        <patternFill patternType="solid">
          <fgColor indexed="9"/>
          <bgColor indexed="9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63"/>
        <name val="Arial"/>
        <scheme val="none"/>
      </font>
      <numFmt numFmtId="4" formatCode="#,##0.00"/>
      <fill>
        <patternFill patternType="solid">
          <fgColor indexed="9"/>
          <bgColor indexed="9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55"/>
        </left>
        <right style="thin">
          <color indexed="55"/>
        </right>
        <top style="thin">
          <color indexed="55"/>
        </top>
        <bottom style="thin">
          <color indexed="5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63"/>
        <name val="Arial"/>
        <scheme val="none"/>
      </font>
      <fill>
        <patternFill patternType="solid">
          <fgColor indexed="9"/>
          <bgColor indexed="9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55"/>
        </right>
        <top style="thin">
          <color indexed="55"/>
        </top>
        <bottom style="thin">
          <color indexed="55"/>
        </bottom>
      </border>
    </dxf>
    <dxf>
      <border outline="0">
        <left style="thin">
          <color indexed="22"/>
        </left>
        <right style="thin">
          <color indexed="22"/>
        </right>
        <top style="thin">
          <color indexed="55"/>
        </top>
        <bottom style="thin">
          <color indexed="5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63"/>
        <name val="Arial"/>
        <scheme val="none"/>
      </font>
      <fill>
        <patternFill patternType="solid">
          <fgColor indexed="9"/>
          <bgColor indexed="9"/>
        </patternFill>
      </fill>
      <alignment horizontal="center" vertical="bottom" textRotation="0" wrapText="1" indent="0" justifyLastLine="0" shrinkToFit="0" readingOrder="0"/>
    </dxf>
    <dxf>
      <border outline="0">
        <bottom style="thin">
          <color indexed="5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Arial"/>
        <scheme val="none"/>
      </font>
      <fill>
        <patternFill patternType="solid">
          <fgColor indexed="1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Arial"/>
        <scheme val="none"/>
      </font>
      <fill>
        <patternFill patternType="solid">
          <fgColor indexed="9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63"/>
        <name val="Arial"/>
        <scheme val="none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Arial"/>
        <scheme val="none"/>
      </font>
      <numFmt numFmtId="168" formatCode="_(* #,##0_);_(* \(\ #,##0\ \);_(* &quot;-&quot;??_);_(\ @_ \)"/>
      <fill>
        <patternFill patternType="solid">
          <fgColor indexed="9"/>
          <bgColor theme="0" tint="-0.249977111117893"/>
        </patternFill>
      </fill>
    </dxf>
    <dxf>
      <numFmt numFmtId="168" formatCode="_(* #,##0_);_(* \(\ #,##0\ \);_(* &quot;-&quot;??_);_(\ @_ 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Arial"/>
        <scheme val="none"/>
      </font>
      <numFmt numFmtId="168" formatCode="_(* #,##0_);_(* \(\ #,##0\ \);_(* &quot;-&quot;??_);_(\ @_ \)"/>
      <fill>
        <patternFill patternType="solid">
          <fgColor indexed="9"/>
          <bgColor theme="0" tint="-0.249977111117893"/>
        </patternFill>
      </fill>
    </dxf>
    <dxf>
      <numFmt numFmtId="168" formatCode="_(* #,##0_);_(* \(\ #,##0\ \);_(* &quot;-&quot;??_);_(\ @_ \)"/>
      <border outline="0">
        <right style="thin">
          <color indexed="55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Arial"/>
        <scheme val="none"/>
      </font>
      <numFmt numFmtId="168" formatCode="_(* #,##0_);_(* \(\ #,##0\ \);_(* &quot;-&quot;??_);_(\ @_ \)"/>
      <fill>
        <patternFill patternType="solid">
          <fgColor indexed="9"/>
          <bgColor theme="0" tint="-0.249977111117893"/>
        </patternFill>
      </fill>
    </dxf>
    <dxf>
      <numFmt numFmtId="168" formatCode="_(* #,##0_);_(* \(\ #,##0\ \);_(* &quot;-&quot;??_);_(\ @_ \)"/>
      <border outline="0">
        <right style="thin">
          <color indexed="55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Arial"/>
        <scheme val="none"/>
      </font>
      <numFmt numFmtId="168" formatCode="_(* #,##0_);_(* \(\ #,##0\ \);_(* &quot;-&quot;??_);_(\ @_ \)"/>
      <fill>
        <patternFill patternType="solid">
          <fgColor indexed="9"/>
          <bgColor theme="0" tint="-0.249977111117893"/>
        </patternFill>
      </fill>
    </dxf>
    <dxf>
      <numFmt numFmtId="168" formatCode="_(* #,##0_);_(* \(\ #,##0\ \);_(* &quot;-&quot;??_);_(\ @_ \)"/>
      <border outline="0">
        <right style="thin">
          <color indexed="55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Arial"/>
        <scheme val="none"/>
      </font>
      <numFmt numFmtId="168" formatCode="_(* #,##0_);_(* \(\ #,##0\ \);_(* &quot;-&quot;??_);_(\ @_ \)"/>
      <fill>
        <patternFill patternType="solid">
          <fgColor indexed="9"/>
          <bgColor theme="0" tint="-0.249977111117893"/>
        </patternFill>
      </fill>
    </dxf>
    <dxf>
      <numFmt numFmtId="168" formatCode="_(* #,##0_);_(* \(\ #,##0\ \);_(* &quot;-&quot;??_);_(\ @_ \)"/>
      <border outline="0">
        <right style="thin">
          <color indexed="55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Arial"/>
        <scheme val="none"/>
      </font>
      <fill>
        <patternFill patternType="solid">
          <fgColor indexed="9"/>
          <bgColor theme="0" tint="-0.249977111117893"/>
        </patternFill>
      </fill>
      <alignment horizontal="left" vertical="bottom" textRotation="0" wrapText="1" indent="0" justifyLastLine="0" shrinkToFit="0" readingOrder="0"/>
      <border diagonalUp="0" diagonalDown="0" outline="0">
        <left/>
        <right style="thin">
          <color indexed="55"/>
        </right>
        <top style="thin">
          <color indexed="55"/>
        </top>
        <bottom/>
      </border>
    </dxf>
    <dxf>
      <border outline="0">
        <right style="thin">
          <color indexed="55"/>
        </right>
      </border>
    </dxf>
    <dxf>
      <border outline="0">
        <top style="thin">
          <color indexed="55"/>
        </top>
      </border>
    </dxf>
    <dxf>
      <font>
        <strike val="0"/>
        <outline val="0"/>
        <shadow val="0"/>
        <u val="none"/>
        <vertAlign val="baseline"/>
        <sz val="11"/>
        <color indexed="63"/>
        <name val="Arial"/>
        <scheme val="none"/>
      </font>
      <fill>
        <patternFill patternType="solid">
          <fgColor indexed="9"/>
          <bgColor theme="0" tint="-0.249977111117893"/>
        </patternFill>
      </fill>
      <alignment horizontal="right" textRotation="0" indent="0" justifyLastLine="0" shrinkToFit="0" readingOrder="0"/>
    </dxf>
    <dxf>
      <border outline="0">
        <left style="thin">
          <color indexed="22"/>
        </left>
        <right style="thin">
          <color indexed="22"/>
        </right>
        <top style="thin">
          <color indexed="55"/>
        </top>
        <bottom style="thin">
          <color indexed="5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63"/>
        <name val="Arial"/>
        <scheme val="none"/>
      </font>
      <fill>
        <patternFill patternType="solid">
          <fgColor indexed="9"/>
          <bgColor indexed="9"/>
        </patternFill>
      </fill>
      <alignment horizontal="right" vertical="bottom" textRotation="0" wrapText="1" indent="0" justifyLastLine="0" shrinkToFit="0" readingOrder="0"/>
    </dxf>
    <dxf>
      <border outline="0">
        <bottom style="thin">
          <color indexed="5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1"/>
          <bgColor theme="0" tint="-0.249977111117893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55"/>
        </left>
        <right style="thin">
          <color indexed="55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0000000}" name="Table19" displayName="Table19" ref="A5:G104" totalsRowCount="1" headerRowDxfId="29" dataDxfId="27" totalsRowDxfId="25" headerRowBorderDxfId="28" tableBorderDxfId="26" totalsRowBorderDxfId="24">
  <autoFilter ref="A5:G103" xr:uid="{00000000-0009-0000-0100-000008000000}"/>
  <sortState xmlns:xlrd2="http://schemas.microsoft.com/office/spreadsheetml/2017/richdata2" ref="A6:G103">
    <sortCondition ref="A5:A103"/>
  </sortState>
  <tableColumns count="7">
    <tableColumn id="1" xr3:uid="{00000000-0010-0000-0000-000001000000}" name="Insurance Broker" totalsRowLabel="TOTAL" dataDxfId="23" totalsRowDxfId="22"/>
    <tableColumn id="4" xr3:uid="{00000000-0010-0000-0000-000004000000}" name="Commission Income" totalsRowFunction="custom" dataDxfId="21" totalsRowDxfId="20" dataCellStyle="Comma">
      <totalsRowFormula>SUM(B6:B103)</totalsRowFormula>
    </tableColumn>
    <tableColumn id="5" xr3:uid="{00000000-0010-0000-0000-000005000000}" name="General &amp; Admin Expenses" totalsRowFunction="custom" dataDxfId="19" totalsRowDxfId="18" dataCellStyle="Comma">
      <totalsRowFormula>SUM(C6:C103)</totalsRowFormula>
    </tableColumn>
    <tableColumn id="6" xr3:uid="{00000000-0010-0000-0000-000006000000}" name="Operational Results" totalsRowFunction="custom" dataDxfId="17" totalsRowDxfId="16" dataCellStyle="Comma">
      <totalsRowFormula>SUM(D6:D103)</totalsRowFormula>
    </tableColumn>
    <tableColumn id="7" xr3:uid="{00000000-0010-0000-0000-000007000000}" name="Total Investments Income" totalsRowFunction="custom" dataDxfId="15" totalsRowDxfId="14" dataCellStyle="Comma">
      <totalsRowFormula>SUM(E6:E103)</totalsRowFormula>
    </tableColumn>
    <tableColumn id="8" xr3:uid="{00000000-0010-0000-0000-000008000000}" name="Profit &amp; Loss After Tax" totalsRowFunction="custom" dataDxfId="13" totalsRowDxfId="12" dataCellStyle="Comma">
      <totalsRowFormula>SUM(F6:F103)</totalsRowFormula>
    </tableColumn>
    <tableColumn id="11" xr3:uid="{00000000-0010-0000-0000-00000B000000}" name="Market Share" totalsRowFunction="custom" dataDxfId="11" totalsRowDxfId="10">
      <calculatedColumnFormula>B6/$B$104</calculatedColumnFormula>
      <totalsRowFormula>SUM(G6:G103)</totalsRow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5:G108" totalsRowShown="0" headerRowDxfId="9" dataDxfId="7" headerRowBorderDxfId="8" tableBorderDxfId="6">
  <autoFilter ref="A5:G108" xr:uid="{00000000-0009-0000-0100-000001000000}"/>
  <tableColumns count="7">
    <tableColumn id="1" xr3:uid="{00000000-0010-0000-0100-000001000000}" name="Insurance Broker" dataDxfId="5"/>
    <tableColumn id="4" xr3:uid="{00000000-0010-0000-0100-000004000000}" name="Commission Income" dataDxfId="4"/>
    <tableColumn id="5" xr3:uid="{00000000-0010-0000-0100-000005000000}" name="General &amp; Admin Expenses" dataDxfId="3"/>
    <tableColumn id="6" xr3:uid="{00000000-0010-0000-0100-000006000000}" name="Operational Results" dataDxfId="2"/>
    <tableColumn id="7" xr3:uid="{00000000-0010-0000-0100-000007000000}" name="Total Investments Income"/>
    <tableColumn id="8" xr3:uid="{00000000-0010-0000-0100-000008000000}" name="Profit &amp; Loss After Tax" dataDxfId="1"/>
    <tableColumn id="9" xr3:uid="{00000000-0010-0000-0100-000009000000}" name="Market Share" dataDxfId="0">
      <calculatedColumnFormula>B6/$B$108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5.bin"/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7.bin"/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6"/>
  <sheetViews>
    <sheetView topLeftCell="A97" zoomScale="87" workbookViewId="0">
      <selection activeCell="B11" sqref="B11"/>
    </sheetView>
  </sheetViews>
  <sheetFormatPr defaultRowHeight="12.75" x14ac:dyDescent="0.35"/>
  <cols>
    <col min="1" max="1" width="61.73046875" style="2" bestFit="1" customWidth="1"/>
    <col min="2" max="2" width="21.59765625" style="1" bestFit="1" customWidth="1"/>
    <col min="3" max="3" width="28.3984375" style="1" bestFit="1" customWidth="1"/>
    <col min="4" max="4" width="20.59765625" style="1" bestFit="1" customWidth="1"/>
    <col min="5" max="5" width="26.73046875" style="1" bestFit="1" customWidth="1"/>
    <col min="6" max="6" width="23.3984375" style="1" bestFit="1" customWidth="1"/>
    <col min="7" max="7" width="18.3984375" style="1" customWidth="1"/>
  </cols>
  <sheetData>
    <row r="1" spans="1:7" ht="23.25" x14ac:dyDescent="0.7">
      <c r="A1" s="163" t="s">
        <v>0</v>
      </c>
      <c r="B1" s="163"/>
      <c r="C1" s="163"/>
      <c r="D1" s="163"/>
      <c r="E1" s="163"/>
      <c r="F1" s="163"/>
      <c r="G1" s="163"/>
    </row>
    <row r="2" spans="1:7" ht="42" x14ac:dyDescent="0.65">
      <c r="A2" s="29" t="s">
        <v>1</v>
      </c>
      <c r="B2" s="30" t="s">
        <v>2</v>
      </c>
      <c r="C2" s="30" t="s">
        <v>3</v>
      </c>
      <c r="D2" s="30" t="s">
        <v>4</v>
      </c>
      <c r="E2" s="30" t="s">
        <v>5</v>
      </c>
      <c r="F2" s="30" t="s">
        <v>6</v>
      </c>
      <c r="G2" s="33" t="s">
        <v>7</v>
      </c>
    </row>
    <row r="3" spans="1:7" ht="21" x14ac:dyDescent="0.65">
      <c r="A3" s="31" t="s">
        <v>8</v>
      </c>
      <c r="B3" s="32">
        <f>INDEX(B6:B103,MATCH($A$3,$A$6:$A$103,0))</f>
        <v>1305965</v>
      </c>
      <c r="C3" s="32">
        <f t="shared" ref="C3:G3" si="0">INDEX(C6:C103,MATCH($A$3,$A$6:$A$103,0))</f>
        <v>1217744</v>
      </c>
      <c r="D3" s="32">
        <f t="shared" si="0"/>
        <v>88221</v>
      </c>
      <c r="E3" s="32">
        <f t="shared" si="0"/>
        <v>0</v>
      </c>
      <c r="F3" s="32">
        <f t="shared" si="0"/>
        <v>88221</v>
      </c>
      <c r="G3" s="34">
        <f t="shared" si="0"/>
        <v>8.3111741162227928E-3</v>
      </c>
    </row>
    <row r="4" spans="1:7" ht="14.25" x14ac:dyDescent="0.45">
      <c r="A4" s="22"/>
      <c r="B4" s="23"/>
      <c r="C4" s="23"/>
      <c r="D4" s="23"/>
      <c r="E4" s="23"/>
      <c r="F4" s="23"/>
      <c r="G4" s="24"/>
    </row>
    <row r="5" spans="1:7" ht="13.9" x14ac:dyDescent="0.4">
      <c r="A5" s="4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6" t="s">
        <v>6</v>
      </c>
      <c r="G5" s="14" t="s">
        <v>9</v>
      </c>
    </row>
    <row r="6" spans="1:7" x14ac:dyDescent="0.35">
      <c r="A6" s="128" t="s">
        <v>10</v>
      </c>
      <c r="B6" s="129">
        <v>1534010</v>
      </c>
      <c r="C6" s="129">
        <v>1055964</v>
      </c>
      <c r="D6" s="129">
        <v>478046</v>
      </c>
      <c r="E6" s="129">
        <v>11561</v>
      </c>
      <c r="F6" s="130">
        <v>496537</v>
      </c>
      <c r="G6" s="27">
        <f t="shared" ref="G6:G37" si="1">B6/$B$104</f>
        <v>9.7624547411507417E-3</v>
      </c>
    </row>
    <row r="7" spans="1:7" x14ac:dyDescent="0.35">
      <c r="A7" s="128" t="s">
        <v>11</v>
      </c>
      <c r="B7" s="129">
        <v>474062</v>
      </c>
      <c r="C7" s="129">
        <v>310959</v>
      </c>
      <c r="D7" s="129">
        <v>163103</v>
      </c>
      <c r="E7" s="129">
        <v>0</v>
      </c>
      <c r="F7" s="130">
        <v>163103</v>
      </c>
      <c r="G7" s="27">
        <f t="shared" si="1"/>
        <v>3.0169352347764371E-3</v>
      </c>
    </row>
    <row r="8" spans="1:7" x14ac:dyDescent="0.35">
      <c r="A8" s="128" t="s">
        <v>12</v>
      </c>
      <c r="B8" s="129">
        <v>1401349</v>
      </c>
      <c r="C8" s="129">
        <v>1019163</v>
      </c>
      <c r="D8" s="129">
        <v>382186</v>
      </c>
      <c r="E8" s="129">
        <v>129522</v>
      </c>
      <c r="F8" s="130">
        <v>383781.5</v>
      </c>
      <c r="G8" s="27">
        <f t="shared" si="1"/>
        <v>8.9181988312050445E-3</v>
      </c>
    </row>
    <row r="9" spans="1:7" x14ac:dyDescent="0.35">
      <c r="A9" s="128" t="s">
        <v>13</v>
      </c>
      <c r="B9" s="129">
        <v>318368</v>
      </c>
      <c r="C9" s="129">
        <v>201676</v>
      </c>
      <c r="D9" s="129">
        <v>116692</v>
      </c>
      <c r="E9" s="129">
        <v>32114</v>
      </c>
      <c r="F9" s="130">
        <v>97941</v>
      </c>
      <c r="G9" s="27">
        <f t="shared" si="1"/>
        <v>2.0260970860885388E-3</v>
      </c>
    </row>
    <row r="10" spans="1:7" x14ac:dyDescent="0.35">
      <c r="A10" s="128" t="s">
        <v>14</v>
      </c>
      <c r="B10" s="129">
        <v>1537232</v>
      </c>
      <c r="C10" s="129">
        <v>1464941.32</v>
      </c>
      <c r="D10" s="129">
        <v>72290.679999999993</v>
      </c>
      <c r="E10" s="129">
        <v>31562</v>
      </c>
      <c r="F10" s="130">
        <v>87726.68</v>
      </c>
      <c r="G10" s="27">
        <f t="shared" si="1"/>
        <v>9.7829595808688573E-3</v>
      </c>
    </row>
    <row r="11" spans="1:7" x14ac:dyDescent="0.35">
      <c r="A11" s="128" t="s">
        <v>15</v>
      </c>
      <c r="B11" s="129">
        <v>63364</v>
      </c>
      <c r="C11" s="129">
        <v>57002</v>
      </c>
      <c r="D11" s="129">
        <v>6362</v>
      </c>
      <c r="E11" s="129">
        <v>11975</v>
      </c>
      <c r="F11" s="130">
        <v>18337</v>
      </c>
      <c r="G11" s="27">
        <f t="shared" si="1"/>
        <v>4.0324911976993339E-4</v>
      </c>
    </row>
    <row r="12" spans="1:7" x14ac:dyDescent="0.35">
      <c r="A12" s="128" t="s">
        <v>16</v>
      </c>
      <c r="B12" s="129">
        <v>2837546</v>
      </c>
      <c r="C12" s="129">
        <v>1805992.81</v>
      </c>
      <c r="D12" s="129">
        <v>1031553.19</v>
      </c>
      <c r="E12" s="129">
        <v>442933.69</v>
      </c>
      <c r="F12" s="130">
        <v>1105864.8799999999</v>
      </c>
      <c r="G12" s="27">
        <f t="shared" si="1"/>
        <v>1.8058170677461894E-2</v>
      </c>
    </row>
    <row r="13" spans="1:7" x14ac:dyDescent="0.35">
      <c r="A13" s="128" t="s">
        <v>17</v>
      </c>
      <c r="B13" s="129">
        <v>1224088</v>
      </c>
      <c r="C13" s="129">
        <v>1091633</v>
      </c>
      <c r="D13" s="129">
        <v>132455</v>
      </c>
      <c r="E13" s="129">
        <v>0</v>
      </c>
      <c r="F13" s="130">
        <v>132455</v>
      </c>
      <c r="G13" s="27">
        <f t="shared" si="1"/>
        <v>7.7901080822065883E-3</v>
      </c>
    </row>
    <row r="14" spans="1:7" x14ac:dyDescent="0.35">
      <c r="A14" s="128" t="s">
        <v>18</v>
      </c>
      <c r="B14" s="129"/>
      <c r="C14" s="129"/>
      <c r="D14" s="129"/>
      <c r="E14" s="129"/>
      <c r="F14" s="130"/>
      <c r="G14" s="27">
        <f t="shared" si="1"/>
        <v>0</v>
      </c>
    </row>
    <row r="15" spans="1:7" x14ac:dyDescent="0.35">
      <c r="A15" s="128" t="s">
        <v>19</v>
      </c>
      <c r="B15" s="129">
        <v>913512</v>
      </c>
      <c r="C15" s="129">
        <v>732682</v>
      </c>
      <c r="D15" s="129">
        <v>180830</v>
      </c>
      <c r="E15" s="129">
        <v>0</v>
      </c>
      <c r="F15" s="130">
        <v>139867</v>
      </c>
      <c r="G15" s="27">
        <f t="shared" si="1"/>
        <v>5.8135993608243071E-3</v>
      </c>
    </row>
    <row r="16" spans="1:7" x14ac:dyDescent="0.35">
      <c r="A16" s="128" t="s">
        <v>20</v>
      </c>
      <c r="B16" s="129">
        <v>637510</v>
      </c>
      <c r="C16" s="129">
        <v>496744</v>
      </c>
      <c r="D16" s="129">
        <v>140766</v>
      </c>
      <c r="E16" s="129">
        <v>68075</v>
      </c>
      <c r="F16" s="130">
        <v>156631</v>
      </c>
      <c r="G16" s="27">
        <f t="shared" si="1"/>
        <v>4.0571199157965129E-3</v>
      </c>
    </row>
    <row r="17" spans="1:7" x14ac:dyDescent="0.35">
      <c r="A17" s="128" t="s">
        <v>21</v>
      </c>
      <c r="B17" s="129">
        <v>1958129</v>
      </c>
      <c r="C17" s="129">
        <v>1642423</v>
      </c>
      <c r="D17" s="129">
        <v>315706</v>
      </c>
      <c r="E17" s="129">
        <v>62767</v>
      </c>
      <c r="F17" s="130">
        <v>280667</v>
      </c>
      <c r="G17" s="27">
        <f t="shared" si="1"/>
        <v>1.2461552232276686E-2</v>
      </c>
    </row>
    <row r="18" spans="1:7" x14ac:dyDescent="0.35">
      <c r="A18" s="128" t="s">
        <v>22</v>
      </c>
      <c r="B18" s="129">
        <v>203711</v>
      </c>
      <c r="C18" s="129">
        <v>207421.62</v>
      </c>
      <c r="D18" s="129">
        <v>-3710.62</v>
      </c>
      <c r="E18" s="129">
        <v>61994.73</v>
      </c>
      <c r="F18" s="130">
        <v>43713.11</v>
      </c>
      <c r="G18" s="27">
        <f t="shared" si="1"/>
        <v>1.2964188093783995E-3</v>
      </c>
    </row>
    <row r="19" spans="1:7" x14ac:dyDescent="0.35">
      <c r="A19" s="128" t="s">
        <v>23</v>
      </c>
      <c r="B19" s="129">
        <v>1144087</v>
      </c>
      <c r="C19" s="129">
        <v>886606</v>
      </c>
      <c r="D19" s="129">
        <v>257481</v>
      </c>
      <c r="E19" s="129">
        <v>171886</v>
      </c>
      <c r="F19" s="130">
        <v>322025</v>
      </c>
      <c r="G19" s="27">
        <f t="shared" si="1"/>
        <v>7.2809809306581628E-3</v>
      </c>
    </row>
    <row r="20" spans="1:7" x14ac:dyDescent="0.35">
      <c r="A20" s="128" t="s">
        <v>24</v>
      </c>
      <c r="B20" s="129">
        <v>5933606</v>
      </c>
      <c r="C20" s="129">
        <v>6082713</v>
      </c>
      <c r="D20" s="129">
        <v>-149107</v>
      </c>
      <c r="E20" s="129">
        <v>464224</v>
      </c>
      <c r="F20" s="130">
        <v>251311</v>
      </c>
      <c r="G20" s="27">
        <f t="shared" si="1"/>
        <v>3.7761526995795651E-2</v>
      </c>
    </row>
    <row r="21" spans="1:7" x14ac:dyDescent="0.35">
      <c r="A21" s="128" t="s">
        <v>25</v>
      </c>
      <c r="B21" s="129">
        <v>659713</v>
      </c>
      <c r="C21" s="129">
        <v>557095</v>
      </c>
      <c r="D21" s="129">
        <v>102618</v>
      </c>
      <c r="E21" s="129">
        <v>19986</v>
      </c>
      <c r="F21" s="130">
        <v>122505</v>
      </c>
      <c r="G21" s="27">
        <f t="shared" si="1"/>
        <v>4.198420026368002E-3</v>
      </c>
    </row>
    <row r="22" spans="1:7" x14ac:dyDescent="0.35">
      <c r="A22" s="128" t="s">
        <v>26</v>
      </c>
      <c r="B22" s="129">
        <v>17337</v>
      </c>
      <c r="C22" s="129">
        <v>214867.09</v>
      </c>
      <c r="D22" s="129">
        <v>-197530.09</v>
      </c>
      <c r="E22" s="129">
        <v>13291.59</v>
      </c>
      <c r="F22" s="130">
        <v>-184238.5</v>
      </c>
      <c r="G22" s="27">
        <f t="shared" si="1"/>
        <v>1.1033283866945482E-4</v>
      </c>
    </row>
    <row r="23" spans="1:7" x14ac:dyDescent="0.35">
      <c r="A23" s="128" t="s">
        <v>27</v>
      </c>
      <c r="B23" s="129">
        <v>175293</v>
      </c>
      <c r="C23" s="129">
        <v>150705.04999999999</v>
      </c>
      <c r="D23" s="129">
        <v>24587.95</v>
      </c>
      <c r="E23" s="129">
        <v>41506</v>
      </c>
      <c r="F23" s="130">
        <v>50276.95</v>
      </c>
      <c r="G23" s="27">
        <f t="shared" si="1"/>
        <v>1.1155663776250069E-3</v>
      </c>
    </row>
    <row r="24" spans="1:7" x14ac:dyDescent="0.35">
      <c r="A24" s="128" t="s">
        <v>28</v>
      </c>
      <c r="B24" s="129">
        <v>1719867</v>
      </c>
      <c r="C24" s="129">
        <v>1151100</v>
      </c>
      <c r="D24" s="129">
        <v>568767</v>
      </c>
      <c r="E24" s="129">
        <v>3395</v>
      </c>
      <c r="F24" s="130">
        <v>427882</v>
      </c>
      <c r="G24" s="27">
        <f t="shared" si="1"/>
        <v>1.0945250518770218E-2</v>
      </c>
    </row>
    <row r="25" spans="1:7" x14ac:dyDescent="0.35">
      <c r="A25" s="128" t="s">
        <v>8</v>
      </c>
      <c r="B25" s="129">
        <v>1305965</v>
      </c>
      <c r="C25" s="129">
        <v>1217744</v>
      </c>
      <c r="D25" s="129">
        <v>88221</v>
      </c>
      <c r="E25" s="129">
        <v>0</v>
      </c>
      <c r="F25" s="130">
        <v>88221</v>
      </c>
      <c r="G25" s="27">
        <f t="shared" si="1"/>
        <v>8.3111741162227928E-3</v>
      </c>
    </row>
    <row r="26" spans="1:7" x14ac:dyDescent="0.35">
      <c r="A26" s="128" t="s">
        <v>29</v>
      </c>
      <c r="B26" s="129"/>
      <c r="C26" s="129"/>
      <c r="D26" s="129"/>
      <c r="E26" s="129"/>
      <c r="F26" s="130"/>
      <c r="G26" s="27">
        <f t="shared" si="1"/>
        <v>0</v>
      </c>
    </row>
    <row r="27" spans="1:7" x14ac:dyDescent="0.35">
      <c r="A27" s="128" t="s">
        <v>30</v>
      </c>
      <c r="B27" s="129">
        <v>257384</v>
      </c>
      <c r="C27" s="129">
        <v>294684</v>
      </c>
      <c r="D27" s="129">
        <v>-37300</v>
      </c>
      <c r="E27" s="129">
        <v>0</v>
      </c>
      <c r="F27" s="130">
        <v>-37300</v>
      </c>
      <c r="G27" s="27">
        <f t="shared" si="1"/>
        <v>1.637994309747878E-3</v>
      </c>
    </row>
    <row r="28" spans="1:7" x14ac:dyDescent="0.35">
      <c r="A28" s="128" t="s">
        <v>31</v>
      </c>
      <c r="B28" s="129">
        <v>276611</v>
      </c>
      <c r="C28" s="129">
        <v>378470.58</v>
      </c>
      <c r="D28" s="129">
        <v>-101859.58</v>
      </c>
      <c r="E28" s="129">
        <v>0</v>
      </c>
      <c r="F28" s="130">
        <v>-101859.58</v>
      </c>
      <c r="G28" s="27">
        <f t="shared" si="1"/>
        <v>1.7603551270229318E-3</v>
      </c>
    </row>
    <row r="29" spans="1:7" x14ac:dyDescent="0.35">
      <c r="A29" s="128" t="s">
        <v>32</v>
      </c>
      <c r="B29" s="129">
        <v>593193</v>
      </c>
      <c r="C29" s="129">
        <v>620597</v>
      </c>
      <c r="D29" s="129">
        <v>-27404</v>
      </c>
      <c r="E29" s="129">
        <v>95683</v>
      </c>
      <c r="F29" s="130">
        <v>45017</v>
      </c>
      <c r="G29" s="27">
        <f t="shared" si="1"/>
        <v>3.7750860915296714E-3</v>
      </c>
    </row>
    <row r="30" spans="1:7" x14ac:dyDescent="0.35">
      <c r="A30" s="128" t="s">
        <v>33</v>
      </c>
      <c r="B30" s="129">
        <v>227396</v>
      </c>
      <c r="C30" s="129">
        <v>248251</v>
      </c>
      <c r="D30" s="129">
        <v>-20855</v>
      </c>
      <c r="E30" s="129">
        <v>0</v>
      </c>
      <c r="F30" s="130">
        <v>-19302</v>
      </c>
      <c r="G30" s="27">
        <f t="shared" si="1"/>
        <v>1.4471503825390407E-3</v>
      </c>
    </row>
    <row r="31" spans="1:7" x14ac:dyDescent="0.35">
      <c r="A31" s="128" t="s">
        <v>34</v>
      </c>
      <c r="B31" s="129">
        <v>54732</v>
      </c>
      <c r="C31" s="129">
        <v>42374</v>
      </c>
      <c r="D31" s="129">
        <v>12358</v>
      </c>
      <c r="E31" s="129">
        <v>5500</v>
      </c>
      <c r="F31" s="130">
        <v>17858</v>
      </c>
      <c r="G31" s="27">
        <f t="shared" si="1"/>
        <v>3.4831498679452046E-4</v>
      </c>
    </row>
    <row r="32" spans="1:7" x14ac:dyDescent="0.35">
      <c r="A32" s="128" t="s">
        <v>35</v>
      </c>
      <c r="B32" s="129">
        <v>1787422</v>
      </c>
      <c r="C32" s="129">
        <v>1827888</v>
      </c>
      <c r="D32" s="129">
        <v>-40466</v>
      </c>
      <c r="E32" s="129">
        <v>49424</v>
      </c>
      <c r="F32" s="130">
        <v>3403</v>
      </c>
      <c r="G32" s="27">
        <f t="shared" si="1"/>
        <v>1.1375171203797328E-2</v>
      </c>
    </row>
    <row r="33" spans="1:7" x14ac:dyDescent="0.35">
      <c r="A33" s="128" t="s">
        <v>36</v>
      </c>
      <c r="B33" s="129">
        <v>1044507</v>
      </c>
      <c r="C33" s="129">
        <v>1219120</v>
      </c>
      <c r="D33" s="129">
        <v>-174613</v>
      </c>
      <c r="E33" s="129">
        <v>134</v>
      </c>
      <c r="F33" s="130">
        <v>-174479</v>
      </c>
      <c r="G33" s="27">
        <f t="shared" si="1"/>
        <v>6.6472528303695129E-3</v>
      </c>
    </row>
    <row r="34" spans="1:7" x14ac:dyDescent="0.35">
      <c r="A34" s="128" t="s">
        <v>37</v>
      </c>
      <c r="B34" s="129">
        <v>228296</v>
      </c>
      <c r="C34" s="129">
        <v>175629</v>
      </c>
      <c r="D34" s="129">
        <v>52667</v>
      </c>
      <c r="E34" s="129">
        <v>0</v>
      </c>
      <c r="F34" s="130">
        <v>45927</v>
      </c>
      <c r="G34" s="27">
        <f t="shared" si="1"/>
        <v>1.4528779913988497E-3</v>
      </c>
    </row>
    <row r="35" spans="1:7" x14ac:dyDescent="0.35">
      <c r="A35" s="131" t="s">
        <v>38</v>
      </c>
      <c r="B35" s="129">
        <v>850576</v>
      </c>
      <c r="C35" s="129">
        <v>800385</v>
      </c>
      <c r="D35" s="129">
        <v>50191</v>
      </c>
      <c r="E35" s="129">
        <v>0</v>
      </c>
      <c r="F35" s="130">
        <v>37643</v>
      </c>
      <c r="G35" s="27">
        <f t="shared" si="1"/>
        <v>5.4130740372677049E-3</v>
      </c>
    </row>
    <row r="36" spans="1:7" x14ac:dyDescent="0.35">
      <c r="A36" s="128" t="s">
        <v>39</v>
      </c>
      <c r="B36" s="129">
        <v>10851168</v>
      </c>
      <c r="C36" s="129">
        <v>8635757</v>
      </c>
      <c r="D36" s="129">
        <v>2215411</v>
      </c>
      <c r="E36" s="129">
        <v>1122632</v>
      </c>
      <c r="F36" s="130">
        <v>2439027</v>
      </c>
      <c r="G36" s="27">
        <f t="shared" si="1"/>
        <v>6.9056939973418163E-2</v>
      </c>
    </row>
    <row r="37" spans="1:7" x14ac:dyDescent="0.35">
      <c r="A37" s="128" t="s">
        <v>40</v>
      </c>
      <c r="B37" s="129">
        <v>211206</v>
      </c>
      <c r="C37" s="129">
        <v>206801</v>
      </c>
      <c r="D37" s="129">
        <v>4405</v>
      </c>
      <c r="E37" s="129">
        <v>16000</v>
      </c>
      <c r="F37" s="130">
        <v>24226</v>
      </c>
      <c r="G37" s="27">
        <f t="shared" si="1"/>
        <v>1.3441170631609204E-3</v>
      </c>
    </row>
    <row r="38" spans="1:7" x14ac:dyDescent="0.35">
      <c r="A38" s="128" t="s">
        <v>41</v>
      </c>
      <c r="B38" s="129">
        <v>394100</v>
      </c>
      <c r="C38" s="129">
        <v>320746</v>
      </c>
      <c r="D38" s="129">
        <v>73354</v>
      </c>
      <c r="E38" s="129">
        <v>0</v>
      </c>
      <c r="F38" s="130">
        <v>63876</v>
      </c>
      <c r="G38" s="27">
        <f t="shared" ref="G38:G54" si="2">B38/$B$104</f>
        <v>2.5080562796119367E-3</v>
      </c>
    </row>
    <row r="39" spans="1:7" x14ac:dyDescent="0.35">
      <c r="A39" s="128" t="s">
        <v>42</v>
      </c>
      <c r="B39" s="129">
        <v>2510859</v>
      </c>
      <c r="C39" s="129">
        <v>2230546</v>
      </c>
      <c r="D39" s="129">
        <v>280313</v>
      </c>
      <c r="E39" s="129">
        <v>178521</v>
      </c>
      <c r="F39" s="130">
        <v>357413</v>
      </c>
      <c r="G39" s="27">
        <f t="shared" si="2"/>
        <v>1.5979131393479187E-2</v>
      </c>
    </row>
    <row r="40" spans="1:7" x14ac:dyDescent="0.35">
      <c r="A40" s="128" t="s">
        <v>43</v>
      </c>
      <c r="B40" s="129">
        <v>2009993</v>
      </c>
      <c r="C40" s="129">
        <v>1953710</v>
      </c>
      <c r="D40" s="129">
        <v>56283</v>
      </c>
      <c r="E40" s="129">
        <v>1443</v>
      </c>
      <c r="F40" s="130">
        <v>43294</v>
      </c>
      <c r="G40" s="27">
        <f t="shared" si="2"/>
        <v>1.2791615238837949E-2</v>
      </c>
    </row>
    <row r="41" spans="1:7" x14ac:dyDescent="0.35">
      <c r="A41" s="128" t="s">
        <v>44</v>
      </c>
      <c r="B41" s="129">
        <v>727883</v>
      </c>
      <c r="C41" s="129">
        <v>730415</v>
      </c>
      <c r="D41" s="129">
        <v>-2532</v>
      </c>
      <c r="E41" s="129">
        <v>32649</v>
      </c>
      <c r="F41" s="130">
        <v>24652</v>
      </c>
      <c r="G41" s="27">
        <f t="shared" si="2"/>
        <v>4.6322545774493155E-3</v>
      </c>
    </row>
    <row r="42" spans="1:7" x14ac:dyDescent="0.35">
      <c r="A42" s="128" t="s">
        <v>45</v>
      </c>
      <c r="B42" s="129">
        <v>52873</v>
      </c>
      <c r="C42" s="129">
        <v>112150</v>
      </c>
      <c r="D42" s="129">
        <v>-59277</v>
      </c>
      <c r="E42" s="129">
        <v>0</v>
      </c>
      <c r="F42" s="130">
        <v>-59277</v>
      </c>
      <c r="G42" s="27">
        <f t="shared" si="2"/>
        <v>3.3648429249409271E-4</v>
      </c>
    </row>
    <row r="43" spans="1:7" x14ac:dyDescent="0.35">
      <c r="A43" s="128" t="s">
        <v>46</v>
      </c>
      <c r="B43" s="129">
        <v>187947</v>
      </c>
      <c r="C43" s="129">
        <v>619131.4</v>
      </c>
      <c r="D43" s="129">
        <v>-431184.4</v>
      </c>
      <c r="E43" s="129">
        <v>206433.73</v>
      </c>
      <c r="F43" s="130">
        <v>-227813.17</v>
      </c>
      <c r="G43" s="27">
        <f t="shared" si="2"/>
        <v>1.1960965581939221E-3</v>
      </c>
    </row>
    <row r="44" spans="1:7" x14ac:dyDescent="0.35">
      <c r="A44" s="131" t="s">
        <v>47</v>
      </c>
      <c r="B44" s="129">
        <v>0</v>
      </c>
      <c r="C44" s="129">
        <v>123182</v>
      </c>
      <c r="D44" s="129">
        <v>-123182</v>
      </c>
      <c r="E44" s="129">
        <v>153857</v>
      </c>
      <c r="F44" s="130">
        <v>23006</v>
      </c>
      <c r="G44" s="27">
        <f t="shared" si="2"/>
        <v>0</v>
      </c>
    </row>
    <row r="45" spans="1:7" x14ac:dyDescent="0.35">
      <c r="A45" s="128" t="s">
        <v>48</v>
      </c>
      <c r="B45" s="129">
        <v>62806</v>
      </c>
      <c r="C45" s="129">
        <v>160307</v>
      </c>
      <c r="D45" s="129">
        <v>-97501</v>
      </c>
      <c r="E45" s="129">
        <v>74494</v>
      </c>
      <c r="F45" s="130">
        <v>-23007</v>
      </c>
      <c r="G45" s="27">
        <f t="shared" si="2"/>
        <v>3.9969800227685181E-4</v>
      </c>
    </row>
    <row r="46" spans="1:7" x14ac:dyDescent="0.35">
      <c r="A46" s="128" t="s">
        <v>49</v>
      </c>
      <c r="B46" s="129"/>
      <c r="C46" s="129"/>
      <c r="D46" s="129"/>
      <c r="E46" s="129"/>
      <c r="F46" s="130"/>
      <c r="G46" s="27">
        <f t="shared" si="2"/>
        <v>0</v>
      </c>
    </row>
    <row r="47" spans="1:7" x14ac:dyDescent="0.35">
      <c r="A47" s="128" t="s">
        <v>50</v>
      </c>
      <c r="B47" s="129">
        <v>1308074</v>
      </c>
      <c r="C47" s="129">
        <v>870001</v>
      </c>
      <c r="D47" s="129">
        <v>438073</v>
      </c>
      <c r="E47" s="129">
        <v>165351</v>
      </c>
      <c r="F47" s="130">
        <v>399142</v>
      </c>
      <c r="G47" s="27">
        <f t="shared" si="2"/>
        <v>8.3245958129842795E-3</v>
      </c>
    </row>
    <row r="48" spans="1:7" x14ac:dyDescent="0.35">
      <c r="A48" s="128" t="s">
        <v>51</v>
      </c>
      <c r="B48" s="129">
        <v>676430</v>
      </c>
      <c r="C48" s="129">
        <v>529950</v>
      </c>
      <c r="D48" s="129">
        <v>146480</v>
      </c>
      <c r="E48" s="129">
        <v>0</v>
      </c>
      <c r="F48" s="130">
        <v>110460</v>
      </c>
      <c r="G48" s="27">
        <f t="shared" si="2"/>
        <v>4.3048071789340324E-3</v>
      </c>
    </row>
    <row r="49" spans="1:7" x14ac:dyDescent="0.35">
      <c r="A49" s="128" t="s">
        <v>52</v>
      </c>
      <c r="B49" s="129">
        <v>5772346</v>
      </c>
      <c r="C49" s="129">
        <v>4341581.95</v>
      </c>
      <c r="D49" s="129">
        <v>1430764.05</v>
      </c>
      <c r="E49" s="129">
        <v>0</v>
      </c>
      <c r="F49" s="130">
        <v>1073072.95</v>
      </c>
      <c r="G49" s="27">
        <f t="shared" si="2"/>
        <v>3.6735266768314755E-2</v>
      </c>
    </row>
    <row r="50" spans="1:7" x14ac:dyDescent="0.35">
      <c r="A50" s="128" t="s">
        <v>53</v>
      </c>
      <c r="B50" s="129"/>
      <c r="C50" s="129"/>
      <c r="D50" s="129"/>
      <c r="E50" s="129"/>
      <c r="F50" s="130"/>
      <c r="G50" s="27">
        <f t="shared" si="2"/>
        <v>0</v>
      </c>
    </row>
    <row r="51" spans="1:7" x14ac:dyDescent="0.35">
      <c r="A51" s="128" t="s">
        <v>54</v>
      </c>
      <c r="B51" s="129">
        <v>713176</v>
      </c>
      <c r="C51" s="129">
        <v>704063</v>
      </c>
      <c r="D51" s="129">
        <v>9113</v>
      </c>
      <c r="E51" s="129">
        <v>34942</v>
      </c>
      <c r="F51" s="130">
        <v>41642</v>
      </c>
      <c r="G51" s="27">
        <f t="shared" si="2"/>
        <v>4.5386590846701914E-3</v>
      </c>
    </row>
    <row r="52" spans="1:7" x14ac:dyDescent="0.35">
      <c r="A52" s="128" t="s">
        <v>55</v>
      </c>
      <c r="B52" s="129">
        <v>195432</v>
      </c>
      <c r="C52" s="129">
        <v>204240.65</v>
      </c>
      <c r="D52" s="129">
        <v>-8808.65</v>
      </c>
      <c r="E52" s="129">
        <v>303.14</v>
      </c>
      <c r="F52" s="130">
        <v>-8505.51</v>
      </c>
      <c r="G52" s="27">
        <f t="shared" si="2"/>
        <v>1.2437311718780006E-3</v>
      </c>
    </row>
    <row r="53" spans="1:7" x14ac:dyDescent="0.35">
      <c r="A53" s="131" t="s">
        <v>56</v>
      </c>
      <c r="B53" s="132">
        <v>385173</v>
      </c>
      <c r="C53" s="129">
        <v>438436</v>
      </c>
      <c r="D53" s="129">
        <v>-53263</v>
      </c>
      <c r="E53" s="129">
        <v>6952</v>
      </c>
      <c r="F53" s="130">
        <v>-46311</v>
      </c>
      <c r="G53" s="27">
        <f t="shared" si="2"/>
        <v>2.4512447637324753E-3</v>
      </c>
    </row>
    <row r="54" spans="1:7" x14ac:dyDescent="0.35">
      <c r="A54" s="128" t="s">
        <v>57</v>
      </c>
      <c r="B54" s="129">
        <v>1651463</v>
      </c>
      <c r="C54" s="129">
        <v>1443913</v>
      </c>
      <c r="D54" s="129">
        <v>207550</v>
      </c>
      <c r="E54" s="129">
        <v>102320</v>
      </c>
      <c r="F54" s="130">
        <v>248048</v>
      </c>
      <c r="G54" s="27">
        <f t="shared" si="2"/>
        <v>1.0509926789385353E-2</v>
      </c>
    </row>
    <row r="55" spans="1:7" x14ac:dyDescent="0.35">
      <c r="A55" s="128" t="s">
        <v>58</v>
      </c>
      <c r="B55" s="129" t="s">
        <v>59</v>
      </c>
      <c r="C55" s="129"/>
      <c r="D55" s="129"/>
      <c r="E55" s="129"/>
      <c r="F55" s="130"/>
      <c r="G55" s="27"/>
    </row>
    <row r="56" spans="1:7" x14ac:dyDescent="0.35">
      <c r="A56" s="128" t="s">
        <v>60</v>
      </c>
      <c r="B56" s="129">
        <v>4001376</v>
      </c>
      <c r="C56" s="129">
        <v>2657590</v>
      </c>
      <c r="D56" s="129">
        <v>1343786</v>
      </c>
      <c r="E56" s="129">
        <v>166894</v>
      </c>
      <c r="F56" s="130">
        <v>1131367</v>
      </c>
      <c r="G56" s="27">
        <f t="shared" ref="G56:G74" si="3">B56/$B$104</f>
        <v>2.5464796254474734E-2</v>
      </c>
    </row>
    <row r="57" spans="1:7" x14ac:dyDescent="0.35">
      <c r="A57" s="128" t="s">
        <v>61</v>
      </c>
      <c r="B57" s="129">
        <v>33321</v>
      </c>
      <c r="C57" s="129">
        <v>307169.84999999998</v>
      </c>
      <c r="D57" s="129">
        <v>-273848.84999999998</v>
      </c>
      <c r="E57" s="129">
        <v>124041</v>
      </c>
      <c r="F57" s="130">
        <v>-149807.85</v>
      </c>
      <c r="G57" s="27">
        <f t="shared" si="3"/>
        <v>2.1205517201966338E-4</v>
      </c>
    </row>
    <row r="58" spans="1:7" x14ac:dyDescent="0.35">
      <c r="A58" s="128" t="s">
        <v>62</v>
      </c>
      <c r="B58" s="129">
        <v>558238</v>
      </c>
      <c r="C58" s="129">
        <v>309775</v>
      </c>
      <c r="D58" s="129">
        <v>248463</v>
      </c>
      <c r="E58" s="129">
        <v>63857</v>
      </c>
      <c r="F58" s="130">
        <v>231970</v>
      </c>
      <c r="G58" s="27">
        <f t="shared" si="3"/>
        <v>3.5526321274245327E-3</v>
      </c>
    </row>
    <row r="59" spans="1:7" x14ac:dyDescent="0.35">
      <c r="A59" s="128" t="s">
        <v>63</v>
      </c>
      <c r="B59" s="129">
        <v>540201</v>
      </c>
      <c r="C59" s="129">
        <v>280260.82</v>
      </c>
      <c r="D59" s="129">
        <v>259940.18</v>
      </c>
      <c r="E59" s="129">
        <v>8216.09</v>
      </c>
      <c r="F59" s="130">
        <v>201117.23</v>
      </c>
      <c r="G59" s="27">
        <f t="shared" si="3"/>
        <v>3.4378444818641152E-3</v>
      </c>
    </row>
    <row r="60" spans="1:7" x14ac:dyDescent="0.35">
      <c r="A60" s="128" t="s">
        <v>64</v>
      </c>
      <c r="B60" s="129">
        <v>204640</v>
      </c>
      <c r="C60" s="129">
        <v>498013.23</v>
      </c>
      <c r="D60" s="129">
        <v>-293373.23</v>
      </c>
      <c r="E60" s="129">
        <v>30973</v>
      </c>
      <c r="F60" s="130">
        <v>-262762.25</v>
      </c>
      <c r="G60" s="27">
        <f t="shared" si="3"/>
        <v>1.3023309745236913E-3</v>
      </c>
    </row>
    <row r="61" spans="1:7" x14ac:dyDescent="0.35">
      <c r="A61" s="128" t="s">
        <v>65</v>
      </c>
      <c r="B61" s="129">
        <v>26831861</v>
      </c>
      <c r="C61" s="129">
        <v>19358305.969999999</v>
      </c>
      <c r="D61" s="129">
        <v>7473555.0300000003</v>
      </c>
      <c r="E61" s="129">
        <v>3332080.24</v>
      </c>
      <c r="F61" s="130">
        <v>8196748.3899999997</v>
      </c>
      <c r="G61" s="27">
        <f t="shared" si="3"/>
        <v>0.17075822754307185</v>
      </c>
    </row>
    <row r="62" spans="1:7" x14ac:dyDescent="0.35">
      <c r="A62" s="128" t="s">
        <v>66</v>
      </c>
      <c r="B62" s="129">
        <v>7207956</v>
      </c>
      <c r="C62" s="129">
        <v>3296902.41</v>
      </c>
      <c r="D62" s="129">
        <v>3911053.59</v>
      </c>
      <c r="E62" s="129">
        <v>1835721.2</v>
      </c>
      <c r="F62" s="130">
        <v>4305961.3899999997</v>
      </c>
      <c r="G62" s="27">
        <f t="shared" si="3"/>
        <v>4.5871502940793042E-2</v>
      </c>
    </row>
    <row r="63" spans="1:7" x14ac:dyDescent="0.35">
      <c r="A63" s="128" t="s">
        <v>67</v>
      </c>
      <c r="B63" s="129">
        <v>692804</v>
      </c>
      <c r="C63" s="129">
        <v>571558</v>
      </c>
      <c r="D63" s="129">
        <v>121246</v>
      </c>
      <c r="E63" s="129">
        <v>20600</v>
      </c>
      <c r="F63" s="130">
        <v>87208</v>
      </c>
      <c r="G63" s="27">
        <f t="shared" si="3"/>
        <v>4.4090114761234922E-3</v>
      </c>
    </row>
    <row r="64" spans="1:7" x14ac:dyDescent="0.35">
      <c r="A64" s="128" t="s">
        <v>68</v>
      </c>
      <c r="B64" s="129">
        <v>257340</v>
      </c>
      <c r="C64" s="129">
        <v>248392</v>
      </c>
      <c r="D64" s="129">
        <v>8948</v>
      </c>
      <c r="E64" s="129">
        <v>0</v>
      </c>
      <c r="F64" s="130">
        <v>8948</v>
      </c>
      <c r="G64" s="27">
        <f t="shared" si="3"/>
        <v>1.6377142933147318E-3</v>
      </c>
    </row>
    <row r="65" spans="1:7" x14ac:dyDescent="0.35">
      <c r="A65" s="128" t="s">
        <v>69</v>
      </c>
      <c r="B65" s="129">
        <v>988698</v>
      </c>
      <c r="C65" s="129">
        <v>609745</v>
      </c>
      <c r="D65" s="129">
        <v>378953</v>
      </c>
      <c r="E65" s="129">
        <v>96693</v>
      </c>
      <c r="F65" s="130">
        <v>353436</v>
      </c>
      <c r="G65" s="27">
        <f t="shared" si="3"/>
        <v>6.2920838049727547E-3</v>
      </c>
    </row>
    <row r="66" spans="1:7" x14ac:dyDescent="0.35">
      <c r="A66" s="128" t="s">
        <v>70</v>
      </c>
      <c r="B66" s="129">
        <v>64343</v>
      </c>
      <c r="C66" s="129"/>
      <c r="D66" s="129"/>
      <c r="E66" s="129"/>
      <c r="F66" s="130"/>
      <c r="G66" s="27">
        <f t="shared" si="3"/>
        <v>4.0947948540743682E-4</v>
      </c>
    </row>
    <row r="67" spans="1:7" x14ac:dyDescent="0.35">
      <c r="A67" s="128" t="s">
        <v>71</v>
      </c>
      <c r="B67" s="129">
        <v>429504</v>
      </c>
      <c r="C67" s="129">
        <v>417764.97</v>
      </c>
      <c r="D67" s="129">
        <v>11739.03</v>
      </c>
      <c r="E67" s="129">
        <v>13054</v>
      </c>
      <c r="F67" s="130">
        <v>24793.03</v>
      </c>
      <c r="G67" s="27">
        <f t="shared" si="3"/>
        <v>2.7333676841371358E-3</v>
      </c>
    </row>
    <row r="68" spans="1:7" x14ac:dyDescent="0.35">
      <c r="A68" s="128" t="s">
        <v>72</v>
      </c>
      <c r="B68" s="129">
        <v>3067769</v>
      </c>
      <c r="C68" s="129">
        <v>2423338</v>
      </c>
      <c r="D68" s="129">
        <v>644431</v>
      </c>
      <c r="E68" s="129">
        <v>317763</v>
      </c>
      <c r="F68" s="130">
        <v>725865</v>
      </c>
      <c r="G68" s="27">
        <f t="shared" si="3"/>
        <v>1.9523312115830579E-2</v>
      </c>
    </row>
    <row r="69" spans="1:7" x14ac:dyDescent="0.35">
      <c r="A69" s="128" t="s">
        <v>73</v>
      </c>
      <c r="B69" s="129">
        <v>214212</v>
      </c>
      <c r="C69" s="129">
        <v>403960</v>
      </c>
      <c r="D69" s="129">
        <v>-189748</v>
      </c>
      <c r="E69" s="129">
        <v>0</v>
      </c>
      <c r="F69" s="130">
        <v>-189748</v>
      </c>
      <c r="G69" s="27">
        <f t="shared" si="3"/>
        <v>1.3632472767526826E-3</v>
      </c>
    </row>
    <row r="70" spans="1:7" x14ac:dyDescent="0.35">
      <c r="A70" s="128" t="s">
        <v>74</v>
      </c>
      <c r="B70" s="129">
        <v>612919</v>
      </c>
      <c r="C70" s="129">
        <v>502926</v>
      </c>
      <c r="D70" s="129">
        <v>109993</v>
      </c>
      <c r="E70" s="129">
        <v>0</v>
      </c>
      <c r="F70" s="130">
        <v>83261</v>
      </c>
      <c r="G70" s="27">
        <f t="shared" si="3"/>
        <v>3.900622549716997E-3</v>
      </c>
    </row>
    <row r="71" spans="1:7" x14ac:dyDescent="0.35">
      <c r="A71" s="128" t="s">
        <v>75</v>
      </c>
      <c r="B71" s="129">
        <v>217989</v>
      </c>
      <c r="C71" s="129">
        <v>195181</v>
      </c>
      <c r="D71" s="129">
        <v>22808</v>
      </c>
      <c r="E71" s="129">
        <v>5258</v>
      </c>
      <c r="F71" s="130">
        <v>21050</v>
      </c>
      <c r="G71" s="27">
        <f t="shared" si="3"/>
        <v>1.3872841419343479E-3</v>
      </c>
    </row>
    <row r="72" spans="1:7" x14ac:dyDescent="0.35">
      <c r="A72" s="128" t="s">
        <v>76</v>
      </c>
      <c r="B72" s="129">
        <v>73597</v>
      </c>
      <c r="C72" s="129">
        <v>184303.45</v>
      </c>
      <c r="D72" s="129">
        <v>-110706.45</v>
      </c>
      <c r="E72" s="129">
        <v>20747.64</v>
      </c>
      <c r="F72" s="130">
        <v>-89958.81</v>
      </c>
      <c r="G72" s="27">
        <f t="shared" si="3"/>
        <v>4.6837203250596222E-4</v>
      </c>
    </row>
    <row r="73" spans="1:7" x14ac:dyDescent="0.35">
      <c r="A73" s="128" t="s">
        <v>77</v>
      </c>
      <c r="B73" s="129">
        <v>3347943</v>
      </c>
      <c r="C73" s="129">
        <v>2701931</v>
      </c>
      <c r="D73" s="129">
        <v>646012</v>
      </c>
      <c r="E73" s="129">
        <v>53708</v>
      </c>
      <c r="F73" s="130">
        <v>550728</v>
      </c>
      <c r="G73" s="27">
        <f t="shared" si="3"/>
        <v>2.1306342209928511E-2</v>
      </c>
    </row>
    <row r="74" spans="1:7" x14ac:dyDescent="0.35">
      <c r="A74" s="128" t="s">
        <v>78</v>
      </c>
      <c r="B74" s="129">
        <v>608443</v>
      </c>
      <c r="C74" s="129">
        <v>480432</v>
      </c>
      <c r="D74" s="129">
        <v>128011</v>
      </c>
      <c r="E74" s="129">
        <v>13445</v>
      </c>
      <c r="F74" s="130">
        <v>107395</v>
      </c>
      <c r="G74" s="27">
        <f t="shared" si="3"/>
        <v>3.8721372416542135E-3</v>
      </c>
    </row>
    <row r="75" spans="1:7" x14ac:dyDescent="0.35">
      <c r="A75" s="128" t="s">
        <v>79</v>
      </c>
      <c r="B75" s="129" t="s">
        <v>59</v>
      </c>
      <c r="C75" s="129"/>
      <c r="D75" s="129"/>
      <c r="E75" s="129"/>
      <c r="F75" s="130"/>
      <c r="G75" s="27"/>
    </row>
    <row r="76" spans="1:7" x14ac:dyDescent="0.35">
      <c r="A76" s="128" t="s">
        <v>80</v>
      </c>
      <c r="B76" s="129">
        <v>1910175</v>
      </c>
      <c r="C76" s="129">
        <v>1452737</v>
      </c>
      <c r="D76" s="129">
        <v>457438</v>
      </c>
      <c r="E76" s="129">
        <v>48364</v>
      </c>
      <c r="F76" s="130">
        <v>373834</v>
      </c>
      <c r="G76" s="27">
        <f t="shared" ref="G76:G83" si="4">B76/$B$104</f>
        <v>1.2156372504206371E-2</v>
      </c>
    </row>
    <row r="77" spans="1:7" x14ac:dyDescent="0.35">
      <c r="A77" s="131" t="s">
        <v>81</v>
      </c>
      <c r="B77" s="129">
        <v>494594</v>
      </c>
      <c r="C77" s="129">
        <v>419666</v>
      </c>
      <c r="D77" s="129">
        <v>74928</v>
      </c>
      <c r="E77" s="129">
        <v>54000</v>
      </c>
      <c r="F77" s="130">
        <v>112391</v>
      </c>
      <c r="G77" s="27">
        <f t="shared" si="4"/>
        <v>3.1476010848982142E-3</v>
      </c>
    </row>
    <row r="78" spans="1:7" x14ac:dyDescent="0.35">
      <c r="A78" s="128" t="s">
        <v>82</v>
      </c>
      <c r="B78" s="129">
        <v>0</v>
      </c>
      <c r="C78" s="129"/>
      <c r="D78" s="129"/>
      <c r="E78" s="129"/>
      <c r="F78" s="130"/>
      <c r="G78" s="27">
        <f t="shared" si="4"/>
        <v>0</v>
      </c>
    </row>
    <row r="79" spans="1:7" x14ac:dyDescent="0.35">
      <c r="A79" s="128" t="s">
        <v>83</v>
      </c>
      <c r="B79" s="129">
        <v>562556</v>
      </c>
      <c r="C79" s="129">
        <v>507169</v>
      </c>
      <c r="D79" s="129">
        <v>55387</v>
      </c>
      <c r="E79" s="129">
        <v>574363</v>
      </c>
      <c r="F79" s="130">
        <v>629750</v>
      </c>
      <c r="G79" s="27">
        <f t="shared" si="4"/>
        <v>3.5801119219319275E-3</v>
      </c>
    </row>
    <row r="80" spans="1:7" x14ac:dyDescent="0.35">
      <c r="A80" s="128" t="s">
        <v>84</v>
      </c>
      <c r="B80" s="129">
        <v>1793428</v>
      </c>
      <c r="C80" s="129">
        <v>1004737</v>
      </c>
      <c r="D80" s="129">
        <v>788691</v>
      </c>
      <c r="E80" s="129">
        <v>77900</v>
      </c>
      <c r="F80" s="130">
        <v>866591</v>
      </c>
      <c r="G80" s="27">
        <f t="shared" si="4"/>
        <v>1.1413393446921787E-2</v>
      </c>
    </row>
    <row r="81" spans="1:7" x14ac:dyDescent="0.35">
      <c r="A81" s="128" t="s">
        <v>85</v>
      </c>
      <c r="B81" s="129">
        <v>3441855</v>
      </c>
      <c r="C81" s="129">
        <v>2150307</v>
      </c>
      <c r="D81" s="129">
        <v>1291548</v>
      </c>
      <c r="E81" s="129">
        <v>43125</v>
      </c>
      <c r="F81" s="130">
        <v>998495</v>
      </c>
      <c r="G81" s="27">
        <f t="shared" si="4"/>
        <v>2.1903999102420052E-2</v>
      </c>
    </row>
    <row r="82" spans="1:7" x14ac:dyDescent="0.35">
      <c r="A82" s="128" t="s">
        <v>86</v>
      </c>
      <c r="B82" s="129">
        <v>2822373</v>
      </c>
      <c r="C82" s="129">
        <v>2508640</v>
      </c>
      <c r="D82" s="129">
        <v>313733</v>
      </c>
      <c r="E82" s="129">
        <v>90307</v>
      </c>
      <c r="F82" s="130">
        <v>251110</v>
      </c>
      <c r="G82" s="27">
        <f t="shared" si="4"/>
        <v>1.7961609556095357E-2</v>
      </c>
    </row>
    <row r="83" spans="1:7" x14ac:dyDescent="0.35">
      <c r="A83" s="128" t="s">
        <v>87</v>
      </c>
      <c r="B83" s="129">
        <v>1512302</v>
      </c>
      <c r="C83" s="129">
        <v>578968.23</v>
      </c>
      <c r="D83" s="129">
        <v>933333.77</v>
      </c>
      <c r="E83" s="129">
        <v>0</v>
      </c>
      <c r="F83" s="130">
        <v>933333.77</v>
      </c>
      <c r="G83" s="27">
        <f t="shared" si="4"/>
        <v>9.624304815452147E-3</v>
      </c>
    </row>
    <row r="84" spans="1:7" x14ac:dyDescent="0.35">
      <c r="A84" s="128" t="s">
        <v>88</v>
      </c>
      <c r="B84" s="129" t="s">
        <v>59</v>
      </c>
      <c r="C84" s="129"/>
      <c r="D84" s="129"/>
      <c r="E84" s="129"/>
      <c r="F84" s="130"/>
      <c r="G84" s="27"/>
    </row>
    <row r="85" spans="1:7" x14ac:dyDescent="0.35">
      <c r="A85" s="128" t="s">
        <v>89</v>
      </c>
      <c r="B85" s="129">
        <v>643572</v>
      </c>
      <c r="C85" s="129">
        <v>370740.85</v>
      </c>
      <c r="D85" s="129">
        <v>272831.15000000002</v>
      </c>
      <c r="E85" s="129">
        <v>41271.94</v>
      </c>
      <c r="F85" s="130">
        <v>240142.42</v>
      </c>
      <c r="G85" s="27">
        <f t="shared" ref="G85:G103" si="5">B85/$B$104</f>
        <v>4.095698543472249E-3</v>
      </c>
    </row>
    <row r="86" spans="1:7" x14ac:dyDescent="0.35">
      <c r="A86" s="128" t="s">
        <v>90</v>
      </c>
      <c r="B86" s="129">
        <v>2076339</v>
      </c>
      <c r="C86" s="129">
        <v>967378</v>
      </c>
      <c r="D86" s="129">
        <v>1108961</v>
      </c>
      <c r="E86" s="129">
        <v>150000</v>
      </c>
      <c r="F86" s="130">
        <v>941764</v>
      </c>
      <c r="G86" s="27">
        <f t="shared" si="5"/>
        <v>1.3213841835963382E-2</v>
      </c>
    </row>
    <row r="87" spans="1:7" x14ac:dyDescent="0.35">
      <c r="A87" s="128" t="s">
        <v>91</v>
      </c>
      <c r="B87" s="129">
        <v>7214050</v>
      </c>
      <c r="C87" s="129">
        <v>5391979</v>
      </c>
      <c r="D87" s="129">
        <v>1822071</v>
      </c>
      <c r="E87" s="129">
        <v>379725</v>
      </c>
      <c r="F87" s="130">
        <v>1851091</v>
      </c>
      <c r="G87" s="27">
        <f t="shared" si="5"/>
        <v>4.5910285216783787E-2</v>
      </c>
    </row>
    <row r="88" spans="1:7" x14ac:dyDescent="0.35">
      <c r="A88" s="128" t="s">
        <v>92</v>
      </c>
      <c r="B88" s="129">
        <v>114503</v>
      </c>
      <c r="C88" s="129">
        <v>94197</v>
      </c>
      <c r="D88" s="129">
        <v>20306</v>
      </c>
      <c r="E88" s="129">
        <v>0</v>
      </c>
      <c r="F88" s="130">
        <v>13922</v>
      </c>
      <c r="G88" s="27">
        <f t="shared" si="5"/>
        <v>7.2869821919412732E-4</v>
      </c>
    </row>
    <row r="89" spans="1:7" x14ac:dyDescent="0.35">
      <c r="A89" s="128" t="s">
        <v>93</v>
      </c>
      <c r="B89" s="129">
        <v>50075</v>
      </c>
      <c r="C89" s="129"/>
      <c r="D89" s="129"/>
      <c r="E89" s="129"/>
      <c r="F89" s="130"/>
      <c r="G89" s="27">
        <f t="shared" si="5"/>
        <v>3.1867779294993083E-4</v>
      </c>
    </row>
    <row r="90" spans="1:7" x14ac:dyDescent="0.35">
      <c r="A90" s="128" t="s">
        <v>94</v>
      </c>
      <c r="B90" s="129">
        <v>3973376</v>
      </c>
      <c r="C90" s="129">
        <v>3272344</v>
      </c>
      <c r="D90" s="129">
        <v>701032</v>
      </c>
      <c r="E90" s="129">
        <v>103026</v>
      </c>
      <c r="F90" s="130">
        <v>554120</v>
      </c>
      <c r="G90" s="27">
        <f t="shared" si="5"/>
        <v>2.5286603978836232E-2</v>
      </c>
    </row>
    <row r="91" spans="1:7" x14ac:dyDescent="0.35">
      <c r="A91" s="128" t="s">
        <v>95</v>
      </c>
      <c r="B91" s="129">
        <v>154905</v>
      </c>
      <c r="C91" s="129">
        <v>102843</v>
      </c>
      <c r="D91" s="129">
        <v>52062</v>
      </c>
      <c r="E91" s="129">
        <v>83752</v>
      </c>
      <c r="F91" s="130">
        <v>125253</v>
      </c>
      <c r="G91" s="27">
        <f t="shared" si="5"/>
        <v>9.8581694492079941E-4</v>
      </c>
    </row>
    <row r="92" spans="1:7" x14ac:dyDescent="0.35">
      <c r="A92" s="128" t="s">
        <v>96</v>
      </c>
      <c r="B92" s="129">
        <v>189531</v>
      </c>
      <c r="C92" s="129">
        <v>180520.47</v>
      </c>
      <c r="D92" s="129">
        <v>9010.5300000000007</v>
      </c>
      <c r="E92" s="129">
        <v>2842</v>
      </c>
      <c r="F92" s="130">
        <v>8889.5300000000007</v>
      </c>
      <c r="G92" s="27">
        <f t="shared" si="5"/>
        <v>1.206177149787186E-3</v>
      </c>
    </row>
    <row r="93" spans="1:7" x14ac:dyDescent="0.35">
      <c r="A93" s="128" t="s">
        <v>97</v>
      </c>
      <c r="B93" s="129">
        <v>468010</v>
      </c>
      <c r="C93" s="129"/>
      <c r="D93" s="129"/>
      <c r="E93" s="129"/>
      <c r="F93" s="130"/>
      <c r="G93" s="27">
        <f t="shared" si="5"/>
        <v>2.9784202471991434E-3</v>
      </c>
    </row>
    <row r="94" spans="1:7" x14ac:dyDescent="0.35">
      <c r="A94" s="128" t="s">
        <v>98</v>
      </c>
      <c r="B94" s="129">
        <v>854783</v>
      </c>
      <c r="C94" s="129">
        <v>779494</v>
      </c>
      <c r="D94" s="129">
        <v>75289</v>
      </c>
      <c r="E94" s="129">
        <v>27012</v>
      </c>
      <c r="F94" s="130">
        <v>76856</v>
      </c>
      <c r="G94" s="27">
        <f t="shared" si="5"/>
        <v>5.4398474266823902E-3</v>
      </c>
    </row>
    <row r="95" spans="1:7" x14ac:dyDescent="0.35">
      <c r="A95" s="128" t="s">
        <v>99</v>
      </c>
      <c r="B95" s="129">
        <v>293021</v>
      </c>
      <c r="C95" s="129">
        <v>291728.57</v>
      </c>
      <c r="D95" s="129">
        <v>1292.43</v>
      </c>
      <c r="E95" s="129">
        <v>115.65</v>
      </c>
      <c r="F95" s="130">
        <v>595.08000000000004</v>
      </c>
      <c r="G95" s="27">
        <f t="shared" si="5"/>
        <v>1.8647885285667833E-3</v>
      </c>
    </row>
    <row r="96" spans="1:7" x14ac:dyDescent="0.35">
      <c r="A96" s="128" t="s">
        <v>100</v>
      </c>
      <c r="B96" s="129">
        <v>2974720</v>
      </c>
      <c r="C96" s="129">
        <v>2552243</v>
      </c>
      <c r="D96" s="129">
        <v>422477</v>
      </c>
      <c r="E96" s="129">
        <v>114564</v>
      </c>
      <c r="F96" s="130">
        <v>409784</v>
      </c>
      <c r="G96" s="27">
        <f t="shared" si="5"/>
        <v>1.8931147363834611E-2</v>
      </c>
    </row>
    <row r="97" spans="1:7" x14ac:dyDescent="0.35">
      <c r="A97" s="128" t="s">
        <v>101</v>
      </c>
      <c r="B97" s="129">
        <v>55982</v>
      </c>
      <c r="C97" s="129">
        <v>55982</v>
      </c>
      <c r="D97" s="129">
        <v>57498.89</v>
      </c>
      <c r="E97" s="129">
        <v>0</v>
      </c>
      <c r="F97" s="130">
        <v>-1516.89</v>
      </c>
      <c r="G97" s="27">
        <f t="shared" si="5"/>
        <v>3.5626999909981079E-4</v>
      </c>
    </row>
    <row r="98" spans="1:7" x14ac:dyDescent="0.35">
      <c r="A98" s="128" t="s">
        <v>102</v>
      </c>
      <c r="B98" s="129">
        <v>99752</v>
      </c>
      <c r="C98" s="129">
        <v>114827</v>
      </c>
      <c r="D98" s="129">
        <v>-15075</v>
      </c>
      <c r="E98" s="129">
        <v>0</v>
      </c>
      <c r="F98" s="130">
        <v>-15075</v>
      </c>
      <c r="G98" s="27">
        <f t="shared" si="5"/>
        <v>6.3482270998185722E-4</v>
      </c>
    </row>
    <row r="99" spans="1:7" x14ac:dyDescent="0.35">
      <c r="A99" s="128" t="s">
        <v>103</v>
      </c>
      <c r="B99" s="129">
        <v>3289723</v>
      </c>
      <c r="C99" s="129">
        <v>2357820.77</v>
      </c>
      <c r="D99" s="129">
        <v>931902.23</v>
      </c>
      <c r="E99" s="129">
        <v>77379</v>
      </c>
      <c r="F99" s="130">
        <v>700840.52</v>
      </c>
      <c r="G99" s="27">
        <f t="shared" si="5"/>
        <v>2.0935829556797309E-2</v>
      </c>
    </row>
    <row r="100" spans="1:7" x14ac:dyDescent="0.35">
      <c r="A100" s="128" t="s">
        <v>104</v>
      </c>
      <c r="B100" s="129">
        <v>1064017</v>
      </c>
      <c r="C100" s="129">
        <v>574742</v>
      </c>
      <c r="D100" s="129">
        <v>489275</v>
      </c>
      <c r="E100" s="129">
        <v>108491.3</v>
      </c>
      <c r="F100" s="130">
        <v>438820.63</v>
      </c>
      <c r="G100" s="27">
        <f t="shared" si="5"/>
        <v>6.7714146624304845E-3</v>
      </c>
    </row>
    <row r="101" spans="1:7" x14ac:dyDescent="0.35">
      <c r="A101" s="128" t="s">
        <v>105</v>
      </c>
      <c r="B101" s="129">
        <v>161983</v>
      </c>
      <c r="C101" s="129"/>
      <c r="D101" s="129"/>
      <c r="E101" s="129"/>
      <c r="F101" s="130"/>
      <c r="G101" s="27">
        <f t="shared" si="5"/>
        <v>1.0308614065982753E-3</v>
      </c>
    </row>
    <row r="102" spans="1:7" x14ac:dyDescent="0.35">
      <c r="A102" s="128" t="s">
        <v>106</v>
      </c>
      <c r="B102" s="129">
        <v>12081849</v>
      </c>
      <c r="C102" s="129">
        <v>8722955.4499999993</v>
      </c>
      <c r="D102" s="129">
        <v>3358893.55</v>
      </c>
      <c r="E102" s="129">
        <v>552976.07999999996</v>
      </c>
      <c r="F102" s="130">
        <v>2316271.63</v>
      </c>
      <c r="G102" s="27">
        <f t="shared" si="5"/>
        <v>7.6889005972527777E-2</v>
      </c>
    </row>
    <row r="103" spans="1:7" x14ac:dyDescent="0.35">
      <c r="A103" s="133" t="s">
        <v>107</v>
      </c>
      <c r="B103" s="134">
        <v>1793212</v>
      </c>
      <c r="C103" s="134">
        <v>1745928.91</v>
      </c>
      <c r="D103" s="134">
        <v>47283.09</v>
      </c>
      <c r="E103" s="134">
        <v>18033.95</v>
      </c>
      <c r="F103" s="135">
        <v>47180.98</v>
      </c>
      <c r="G103" s="27">
        <f t="shared" si="5"/>
        <v>1.1412018820795433E-2</v>
      </c>
    </row>
    <row r="104" spans="1:7" ht="13.5" x14ac:dyDescent="0.35">
      <c r="A104" s="3" t="s">
        <v>108</v>
      </c>
      <c r="B104" s="16">
        <f t="shared" ref="B104:G104" si="6">SUM(B6:B103)</f>
        <v>157133635</v>
      </c>
      <c r="C104" s="16">
        <f t="shared" si="6"/>
        <v>121225258.41999999</v>
      </c>
      <c r="D104" s="16">
        <f t="shared" si="6"/>
        <v>35221464.470000006</v>
      </c>
      <c r="E104" s="16">
        <f t="shared" si="6"/>
        <v>12463730.970000001</v>
      </c>
      <c r="F104" s="16">
        <f t="shared" si="6"/>
        <v>35696474.109999999</v>
      </c>
      <c r="G104" s="28">
        <f t="shared" si="6"/>
        <v>0.99999999999999989</v>
      </c>
    </row>
    <row r="105" spans="1:7" x14ac:dyDescent="0.35">
      <c r="A105" s="157"/>
      <c r="B105" s="158"/>
      <c r="C105" s="158"/>
      <c r="D105" s="158"/>
      <c r="E105" s="158"/>
      <c r="F105" s="159"/>
      <c r="G105" s="15"/>
    </row>
    <row r="106" spans="1:7" x14ac:dyDescent="0.35">
      <c r="A106" s="160"/>
      <c r="B106" s="161"/>
      <c r="C106" s="161"/>
      <c r="D106" s="161"/>
      <c r="E106" s="161"/>
      <c r="F106" s="162"/>
      <c r="G106" s="15"/>
    </row>
  </sheetData>
  <mergeCells count="3">
    <mergeCell ref="A105:F105"/>
    <mergeCell ref="A106:F106"/>
    <mergeCell ref="A1:G1"/>
  </mergeCells>
  <dataValidations count="1">
    <dataValidation type="list" allowBlank="1" showInputMessage="1" showErrorMessage="1" sqref="A3:A4" xr:uid="{00000000-0002-0000-0000-000000000000}">
      <formula1>$A$7:$A$85</formula1>
    </dataValidation>
  </dataValidations>
  <pageMargins left="0.75" right="0.75" top="1" bottom="1" header="0.5" footer="0.5"/>
  <pageSetup orientation="portrait" horizontalDpi="4294967295" verticalDpi="4294967295" r:id="rId1"/>
  <headerFooter alignWithMargins="0"/>
  <customProperties>
    <customPr name="LastActive" r:id="rId2"/>
  </customProperties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9"/>
  <sheetViews>
    <sheetView topLeftCell="A3" zoomScale="77" zoomScaleNormal="77" workbookViewId="0">
      <selection activeCell="F15" sqref="F15"/>
    </sheetView>
  </sheetViews>
  <sheetFormatPr defaultRowHeight="12.75" x14ac:dyDescent="0.35"/>
  <cols>
    <col min="1" max="1" width="49.86328125" bestFit="1" customWidth="1"/>
    <col min="2" max="2" width="27" bestFit="1" customWidth="1"/>
    <col min="3" max="3" width="37.1328125" customWidth="1"/>
    <col min="4" max="4" width="26.265625" bestFit="1" customWidth="1"/>
    <col min="5" max="5" width="35.1328125" customWidth="1"/>
    <col min="6" max="6" width="31.1328125" customWidth="1"/>
    <col min="7" max="7" width="18.73046875" bestFit="1" customWidth="1"/>
  </cols>
  <sheetData>
    <row r="1" spans="1:7" ht="23.25" x14ac:dyDescent="0.7">
      <c r="A1" s="163" t="s">
        <v>109</v>
      </c>
      <c r="B1" s="163"/>
      <c r="C1" s="163"/>
      <c r="D1" s="163"/>
      <c r="E1" s="163"/>
      <c r="F1" s="163"/>
      <c r="G1" s="163"/>
    </row>
    <row r="2" spans="1:7" ht="21" x14ac:dyDescent="0.65">
      <c r="A2" s="29" t="s">
        <v>1</v>
      </c>
      <c r="B2" s="30" t="s">
        <v>2</v>
      </c>
      <c r="C2" s="30" t="s">
        <v>3</v>
      </c>
      <c r="D2" s="30" t="s">
        <v>4</v>
      </c>
      <c r="E2" s="30" t="s">
        <v>5</v>
      </c>
      <c r="F2" s="30" t="s">
        <v>6</v>
      </c>
      <c r="G2" s="26" t="s">
        <v>9</v>
      </c>
    </row>
    <row r="3" spans="1:7" ht="21" x14ac:dyDescent="0.65">
      <c r="A3" s="31" t="s">
        <v>65</v>
      </c>
      <c r="B3" s="32">
        <f>INDEX(B5:B103,MATCH($A$3,$A$5:$A$103,0))</f>
        <v>6822975</v>
      </c>
      <c r="C3" s="32">
        <f t="shared" ref="C3:G3" si="0">INDEX(C6:C103,MATCH($A$3,$A$6:$A$103,0))</f>
        <v>5123099.28</v>
      </c>
      <c r="D3" s="32">
        <f t="shared" si="0"/>
        <v>1699875.72</v>
      </c>
      <c r="E3" s="32">
        <f t="shared" si="0"/>
        <v>686304.36</v>
      </c>
      <c r="F3" s="32">
        <f t="shared" si="0"/>
        <v>1789635.06</v>
      </c>
      <c r="G3" s="25">
        <f t="shared" si="0"/>
        <v>0.15706943502771273</v>
      </c>
    </row>
    <row r="4" spans="1:7" x14ac:dyDescent="0.35">
      <c r="A4" s="164"/>
      <c r="B4" s="165"/>
      <c r="C4" s="165"/>
      <c r="D4" s="165"/>
      <c r="E4" s="165"/>
      <c r="F4" s="166"/>
    </row>
    <row r="5" spans="1:7" ht="13.9" x14ac:dyDescent="0.4">
      <c r="A5" s="10" t="s">
        <v>1</v>
      </c>
      <c r="B5" s="11" t="s">
        <v>2</v>
      </c>
      <c r="C5" s="11" t="s">
        <v>3</v>
      </c>
      <c r="D5" s="11" t="s">
        <v>4</v>
      </c>
      <c r="E5" s="11" t="s">
        <v>5</v>
      </c>
      <c r="F5" s="12" t="s">
        <v>6</v>
      </c>
      <c r="G5" s="11" t="s">
        <v>9</v>
      </c>
    </row>
    <row r="6" spans="1:7" x14ac:dyDescent="0.35">
      <c r="A6" s="7" t="s">
        <v>10</v>
      </c>
      <c r="B6" s="17">
        <v>746348</v>
      </c>
      <c r="C6" s="17">
        <v>282573</v>
      </c>
      <c r="D6" s="17">
        <v>463775</v>
      </c>
      <c r="E6" s="17">
        <v>0</v>
      </c>
      <c r="F6" s="18">
        <v>445775</v>
      </c>
      <c r="G6" s="136">
        <f t="shared" ref="G6:G13" si="1">B6/$B$108</f>
        <v>1.7181428730731585E-2</v>
      </c>
    </row>
    <row r="7" spans="1:7" x14ac:dyDescent="0.35">
      <c r="A7" s="7" t="s">
        <v>11</v>
      </c>
      <c r="B7" s="17">
        <v>39062</v>
      </c>
      <c r="C7" s="17">
        <v>16790.560000000001</v>
      </c>
      <c r="D7" s="17">
        <v>22271.439999999999</v>
      </c>
      <c r="E7" s="17">
        <v>0</v>
      </c>
      <c r="F7" s="18">
        <v>22271.439999999999</v>
      </c>
      <c r="G7" s="137">
        <f t="shared" si="1"/>
        <v>8.9923329208336763E-4</v>
      </c>
    </row>
    <row r="8" spans="1:7" x14ac:dyDescent="0.35">
      <c r="A8" s="7" t="s">
        <v>12</v>
      </c>
      <c r="B8" s="17">
        <v>401299</v>
      </c>
      <c r="C8" s="17">
        <v>281409</v>
      </c>
      <c r="D8" s="17">
        <v>119890</v>
      </c>
      <c r="E8" s="17">
        <v>39725</v>
      </c>
      <c r="F8" s="18">
        <v>122385</v>
      </c>
      <c r="G8" s="137">
        <f t="shared" si="1"/>
        <v>9.2381706231059162E-3</v>
      </c>
    </row>
    <row r="9" spans="1:7" x14ac:dyDescent="0.35">
      <c r="A9" s="7" t="s">
        <v>13</v>
      </c>
      <c r="B9" s="17">
        <v>105249</v>
      </c>
      <c r="C9" s="17">
        <v>51153</v>
      </c>
      <c r="D9" s="17">
        <v>54096</v>
      </c>
      <c r="E9" s="17">
        <v>6803</v>
      </c>
      <c r="F9" s="18">
        <v>45674</v>
      </c>
      <c r="G9" s="137">
        <f t="shared" si="1"/>
        <v>2.422902174964988E-3</v>
      </c>
    </row>
    <row r="10" spans="1:7" x14ac:dyDescent="0.35">
      <c r="A10" s="7" t="s">
        <v>14</v>
      </c>
      <c r="B10" s="17">
        <v>586553</v>
      </c>
      <c r="C10" s="17">
        <v>352603.5</v>
      </c>
      <c r="D10" s="17">
        <v>233949.5</v>
      </c>
      <c r="E10" s="17">
        <v>0</v>
      </c>
      <c r="F10" s="18">
        <v>175462</v>
      </c>
      <c r="G10" s="137">
        <f t="shared" si="1"/>
        <v>1.3502841256755299E-2</v>
      </c>
    </row>
    <row r="11" spans="1:7" x14ac:dyDescent="0.35">
      <c r="A11" s="7" t="s">
        <v>15</v>
      </c>
      <c r="B11" s="17">
        <v>15547</v>
      </c>
      <c r="C11" s="17">
        <v>12557</v>
      </c>
      <c r="D11" s="17">
        <v>2990</v>
      </c>
      <c r="E11" s="17">
        <v>3457</v>
      </c>
      <c r="F11" s="18">
        <v>6447</v>
      </c>
      <c r="G11" s="137">
        <f t="shared" si="1"/>
        <v>3.5790230894526949E-4</v>
      </c>
    </row>
    <row r="12" spans="1:7" x14ac:dyDescent="0.35">
      <c r="A12" s="7" t="s">
        <v>16</v>
      </c>
      <c r="B12" s="17">
        <v>740011</v>
      </c>
      <c r="C12" s="17">
        <v>332311.31</v>
      </c>
      <c r="D12" s="17">
        <v>407699.69</v>
      </c>
      <c r="E12" s="17">
        <v>74830.75</v>
      </c>
      <c r="F12" s="18">
        <v>361897.75</v>
      </c>
      <c r="G12" s="137">
        <f t="shared" si="1"/>
        <v>1.7035546764320949E-2</v>
      </c>
    </row>
    <row r="13" spans="1:7" x14ac:dyDescent="0.35">
      <c r="A13" s="7" t="s">
        <v>17</v>
      </c>
      <c r="B13" s="17">
        <v>109215</v>
      </c>
      <c r="C13" s="17">
        <v>354349.6</v>
      </c>
      <c r="D13" s="17">
        <v>-245134.6</v>
      </c>
      <c r="E13" s="17">
        <v>0</v>
      </c>
      <c r="F13" s="18">
        <v>-245134.6</v>
      </c>
      <c r="G13" s="137">
        <f t="shared" si="1"/>
        <v>2.5142021400564483E-3</v>
      </c>
    </row>
    <row r="14" spans="1:7" x14ac:dyDescent="0.35">
      <c r="A14" s="7" t="s">
        <v>18</v>
      </c>
      <c r="B14" s="17"/>
      <c r="C14" s="17"/>
      <c r="D14" s="17"/>
      <c r="E14" s="17"/>
      <c r="F14" s="18"/>
      <c r="G14" s="137"/>
    </row>
    <row r="15" spans="1:7" x14ac:dyDescent="0.35">
      <c r="A15" s="7" t="s">
        <v>19</v>
      </c>
      <c r="B15" s="17">
        <v>76871</v>
      </c>
      <c r="C15" s="17">
        <v>157726.29999999999</v>
      </c>
      <c r="D15" s="17">
        <v>-80855.3</v>
      </c>
      <c r="E15" s="17">
        <v>0</v>
      </c>
      <c r="F15" s="18">
        <v>-80855.3</v>
      </c>
      <c r="G15" s="137">
        <f t="shared" ref="G15:G25" si="2">B15/$B$108</f>
        <v>1.7696216884885707E-3</v>
      </c>
    </row>
    <row r="16" spans="1:7" x14ac:dyDescent="0.35">
      <c r="A16" s="7" t="s">
        <v>20</v>
      </c>
      <c r="B16" s="17">
        <v>229880</v>
      </c>
      <c r="C16" s="17">
        <v>143150.34</v>
      </c>
      <c r="D16" s="17">
        <v>86729.66</v>
      </c>
      <c r="E16" s="17">
        <v>3594.8</v>
      </c>
      <c r="F16" s="18">
        <v>90324.46</v>
      </c>
      <c r="G16" s="137">
        <f t="shared" si="2"/>
        <v>5.2919909165973205E-3</v>
      </c>
    </row>
    <row r="17" spans="1:7" x14ac:dyDescent="0.35">
      <c r="A17" s="7" t="s">
        <v>21</v>
      </c>
      <c r="B17" s="17">
        <v>637377</v>
      </c>
      <c r="C17" s="17">
        <v>403514</v>
      </c>
      <c r="D17" s="17">
        <v>233863</v>
      </c>
      <c r="E17" s="17">
        <v>48509</v>
      </c>
      <c r="F17" s="18">
        <v>214670</v>
      </c>
      <c r="G17" s="137">
        <f t="shared" si="2"/>
        <v>1.4672843633408955E-2</v>
      </c>
    </row>
    <row r="18" spans="1:7" x14ac:dyDescent="0.35">
      <c r="A18" s="7" t="s">
        <v>22</v>
      </c>
      <c r="B18" s="17">
        <v>19604</v>
      </c>
      <c r="C18" s="17">
        <v>38358.300000000003</v>
      </c>
      <c r="D18" s="17">
        <v>-18754.3</v>
      </c>
      <c r="E18" s="17">
        <v>12031.94</v>
      </c>
      <c r="F18" s="18">
        <v>-6722.36</v>
      </c>
      <c r="G18" s="137">
        <f t="shared" si="2"/>
        <v>4.5129715472844037E-4</v>
      </c>
    </row>
    <row r="19" spans="1:7" x14ac:dyDescent="0.35">
      <c r="A19" s="7" t="s">
        <v>23</v>
      </c>
      <c r="B19" s="17">
        <v>511107</v>
      </c>
      <c r="C19" s="17">
        <v>214382</v>
      </c>
      <c r="D19" s="17">
        <v>296725</v>
      </c>
      <c r="E19" s="17">
        <v>74123</v>
      </c>
      <c r="F19" s="18">
        <v>278136</v>
      </c>
      <c r="G19" s="137">
        <f t="shared" si="2"/>
        <v>1.1766024018658896E-2</v>
      </c>
    </row>
    <row r="20" spans="1:7" x14ac:dyDescent="0.35">
      <c r="A20" s="7" t="s">
        <v>24</v>
      </c>
      <c r="B20" s="17">
        <v>1280425</v>
      </c>
      <c r="C20" s="17">
        <v>1483645.72</v>
      </c>
      <c r="D20" s="17">
        <v>-203220.72</v>
      </c>
      <c r="E20" s="17">
        <v>15822.67</v>
      </c>
      <c r="F20" s="18">
        <v>-187398.05</v>
      </c>
      <c r="G20" s="137">
        <f t="shared" si="2"/>
        <v>2.947623746904526E-2</v>
      </c>
    </row>
    <row r="21" spans="1:7" x14ac:dyDescent="0.35">
      <c r="A21" s="7" t="s">
        <v>25</v>
      </c>
      <c r="B21" s="17">
        <v>157551</v>
      </c>
      <c r="C21" s="17">
        <v>153325</v>
      </c>
      <c r="D21" s="17">
        <v>4226</v>
      </c>
      <c r="E21" s="17">
        <v>0</v>
      </c>
      <c r="F21" s="18">
        <v>4226</v>
      </c>
      <c r="G21" s="137">
        <f t="shared" si="2"/>
        <v>3.6269290973587284E-3</v>
      </c>
    </row>
    <row r="22" spans="1:7" x14ac:dyDescent="0.35">
      <c r="A22" s="7" t="s">
        <v>26</v>
      </c>
      <c r="B22" s="17">
        <v>5345</v>
      </c>
      <c r="C22" s="17">
        <v>36377</v>
      </c>
      <c r="D22" s="17">
        <v>-31032</v>
      </c>
      <c r="E22" s="17">
        <v>8265</v>
      </c>
      <c r="F22" s="18">
        <v>-22766</v>
      </c>
      <c r="G22" s="137">
        <f t="shared" si="2"/>
        <v>1.2304546480430085E-4</v>
      </c>
    </row>
    <row r="23" spans="1:7" x14ac:dyDescent="0.35">
      <c r="A23" s="7" t="s">
        <v>27</v>
      </c>
      <c r="B23" s="17">
        <v>54088</v>
      </c>
      <c r="C23" s="17">
        <v>35754.68</v>
      </c>
      <c r="D23" s="17">
        <v>18333.32</v>
      </c>
      <c r="E23" s="17">
        <v>8686.33</v>
      </c>
      <c r="F23" s="18">
        <v>27019.65</v>
      </c>
      <c r="G23" s="137">
        <f t="shared" si="2"/>
        <v>1.2451418335519223E-3</v>
      </c>
    </row>
    <row r="24" spans="1:7" x14ac:dyDescent="0.35">
      <c r="A24" s="7" t="s">
        <v>28</v>
      </c>
      <c r="B24" s="17">
        <v>150688</v>
      </c>
      <c r="C24" s="17">
        <v>117202.62</v>
      </c>
      <c r="D24" s="17">
        <v>33485.379999999997</v>
      </c>
      <c r="E24" s="17">
        <v>0</v>
      </c>
      <c r="F24" s="18">
        <v>33485.379999999997</v>
      </c>
      <c r="G24" s="137">
        <f t="shared" si="2"/>
        <v>3.4689382601366674E-3</v>
      </c>
    </row>
    <row r="25" spans="1:7" x14ac:dyDescent="0.35">
      <c r="A25" s="7" t="s">
        <v>8</v>
      </c>
      <c r="B25" s="17">
        <v>108342</v>
      </c>
      <c r="C25" s="17">
        <v>110335</v>
      </c>
      <c r="D25" s="17">
        <v>-1993</v>
      </c>
      <c r="E25" s="17">
        <v>0</v>
      </c>
      <c r="F25" s="18">
        <v>-1993</v>
      </c>
      <c r="G25" s="137">
        <f t="shared" si="2"/>
        <v>2.4941050978161952E-3</v>
      </c>
    </row>
    <row r="26" spans="1:7" x14ac:dyDescent="0.35">
      <c r="A26" s="7" t="s">
        <v>29</v>
      </c>
      <c r="B26" s="17"/>
      <c r="C26" s="17"/>
      <c r="D26" s="17"/>
      <c r="E26" s="17"/>
      <c r="F26" s="18"/>
      <c r="G26" s="137"/>
    </row>
    <row r="27" spans="1:7" x14ac:dyDescent="0.35">
      <c r="A27" s="7" t="s">
        <v>30</v>
      </c>
      <c r="B27" s="17">
        <v>88997</v>
      </c>
      <c r="C27" s="17">
        <v>65035</v>
      </c>
      <c r="D27" s="17">
        <v>23962</v>
      </c>
      <c r="E27" s="17">
        <v>0</v>
      </c>
      <c r="F27" s="18">
        <v>23962</v>
      </c>
      <c r="G27" s="137">
        <f t="shared" ref="G27:G40" si="3">B27/$B$108</f>
        <v>2.0487702958256991E-3</v>
      </c>
    </row>
    <row r="28" spans="1:7" x14ac:dyDescent="0.35">
      <c r="A28" s="7" t="s">
        <v>31</v>
      </c>
      <c r="B28" s="17">
        <v>182070</v>
      </c>
      <c r="C28" s="17">
        <v>83314.8</v>
      </c>
      <c r="D28" s="17">
        <v>98755.199999999997</v>
      </c>
      <c r="E28" s="17">
        <v>0</v>
      </c>
      <c r="F28" s="18">
        <v>98755.199999999997</v>
      </c>
      <c r="G28" s="137">
        <f t="shared" si="3"/>
        <v>4.191372830106465E-3</v>
      </c>
    </row>
    <row r="29" spans="1:7" x14ac:dyDescent="0.35">
      <c r="A29" s="7" t="s">
        <v>32</v>
      </c>
      <c r="B29" s="17">
        <v>189812</v>
      </c>
      <c r="C29" s="17">
        <v>230546</v>
      </c>
      <c r="D29" s="17">
        <v>-40734</v>
      </c>
      <c r="E29" s="17">
        <v>58142</v>
      </c>
      <c r="F29" s="18">
        <v>17408</v>
      </c>
      <c r="G29" s="137">
        <f t="shared" si="3"/>
        <v>4.3695988335704311E-3</v>
      </c>
    </row>
    <row r="30" spans="1:7" x14ac:dyDescent="0.35">
      <c r="A30" s="7" t="s">
        <v>33</v>
      </c>
      <c r="B30" s="17">
        <v>51407</v>
      </c>
      <c r="C30" s="17">
        <v>35278</v>
      </c>
      <c r="D30" s="17">
        <v>16129</v>
      </c>
      <c r="E30" s="17">
        <v>0</v>
      </c>
      <c r="F30" s="18">
        <v>16129</v>
      </c>
      <c r="G30" s="137">
        <f t="shared" si="3"/>
        <v>1.1834234254807659E-3</v>
      </c>
    </row>
    <row r="31" spans="1:7" x14ac:dyDescent="0.35">
      <c r="A31" s="7" t="s">
        <v>34</v>
      </c>
      <c r="B31" s="17">
        <v>13626</v>
      </c>
      <c r="C31" s="17">
        <v>12452</v>
      </c>
      <c r="D31" s="17">
        <v>1174</v>
      </c>
      <c r="E31" s="17">
        <v>4700</v>
      </c>
      <c r="F31" s="18">
        <v>5874</v>
      </c>
      <c r="G31" s="137">
        <f t="shared" si="3"/>
        <v>3.1367960774993515E-4</v>
      </c>
    </row>
    <row r="32" spans="1:7" x14ac:dyDescent="0.35">
      <c r="A32" s="7" t="s">
        <v>35</v>
      </c>
      <c r="B32" s="17">
        <v>360073</v>
      </c>
      <c r="C32" s="17">
        <v>376130</v>
      </c>
      <c r="D32" s="17">
        <v>-16057</v>
      </c>
      <c r="E32" s="17">
        <v>23709</v>
      </c>
      <c r="F32" s="18">
        <v>5739</v>
      </c>
      <c r="G32" s="137">
        <f t="shared" si="3"/>
        <v>8.2891206077603408E-3</v>
      </c>
    </row>
    <row r="33" spans="1:7" x14ac:dyDescent="0.35">
      <c r="A33" s="7" t="s">
        <v>36</v>
      </c>
      <c r="B33" s="17">
        <v>192957</v>
      </c>
      <c r="C33" s="17">
        <v>163671</v>
      </c>
      <c r="D33" s="17">
        <v>29286</v>
      </c>
      <c r="E33" s="17">
        <v>30</v>
      </c>
      <c r="F33" s="18">
        <v>21987</v>
      </c>
      <c r="G33" s="137">
        <f t="shared" si="3"/>
        <v>4.4419988311026155E-3</v>
      </c>
    </row>
    <row r="34" spans="1:7" x14ac:dyDescent="0.35">
      <c r="A34" s="7" t="s">
        <v>37</v>
      </c>
      <c r="B34" s="17">
        <v>103938</v>
      </c>
      <c r="C34" s="17">
        <v>33732</v>
      </c>
      <c r="D34" s="17">
        <v>70206</v>
      </c>
      <c r="E34" s="17">
        <v>0</v>
      </c>
      <c r="F34" s="18">
        <v>70206</v>
      </c>
      <c r="G34" s="137">
        <f t="shared" si="3"/>
        <v>2.3927220806041951E-3</v>
      </c>
    </row>
    <row r="35" spans="1:7" x14ac:dyDescent="0.35">
      <c r="A35" s="7" t="s">
        <v>38</v>
      </c>
      <c r="B35" s="17">
        <v>214352</v>
      </c>
      <c r="C35" s="17">
        <v>204142.37</v>
      </c>
      <c r="D35" s="17">
        <v>10209.629999999999</v>
      </c>
      <c r="E35" s="17">
        <v>2402</v>
      </c>
      <c r="F35" s="18">
        <v>12611.63</v>
      </c>
      <c r="G35" s="137">
        <f t="shared" si="3"/>
        <v>4.9345260003239464E-3</v>
      </c>
    </row>
    <row r="36" spans="1:7" x14ac:dyDescent="0.35">
      <c r="A36" s="7" t="s">
        <v>39</v>
      </c>
      <c r="B36" s="17">
        <v>2701433</v>
      </c>
      <c r="C36" s="17">
        <v>1337256</v>
      </c>
      <c r="D36" s="17">
        <v>1364177</v>
      </c>
      <c r="E36" s="17">
        <v>531</v>
      </c>
      <c r="F36" s="18">
        <v>1299708</v>
      </c>
      <c r="G36" s="137">
        <f t="shared" si="3"/>
        <v>6.2188789358779584E-2</v>
      </c>
    </row>
    <row r="37" spans="1:7" x14ac:dyDescent="0.35">
      <c r="A37" s="7" t="s">
        <v>40</v>
      </c>
      <c r="B37" s="17">
        <v>53439</v>
      </c>
      <c r="C37" s="17">
        <v>41827.39</v>
      </c>
      <c r="D37" s="17">
        <v>11611.61</v>
      </c>
      <c r="E37" s="17">
        <v>9821.5499999999993</v>
      </c>
      <c r="F37" s="18">
        <v>21433.16</v>
      </c>
      <c r="G37" s="137">
        <f t="shared" si="3"/>
        <v>1.2302014207066479E-3</v>
      </c>
    </row>
    <row r="38" spans="1:7" x14ac:dyDescent="0.35">
      <c r="A38" s="7" t="s">
        <v>41</v>
      </c>
      <c r="B38" s="17">
        <v>26742</v>
      </c>
      <c r="C38" s="17">
        <v>122143</v>
      </c>
      <c r="D38" s="17">
        <v>-95401</v>
      </c>
      <c r="E38" s="17">
        <v>127</v>
      </c>
      <c r="F38" s="18">
        <v>-95274</v>
      </c>
      <c r="G38" s="137">
        <f t="shared" si="3"/>
        <v>6.156186753595161E-4</v>
      </c>
    </row>
    <row r="39" spans="1:7" x14ac:dyDescent="0.35">
      <c r="A39" s="7" t="s">
        <v>42</v>
      </c>
      <c r="B39" s="17">
        <v>762312</v>
      </c>
      <c r="C39" s="17">
        <v>721615.1</v>
      </c>
      <c r="D39" s="17">
        <v>40696.9</v>
      </c>
      <c r="E39" s="17">
        <v>0</v>
      </c>
      <c r="F39" s="18">
        <v>30522.74</v>
      </c>
      <c r="G39" s="137">
        <f t="shared" si="3"/>
        <v>1.7548930657791617E-2</v>
      </c>
    </row>
    <row r="40" spans="1:7" x14ac:dyDescent="0.35">
      <c r="A40" s="7" t="s">
        <v>43</v>
      </c>
      <c r="B40" s="17">
        <v>715193</v>
      </c>
      <c r="C40" s="17">
        <v>611221</v>
      </c>
      <c r="D40" s="17">
        <v>103972</v>
      </c>
      <c r="E40" s="17">
        <v>885.82</v>
      </c>
      <c r="F40" s="18">
        <v>78643.320000000007</v>
      </c>
      <c r="G40" s="137">
        <f t="shared" si="3"/>
        <v>1.6464219852157593E-2</v>
      </c>
    </row>
    <row r="41" spans="1:7" x14ac:dyDescent="0.35">
      <c r="A41" s="7" t="s">
        <v>44</v>
      </c>
      <c r="B41" s="17">
        <v>0</v>
      </c>
      <c r="C41" s="17">
        <v>0</v>
      </c>
      <c r="D41" s="17">
        <v>0</v>
      </c>
      <c r="E41" s="17">
        <v>0</v>
      </c>
      <c r="F41" s="18">
        <v>0</v>
      </c>
      <c r="G41" s="137"/>
    </row>
    <row r="42" spans="1:7" x14ac:dyDescent="0.35">
      <c r="A42" s="7" t="s">
        <v>45</v>
      </c>
      <c r="B42" s="17">
        <v>17630</v>
      </c>
      <c r="C42" s="17">
        <v>39340</v>
      </c>
      <c r="D42" s="17">
        <v>-21710</v>
      </c>
      <c r="E42" s="17">
        <v>0</v>
      </c>
      <c r="F42" s="18">
        <v>-21710</v>
      </c>
      <c r="G42" s="137">
        <f t="shared" ref="G42:G75" si="4">B42/$B$108</f>
        <v>4.0585435818518689E-4</v>
      </c>
    </row>
    <row r="43" spans="1:7" x14ac:dyDescent="0.35">
      <c r="A43" s="7" t="s">
        <v>46</v>
      </c>
      <c r="B43" s="17">
        <v>115276</v>
      </c>
      <c r="C43" s="17">
        <v>192688.55</v>
      </c>
      <c r="D43" s="17">
        <v>-77412.55</v>
      </c>
      <c r="E43" s="17">
        <v>13965</v>
      </c>
      <c r="F43" s="18">
        <v>-65505.24</v>
      </c>
      <c r="G43" s="137">
        <f t="shared" si="4"/>
        <v>2.6537304023911291E-3</v>
      </c>
    </row>
    <row r="44" spans="1:7" x14ac:dyDescent="0.35">
      <c r="A44" s="7" t="s">
        <v>47</v>
      </c>
      <c r="B44" s="17">
        <v>0</v>
      </c>
      <c r="C44" s="17">
        <v>30144</v>
      </c>
      <c r="D44" s="17">
        <v>-30144</v>
      </c>
      <c r="E44" s="17">
        <v>52856</v>
      </c>
      <c r="F44" s="18">
        <v>17034</v>
      </c>
      <c r="G44" s="137">
        <f t="shared" si="4"/>
        <v>0</v>
      </c>
    </row>
    <row r="45" spans="1:7" x14ac:dyDescent="0.35">
      <c r="A45" s="7" t="s">
        <v>48</v>
      </c>
      <c r="B45" s="17">
        <v>18761</v>
      </c>
      <c r="C45" s="17">
        <v>47934</v>
      </c>
      <c r="D45" s="17">
        <v>-29173</v>
      </c>
      <c r="E45" s="17">
        <v>0</v>
      </c>
      <c r="F45" s="18">
        <v>-29173</v>
      </c>
      <c r="G45" s="137">
        <f t="shared" si="4"/>
        <v>4.318907324964431E-4</v>
      </c>
    </row>
    <row r="46" spans="1:7" x14ac:dyDescent="0.35">
      <c r="A46" s="7" t="s">
        <v>49</v>
      </c>
      <c r="B46" s="17"/>
      <c r="C46" s="17"/>
      <c r="D46" s="17"/>
      <c r="E46" s="17"/>
      <c r="F46" s="18"/>
      <c r="G46" s="137">
        <f t="shared" si="4"/>
        <v>0</v>
      </c>
    </row>
    <row r="47" spans="1:7" x14ac:dyDescent="0.35">
      <c r="A47" s="7" t="s">
        <v>50</v>
      </c>
      <c r="B47" s="17">
        <v>235768</v>
      </c>
      <c r="C47" s="17">
        <v>138085</v>
      </c>
      <c r="D47" s="17">
        <v>97683</v>
      </c>
      <c r="E47" s="17">
        <v>41865</v>
      </c>
      <c r="F47" s="18">
        <v>139548</v>
      </c>
      <c r="G47" s="137">
        <f t="shared" si="4"/>
        <v>5.4275366035510574E-3</v>
      </c>
    </row>
    <row r="48" spans="1:7" x14ac:dyDescent="0.35">
      <c r="A48" s="7" t="s">
        <v>51</v>
      </c>
      <c r="B48" s="17">
        <v>186534</v>
      </c>
      <c r="C48" s="17">
        <v>149792</v>
      </c>
      <c r="D48" s="17">
        <v>36742</v>
      </c>
      <c r="E48" s="17">
        <v>11818</v>
      </c>
      <c r="F48" s="18">
        <v>48560</v>
      </c>
      <c r="G48" s="137">
        <f t="shared" si="4"/>
        <v>4.2941370873349777E-3</v>
      </c>
    </row>
    <row r="49" spans="1:7" x14ac:dyDescent="0.35">
      <c r="A49" s="7" t="s">
        <v>52</v>
      </c>
      <c r="B49" s="17">
        <v>2836883</v>
      </c>
      <c r="C49" s="17">
        <v>1634918</v>
      </c>
      <c r="D49" s="17">
        <v>1201965</v>
      </c>
      <c r="E49" s="17">
        <v>0</v>
      </c>
      <c r="F49" s="18">
        <v>899345.5</v>
      </c>
      <c r="G49" s="137">
        <f t="shared" si="4"/>
        <v>6.5306938696056013E-2</v>
      </c>
    </row>
    <row r="50" spans="1:7" x14ac:dyDescent="0.35">
      <c r="A50" s="7" t="s">
        <v>53</v>
      </c>
      <c r="B50" s="17"/>
      <c r="C50" s="17"/>
      <c r="D50" s="17"/>
      <c r="E50" s="17"/>
      <c r="F50" s="18"/>
      <c r="G50" s="137">
        <f t="shared" si="4"/>
        <v>0</v>
      </c>
    </row>
    <row r="51" spans="1:7" x14ac:dyDescent="0.35">
      <c r="A51" s="7" t="s">
        <v>54</v>
      </c>
      <c r="B51" s="17">
        <v>154359</v>
      </c>
      <c r="C51" s="17">
        <v>76210</v>
      </c>
      <c r="D51" s="17">
        <v>78149</v>
      </c>
      <c r="E51" s="17">
        <v>475</v>
      </c>
      <c r="F51" s="18">
        <v>78624</v>
      </c>
      <c r="G51" s="137">
        <f t="shared" si="4"/>
        <v>3.5534471284802758E-3</v>
      </c>
    </row>
    <row r="52" spans="1:7" x14ac:dyDescent="0.35">
      <c r="A52" s="7" t="s">
        <v>55</v>
      </c>
      <c r="B52" s="17">
        <v>22907</v>
      </c>
      <c r="C52" s="17">
        <v>47130</v>
      </c>
      <c r="D52" s="17">
        <v>-24223</v>
      </c>
      <c r="E52" s="17">
        <v>28</v>
      </c>
      <c r="F52" s="18">
        <v>-24194</v>
      </c>
      <c r="G52" s="137">
        <f t="shared" si="4"/>
        <v>5.2733441763744054E-4</v>
      </c>
    </row>
    <row r="53" spans="1:7" x14ac:dyDescent="0.35">
      <c r="A53" s="7" t="s">
        <v>56</v>
      </c>
      <c r="B53" s="17">
        <v>258620</v>
      </c>
      <c r="C53" s="17">
        <v>272114</v>
      </c>
      <c r="D53" s="17">
        <v>-13494</v>
      </c>
      <c r="E53" s="17">
        <v>3438</v>
      </c>
      <c r="F53" s="18">
        <v>-10056</v>
      </c>
      <c r="G53" s="137">
        <f t="shared" si="4"/>
        <v>5.9536048845066948E-3</v>
      </c>
    </row>
    <row r="54" spans="1:7" x14ac:dyDescent="0.35">
      <c r="A54" s="7" t="s">
        <v>57</v>
      </c>
      <c r="B54" s="17">
        <v>469212</v>
      </c>
      <c r="C54" s="17">
        <v>403121</v>
      </c>
      <c r="D54" s="17">
        <v>66091</v>
      </c>
      <c r="E54" s="17">
        <v>10490</v>
      </c>
      <c r="F54" s="18">
        <v>60059</v>
      </c>
      <c r="G54" s="137">
        <f t="shared" si="4"/>
        <v>1.0801573177129207E-2</v>
      </c>
    </row>
    <row r="55" spans="1:7" x14ac:dyDescent="0.35">
      <c r="A55" s="7" t="s">
        <v>58</v>
      </c>
      <c r="B55" s="17">
        <v>27070</v>
      </c>
      <c r="C55" s="17">
        <v>12336</v>
      </c>
      <c r="D55" s="17">
        <v>14734</v>
      </c>
      <c r="E55" s="17">
        <v>138</v>
      </c>
      <c r="F55" s="18">
        <v>11154</v>
      </c>
      <c r="G55" s="137">
        <f t="shared" si="4"/>
        <v>6.2316945411644976E-4</v>
      </c>
    </row>
    <row r="56" spans="1:7" x14ac:dyDescent="0.35">
      <c r="A56" s="7" t="s">
        <v>60</v>
      </c>
      <c r="B56" s="17">
        <v>855946</v>
      </c>
      <c r="C56" s="17">
        <v>697873</v>
      </c>
      <c r="D56" s="17">
        <v>158073</v>
      </c>
      <c r="E56" s="17">
        <v>90812.811342426896</v>
      </c>
      <c r="F56" s="18">
        <v>186665</v>
      </c>
      <c r="G56" s="137">
        <f t="shared" si="4"/>
        <v>1.9704447786226771E-2</v>
      </c>
    </row>
    <row r="57" spans="1:7" x14ac:dyDescent="0.35">
      <c r="A57" s="7" t="s">
        <v>61</v>
      </c>
      <c r="B57" s="17">
        <v>52995</v>
      </c>
      <c r="C57" s="17">
        <v>37353</v>
      </c>
      <c r="D57" s="17">
        <v>15642</v>
      </c>
      <c r="E57" s="17">
        <v>37902</v>
      </c>
      <c r="F57" s="18">
        <v>53544</v>
      </c>
      <c r="G57" s="137">
        <f t="shared" si="4"/>
        <v>1.2199802445844571E-3</v>
      </c>
    </row>
    <row r="58" spans="1:7" x14ac:dyDescent="0.35">
      <c r="A58" s="7" t="s">
        <v>62</v>
      </c>
      <c r="B58" s="17">
        <v>61228</v>
      </c>
      <c r="C58" s="17">
        <v>42878</v>
      </c>
      <c r="D58" s="17">
        <v>18350</v>
      </c>
      <c r="E58" s="17">
        <v>17244</v>
      </c>
      <c r="F58" s="18">
        <v>26696</v>
      </c>
      <c r="G58" s="137">
        <f t="shared" si="4"/>
        <v>1.4095093955168816E-3</v>
      </c>
    </row>
    <row r="59" spans="1:7" x14ac:dyDescent="0.35">
      <c r="A59" s="7" t="s">
        <v>63</v>
      </c>
      <c r="B59" s="17">
        <v>540201</v>
      </c>
      <c r="C59" s="17">
        <v>280260.82</v>
      </c>
      <c r="D59" s="17">
        <v>259940.18</v>
      </c>
      <c r="E59" s="17">
        <v>8216.09</v>
      </c>
      <c r="F59" s="18">
        <v>201117.23</v>
      </c>
      <c r="G59" s="137">
        <f t="shared" si="4"/>
        <v>1.2435787302665691E-2</v>
      </c>
    </row>
    <row r="60" spans="1:7" x14ac:dyDescent="0.35">
      <c r="A60" s="7" t="s">
        <v>64</v>
      </c>
      <c r="B60" s="17">
        <v>101323</v>
      </c>
      <c r="C60" s="17">
        <v>42522.03</v>
      </c>
      <c r="D60" s="17">
        <v>58800.97</v>
      </c>
      <c r="E60" s="17">
        <v>24242.46</v>
      </c>
      <c r="F60" s="18">
        <v>79241.73</v>
      </c>
      <c r="G60" s="137">
        <f t="shared" si="4"/>
        <v>2.3325230365512021E-3</v>
      </c>
    </row>
    <row r="61" spans="1:7" x14ac:dyDescent="0.35">
      <c r="A61" s="7" t="s">
        <v>65</v>
      </c>
      <c r="B61" s="17">
        <v>6822975</v>
      </c>
      <c r="C61" s="17">
        <v>5123099.28</v>
      </c>
      <c r="D61" s="17">
        <v>1699875.72</v>
      </c>
      <c r="E61" s="17">
        <v>686304.36</v>
      </c>
      <c r="F61" s="18">
        <v>1789635.06</v>
      </c>
      <c r="G61" s="137">
        <f t="shared" si="4"/>
        <v>0.15706943502771273</v>
      </c>
    </row>
    <row r="62" spans="1:7" x14ac:dyDescent="0.35">
      <c r="A62" s="7" t="s">
        <v>66</v>
      </c>
      <c r="B62" s="17">
        <v>1398758</v>
      </c>
      <c r="C62" s="17">
        <v>692355.7</v>
      </c>
      <c r="D62" s="17">
        <v>706402.3</v>
      </c>
      <c r="E62" s="17">
        <v>508257</v>
      </c>
      <c r="F62" s="18">
        <v>910994.3</v>
      </c>
      <c r="G62" s="137">
        <f t="shared" si="4"/>
        <v>3.2200342050277692E-2</v>
      </c>
    </row>
    <row r="63" spans="1:7" x14ac:dyDescent="0.35">
      <c r="A63" s="7" t="s">
        <v>67</v>
      </c>
      <c r="B63" s="17">
        <v>157070</v>
      </c>
      <c r="C63" s="17">
        <v>197939.46</v>
      </c>
      <c r="D63" s="17">
        <v>-40869.46</v>
      </c>
      <c r="E63" s="17">
        <v>282.49</v>
      </c>
      <c r="F63" s="18">
        <v>-30440.11</v>
      </c>
      <c r="G63" s="137">
        <f t="shared" si="4"/>
        <v>3.6158561565596886E-3</v>
      </c>
    </row>
    <row r="64" spans="1:7" x14ac:dyDescent="0.35">
      <c r="A64" s="7" t="s">
        <v>68</v>
      </c>
      <c r="B64" s="17">
        <v>49038</v>
      </c>
      <c r="C64" s="17">
        <v>49038</v>
      </c>
      <c r="D64" s="17">
        <v>49645.46</v>
      </c>
      <c r="E64" s="17">
        <v>0</v>
      </c>
      <c r="F64" s="18">
        <v>-607.46</v>
      </c>
      <c r="G64" s="137">
        <f t="shared" si="4"/>
        <v>1.1288874654954734E-3</v>
      </c>
    </row>
    <row r="65" spans="1:7" x14ac:dyDescent="0.35">
      <c r="A65" s="7" t="s">
        <v>69</v>
      </c>
      <c r="B65" s="17">
        <v>292783</v>
      </c>
      <c r="C65" s="17">
        <v>181392</v>
      </c>
      <c r="D65" s="17">
        <v>111391</v>
      </c>
      <c r="E65" s="17">
        <v>4881</v>
      </c>
      <c r="F65" s="18">
        <v>116272</v>
      </c>
      <c r="G65" s="137">
        <f t="shared" si="4"/>
        <v>6.7400599292418368E-3</v>
      </c>
    </row>
    <row r="66" spans="1:7" x14ac:dyDescent="0.35">
      <c r="A66" s="7" t="s">
        <v>110</v>
      </c>
      <c r="B66" s="17">
        <v>0</v>
      </c>
      <c r="C66" s="17">
        <v>112920</v>
      </c>
      <c r="D66" s="17">
        <v>-112920</v>
      </c>
      <c r="E66" s="17">
        <v>0</v>
      </c>
      <c r="F66" s="18">
        <v>-112920</v>
      </c>
      <c r="G66" s="137">
        <f t="shared" si="4"/>
        <v>0</v>
      </c>
    </row>
    <row r="67" spans="1:7" x14ac:dyDescent="0.35">
      <c r="A67" s="7" t="s">
        <v>71</v>
      </c>
      <c r="B67" s="17">
        <v>134212</v>
      </c>
      <c r="C67" s="17">
        <v>71513</v>
      </c>
      <c r="D67" s="17">
        <v>62699</v>
      </c>
      <c r="E67" s="17">
        <v>0</v>
      </c>
      <c r="F67" s="18">
        <v>62699</v>
      </c>
      <c r="G67" s="137">
        <f t="shared" si="4"/>
        <v>3.0896497516023995E-3</v>
      </c>
    </row>
    <row r="68" spans="1:7" x14ac:dyDescent="0.35">
      <c r="A68" s="7" t="s">
        <v>72</v>
      </c>
      <c r="B68" s="17">
        <v>430220</v>
      </c>
      <c r="C68" s="17">
        <v>442908</v>
      </c>
      <c r="D68" s="17">
        <v>-12688</v>
      </c>
      <c r="E68" s="17">
        <v>21324</v>
      </c>
      <c r="F68" s="18">
        <v>0</v>
      </c>
      <c r="G68" s="137">
        <f t="shared" si="4"/>
        <v>9.9039513317317699E-3</v>
      </c>
    </row>
    <row r="69" spans="1:7" x14ac:dyDescent="0.35">
      <c r="A69" s="7" t="s">
        <v>73</v>
      </c>
      <c r="B69" s="17">
        <v>31058</v>
      </c>
      <c r="C69" s="17">
        <v>97203</v>
      </c>
      <c r="D69" s="17">
        <v>-66145</v>
      </c>
      <c r="E69" s="17">
        <v>0</v>
      </c>
      <c r="F69" s="18">
        <v>-66145</v>
      </c>
      <c r="G69" s="137">
        <f t="shared" si="4"/>
        <v>7.1497587388063156E-4</v>
      </c>
    </row>
    <row r="70" spans="1:7" x14ac:dyDescent="0.35">
      <c r="A70" s="7" t="s">
        <v>74</v>
      </c>
      <c r="B70" s="17">
        <v>154309</v>
      </c>
      <c r="C70" s="17">
        <v>114963</v>
      </c>
      <c r="D70" s="17">
        <v>39346</v>
      </c>
      <c r="E70" s="17">
        <v>0</v>
      </c>
      <c r="F70" s="18">
        <v>35200</v>
      </c>
      <c r="G70" s="137">
        <f t="shared" si="4"/>
        <v>3.5522960951331825E-3</v>
      </c>
    </row>
    <row r="71" spans="1:7" x14ac:dyDescent="0.35">
      <c r="A71" s="7" t="s">
        <v>75</v>
      </c>
      <c r="B71" s="17">
        <v>27287</v>
      </c>
      <c r="C71" s="17">
        <v>35448.980000000003</v>
      </c>
      <c r="D71" s="17">
        <v>-8161.98</v>
      </c>
      <c r="E71" s="17">
        <v>0</v>
      </c>
      <c r="F71" s="18">
        <v>-8161.98</v>
      </c>
      <c r="G71" s="137">
        <f t="shared" si="4"/>
        <v>6.2816493884283579E-4</v>
      </c>
    </row>
    <row r="72" spans="1:7" x14ac:dyDescent="0.35">
      <c r="A72" s="7" t="s">
        <v>76</v>
      </c>
      <c r="B72" s="17">
        <v>40696</v>
      </c>
      <c r="C72" s="17">
        <v>50468.01</v>
      </c>
      <c r="D72" s="17">
        <v>-9772.01</v>
      </c>
      <c r="E72" s="17">
        <v>3065.42</v>
      </c>
      <c r="F72" s="18">
        <v>-6706.59</v>
      </c>
      <c r="G72" s="137">
        <f t="shared" si="4"/>
        <v>9.3684906186638497E-4</v>
      </c>
    </row>
    <row r="73" spans="1:7" x14ac:dyDescent="0.35">
      <c r="A73" s="7" t="s">
        <v>77</v>
      </c>
      <c r="B73" s="17">
        <v>1301205</v>
      </c>
      <c r="C73" s="17">
        <v>780659.79</v>
      </c>
      <c r="D73" s="17">
        <v>520545.21</v>
      </c>
      <c r="E73" s="17">
        <v>13281.9</v>
      </c>
      <c r="F73" s="18">
        <v>453467.11</v>
      </c>
      <c r="G73" s="137">
        <f t="shared" si="4"/>
        <v>2.995460692809734E-2</v>
      </c>
    </row>
    <row r="74" spans="1:7" x14ac:dyDescent="0.35">
      <c r="A74" s="7" t="s">
        <v>78</v>
      </c>
      <c r="B74" s="17">
        <v>50179</v>
      </c>
      <c r="C74" s="17">
        <v>92983.23</v>
      </c>
      <c r="D74" s="17">
        <v>-42804.23</v>
      </c>
      <c r="E74" s="17">
        <v>12791.56</v>
      </c>
      <c r="F74" s="18">
        <v>-30012.67</v>
      </c>
      <c r="G74" s="137">
        <f t="shared" si="4"/>
        <v>1.1551540464761483E-3</v>
      </c>
    </row>
    <row r="75" spans="1:7" x14ac:dyDescent="0.35">
      <c r="A75" s="7" t="s">
        <v>111</v>
      </c>
      <c r="B75" s="17">
        <v>125343</v>
      </c>
      <c r="C75" s="17">
        <v>337785.91</v>
      </c>
      <c r="D75" s="17">
        <v>-212442.91</v>
      </c>
      <c r="E75" s="17">
        <v>615.41999999999996</v>
      </c>
      <c r="F75" s="18">
        <v>-212827.49</v>
      </c>
      <c r="G75" s="137">
        <f t="shared" si="4"/>
        <v>2.885479456494945E-3</v>
      </c>
    </row>
    <row r="76" spans="1:7" x14ac:dyDescent="0.35">
      <c r="A76" s="7" t="s">
        <v>79</v>
      </c>
      <c r="B76" s="17"/>
      <c r="C76" s="17"/>
      <c r="D76" s="17"/>
      <c r="E76" s="17"/>
      <c r="F76" s="18"/>
      <c r="G76" s="137"/>
    </row>
    <row r="77" spans="1:7" x14ac:dyDescent="0.35">
      <c r="A77" s="7" t="s">
        <v>80</v>
      </c>
      <c r="B77" s="17">
        <v>441707</v>
      </c>
      <c r="C77" s="17">
        <v>325247</v>
      </c>
      <c r="D77" s="17">
        <v>116460</v>
      </c>
      <c r="E77" s="17">
        <v>0</v>
      </c>
      <c r="F77" s="18">
        <v>87345</v>
      </c>
      <c r="G77" s="137">
        <f t="shared" ref="G77:G101" si="5">B77/$B$108</f>
        <v>1.0168389732893043E-2</v>
      </c>
    </row>
    <row r="78" spans="1:7" x14ac:dyDescent="0.35">
      <c r="A78" s="7" t="s">
        <v>81</v>
      </c>
      <c r="B78" s="17">
        <v>71815</v>
      </c>
      <c r="C78" s="17">
        <v>102115</v>
      </c>
      <c r="D78" s="17">
        <v>-30300</v>
      </c>
      <c r="E78" s="17">
        <v>50964</v>
      </c>
      <c r="F78" s="18">
        <v>20664</v>
      </c>
      <c r="G78" s="137">
        <f t="shared" si="5"/>
        <v>1.6532291964304706E-3</v>
      </c>
    </row>
    <row r="79" spans="1:7" x14ac:dyDescent="0.35">
      <c r="A79" s="7" t="s">
        <v>82</v>
      </c>
      <c r="B79" s="17">
        <v>0</v>
      </c>
      <c r="C79" s="17">
        <v>33655</v>
      </c>
      <c r="D79" s="17">
        <v>-33655</v>
      </c>
      <c r="E79" s="17">
        <v>5000</v>
      </c>
      <c r="F79" s="18">
        <v>-28655</v>
      </c>
      <c r="G79" s="137">
        <f t="shared" si="5"/>
        <v>0</v>
      </c>
    </row>
    <row r="80" spans="1:7" x14ac:dyDescent="0.35">
      <c r="A80" s="7" t="s">
        <v>83</v>
      </c>
      <c r="B80" s="17">
        <v>280126</v>
      </c>
      <c r="C80" s="17">
        <v>354723.88</v>
      </c>
      <c r="D80" s="17">
        <v>-74597.88</v>
      </c>
      <c r="E80" s="17">
        <v>49993</v>
      </c>
      <c r="F80" s="18">
        <v>-24604.880000000001</v>
      </c>
      <c r="G80" s="137">
        <f t="shared" si="5"/>
        <v>6.4486873477585744E-3</v>
      </c>
    </row>
    <row r="81" spans="1:7" x14ac:dyDescent="0.35">
      <c r="A81" s="7" t="s">
        <v>112</v>
      </c>
      <c r="B81" s="17">
        <v>12051</v>
      </c>
      <c r="C81" s="17">
        <v>55274.75</v>
      </c>
      <c r="D81" s="17">
        <v>-43223.75</v>
      </c>
      <c r="E81" s="17">
        <v>863.69</v>
      </c>
      <c r="F81" s="18">
        <v>-42360.06</v>
      </c>
      <c r="G81" s="137">
        <f t="shared" si="5"/>
        <v>2.7742205731648824E-4</v>
      </c>
    </row>
    <row r="82" spans="1:7" x14ac:dyDescent="0.35">
      <c r="A82" s="7" t="s">
        <v>84</v>
      </c>
      <c r="B82" s="17">
        <v>345972</v>
      </c>
      <c r="C82" s="17">
        <v>263372</v>
      </c>
      <c r="D82" s="17">
        <v>82600</v>
      </c>
      <c r="E82" s="17">
        <v>9200</v>
      </c>
      <c r="F82" s="18">
        <v>68850</v>
      </c>
      <c r="G82" s="137">
        <f t="shared" si="5"/>
        <v>7.9645061832130173E-3</v>
      </c>
    </row>
    <row r="83" spans="1:7" x14ac:dyDescent="0.35">
      <c r="A83" s="7" t="s">
        <v>85</v>
      </c>
      <c r="B83" s="17">
        <v>814098</v>
      </c>
      <c r="C83" s="17">
        <v>401298</v>
      </c>
      <c r="D83" s="17">
        <v>412800</v>
      </c>
      <c r="E83" s="17">
        <v>15253</v>
      </c>
      <c r="F83" s="18">
        <v>321040</v>
      </c>
      <c r="G83" s="137">
        <f t="shared" si="5"/>
        <v>1.874107891604335E-2</v>
      </c>
    </row>
    <row r="84" spans="1:7" x14ac:dyDescent="0.35">
      <c r="A84" s="7" t="s">
        <v>86</v>
      </c>
      <c r="B84" s="17">
        <v>1211366</v>
      </c>
      <c r="C84" s="17">
        <v>706567.08</v>
      </c>
      <c r="D84" s="17">
        <v>504798.92</v>
      </c>
      <c r="E84" s="17">
        <v>86207.78</v>
      </c>
      <c r="F84" s="18">
        <v>591006.69999999995</v>
      </c>
      <c r="G84" s="137">
        <f t="shared" si="5"/>
        <v>2.7886453230706588E-2</v>
      </c>
    </row>
    <row r="85" spans="1:7" x14ac:dyDescent="0.35">
      <c r="A85" s="7" t="s">
        <v>87</v>
      </c>
      <c r="B85" s="17">
        <v>79081</v>
      </c>
      <c r="C85" s="17">
        <v>101326.8</v>
      </c>
      <c r="D85" s="17">
        <v>-22245.8</v>
      </c>
      <c r="E85" s="17">
        <v>44665</v>
      </c>
      <c r="F85" s="18">
        <v>22419.200000000001</v>
      </c>
      <c r="G85" s="137">
        <f t="shared" si="5"/>
        <v>1.8204973624301058E-3</v>
      </c>
    </row>
    <row r="86" spans="1:7" x14ac:dyDescent="0.35">
      <c r="A86" s="7" t="s">
        <v>88</v>
      </c>
      <c r="B86" s="17"/>
      <c r="C86" s="17"/>
      <c r="D86" s="17"/>
      <c r="E86" s="17"/>
      <c r="F86" s="18"/>
      <c r="G86" s="137">
        <f t="shared" si="5"/>
        <v>0</v>
      </c>
    </row>
    <row r="87" spans="1:7" x14ac:dyDescent="0.35">
      <c r="A87" s="7" t="s">
        <v>89</v>
      </c>
      <c r="B87" s="17">
        <v>192759</v>
      </c>
      <c r="C87" s="17">
        <v>60437.919999999998</v>
      </c>
      <c r="D87" s="17">
        <v>132321.07999999999</v>
      </c>
      <c r="E87" s="17">
        <v>0</v>
      </c>
      <c r="F87" s="18">
        <v>132321.07999999999</v>
      </c>
      <c r="G87" s="137">
        <f t="shared" si="5"/>
        <v>4.4374407390481247E-3</v>
      </c>
    </row>
    <row r="88" spans="1:7" x14ac:dyDescent="0.35">
      <c r="A88" s="7" t="s">
        <v>90</v>
      </c>
      <c r="B88" s="17">
        <v>708476</v>
      </c>
      <c r="C88" s="17">
        <v>258150</v>
      </c>
      <c r="D88" s="17">
        <v>450326</v>
      </c>
      <c r="E88" s="17">
        <v>0</v>
      </c>
      <c r="F88" s="18">
        <v>450326</v>
      </c>
      <c r="G88" s="137">
        <f t="shared" si="5"/>
        <v>1.6309590032309047E-2</v>
      </c>
    </row>
    <row r="89" spans="1:7" x14ac:dyDescent="0.35">
      <c r="A89" s="7" t="s">
        <v>91</v>
      </c>
      <c r="B89" s="17">
        <v>2148000</v>
      </c>
      <c r="C89" s="17">
        <v>1343649</v>
      </c>
      <c r="D89" s="17">
        <v>804351</v>
      </c>
      <c r="E89" s="17">
        <v>50000</v>
      </c>
      <c r="F89" s="18">
        <v>731337</v>
      </c>
      <c r="G89" s="137">
        <f t="shared" si="5"/>
        <v>4.9448392591139048E-2</v>
      </c>
    </row>
    <row r="90" spans="1:7" x14ac:dyDescent="0.35">
      <c r="A90" s="7" t="s">
        <v>92</v>
      </c>
      <c r="B90" s="17">
        <v>17000</v>
      </c>
      <c r="C90" s="17">
        <v>16708</v>
      </c>
      <c r="D90" s="17">
        <v>292</v>
      </c>
      <c r="E90" s="17">
        <v>0</v>
      </c>
      <c r="F90" s="18">
        <v>292</v>
      </c>
      <c r="G90" s="137">
        <f t="shared" si="5"/>
        <v>3.9135133801180812E-4</v>
      </c>
    </row>
    <row r="91" spans="1:7" x14ac:dyDescent="0.35">
      <c r="A91" s="7" t="s">
        <v>93</v>
      </c>
      <c r="B91" s="17">
        <v>25861</v>
      </c>
      <c r="C91" s="17">
        <v>127016</v>
      </c>
      <c r="D91" s="17">
        <v>-101155</v>
      </c>
      <c r="E91" s="17">
        <v>976</v>
      </c>
      <c r="F91" s="18">
        <v>-100179</v>
      </c>
      <c r="G91" s="137">
        <f t="shared" si="5"/>
        <v>5.953374677837277E-4</v>
      </c>
    </row>
    <row r="92" spans="1:7" x14ac:dyDescent="0.35">
      <c r="A92" s="7" t="s">
        <v>113</v>
      </c>
      <c r="B92" s="17">
        <v>133445</v>
      </c>
      <c r="C92" s="17">
        <v>21751</v>
      </c>
      <c r="D92" s="17">
        <v>111694</v>
      </c>
      <c r="E92" s="17">
        <v>0</v>
      </c>
      <c r="F92" s="18">
        <v>83080</v>
      </c>
      <c r="G92" s="137">
        <f t="shared" si="5"/>
        <v>3.0719929000579843E-3</v>
      </c>
    </row>
    <row r="93" spans="1:7" x14ac:dyDescent="0.35">
      <c r="A93" s="7" t="s">
        <v>94</v>
      </c>
      <c r="B93" s="17">
        <v>744194</v>
      </c>
      <c r="C93" s="17">
        <v>564859.56000000006</v>
      </c>
      <c r="D93" s="17">
        <v>179334.44</v>
      </c>
      <c r="E93" s="17">
        <v>0</v>
      </c>
      <c r="F93" s="18">
        <v>134500.85999999999</v>
      </c>
      <c r="G93" s="137">
        <f t="shared" si="5"/>
        <v>1.7131842214138795E-2</v>
      </c>
    </row>
    <row r="94" spans="1:7" x14ac:dyDescent="0.35">
      <c r="A94" s="7" t="s">
        <v>114</v>
      </c>
      <c r="B94" s="17">
        <v>259692</v>
      </c>
      <c r="C94" s="17">
        <v>144200</v>
      </c>
      <c r="D94" s="17">
        <v>115492</v>
      </c>
      <c r="E94" s="17">
        <v>0</v>
      </c>
      <c r="F94" s="18">
        <v>115492</v>
      </c>
      <c r="G94" s="137">
        <f t="shared" si="5"/>
        <v>5.9782830394683809E-3</v>
      </c>
    </row>
    <row r="95" spans="1:7" x14ac:dyDescent="0.35">
      <c r="A95" s="7" t="s">
        <v>95</v>
      </c>
      <c r="B95" s="17">
        <v>88134</v>
      </c>
      <c r="C95" s="17">
        <v>27865</v>
      </c>
      <c r="D95" s="17">
        <v>60269</v>
      </c>
      <c r="E95" s="17">
        <v>18425</v>
      </c>
      <c r="F95" s="18">
        <v>76858.78</v>
      </c>
      <c r="G95" s="137">
        <f t="shared" si="5"/>
        <v>2.0289034602548645E-3</v>
      </c>
    </row>
    <row r="96" spans="1:7" x14ac:dyDescent="0.35">
      <c r="A96" s="7" t="s">
        <v>96</v>
      </c>
      <c r="B96" s="17">
        <v>41785</v>
      </c>
      <c r="C96" s="17">
        <v>51065</v>
      </c>
      <c r="D96" s="17">
        <v>-9280</v>
      </c>
      <c r="E96" s="17">
        <v>3200</v>
      </c>
      <c r="F96" s="18">
        <v>-6080</v>
      </c>
      <c r="G96" s="137">
        <f t="shared" si="5"/>
        <v>9.6191856816608252E-4</v>
      </c>
    </row>
    <row r="97" spans="1:7" x14ac:dyDescent="0.35">
      <c r="A97" s="7" t="s">
        <v>97</v>
      </c>
      <c r="B97" s="17">
        <v>181940</v>
      </c>
      <c r="C97" s="17">
        <v>154715</v>
      </c>
      <c r="D97" s="17">
        <v>27225</v>
      </c>
      <c r="E97" s="17">
        <v>46651</v>
      </c>
      <c r="F97" s="18">
        <v>11096</v>
      </c>
      <c r="G97" s="137">
        <f t="shared" si="5"/>
        <v>4.1883801434040215E-3</v>
      </c>
    </row>
    <row r="98" spans="1:7" x14ac:dyDescent="0.35">
      <c r="A98" s="7" t="s">
        <v>98</v>
      </c>
      <c r="B98" s="17">
        <v>523915</v>
      </c>
      <c r="C98" s="17">
        <v>408981</v>
      </c>
      <c r="D98" s="17">
        <v>114934</v>
      </c>
      <c r="E98" s="17">
        <v>9207</v>
      </c>
      <c r="F98" s="18">
        <v>92898</v>
      </c>
      <c r="G98" s="137">
        <f t="shared" si="5"/>
        <v>1.206087272085038E-2</v>
      </c>
    </row>
    <row r="99" spans="1:7" x14ac:dyDescent="0.35">
      <c r="A99" s="7" t="s">
        <v>99</v>
      </c>
      <c r="B99" s="17">
        <v>160892</v>
      </c>
      <c r="C99" s="17">
        <v>79878.8</v>
      </c>
      <c r="D99" s="17">
        <v>81013.2</v>
      </c>
      <c r="E99" s="17">
        <v>-9.86</v>
      </c>
      <c r="F99" s="18">
        <v>60752.38</v>
      </c>
      <c r="G99" s="137">
        <f t="shared" si="5"/>
        <v>3.7038411456115196E-3</v>
      </c>
    </row>
    <row r="100" spans="1:7" x14ac:dyDescent="0.35">
      <c r="A100" s="7" t="s">
        <v>100</v>
      </c>
      <c r="B100" s="17">
        <v>919956</v>
      </c>
      <c r="C100" s="17">
        <v>688707.27</v>
      </c>
      <c r="D100" s="17">
        <v>231248.73</v>
      </c>
      <c r="E100" s="17">
        <v>0</v>
      </c>
      <c r="F100" s="18">
        <v>231248.73</v>
      </c>
      <c r="G100" s="137">
        <f t="shared" si="5"/>
        <v>2.1178000677175939E-2</v>
      </c>
    </row>
    <row r="101" spans="1:7" x14ac:dyDescent="0.35">
      <c r="A101" s="7" t="s">
        <v>101</v>
      </c>
      <c r="B101" s="17">
        <v>20449</v>
      </c>
      <c r="C101" s="17">
        <v>20449</v>
      </c>
      <c r="D101" s="17">
        <v>19533.87</v>
      </c>
      <c r="E101" s="17">
        <v>45.13</v>
      </c>
      <c r="F101" s="18">
        <v>960.26</v>
      </c>
      <c r="G101" s="137">
        <f t="shared" si="5"/>
        <v>4.7074961829432141E-4</v>
      </c>
    </row>
    <row r="102" spans="1:7" x14ac:dyDescent="0.35">
      <c r="A102" s="7" t="s">
        <v>102</v>
      </c>
      <c r="B102" s="17">
        <v>38832</v>
      </c>
      <c r="C102" s="17">
        <v>28724</v>
      </c>
      <c r="D102" s="17">
        <v>10108</v>
      </c>
      <c r="E102" s="17">
        <v>0</v>
      </c>
      <c r="F102" s="18">
        <v>10108</v>
      </c>
      <c r="G102" s="137">
        <f t="shared" ref="G102:G108" si="6">B102/$B$108</f>
        <v>8.939385386867373E-4</v>
      </c>
    </row>
    <row r="103" spans="1:7" x14ac:dyDescent="0.35">
      <c r="A103" s="7" t="s">
        <v>103</v>
      </c>
      <c r="B103" s="17">
        <v>341985</v>
      </c>
      <c r="C103" s="17">
        <v>410087.04</v>
      </c>
      <c r="D103" s="17">
        <v>-68102.039999999994</v>
      </c>
      <c r="E103" s="17">
        <v>84496.89</v>
      </c>
      <c r="F103" s="18">
        <v>16394.849999999999</v>
      </c>
      <c r="G103" s="137">
        <f t="shared" si="6"/>
        <v>7.8727227841157762E-3</v>
      </c>
    </row>
    <row r="104" spans="1:7" x14ac:dyDescent="0.35">
      <c r="A104" s="7" t="s">
        <v>104</v>
      </c>
      <c r="B104" s="17">
        <v>306729</v>
      </c>
      <c r="C104" s="17">
        <v>212542</v>
      </c>
      <c r="D104" s="17">
        <v>94187</v>
      </c>
      <c r="E104" s="17">
        <v>5688</v>
      </c>
      <c r="F104" s="18">
        <v>99875</v>
      </c>
      <c r="G104" s="137">
        <f t="shared" si="6"/>
        <v>7.0611061504131699E-3</v>
      </c>
    </row>
    <row r="105" spans="1:7" x14ac:dyDescent="0.35">
      <c r="A105" s="7" t="s">
        <v>105</v>
      </c>
      <c r="B105" s="17">
        <v>58793</v>
      </c>
      <c r="C105" s="17">
        <v>46378.01</v>
      </c>
      <c r="D105" s="17">
        <v>12414.99</v>
      </c>
      <c r="E105" s="17">
        <v>0</v>
      </c>
      <c r="F105" s="18">
        <v>12414.99</v>
      </c>
      <c r="G105" s="137">
        <f t="shared" si="6"/>
        <v>1.3534540715134256E-3</v>
      </c>
    </row>
    <row r="106" spans="1:7" x14ac:dyDescent="0.35">
      <c r="A106" s="7" t="s">
        <v>106</v>
      </c>
      <c r="B106" s="17">
        <v>3829402</v>
      </c>
      <c r="C106" s="17">
        <v>1077963.8600000001</v>
      </c>
      <c r="D106" s="17">
        <v>2751438.14</v>
      </c>
      <c r="E106" s="17">
        <v>147347.32</v>
      </c>
      <c r="F106" s="18">
        <v>2898785.46</v>
      </c>
      <c r="G106" s="137">
        <f t="shared" si="6"/>
        <v>8.8155388028534939E-2</v>
      </c>
    </row>
    <row r="107" spans="1:7" x14ac:dyDescent="0.35">
      <c r="A107" s="8" t="s">
        <v>107</v>
      </c>
      <c r="B107" s="19">
        <v>840014</v>
      </c>
      <c r="C107" s="19">
        <v>696050.98</v>
      </c>
      <c r="D107" s="19">
        <v>143963.01999999999</v>
      </c>
      <c r="E107" s="19">
        <v>0</v>
      </c>
      <c r="F107" s="20">
        <v>107972.26</v>
      </c>
      <c r="G107" s="137">
        <f t="shared" si="6"/>
        <v>1.9337682520508881E-2</v>
      </c>
    </row>
    <row r="108" spans="1:7" ht="13.9" x14ac:dyDescent="0.4">
      <c r="A108" s="9" t="s">
        <v>108</v>
      </c>
      <c r="B108" s="21">
        <f t="shared" ref="B108:F108" si="7">SUM(B6:B107)</f>
        <v>43439228</v>
      </c>
      <c r="C108" s="21">
        <f t="shared" si="7"/>
        <v>29925016.300000001</v>
      </c>
      <c r="D108" s="21">
        <f t="shared" si="7"/>
        <v>13583391.029999997</v>
      </c>
      <c r="E108" s="21">
        <f t="shared" si="7"/>
        <v>2588663.3213424264</v>
      </c>
      <c r="F108" s="21">
        <f t="shared" si="7"/>
        <v>13618165.42</v>
      </c>
      <c r="G108" s="13">
        <f t="shared" si="6"/>
        <v>1</v>
      </c>
    </row>
    <row r="109" spans="1:7" x14ac:dyDescent="0.35">
      <c r="A109" s="167"/>
      <c r="B109" s="168"/>
      <c r="C109" s="168"/>
      <c r="D109" s="168"/>
      <c r="E109" s="168"/>
      <c r="F109" s="169"/>
    </row>
  </sheetData>
  <mergeCells count="3">
    <mergeCell ref="A4:F4"/>
    <mergeCell ref="A109:F109"/>
    <mergeCell ref="A1:G1"/>
  </mergeCells>
  <phoneticPr fontId="0" type="noConversion"/>
  <dataValidations count="1">
    <dataValidation type="list" allowBlank="1" showInputMessage="1" showErrorMessage="1" sqref="A3" xr:uid="{00000000-0002-0000-0100-000000000000}">
      <formula1>$A$7:$A$85</formula1>
    </dataValidation>
  </dataValidations>
  <pageMargins left="0.75" right="0.75" top="1" bottom="1" header="0.5" footer="0.5"/>
  <pageSetup orientation="portrait" horizontalDpi="4294967295" verticalDpi="4294967295" r:id="rId1"/>
  <headerFooter alignWithMargins="0"/>
  <customProperties>
    <customPr name="LastActive" r:id="rId2"/>
  </customProperties>
  <ignoredErrors>
    <ignoredError sqref="C3:G3" formulaRange="1"/>
  </ignoredErrors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7"/>
  <sheetViews>
    <sheetView zoomScale="82" zoomScaleNormal="82" workbookViewId="0">
      <selection activeCell="A27" sqref="A27:XFD27"/>
    </sheetView>
  </sheetViews>
  <sheetFormatPr defaultRowHeight="12.75" x14ac:dyDescent="0.35"/>
  <cols>
    <col min="1" max="1" width="51.73046875" bestFit="1" customWidth="1"/>
    <col min="2" max="2" width="26.73046875" bestFit="1" customWidth="1"/>
    <col min="3" max="3" width="35.73046875" bestFit="1" customWidth="1"/>
    <col min="4" max="4" width="26" bestFit="1" customWidth="1"/>
    <col min="5" max="5" width="34.265625" bestFit="1" customWidth="1"/>
    <col min="6" max="6" width="30.59765625" customWidth="1"/>
    <col min="7" max="7" width="18.3984375" customWidth="1"/>
  </cols>
  <sheetData>
    <row r="1" spans="1:7" ht="23.25" x14ac:dyDescent="0.7">
      <c r="A1" s="163" t="s">
        <v>115</v>
      </c>
      <c r="B1" s="163"/>
      <c r="C1" s="163"/>
      <c r="D1" s="163"/>
      <c r="E1" s="163"/>
      <c r="F1" s="163"/>
      <c r="G1" s="163"/>
    </row>
    <row r="2" spans="1:7" ht="24.75" customHeight="1" x14ac:dyDescent="0.65">
      <c r="A2" s="29" t="s">
        <v>1</v>
      </c>
      <c r="B2" s="30" t="s">
        <v>2</v>
      </c>
      <c r="C2" s="30" t="s">
        <v>3</v>
      </c>
      <c r="D2" s="30" t="s">
        <v>4</v>
      </c>
      <c r="E2" s="30" t="s">
        <v>5</v>
      </c>
      <c r="F2" s="30" t="s">
        <v>6</v>
      </c>
      <c r="G2" s="26" t="s">
        <v>116</v>
      </c>
    </row>
    <row r="3" spans="1:7" ht="21" x14ac:dyDescent="0.65">
      <c r="A3" s="31" t="s">
        <v>14</v>
      </c>
      <c r="B3" s="32">
        <f>INDEX(B6:B92,MATCH($A$3,$A$6:$A$92,0))</f>
        <v>771229</v>
      </c>
      <c r="C3" s="32">
        <f>INDEX(C7:C92,MATCH($A$3,$A$7:$A$92,0))</f>
        <v>589965.5</v>
      </c>
      <c r="D3" s="32">
        <f>INDEX(D7:D92,MATCH($A$3,$A$7:$A$92,0))</f>
        <v>181263.5</v>
      </c>
      <c r="E3" s="32">
        <f>INDEX(E7:E92,MATCH($A$3,$A$7:$A$92,0))</f>
        <v>25595</v>
      </c>
      <c r="F3" s="32">
        <f>INDEX(F7:F92,MATCH($A$3,$A$7:$A$92,0))</f>
        <v>155143.5</v>
      </c>
      <c r="G3" s="25">
        <f>INDEX(G7:G92,MATCH($A$3,$A$7:$A$92,0))</f>
        <v>1.0498909357280286E-2</v>
      </c>
    </row>
    <row r="4" spans="1:7" ht="10.5" customHeight="1" x14ac:dyDescent="0.65">
      <c r="A4" s="38"/>
      <c r="B4" s="39"/>
      <c r="C4" s="39"/>
      <c r="D4" s="39"/>
      <c r="E4" s="39"/>
      <c r="F4" s="39"/>
      <c r="G4" s="40"/>
    </row>
    <row r="5" spans="1:7" x14ac:dyDescent="0.35">
      <c r="A5" s="44" t="s">
        <v>1</v>
      </c>
      <c r="B5" s="138" t="s">
        <v>2</v>
      </c>
      <c r="C5" s="138" t="s">
        <v>3</v>
      </c>
      <c r="D5" s="138" t="s">
        <v>4</v>
      </c>
      <c r="E5" s="138" t="s">
        <v>5</v>
      </c>
      <c r="F5" s="139" t="s">
        <v>6</v>
      </c>
      <c r="G5" s="138" t="s">
        <v>9</v>
      </c>
    </row>
    <row r="6" spans="1:7" x14ac:dyDescent="0.35">
      <c r="A6" s="35" t="s">
        <v>117</v>
      </c>
      <c r="B6" s="36">
        <v>31216</v>
      </c>
      <c r="C6" s="36">
        <v>93591.34</v>
      </c>
      <c r="D6" s="48">
        <v>-62375.34</v>
      </c>
      <c r="E6" s="36">
        <v>2233.98</v>
      </c>
      <c r="F6" s="50">
        <v>-60141.36</v>
      </c>
      <c r="G6" s="45">
        <f t="shared" ref="G6:G36" si="0">B6/$B$117</f>
        <v>4.2495024758776106E-4</v>
      </c>
    </row>
    <row r="7" spans="1:7" x14ac:dyDescent="0.35">
      <c r="A7" s="35" t="s">
        <v>10</v>
      </c>
      <c r="B7" s="36">
        <v>1541628</v>
      </c>
      <c r="C7" s="36">
        <v>615521</v>
      </c>
      <c r="D7" s="48">
        <v>926107</v>
      </c>
      <c r="E7" s="37">
        <v>0</v>
      </c>
      <c r="F7" s="50">
        <v>926107</v>
      </c>
      <c r="G7" s="45">
        <f t="shared" si="0"/>
        <v>2.0986519742703259E-2</v>
      </c>
    </row>
    <row r="8" spans="1:7" x14ac:dyDescent="0.35">
      <c r="A8" s="35" t="s">
        <v>11</v>
      </c>
      <c r="B8" s="36">
        <v>57581</v>
      </c>
      <c r="C8" s="36">
        <v>86984.3</v>
      </c>
      <c r="D8" s="48">
        <v>-29403.3</v>
      </c>
      <c r="E8" s="37"/>
      <c r="F8" s="50">
        <v>-29403.3</v>
      </c>
      <c r="G8" s="45">
        <f t="shared" si="0"/>
        <v>7.8386276929622218E-4</v>
      </c>
    </row>
    <row r="9" spans="1:7" x14ac:dyDescent="0.35">
      <c r="A9" s="35" t="s">
        <v>12</v>
      </c>
      <c r="B9" s="36">
        <v>791464</v>
      </c>
      <c r="C9" s="36">
        <v>522510.8</v>
      </c>
      <c r="D9" s="48">
        <v>268953.2</v>
      </c>
      <c r="E9" s="37"/>
      <c r="F9" s="50">
        <v>364851.20000000001</v>
      </c>
      <c r="G9" s="45">
        <f t="shared" si="0"/>
        <v>1.0774372845873901E-2</v>
      </c>
    </row>
    <row r="10" spans="1:7" x14ac:dyDescent="0.35">
      <c r="A10" s="35" t="s">
        <v>13</v>
      </c>
      <c r="B10" s="36">
        <v>162485</v>
      </c>
      <c r="C10" s="36">
        <v>133314</v>
      </c>
      <c r="D10" s="48">
        <v>29171</v>
      </c>
      <c r="E10" s="36">
        <v>18350</v>
      </c>
      <c r="F10" s="50">
        <v>35641</v>
      </c>
      <c r="G10" s="45">
        <f t="shared" si="0"/>
        <v>2.2119439063075781E-3</v>
      </c>
    </row>
    <row r="11" spans="1:7" x14ac:dyDescent="0.35">
      <c r="A11" s="35" t="s">
        <v>14</v>
      </c>
      <c r="B11" s="36">
        <v>771229</v>
      </c>
      <c r="C11" s="36">
        <v>589965.5</v>
      </c>
      <c r="D11" s="48">
        <v>181263.5</v>
      </c>
      <c r="E11" s="36">
        <v>25595</v>
      </c>
      <c r="F11" s="50">
        <v>155143.5</v>
      </c>
      <c r="G11" s="45">
        <f t="shared" si="0"/>
        <v>1.0498909357280286E-2</v>
      </c>
    </row>
    <row r="12" spans="1:7" x14ac:dyDescent="0.35">
      <c r="A12" s="35" t="s">
        <v>15</v>
      </c>
      <c r="B12" s="37"/>
      <c r="C12" s="37"/>
      <c r="D12" s="48"/>
      <c r="E12" s="37"/>
      <c r="F12" s="50"/>
      <c r="G12" s="45">
        <f t="shared" si="0"/>
        <v>0</v>
      </c>
    </row>
    <row r="13" spans="1:7" x14ac:dyDescent="0.35">
      <c r="A13" s="35" t="s">
        <v>16</v>
      </c>
      <c r="B13" s="36">
        <v>2684351</v>
      </c>
      <c r="C13" s="36">
        <v>1328978.98</v>
      </c>
      <c r="D13" s="48">
        <v>1355372.02</v>
      </c>
      <c r="E13" s="36">
        <v>196843.84</v>
      </c>
      <c r="F13" s="50">
        <v>1164161.8799999999</v>
      </c>
      <c r="G13" s="45">
        <f t="shared" si="0"/>
        <v>3.654265831824878E-2</v>
      </c>
    </row>
    <row r="14" spans="1:7" x14ac:dyDescent="0.35">
      <c r="A14" s="35" t="s">
        <v>17</v>
      </c>
      <c r="B14" s="36">
        <v>350912</v>
      </c>
      <c r="C14" s="36">
        <v>259100</v>
      </c>
      <c r="D14" s="48">
        <v>91812</v>
      </c>
      <c r="E14" s="36">
        <v>64280.800000000003</v>
      </c>
      <c r="F14" s="50">
        <v>156092.79999999999</v>
      </c>
      <c r="G14" s="45">
        <f t="shared" si="0"/>
        <v>4.7770419426421198E-3</v>
      </c>
    </row>
    <row r="15" spans="1:7" x14ac:dyDescent="0.35">
      <c r="A15" s="35" t="s">
        <v>18</v>
      </c>
      <c r="B15" s="37"/>
      <c r="C15" s="37"/>
      <c r="D15" s="48"/>
      <c r="E15" s="37"/>
      <c r="F15" s="50"/>
      <c r="G15" s="45">
        <f t="shared" si="0"/>
        <v>0</v>
      </c>
    </row>
    <row r="16" spans="1:7" x14ac:dyDescent="0.35">
      <c r="A16" s="35" t="s">
        <v>19</v>
      </c>
      <c r="B16" s="36">
        <v>147834</v>
      </c>
      <c r="C16" s="36">
        <v>291557.78000000003</v>
      </c>
      <c r="D16" s="48">
        <v>-143723.78</v>
      </c>
      <c r="E16" s="37">
        <v>0</v>
      </c>
      <c r="F16" s="50">
        <v>-143723.78</v>
      </c>
      <c r="G16" s="45">
        <f t="shared" si="0"/>
        <v>2.012496633197369E-3</v>
      </c>
    </row>
    <row r="17" spans="1:7" x14ac:dyDescent="0.35">
      <c r="A17" s="35" t="s">
        <v>20</v>
      </c>
      <c r="B17" s="36">
        <v>273941</v>
      </c>
      <c r="C17" s="36">
        <v>277706</v>
      </c>
      <c r="D17" s="48">
        <v>-3765</v>
      </c>
      <c r="E17" s="37"/>
      <c r="F17" s="50">
        <v>15772</v>
      </c>
      <c r="G17" s="45">
        <f t="shared" si="0"/>
        <v>3.7292188548961702E-3</v>
      </c>
    </row>
    <row r="18" spans="1:7" x14ac:dyDescent="0.35">
      <c r="A18" s="35" t="s">
        <v>21</v>
      </c>
      <c r="B18" s="36">
        <v>442842</v>
      </c>
      <c r="C18" s="36">
        <v>417714</v>
      </c>
      <c r="D18" s="48">
        <v>25128</v>
      </c>
      <c r="E18" s="37"/>
      <c r="F18" s="50">
        <v>102046</v>
      </c>
      <c r="G18" s="45">
        <f t="shared" si="0"/>
        <v>6.0285051749826785E-3</v>
      </c>
    </row>
    <row r="19" spans="1:7" x14ac:dyDescent="0.35">
      <c r="A19" s="35" t="s">
        <v>22</v>
      </c>
      <c r="B19" s="36">
        <v>81086</v>
      </c>
      <c r="C19" s="36">
        <v>95062.63</v>
      </c>
      <c r="D19" s="48">
        <v>-13976.63</v>
      </c>
      <c r="E19" s="37">
        <v>0</v>
      </c>
      <c r="F19" s="50">
        <v>9175.31</v>
      </c>
      <c r="G19" s="45">
        <f t="shared" si="0"/>
        <v>1.1038414843638261E-3</v>
      </c>
    </row>
    <row r="20" spans="1:7" x14ac:dyDescent="0.35">
      <c r="A20" s="35" t="s">
        <v>23</v>
      </c>
      <c r="B20" s="36">
        <v>781177</v>
      </c>
      <c r="C20" s="36">
        <v>486643</v>
      </c>
      <c r="D20" s="48">
        <v>294534</v>
      </c>
      <c r="E20" s="37"/>
      <c r="F20" s="50">
        <v>432067</v>
      </c>
      <c r="G20" s="45">
        <f t="shared" si="0"/>
        <v>1.0634333660938763E-2</v>
      </c>
    </row>
    <row r="21" spans="1:7" x14ac:dyDescent="0.35">
      <c r="A21" s="35" t="s">
        <v>24</v>
      </c>
      <c r="B21" s="36">
        <v>2368851</v>
      </c>
      <c r="C21" s="36">
        <v>2332559.2799999998</v>
      </c>
      <c r="D21" s="48">
        <v>36291.72</v>
      </c>
      <c r="E21" s="37"/>
      <c r="F21" s="50">
        <v>341584.34</v>
      </c>
      <c r="G21" s="45">
        <f t="shared" si="0"/>
        <v>3.2247687690559822E-2</v>
      </c>
    </row>
    <row r="22" spans="1:7" x14ac:dyDescent="0.35">
      <c r="A22" s="35" t="s">
        <v>25</v>
      </c>
      <c r="B22" s="36">
        <v>278923</v>
      </c>
      <c r="C22" s="36">
        <v>276588</v>
      </c>
      <c r="D22" s="48">
        <v>2335</v>
      </c>
      <c r="E22" s="36">
        <v>3191</v>
      </c>
      <c r="F22" s="50">
        <v>5526</v>
      </c>
      <c r="G22" s="45">
        <f t="shared" si="0"/>
        <v>3.7970399124782508E-3</v>
      </c>
    </row>
    <row r="23" spans="1:7" x14ac:dyDescent="0.35">
      <c r="A23" s="35" t="s">
        <v>26</v>
      </c>
      <c r="B23" s="36">
        <v>16664</v>
      </c>
      <c r="C23" s="36">
        <v>44184.14</v>
      </c>
      <c r="D23" s="48">
        <v>-27520.14</v>
      </c>
      <c r="E23" s="36">
        <v>5482.87</v>
      </c>
      <c r="F23" s="50">
        <v>-22037.27</v>
      </c>
      <c r="G23" s="45">
        <f t="shared" si="0"/>
        <v>2.2685068316896626E-4</v>
      </c>
    </row>
    <row r="24" spans="1:7" x14ac:dyDescent="0.35">
      <c r="A24" s="35" t="s">
        <v>27</v>
      </c>
      <c r="B24" s="37"/>
      <c r="C24" s="37"/>
      <c r="D24" s="48"/>
      <c r="E24" s="37"/>
      <c r="F24" s="50"/>
      <c r="G24" s="45">
        <f t="shared" si="0"/>
        <v>0</v>
      </c>
    </row>
    <row r="25" spans="1:7" x14ac:dyDescent="0.35">
      <c r="A25" s="35" t="s">
        <v>118</v>
      </c>
      <c r="B25" s="36">
        <v>39359</v>
      </c>
      <c r="C25" s="36">
        <v>92602.8</v>
      </c>
      <c r="D25" s="48">
        <v>-53243.8</v>
      </c>
      <c r="E25" s="36">
        <v>15225</v>
      </c>
      <c r="F25" s="50">
        <v>-38018.800000000003</v>
      </c>
      <c r="G25" s="45">
        <f t="shared" si="0"/>
        <v>5.3580269076136233E-4</v>
      </c>
    </row>
    <row r="26" spans="1:7" x14ac:dyDescent="0.35">
      <c r="A26" s="35" t="s">
        <v>28</v>
      </c>
      <c r="B26" s="36">
        <v>325983</v>
      </c>
      <c r="C26" s="36">
        <v>225941</v>
      </c>
      <c r="D26" s="48">
        <v>100042</v>
      </c>
      <c r="E26" s="37"/>
      <c r="F26" s="50">
        <v>223600</v>
      </c>
      <c r="G26" s="45">
        <f t="shared" si="0"/>
        <v>4.4376780035687187E-3</v>
      </c>
    </row>
    <row r="27" spans="1:7" x14ac:dyDescent="0.35">
      <c r="A27" s="35" t="s">
        <v>8</v>
      </c>
      <c r="B27" s="36">
        <v>72572</v>
      </c>
      <c r="C27" s="36">
        <v>105159</v>
      </c>
      <c r="D27" s="48">
        <v>-32587</v>
      </c>
      <c r="E27" s="37">
        <v>0</v>
      </c>
      <c r="F27" s="50">
        <v>-32587</v>
      </c>
      <c r="G27" s="45">
        <f t="shared" si="0"/>
        <v>9.8793853690219745E-4</v>
      </c>
    </row>
    <row r="28" spans="1:7" x14ac:dyDescent="0.35">
      <c r="A28" s="35" t="s">
        <v>29</v>
      </c>
      <c r="B28" s="37"/>
      <c r="C28" s="37"/>
      <c r="D28" s="48"/>
      <c r="E28" s="37"/>
      <c r="F28" s="50"/>
      <c r="G28" s="45">
        <f t="shared" si="0"/>
        <v>0</v>
      </c>
    </row>
    <row r="29" spans="1:7" x14ac:dyDescent="0.35">
      <c r="A29" s="35" t="s">
        <v>30</v>
      </c>
      <c r="B29" s="36">
        <v>127365</v>
      </c>
      <c r="C29" s="36">
        <v>77174</v>
      </c>
      <c r="D29" s="48">
        <v>50191</v>
      </c>
      <c r="E29" s="37">
        <v>0</v>
      </c>
      <c r="F29" s="50">
        <v>37643</v>
      </c>
      <c r="G29" s="45">
        <f t="shared" si="0"/>
        <v>1.7338476513331365E-3</v>
      </c>
    </row>
    <row r="30" spans="1:7" x14ac:dyDescent="0.35">
      <c r="A30" s="35" t="s">
        <v>31</v>
      </c>
      <c r="B30" s="36">
        <v>262292</v>
      </c>
      <c r="C30" s="36">
        <v>240488.28</v>
      </c>
      <c r="D30" s="48">
        <v>21803.72</v>
      </c>
      <c r="E30" s="37">
        <v>0</v>
      </c>
      <c r="F30" s="50">
        <v>21803.72</v>
      </c>
      <c r="G30" s="45">
        <f t="shared" si="0"/>
        <v>3.5706384655397562E-3</v>
      </c>
    </row>
    <row r="31" spans="1:7" x14ac:dyDescent="0.35">
      <c r="A31" s="35" t="s">
        <v>32</v>
      </c>
      <c r="B31" s="36">
        <v>63818</v>
      </c>
      <c r="C31" s="36">
        <v>105813</v>
      </c>
      <c r="D31" s="48">
        <v>-41995</v>
      </c>
      <c r="E31" s="36">
        <v>7667</v>
      </c>
      <c r="F31" s="50">
        <v>-34328</v>
      </c>
      <c r="G31" s="45">
        <f t="shared" si="0"/>
        <v>8.6876841685532219E-4</v>
      </c>
    </row>
    <row r="32" spans="1:7" x14ac:dyDescent="0.35">
      <c r="A32" s="35" t="s">
        <v>33</v>
      </c>
      <c r="B32" s="37"/>
      <c r="C32" s="37"/>
      <c r="D32" s="48"/>
      <c r="E32" s="37"/>
      <c r="F32" s="50"/>
      <c r="G32" s="45">
        <f t="shared" si="0"/>
        <v>0</v>
      </c>
    </row>
    <row r="33" spans="1:7" x14ac:dyDescent="0.35">
      <c r="A33" s="35" t="s">
        <v>34</v>
      </c>
      <c r="B33" s="36">
        <v>26646</v>
      </c>
      <c r="C33" s="36">
        <v>22532</v>
      </c>
      <c r="D33" s="48">
        <v>4114</v>
      </c>
      <c r="E33" s="37"/>
      <c r="F33" s="50">
        <v>4114</v>
      </c>
      <c r="G33" s="45">
        <f t="shared" si="0"/>
        <v>3.627378362770208E-4</v>
      </c>
    </row>
    <row r="34" spans="1:7" x14ac:dyDescent="0.35">
      <c r="A34" s="35" t="s">
        <v>35</v>
      </c>
      <c r="B34" s="36">
        <v>776158</v>
      </c>
      <c r="C34" s="36">
        <v>794675</v>
      </c>
      <c r="D34" s="48">
        <v>-18517</v>
      </c>
      <c r="E34" s="37"/>
      <c r="F34" s="50">
        <v>5626</v>
      </c>
      <c r="G34" s="45">
        <f t="shared" si="0"/>
        <v>1.056600891424979E-2</v>
      </c>
    </row>
    <row r="35" spans="1:7" x14ac:dyDescent="0.35">
      <c r="A35" s="35" t="s">
        <v>36</v>
      </c>
      <c r="B35" s="36">
        <v>485570</v>
      </c>
      <c r="C35" s="36">
        <v>415543</v>
      </c>
      <c r="D35" s="48">
        <v>70027</v>
      </c>
      <c r="E35" s="37">
        <v>30</v>
      </c>
      <c r="F35" s="50">
        <v>52543</v>
      </c>
      <c r="G35" s="45">
        <f t="shared" si="0"/>
        <v>6.6101708009094423E-3</v>
      </c>
    </row>
    <row r="36" spans="1:7" x14ac:dyDescent="0.35">
      <c r="A36" s="35" t="s">
        <v>37</v>
      </c>
      <c r="B36" s="36">
        <v>165246</v>
      </c>
      <c r="C36" s="36">
        <v>50674</v>
      </c>
      <c r="D36" s="48">
        <v>114572</v>
      </c>
      <c r="E36" s="37"/>
      <c r="F36" s="50">
        <v>114572</v>
      </c>
      <c r="G36" s="45">
        <f t="shared" si="0"/>
        <v>2.249530004257021E-3</v>
      </c>
    </row>
    <row r="37" spans="1:7" x14ac:dyDescent="0.35">
      <c r="A37" s="35" t="s">
        <v>119</v>
      </c>
      <c r="B37" s="37"/>
      <c r="C37" s="37"/>
      <c r="D37" s="48"/>
      <c r="E37" s="37"/>
      <c r="F37" s="50"/>
      <c r="G37" s="45">
        <f t="shared" ref="G37:G68" si="1">B37/$B$117</f>
        <v>0</v>
      </c>
    </row>
    <row r="38" spans="1:7" x14ac:dyDescent="0.35">
      <c r="A38" s="35" t="s">
        <v>38</v>
      </c>
      <c r="B38" s="36">
        <v>172362</v>
      </c>
      <c r="C38" s="36">
        <v>170609.6</v>
      </c>
      <c r="D38" s="48">
        <v>1752.4</v>
      </c>
      <c r="E38" s="37"/>
      <c r="F38" s="50">
        <v>1752.4</v>
      </c>
      <c r="G38" s="45">
        <f t="shared" si="1"/>
        <v>2.3464016714095873E-3</v>
      </c>
    </row>
    <row r="39" spans="1:7" x14ac:dyDescent="0.35">
      <c r="A39" s="35" t="s">
        <v>39</v>
      </c>
      <c r="B39" s="36">
        <v>5036021</v>
      </c>
      <c r="C39" s="36">
        <v>3404935.89</v>
      </c>
      <c r="D39" s="48">
        <v>1631085.11</v>
      </c>
      <c r="E39" s="36">
        <v>439482</v>
      </c>
      <c r="F39" s="50">
        <v>1720567.11</v>
      </c>
      <c r="G39" s="45">
        <f t="shared" si="1"/>
        <v>6.8556457291362255E-2</v>
      </c>
    </row>
    <row r="40" spans="1:7" x14ac:dyDescent="0.35">
      <c r="A40" s="35" t="s">
        <v>120</v>
      </c>
      <c r="B40" s="37"/>
      <c r="C40" s="37"/>
      <c r="D40" s="48"/>
      <c r="E40" s="37"/>
      <c r="F40" s="50"/>
      <c r="G40" s="45">
        <f t="shared" si="1"/>
        <v>0</v>
      </c>
    </row>
    <row r="41" spans="1:7" x14ac:dyDescent="0.35">
      <c r="A41" s="35" t="s">
        <v>40</v>
      </c>
      <c r="B41" s="36">
        <v>132035</v>
      </c>
      <c r="C41" s="36">
        <v>80212.990000000005</v>
      </c>
      <c r="D41" s="48">
        <v>51822.01</v>
      </c>
      <c r="E41" s="37"/>
      <c r="F41" s="50">
        <v>75397.009999999995</v>
      </c>
      <c r="G41" s="45">
        <f t="shared" si="1"/>
        <v>1.7974213845543961E-3</v>
      </c>
    </row>
    <row r="42" spans="1:7" x14ac:dyDescent="0.35">
      <c r="A42" s="35" t="s">
        <v>41</v>
      </c>
      <c r="B42" s="36">
        <v>177275</v>
      </c>
      <c r="C42" s="36">
        <v>258389</v>
      </c>
      <c r="D42" s="48">
        <v>-81114</v>
      </c>
      <c r="E42" s="37"/>
      <c r="F42" s="50">
        <v>-81114</v>
      </c>
      <c r="G42" s="45">
        <f t="shared" si="1"/>
        <v>2.4132834168734091E-3</v>
      </c>
    </row>
    <row r="43" spans="1:7" x14ac:dyDescent="0.35">
      <c r="A43" s="35" t="s">
        <v>121</v>
      </c>
      <c r="B43" s="36">
        <v>2053118</v>
      </c>
      <c r="C43" s="36">
        <v>1802573.69</v>
      </c>
      <c r="D43" s="48">
        <v>250544.31</v>
      </c>
      <c r="E43" s="37"/>
      <c r="F43" s="50">
        <v>262544.31</v>
      </c>
      <c r="G43" s="45">
        <f t="shared" si="1"/>
        <v>2.7949545182819349E-2</v>
      </c>
    </row>
    <row r="44" spans="1:7" x14ac:dyDescent="0.35">
      <c r="A44" s="35" t="s">
        <v>43</v>
      </c>
      <c r="B44" s="36">
        <v>1268663</v>
      </c>
      <c r="C44" s="36">
        <v>1230886.08</v>
      </c>
      <c r="D44" s="48">
        <v>37776.92</v>
      </c>
      <c r="E44" s="37">
        <v>0</v>
      </c>
      <c r="F44" s="50">
        <v>38135.07</v>
      </c>
      <c r="G44" s="45">
        <f t="shared" si="1"/>
        <v>1.7270587389653758E-2</v>
      </c>
    </row>
    <row r="45" spans="1:7" x14ac:dyDescent="0.35">
      <c r="A45" s="35" t="s">
        <v>122</v>
      </c>
      <c r="B45" s="37"/>
      <c r="C45" s="37"/>
      <c r="D45" s="48"/>
      <c r="E45" s="37"/>
      <c r="F45" s="50"/>
      <c r="G45" s="45">
        <f t="shared" si="1"/>
        <v>0</v>
      </c>
    </row>
    <row r="46" spans="1:7" x14ac:dyDescent="0.35">
      <c r="A46" s="35" t="s">
        <v>44</v>
      </c>
      <c r="B46" s="37"/>
      <c r="C46" s="37"/>
      <c r="D46" s="48"/>
      <c r="E46" s="37"/>
      <c r="F46" s="50"/>
      <c r="G46" s="45">
        <f t="shared" si="1"/>
        <v>0</v>
      </c>
    </row>
    <row r="47" spans="1:7" x14ac:dyDescent="0.35">
      <c r="A47" s="35" t="s">
        <v>45</v>
      </c>
      <c r="B47" s="36">
        <v>22864</v>
      </c>
      <c r="C47" s="36">
        <v>60540</v>
      </c>
      <c r="D47" s="48">
        <v>-37676</v>
      </c>
      <c r="E47" s="37">
        <v>0</v>
      </c>
      <c r="F47" s="50">
        <v>-37676</v>
      </c>
      <c r="G47" s="45">
        <f t="shared" si="1"/>
        <v>3.1125264162117403E-4</v>
      </c>
    </row>
    <row r="48" spans="1:7" x14ac:dyDescent="0.35">
      <c r="A48" s="35" t="s">
        <v>46</v>
      </c>
      <c r="B48" s="37"/>
      <c r="C48" s="37"/>
      <c r="D48" s="48"/>
      <c r="E48" s="37"/>
      <c r="F48" s="50"/>
      <c r="G48" s="45">
        <f t="shared" si="1"/>
        <v>0</v>
      </c>
    </row>
    <row r="49" spans="1:7" x14ac:dyDescent="0.35">
      <c r="A49" s="35" t="s">
        <v>47</v>
      </c>
      <c r="B49" s="36">
        <v>11861</v>
      </c>
      <c r="C49" s="36">
        <v>38959</v>
      </c>
      <c r="D49" s="48">
        <v>-27098</v>
      </c>
      <c r="E49" s="37"/>
      <c r="F49" s="50">
        <v>-27098</v>
      </c>
      <c r="G49" s="45">
        <f t="shared" si="1"/>
        <v>1.614663918067156E-4</v>
      </c>
    </row>
    <row r="50" spans="1:7" x14ac:dyDescent="0.35">
      <c r="A50" s="35" t="s">
        <v>48</v>
      </c>
      <c r="B50" s="36">
        <v>47789</v>
      </c>
      <c r="C50" s="36">
        <v>99136</v>
      </c>
      <c r="D50" s="48">
        <v>-51347</v>
      </c>
      <c r="E50" s="36">
        <v>13977</v>
      </c>
      <c r="F50" s="50">
        <v>-37370</v>
      </c>
      <c r="G50" s="45">
        <f t="shared" si="1"/>
        <v>6.5056212781815464E-4</v>
      </c>
    </row>
    <row r="51" spans="1:7" x14ac:dyDescent="0.35">
      <c r="A51" s="35" t="s">
        <v>49</v>
      </c>
      <c r="B51" s="37"/>
      <c r="C51" s="37"/>
      <c r="D51" s="48"/>
      <c r="E51" s="37"/>
      <c r="F51" s="50"/>
      <c r="G51" s="45">
        <f t="shared" si="1"/>
        <v>0</v>
      </c>
    </row>
    <row r="52" spans="1:7" x14ac:dyDescent="0.35">
      <c r="A52" s="35" t="s">
        <v>50</v>
      </c>
      <c r="B52" s="36">
        <v>700313</v>
      </c>
      <c r="C52" s="36">
        <v>474105</v>
      </c>
      <c r="D52" s="48">
        <v>226208</v>
      </c>
      <c r="E52" s="36">
        <v>60857</v>
      </c>
      <c r="F52" s="50">
        <v>287065</v>
      </c>
      <c r="G52" s="45">
        <f t="shared" si="1"/>
        <v>9.5335143112162905E-3</v>
      </c>
    </row>
    <row r="53" spans="1:7" x14ac:dyDescent="0.35">
      <c r="A53" s="35" t="s">
        <v>123</v>
      </c>
      <c r="B53" s="36">
        <v>46214</v>
      </c>
      <c r="C53" s="36">
        <v>36045.199999999997</v>
      </c>
      <c r="D53" s="48">
        <v>10168.799999999999</v>
      </c>
      <c r="E53" s="37"/>
      <c r="F53" s="50">
        <v>12426.8</v>
      </c>
      <c r="G53" s="45">
        <f t="shared" si="1"/>
        <v>6.291213077274728E-4</v>
      </c>
    </row>
    <row r="54" spans="1:7" x14ac:dyDescent="0.35">
      <c r="A54" s="35" t="s">
        <v>51</v>
      </c>
      <c r="B54" s="36">
        <v>205575</v>
      </c>
      <c r="C54" s="36">
        <v>175287</v>
      </c>
      <c r="D54" s="48">
        <v>30288</v>
      </c>
      <c r="E54" s="36">
        <v>12392.25</v>
      </c>
      <c r="F54" s="50">
        <v>42680.25</v>
      </c>
      <c r="G54" s="45">
        <f t="shared" si="1"/>
        <v>2.7985375175504225E-3</v>
      </c>
    </row>
    <row r="55" spans="1:7" x14ac:dyDescent="0.35">
      <c r="A55" s="35" t="s">
        <v>52</v>
      </c>
      <c r="B55" s="36">
        <v>3952975</v>
      </c>
      <c r="C55" s="36">
        <v>2716913.71</v>
      </c>
      <c r="D55" s="48">
        <v>1236061.29</v>
      </c>
      <c r="E55" s="37"/>
      <c r="F55" s="50">
        <v>1236061.29</v>
      </c>
      <c r="G55" s="45">
        <f t="shared" si="1"/>
        <v>5.3812714792357441E-2</v>
      </c>
    </row>
    <row r="56" spans="1:7" x14ac:dyDescent="0.35">
      <c r="A56" s="35" t="s">
        <v>53</v>
      </c>
      <c r="B56" s="37"/>
      <c r="C56" s="37"/>
      <c r="D56" s="48"/>
      <c r="E56" s="37"/>
      <c r="F56" s="50"/>
      <c r="G56" s="45">
        <f t="shared" si="1"/>
        <v>0</v>
      </c>
    </row>
    <row r="57" spans="1:7" x14ac:dyDescent="0.35">
      <c r="A57" s="35" t="s">
        <v>54</v>
      </c>
      <c r="B57" s="36">
        <v>269647</v>
      </c>
      <c r="C57" s="36">
        <v>156513</v>
      </c>
      <c r="D57" s="48">
        <v>113134</v>
      </c>
      <c r="E57" s="37">
        <v>475</v>
      </c>
      <c r="F57" s="50">
        <v>113609</v>
      </c>
      <c r="G57" s="45">
        <f t="shared" si="1"/>
        <v>3.670763692058464E-3</v>
      </c>
    </row>
    <row r="58" spans="1:7" x14ac:dyDescent="0.35">
      <c r="A58" s="35" t="s">
        <v>55</v>
      </c>
      <c r="B58" s="36">
        <v>63582</v>
      </c>
      <c r="C58" s="36">
        <v>108327.85</v>
      </c>
      <c r="D58" s="48">
        <v>-44745.85</v>
      </c>
      <c r="E58" s="37">
        <v>0</v>
      </c>
      <c r="F58" s="50">
        <v>-16494.439999999999</v>
      </c>
      <c r="G58" s="45">
        <f t="shared" si="1"/>
        <v>8.6555569714649619E-4</v>
      </c>
    </row>
    <row r="59" spans="1:7" x14ac:dyDescent="0.35">
      <c r="A59" s="35" t="s">
        <v>56</v>
      </c>
      <c r="B59" s="37"/>
      <c r="C59" s="37"/>
      <c r="D59" s="48"/>
      <c r="E59" s="37"/>
      <c r="F59" s="50"/>
      <c r="G59" s="45">
        <f t="shared" si="1"/>
        <v>0</v>
      </c>
    </row>
    <row r="60" spans="1:7" x14ac:dyDescent="0.35">
      <c r="A60" s="35" t="s">
        <v>57</v>
      </c>
      <c r="B60" s="36">
        <v>1055175</v>
      </c>
      <c r="C60" s="36">
        <v>738743</v>
      </c>
      <c r="D60" s="48">
        <v>316432</v>
      </c>
      <c r="E60" s="36">
        <v>41410</v>
      </c>
      <c r="F60" s="50">
        <v>255852</v>
      </c>
      <c r="G60" s="45">
        <f t="shared" si="1"/>
        <v>1.436432846932393E-2</v>
      </c>
    </row>
    <row r="61" spans="1:7" x14ac:dyDescent="0.35">
      <c r="A61" s="35" t="s">
        <v>58</v>
      </c>
      <c r="B61" s="36">
        <v>46027</v>
      </c>
      <c r="C61" s="36">
        <v>26749</v>
      </c>
      <c r="D61" s="48">
        <v>19278</v>
      </c>
      <c r="E61" s="37"/>
      <c r="F61" s="50">
        <v>22664</v>
      </c>
      <c r="G61" s="45">
        <f t="shared" si="1"/>
        <v>6.2657563575480133E-4</v>
      </c>
    </row>
    <row r="62" spans="1:7" x14ac:dyDescent="0.35">
      <c r="A62" s="35" t="s">
        <v>124</v>
      </c>
      <c r="B62" s="37"/>
      <c r="C62" s="37"/>
      <c r="D62" s="48"/>
      <c r="E62" s="37"/>
      <c r="F62" s="50"/>
      <c r="G62" s="45">
        <f t="shared" si="1"/>
        <v>0</v>
      </c>
    </row>
    <row r="63" spans="1:7" x14ac:dyDescent="0.35">
      <c r="A63" s="35" t="s">
        <v>60</v>
      </c>
      <c r="B63" s="36">
        <v>2995978</v>
      </c>
      <c r="C63" s="36">
        <v>1424478.97</v>
      </c>
      <c r="D63" s="48">
        <v>1571499.03</v>
      </c>
      <c r="E63" s="36">
        <v>419175.23</v>
      </c>
      <c r="F63" s="50">
        <v>1474779.26</v>
      </c>
      <c r="G63" s="45">
        <f t="shared" si="1"/>
        <v>4.0784904948343324E-2</v>
      </c>
    </row>
    <row r="64" spans="1:7" x14ac:dyDescent="0.35">
      <c r="A64" s="35" t="s">
        <v>61</v>
      </c>
      <c r="B64" s="37"/>
      <c r="C64" s="37"/>
      <c r="D64" s="48"/>
      <c r="E64" s="37"/>
      <c r="F64" s="50"/>
      <c r="G64" s="45">
        <f t="shared" si="1"/>
        <v>0</v>
      </c>
    </row>
    <row r="65" spans="1:7" x14ac:dyDescent="0.35">
      <c r="A65" s="35" t="s">
        <v>62</v>
      </c>
      <c r="B65" s="36">
        <v>241667</v>
      </c>
      <c r="C65" s="36">
        <v>111068</v>
      </c>
      <c r="D65" s="48">
        <v>130599</v>
      </c>
      <c r="E65" s="36">
        <v>34702</v>
      </c>
      <c r="F65" s="50">
        <v>123976</v>
      </c>
      <c r="G65" s="45">
        <f t="shared" si="1"/>
        <v>3.2898658214951131E-3</v>
      </c>
    </row>
    <row r="66" spans="1:7" x14ac:dyDescent="0.35">
      <c r="A66" s="35" t="s">
        <v>63</v>
      </c>
      <c r="B66" s="36">
        <v>68789</v>
      </c>
      <c r="C66" s="36">
        <v>93897.01</v>
      </c>
      <c r="D66" s="48">
        <v>-25108.01</v>
      </c>
      <c r="E66" s="36">
        <v>7683.61</v>
      </c>
      <c r="F66" s="50">
        <v>-18478.419999999998</v>
      </c>
      <c r="G66" s="45">
        <f t="shared" si="1"/>
        <v>9.3643972902724554E-4</v>
      </c>
    </row>
    <row r="67" spans="1:7" x14ac:dyDescent="0.35">
      <c r="A67" s="35" t="s">
        <v>64</v>
      </c>
      <c r="B67" s="36">
        <v>147264</v>
      </c>
      <c r="C67" s="36">
        <v>62849.8</v>
      </c>
      <c r="D67" s="48">
        <v>84414.2</v>
      </c>
      <c r="E67" s="37"/>
      <c r="F67" s="50">
        <v>133318.56</v>
      </c>
      <c r="G67" s="45">
        <f t="shared" si="1"/>
        <v>2.0047370983074081E-3</v>
      </c>
    </row>
    <row r="68" spans="1:7" x14ac:dyDescent="0.35">
      <c r="A68" s="35" t="s">
        <v>65</v>
      </c>
      <c r="B68" s="36">
        <v>13482570</v>
      </c>
      <c r="C68" s="36">
        <v>10866177.310000001</v>
      </c>
      <c r="D68" s="48">
        <v>2616392.69</v>
      </c>
      <c r="E68" s="36">
        <v>2313998.37</v>
      </c>
      <c r="F68" s="50">
        <v>3697793.19</v>
      </c>
      <c r="G68" s="45">
        <f t="shared" si="1"/>
        <v>0.18354117951112633</v>
      </c>
    </row>
    <row r="69" spans="1:7" x14ac:dyDescent="0.35">
      <c r="A69" s="35" t="s">
        <v>66</v>
      </c>
      <c r="B69" s="36">
        <v>3234173</v>
      </c>
      <c r="C69" s="36">
        <v>1527430.06</v>
      </c>
      <c r="D69" s="48">
        <v>1706742.94</v>
      </c>
      <c r="E69" s="37"/>
      <c r="F69" s="50">
        <v>3138662.93</v>
      </c>
      <c r="G69" s="45">
        <f t="shared" ref="G69:G100" si="2">B69/$B$117</f>
        <v>4.4027505673105205E-2</v>
      </c>
    </row>
    <row r="70" spans="1:7" x14ac:dyDescent="0.35">
      <c r="A70" s="35" t="s">
        <v>67</v>
      </c>
      <c r="B70" s="36">
        <v>323522</v>
      </c>
      <c r="C70" s="36">
        <v>356931.79</v>
      </c>
      <c r="D70" s="48">
        <v>-33409.79</v>
      </c>
      <c r="E70" s="36">
        <v>15620.82</v>
      </c>
      <c r="F70" s="50">
        <v>-13341.71</v>
      </c>
      <c r="G70" s="45">
        <f t="shared" si="2"/>
        <v>4.4041758713508341E-3</v>
      </c>
    </row>
    <row r="71" spans="1:7" x14ac:dyDescent="0.35">
      <c r="A71" s="35" t="s">
        <v>68</v>
      </c>
      <c r="B71" s="36">
        <v>67417</v>
      </c>
      <c r="C71" s="36">
        <v>67417</v>
      </c>
      <c r="D71" s="48">
        <v>47109.52</v>
      </c>
      <c r="E71" s="37">
        <v>0</v>
      </c>
      <c r="F71" s="50">
        <v>20307.48</v>
      </c>
      <c r="G71" s="45">
        <f t="shared" si="2"/>
        <v>9.1776239241491829E-4</v>
      </c>
    </row>
    <row r="72" spans="1:7" x14ac:dyDescent="0.35">
      <c r="A72" s="35" t="s">
        <v>69</v>
      </c>
      <c r="B72" s="36">
        <v>688302</v>
      </c>
      <c r="C72" s="36">
        <v>311539</v>
      </c>
      <c r="D72" s="48">
        <v>376763</v>
      </c>
      <c r="E72" s="37"/>
      <c r="F72" s="50">
        <v>381645</v>
      </c>
      <c r="G72" s="45">
        <f t="shared" si="2"/>
        <v>9.3700059365437963E-3</v>
      </c>
    </row>
    <row r="73" spans="1:7" x14ac:dyDescent="0.35">
      <c r="A73" s="35" t="s">
        <v>110</v>
      </c>
      <c r="B73" s="36">
        <v>268192</v>
      </c>
      <c r="C73" s="36">
        <v>283232</v>
      </c>
      <c r="D73" s="48">
        <v>-15040</v>
      </c>
      <c r="E73" s="36">
        <v>5428</v>
      </c>
      <c r="F73" s="50">
        <v>-9612</v>
      </c>
      <c r="G73" s="45">
        <f t="shared" si="2"/>
        <v>3.6509564582604057E-3</v>
      </c>
    </row>
    <row r="74" spans="1:7" x14ac:dyDescent="0.35">
      <c r="A74" s="35" t="s">
        <v>125</v>
      </c>
      <c r="B74" s="37"/>
      <c r="C74" s="37"/>
      <c r="D74" s="48"/>
      <c r="E74" s="37"/>
      <c r="F74" s="50"/>
      <c r="G74" s="45">
        <f t="shared" si="2"/>
        <v>0</v>
      </c>
    </row>
    <row r="75" spans="1:7" x14ac:dyDescent="0.35">
      <c r="A75" s="35" t="s">
        <v>71</v>
      </c>
      <c r="B75" s="37"/>
      <c r="C75" s="37"/>
      <c r="D75" s="48"/>
      <c r="E75" s="37"/>
      <c r="F75" s="50"/>
      <c r="G75" s="45">
        <f t="shared" si="2"/>
        <v>0</v>
      </c>
    </row>
    <row r="76" spans="1:7" x14ac:dyDescent="0.35">
      <c r="A76" s="35" t="s">
        <v>72</v>
      </c>
      <c r="B76" s="36">
        <v>672911</v>
      </c>
      <c r="C76" s="36">
        <v>882685.08</v>
      </c>
      <c r="D76" s="48">
        <v>-209774.07999999999</v>
      </c>
      <c r="E76" s="37"/>
      <c r="F76" s="50">
        <v>-176880.08</v>
      </c>
      <c r="G76" s="45">
        <f t="shared" si="2"/>
        <v>9.160484881295743E-3</v>
      </c>
    </row>
    <row r="77" spans="1:7" x14ac:dyDescent="0.35">
      <c r="A77" s="35" t="s">
        <v>73</v>
      </c>
      <c r="B77" s="37"/>
      <c r="C77" s="37"/>
      <c r="D77" s="48"/>
      <c r="E77" s="37"/>
      <c r="F77" s="50"/>
      <c r="G77" s="45">
        <f t="shared" si="2"/>
        <v>0</v>
      </c>
    </row>
    <row r="78" spans="1:7" x14ac:dyDescent="0.35">
      <c r="A78" s="35" t="s">
        <v>126</v>
      </c>
      <c r="B78" s="37"/>
      <c r="C78" s="37"/>
      <c r="D78" s="48"/>
      <c r="E78" s="37"/>
      <c r="F78" s="50"/>
      <c r="G78" s="45">
        <f t="shared" si="2"/>
        <v>0</v>
      </c>
    </row>
    <row r="79" spans="1:7" x14ac:dyDescent="0.35">
      <c r="A79" s="35" t="s">
        <v>75</v>
      </c>
      <c r="B79" s="36">
        <v>85582</v>
      </c>
      <c r="C79" s="36">
        <v>85582</v>
      </c>
      <c r="D79" s="48">
        <v>0</v>
      </c>
      <c r="E79" s="37">
        <v>0</v>
      </c>
      <c r="F79" s="50">
        <v>0</v>
      </c>
      <c r="G79" s="45">
        <f t="shared" si="2"/>
        <v>1.165046517460782E-3</v>
      </c>
    </row>
    <row r="80" spans="1:7" x14ac:dyDescent="0.35">
      <c r="A80" s="35" t="s">
        <v>76</v>
      </c>
      <c r="B80" s="36">
        <v>61788</v>
      </c>
      <c r="C80" s="36">
        <v>68966.460000000006</v>
      </c>
      <c r="D80" s="48">
        <v>-7178.46</v>
      </c>
      <c r="E80" s="37"/>
      <c r="F80" s="50">
        <v>-4113.04</v>
      </c>
      <c r="G80" s="45">
        <f t="shared" si="2"/>
        <v>8.4113358207177672E-4</v>
      </c>
    </row>
    <row r="81" spans="1:7" x14ac:dyDescent="0.35">
      <c r="A81" s="35" t="s">
        <v>127</v>
      </c>
      <c r="B81" s="36">
        <v>18566</v>
      </c>
      <c r="C81" s="36">
        <v>54996.18</v>
      </c>
      <c r="D81" s="48">
        <v>-36430.18</v>
      </c>
      <c r="E81" s="37"/>
      <c r="F81" s="50">
        <v>3569.82</v>
      </c>
      <c r="G81" s="45">
        <f t="shared" si="2"/>
        <v>2.5274302590704679E-4</v>
      </c>
    </row>
    <row r="82" spans="1:7" x14ac:dyDescent="0.35">
      <c r="A82" s="35" t="s">
        <v>77</v>
      </c>
      <c r="B82" s="36">
        <v>3161936.63</v>
      </c>
      <c r="C82" s="36">
        <v>1629701.02</v>
      </c>
      <c r="D82" s="48">
        <v>1532235.61</v>
      </c>
      <c r="E82" s="37"/>
      <c r="F82" s="50">
        <v>1562364.61</v>
      </c>
      <c r="G82" s="45">
        <f t="shared" si="2"/>
        <v>4.3044136140931277E-2</v>
      </c>
    </row>
    <row r="83" spans="1:7" x14ac:dyDescent="0.35">
      <c r="A83" s="35" t="s">
        <v>78</v>
      </c>
      <c r="B83" s="36">
        <v>150875</v>
      </c>
      <c r="C83" s="36">
        <v>74258.070000000007</v>
      </c>
      <c r="D83" s="48">
        <v>76616.929999999993</v>
      </c>
      <c r="E83" s="37"/>
      <c r="F83" s="50">
        <v>85510.3</v>
      </c>
      <c r="G83" s="45">
        <f t="shared" si="2"/>
        <v>2.0538944324962663E-3</v>
      </c>
    </row>
    <row r="84" spans="1:7" x14ac:dyDescent="0.35">
      <c r="A84" s="35" t="s">
        <v>111</v>
      </c>
      <c r="B84" s="36">
        <v>148504</v>
      </c>
      <c r="C84" s="36">
        <v>468565.39</v>
      </c>
      <c r="D84" s="48">
        <v>-320061.39</v>
      </c>
      <c r="E84" s="37"/>
      <c r="F84" s="50">
        <v>-319017.95</v>
      </c>
      <c r="G84" s="45">
        <f t="shared" si="2"/>
        <v>2.0216174899978494E-3</v>
      </c>
    </row>
    <row r="85" spans="1:7" x14ac:dyDescent="0.35">
      <c r="A85" s="35" t="s">
        <v>79</v>
      </c>
      <c r="B85" s="37"/>
      <c r="C85" s="37"/>
      <c r="D85" s="48"/>
      <c r="E85" s="37"/>
      <c r="F85" s="50"/>
      <c r="G85" s="45">
        <f t="shared" si="2"/>
        <v>0</v>
      </c>
    </row>
    <row r="86" spans="1:7" x14ac:dyDescent="0.35">
      <c r="A86" s="35" t="s">
        <v>80</v>
      </c>
      <c r="B86" s="37"/>
      <c r="C86" s="37"/>
      <c r="D86" s="48"/>
      <c r="E86" s="37"/>
      <c r="F86" s="50"/>
      <c r="G86" s="45">
        <f t="shared" si="2"/>
        <v>0</v>
      </c>
    </row>
    <row r="87" spans="1:7" x14ac:dyDescent="0.35">
      <c r="A87" s="35" t="s">
        <v>81</v>
      </c>
      <c r="B87" s="37"/>
      <c r="C87" s="37"/>
      <c r="D87" s="48"/>
      <c r="E87" s="37"/>
      <c r="F87" s="50"/>
      <c r="G87" s="45">
        <f t="shared" si="2"/>
        <v>0</v>
      </c>
    </row>
    <row r="88" spans="1:7" x14ac:dyDescent="0.35">
      <c r="A88" s="35" t="s">
        <v>82</v>
      </c>
      <c r="B88" s="37">
        <v>0</v>
      </c>
      <c r="C88" s="36">
        <v>8884</v>
      </c>
      <c r="D88" s="48">
        <v>-8884</v>
      </c>
      <c r="E88" s="37"/>
      <c r="F88" s="50">
        <v>76258.929999999993</v>
      </c>
      <c r="G88" s="45">
        <f t="shared" si="2"/>
        <v>0</v>
      </c>
    </row>
    <row r="89" spans="1:7" x14ac:dyDescent="0.35">
      <c r="A89" s="35" t="s">
        <v>83</v>
      </c>
      <c r="B89" s="36">
        <v>379925</v>
      </c>
      <c r="C89" s="36">
        <v>760242.58</v>
      </c>
      <c r="D89" s="48">
        <v>-380317.58</v>
      </c>
      <c r="E89" s="36">
        <v>336479.94</v>
      </c>
      <c r="F89" s="50">
        <v>-43837.64</v>
      </c>
      <c r="G89" s="45">
        <f t="shared" si="2"/>
        <v>5.1720022685411366E-3</v>
      </c>
    </row>
    <row r="90" spans="1:7" x14ac:dyDescent="0.35">
      <c r="A90" s="35" t="s">
        <v>112</v>
      </c>
      <c r="B90" s="36">
        <v>37994</v>
      </c>
      <c r="C90" s="36">
        <v>112751</v>
      </c>
      <c r="D90" s="48">
        <v>-74757</v>
      </c>
      <c r="E90" s="36">
        <v>25638</v>
      </c>
      <c r="F90" s="50">
        <v>-49119</v>
      </c>
      <c r="G90" s="45">
        <f t="shared" si="2"/>
        <v>5.1722064668277144E-4</v>
      </c>
    </row>
    <row r="91" spans="1:7" x14ac:dyDescent="0.35">
      <c r="A91" s="35" t="s">
        <v>84</v>
      </c>
      <c r="B91" s="36">
        <v>906905</v>
      </c>
      <c r="C91" s="36">
        <v>430311</v>
      </c>
      <c r="D91" s="48">
        <v>476594</v>
      </c>
      <c r="E91" s="36">
        <v>68000</v>
      </c>
      <c r="F91" s="50">
        <v>449275.25</v>
      </c>
      <c r="G91" s="45">
        <f t="shared" si="2"/>
        <v>1.2345896472596696E-2</v>
      </c>
    </row>
    <row r="92" spans="1:7" x14ac:dyDescent="0.35">
      <c r="A92" s="35" t="s">
        <v>85</v>
      </c>
      <c r="B92" s="36">
        <v>1470042</v>
      </c>
      <c r="C92" s="36">
        <v>730722</v>
      </c>
      <c r="D92" s="48">
        <v>739320</v>
      </c>
      <c r="E92" s="37"/>
      <c r="F92" s="50">
        <v>744897</v>
      </c>
      <c r="G92" s="45">
        <f t="shared" si="2"/>
        <v>2.0012003839838782E-2</v>
      </c>
    </row>
    <row r="93" spans="1:7" x14ac:dyDescent="0.35">
      <c r="A93" s="35" t="s">
        <v>86</v>
      </c>
      <c r="B93" s="36">
        <v>1878309.46</v>
      </c>
      <c r="C93" s="36">
        <v>1339109.44</v>
      </c>
      <c r="D93" s="48">
        <v>539200.02</v>
      </c>
      <c r="E93" s="37"/>
      <c r="F93" s="50">
        <v>664135.68000000005</v>
      </c>
      <c r="G93" s="45">
        <f t="shared" si="2"/>
        <v>2.5569838226340139E-2</v>
      </c>
    </row>
    <row r="94" spans="1:7" x14ac:dyDescent="0.35">
      <c r="A94" s="35" t="s">
        <v>87</v>
      </c>
      <c r="B94" s="36">
        <v>1240200</v>
      </c>
      <c r="C94" s="36">
        <v>180676.94</v>
      </c>
      <c r="D94" s="48">
        <v>1059523.06</v>
      </c>
      <c r="E94" s="37"/>
      <c r="F94" s="50">
        <v>1059523.06</v>
      </c>
      <c r="G94" s="45">
        <f t="shared" si="2"/>
        <v>1.6883114334262598E-2</v>
      </c>
    </row>
    <row r="95" spans="1:7" x14ac:dyDescent="0.35">
      <c r="A95" s="35" t="s">
        <v>88</v>
      </c>
      <c r="B95" s="37"/>
      <c r="C95" s="37"/>
      <c r="D95" s="48"/>
      <c r="E95" s="37"/>
      <c r="F95" s="50"/>
      <c r="G95" s="45">
        <f t="shared" si="2"/>
        <v>0</v>
      </c>
    </row>
    <row r="96" spans="1:7" x14ac:dyDescent="0.35">
      <c r="A96" s="35" t="s">
        <v>89</v>
      </c>
      <c r="B96" s="36">
        <v>268814</v>
      </c>
      <c r="C96" s="36">
        <v>115327.45</v>
      </c>
      <c r="D96" s="48">
        <v>153486.54999999999</v>
      </c>
      <c r="E96" s="37">
        <v>0</v>
      </c>
      <c r="F96" s="50">
        <v>153486.54999999999</v>
      </c>
      <c r="G96" s="45">
        <f t="shared" si="2"/>
        <v>3.6594238805438368E-3</v>
      </c>
    </row>
    <row r="97" spans="1:7" x14ac:dyDescent="0.35">
      <c r="A97" s="35" t="s">
        <v>90</v>
      </c>
      <c r="B97" s="36">
        <v>1324378</v>
      </c>
      <c r="C97" s="36">
        <v>574830</v>
      </c>
      <c r="D97" s="48">
        <v>749548</v>
      </c>
      <c r="E97" s="37">
        <v>0</v>
      </c>
      <c r="F97" s="50">
        <v>749548</v>
      </c>
      <c r="G97" s="45">
        <f t="shared" si="2"/>
        <v>1.8029047892099689E-2</v>
      </c>
    </row>
    <row r="98" spans="1:7" x14ac:dyDescent="0.35">
      <c r="A98" s="35" t="s">
        <v>91</v>
      </c>
      <c r="B98" s="37"/>
      <c r="C98" s="37"/>
      <c r="D98" s="48"/>
      <c r="E98" s="37"/>
      <c r="F98" s="50"/>
      <c r="G98" s="45">
        <f t="shared" si="2"/>
        <v>0</v>
      </c>
    </row>
    <row r="99" spans="1:7" x14ac:dyDescent="0.35">
      <c r="A99" s="35" t="s">
        <v>92</v>
      </c>
      <c r="B99" s="36">
        <v>23873</v>
      </c>
      <c r="C99" s="36">
        <v>23191</v>
      </c>
      <c r="D99" s="48">
        <v>682</v>
      </c>
      <c r="E99" s="37">
        <v>0</v>
      </c>
      <c r="F99" s="50">
        <v>682</v>
      </c>
      <c r="G99" s="45">
        <f t="shared" si="2"/>
        <v>3.2498837969831561E-4</v>
      </c>
    </row>
    <row r="100" spans="1:7" x14ac:dyDescent="0.35">
      <c r="A100" s="35" t="s">
        <v>93</v>
      </c>
      <c r="B100" s="36">
        <v>38258</v>
      </c>
      <c r="C100" s="36">
        <v>174506</v>
      </c>
      <c r="D100" s="48">
        <v>-136248</v>
      </c>
      <c r="E100" s="36">
        <v>2336</v>
      </c>
      <c r="F100" s="50">
        <v>-133912</v>
      </c>
      <c r="G100" s="45">
        <f t="shared" si="2"/>
        <v>5.208145365265429E-4</v>
      </c>
    </row>
    <row r="101" spans="1:7" x14ac:dyDescent="0.35">
      <c r="A101" s="35" t="s">
        <v>113</v>
      </c>
      <c r="B101" s="36">
        <v>310351</v>
      </c>
      <c r="C101" s="36">
        <v>42506.5</v>
      </c>
      <c r="D101" s="48">
        <v>267844.5</v>
      </c>
      <c r="E101" s="37">
        <v>0</v>
      </c>
      <c r="F101" s="50">
        <v>267844.5</v>
      </c>
      <c r="G101" s="45">
        <f t="shared" ref="G101:G116" si="3">B101/$B$117</f>
        <v>4.2248761625163136E-3</v>
      </c>
    </row>
    <row r="102" spans="1:7" x14ac:dyDescent="0.35">
      <c r="A102" s="35" t="s">
        <v>94</v>
      </c>
      <c r="B102" s="36">
        <v>1502563</v>
      </c>
      <c r="C102" s="36">
        <v>701958.52</v>
      </c>
      <c r="D102" s="48">
        <v>800604.48</v>
      </c>
      <c r="E102" s="37">
        <v>0</v>
      </c>
      <c r="F102" s="50">
        <v>600453.48</v>
      </c>
      <c r="G102" s="45">
        <f t="shared" si="3"/>
        <v>2.0454719338358823E-2</v>
      </c>
    </row>
    <row r="103" spans="1:7" x14ac:dyDescent="0.35">
      <c r="A103" s="35" t="s">
        <v>114</v>
      </c>
      <c r="B103" s="37"/>
      <c r="C103" s="37"/>
      <c r="D103" s="48"/>
      <c r="E103" s="37"/>
      <c r="F103" s="50"/>
      <c r="G103" s="45">
        <f t="shared" si="3"/>
        <v>0</v>
      </c>
    </row>
    <row r="104" spans="1:7" x14ac:dyDescent="0.35">
      <c r="A104" s="35" t="s">
        <v>95</v>
      </c>
      <c r="B104" s="37"/>
      <c r="C104" s="37"/>
      <c r="D104" s="48"/>
      <c r="E104" s="37"/>
      <c r="F104" s="50"/>
      <c r="G104" s="45">
        <f t="shared" si="3"/>
        <v>0</v>
      </c>
    </row>
    <row r="105" spans="1:7" x14ac:dyDescent="0.35">
      <c r="A105" s="35" t="s">
        <v>96</v>
      </c>
      <c r="B105" s="36">
        <v>121919</v>
      </c>
      <c r="C105" s="36">
        <v>125563</v>
      </c>
      <c r="D105" s="48">
        <v>-3644</v>
      </c>
      <c r="E105" s="36">
        <v>6400</v>
      </c>
      <c r="F105" s="50">
        <v>2756</v>
      </c>
      <c r="G105" s="45">
        <f t="shared" si="3"/>
        <v>1.6597100600862457E-3</v>
      </c>
    </row>
    <row r="106" spans="1:7" x14ac:dyDescent="0.35">
      <c r="A106" s="35" t="s">
        <v>97</v>
      </c>
      <c r="B106" s="36">
        <v>316335</v>
      </c>
      <c r="C106" s="36">
        <v>310968.12</v>
      </c>
      <c r="D106" s="48">
        <v>5366.88</v>
      </c>
      <c r="E106" s="36">
        <v>167930.31</v>
      </c>
      <c r="F106" s="50">
        <v>117834.61</v>
      </c>
      <c r="G106" s="45">
        <f t="shared" si="3"/>
        <v>4.306337665641799E-3</v>
      </c>
    </row>
    <row r="107" spans="1:7" x14ac:dyDescent="0.35">
      <c r="A107" s="35" t="s">
        <v>98</v>
      </c>
      <c r="B107" s="37"/>
      <c r="C107" s="37"/>
      <c r="D107" s="48"/>
      <c r="E107" s="37"/>
      <c r="F107" s="50"/>
      <c r="G107" s="45">
        <f t="shared" si="3"/>
        <v>0</v>
      </c>
    </row>
    <row r="108" spans="1:7" x14ac:dyDescent="0.35">
      <c r="A108" s="35" t="s">
        <v>99</v>
      </c>
      <c r="B108" s="37"/>
      <c r="C108" s="37"/>
      <c r="D108" s="48"/>
      <c r="E108" s="37"/>
      <c r="F108" s="50"/>
      <c r="G108" s="45">
        <f t="shared" si="3"/>
        <v>0</v>
      </c>
    </row>
    <row r="109" spans="1:7" x14ac:dyDescent="0.35">
      <c r="A109" s="35" t="s">
        <v>100</v>
      </c>
      <c r="B109" s="36">
        <v>1605974</v>
      </c>
      <c r="C109" s="36">
        <v>1375586.44</v>
      </c>
      <c r="D109" s="48">
        <v>230387.56</v>
      </c>
      <c r="E109" s="36">
        <v>29055.5</v>
      </c>
      <c r="F109" s="50">
        <v>259443.06</v>
      </c>
      <c r="G109" s="45">
        <f t="shared" si="3"/>
        <v>2.1862475939246125E-2</v>
      </c>
    </row>
    <row r="110" spans="1:7" x14ac:dyDescent="0.35">
      <c r="A110" s="35" t="s">
        <v>101</v>
      </c>
      <c r="B110" s="37"/>
      <c r="C110" s="37"/>
      <c r="D110" s="48"/>
      <c r="E110" s="37"/>
      <c r="F110" s="50"/>
      <c r="G110" s="45">
        <f t="shared" si="3"/>
        <v>0</v>
      </c>
    </row>
    <row r="111" spans="1:7" x14ac:dyDescent="0.35">
      <c r="A111" s="35" t="s">
        <v>102</v>
      </c>
      <c r="B111" s="36">
        <v>35154</v>
      </c>
      <c r="C111" s="36">
        <v>34435</v>
      </c>
      <c r="D111" s="48">
        <v>719</v>
      </c>
      <c r="E111" s="37"/>
      <c r="F111" s="50">
        <v>719</v>
      </c>
      <c r="G111" s="45">
        <f t="shared" si="3"/>
        <v>4.7855910442401824E-4</v>
      </c>
    </row>
    <row r="112" spans="1:7" x14ac:dyDescent="0.35">
      <c r="A112" s="35" t="s">
        <v>103</v>
      </c>
      <c r="B112" s="36">
        <v>630708</v>
      </c>
      <c r="C112" s="36">
        <v>515986.24</v>
      </c>
      <c r="D112" s="48">
        <v>114721.76</v>
      </c>
      <c r="E112" s="36">
        <v>9860.16</v>
      </c>
      <c r="F112" s="50">
        <v>124581.92</v>
      </c>
      <c r="G112" s="45">
        <f t="shared" si="3"/>
        <v>8.5859661953992059E-3</v>
      </c>
    </row>
    <row r="113" spans="1:7" x14ac:dyDescent="0.35">
      <c r="A113" s="35" t="s">
        <v>104</v>
      </c>
      <c r="B113" s="37"/>
      <c r="C113" s="37"/>
      <c r="D113" s="48"/>
      <c r="E113" s="37"/>
      <c r="F113" s="50"/>
      <c r="G113" s="45">
        <f t="shared" si="3"/>
        <v>0</v>
      </c>
    </row>
    <row r="114" spans="1:7" x14ac:dyDescent="0.35">
      <c r="A114" s="35" t="s">
        <v>105</v>
      </c>
      <c r="B114" s="36">
        <v>127776</v>
      </c>
      <c r="C114" s="36">
        <v>94437.74</v>
      </c>
      <c r="D114" s="48">
        <v>33338.26</v>
      </c>
      <c r="E114" s="37">
        <v>0</v>
      </c>
      <c r="F114" s="50">
        <v>33338.26</v>
      </c>
      <c r="G114" s="45">
        <f t="shared" si="3"/>
        <v>1.7394426843853716E-3</v>
      </c>
    </row>
    <row r="115" spans="1:7" x14ac:dyDescent="0.35">
      <c r="A115" s="35" t="s">
        <v>106</v>
      </c>
      <c r="B115" s="36">
        <v>6851289</v>
      </c>
      <c r="C115" s="36">
        <v>2156192.8199999998</v>
      </c>
      <c r="D115" s="48">
        <v>4695096.18</v>
      </c>
      <c r="E115" s="37"/>
      <c r="F115" s="50">
        <v>4851536.21</v>
      </c>
      <c r="G115" s="45">
        <f t="shared" si="3"/>
        <v>9.3268098310011024E-2</v>
      </c>
    </row>
    <row r="116" spans="1:7" x14ac:dyDescent="0.35">
      <c r="A116" s="35" t="s">
        <v>107</v>
      </c>
      <c r="B116" s="36">
        <v>180518</v>
      </c>
      <c r="C116" s="36">
        <v>362804</v>
      </c>
      <c r="D116" s="48">
        <v>-182286</v>
      </c>
      <c r="E116" s="37"/>
      <c r="F116" s="50">
        <v>-182286</v>
      </c>
      <c r="G116" s="45">
        <f t="shared" si="3"/>
        <v>2.4574310864315559E-3</v>
      </c>
    </row>
    <row r="117" spans="1:7" x14ac:dyDescent="0.35">
      <c r="A117" s="41" t="s">
        <v>108</v>
      </c>
      <c r="B117" s="46">
        <f>SUM(B6:B116)</f>
        <v>73458011.090000004</v>
      </c>
      <c r="C117" s="46">
        <f>SUM(C6:C116)</f>
        <v>50102273.770000003</v>
      </c>
      <c r="D117" s="47">
        <f>SUM(D6:D116)</f>
        <v>23402846.839999996</v>
      </c>
      <c r="E117" s="46">
        <f>SUM(E6:E116)</f>
        <v>4349800.68</v>
      </c>
      <c r="F117" s="47">
        <f>SUM(F6:F116)</f>
        <v>27504474.860000003</v>
      </c>
      <c r="G117" s="45"/>
    </row>
  </sheetData>
  <sortState xmlns:xlrd2="http://schemas.microsoft.com/office/spreadsheetml/2017/richdata2" ref="A6:G129">
    <sortCondition ref="A6"/>
  </sortState>
  <mergeCells count="1">
    <mergeCell ref="A1:G1"/>
  </mergeCells>
  <dataValidations count="1">
    <dataValidation type="list" allowBlank="1" showInputMessage="1" showErrorMessage="1" sqref="A3:A4" xr:uid="{00000000-0002-0000-0200-000000000000}">
      <formula1>$A$8:$A$75</formula1>
    </dataValidation>
  </dataValidations>
  <pageMargins left="0.7" right="0.7" top="0.75" bottom="0.75" header="0.3" footer="0.3"/>
  <pageSetup orientation="portrait" r:id="rId1"/>
  <customProperties>
    <customPr name="LastActive" r:id="rId2"/>
  </customProperties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7"/>
  <sheetViews>
    <sheetView zoomScale="80" zoomScaleNormal="80" workbookViewId="0">
      <selection sqref="A1:XFD3"/>
    </sheetView>
  </sheetViews>
  <sheetFormatPr defaultRowHeight="12.75" x14ac:dyDescent="0.35"/>
  <cols>
    <col min="1" max="1" width="51.265625" bestFit="1" customWidth="1"/>
    <col min="2" max="2" width="27.86328125" customWidth="1"/>
    <col min="3" max="3" width="35.73046875" bestFit="1" customWidth="1"/>
    <col min="4" max="4" width="27.1328125" bestFit="1" customWidth="1"/>
    <col min="5" max="5" width="34.265625" bestFit="1" customWidth="1"/>
    <col min="6" max="6" width="29.59765625" bestFit="1" customWidth="1"/>
    <col min="7" max="7" width="19.1328125" bestFit="1" customWidth="1"/>
  </cols>
  <sheetData>
    <row r="1" spans="1:7" ht="23.25" x14ac:dyDescent="0.7">
      <c r="A1" s="163" t="s">
        <v>128</v>
      </c>
      <c r="B1" s="163"/>
      <c r="C1" s="163"/>
      <c r="D1" s="163"/>
      <c r="E1" s="163"/>
      <c r="F1" s="163"/>
      <c r="G1" s="163"/>
    </row>
    <row r="2" spans="1:7" ht="32.25" customHeight="1" x14ac:dyDescent="0.65">
      <c r="A2" s="29" t="s">
        <v>1</v>
      </c>
      <c r="B2" s="30" t="s">
        <v>2</v>
      </c>
      <c r="C2" s="30" t="s">
        <v>3</v>
      </c>
      <c r="D2" s="30" t="s">
        <v>4</v>
      </c>
      <c r="E2" s="30" t="s">
        <v>5</v>
      </c>
      <c r="F2" s="30" t="s">
        <v>6</v>
      </c>
      <c r="G2" s="26" t="s">
        <v>9</v>
      </c>
    </row>
    <row r="3" spans="1:7" ht="21" x14ac:dyDescent="0.65">
      <c r="A3" s="31" t="s">
        <v>14</v>
      </c>
      <c r="B3" s="32">
        <f>INDEX(B6:B92,MATCH($A$3,$A$6:$A$92,0))</f>
        <v>1001700</v>
      </c>
      <c r="C3" s="32">
        <f>INDEX(C7:C92,MATCH($A$3,$A$7:$A$92,0))</f>
        <v>855968</v>
      </c>
      <c r="D3" s="32">
        <f>INDEX(D7:D92,MATCH($A$3,$A$7:$A$92,0))</f>
        <v>145732</v>
      </c>
      <c r="E3" s="32">
        <f>INDEX(E7:E92,MATCH($A$3,$A$7:$A$92,0))</f>
        <v>31173</v>
      </c>
      <c r="F3" s="32">
        <f>INDEX(F7:F92,MATCH($A$3,$A$7:$A$92,0))</f>
        <v>132679</v>
      </c>
      <c r="G3" s="25">
        <f>INDEX(G7:G92,MATCH($A$3,$A$7:$A$92,0))</f>
        <v>8.6870778740985102E-3</v>
      </c>
    </row>
    <row r="4" spans="1:7" ht="15" customHeight="1" x14ac:dyDescent="0.65">
      <c r="A4" s="38"/>
      <c r="B4" s="39"/>
      <c r="C4" s="39"/>
      <c r="D4" s="39"/>
      <c r="E4" s="39"/>
      <c r="F4" s="39"/>
      <c r="G4" s="40"/>
    </row>
    <row r="5" spans="1:7" ht="13.9" x14ac:dyDescent="0.4">
      <c r="A5" s="10" t="s">
        <v>1</v>
      </c>
      <c r="B5" s="11" t="s">
        <v>2</v>
      </c>
      <c r="C5" s="11" t="s">
        <v>3</v>
      </c>
      <c r="D5" s="11" t="s">
        <v>4</v>
      </c>
      <c r="E5" s="11" t="s">
        <v>5</v>
      </c>
      <c r="F5" s="12" t="s">
        <v>6</v>
      </c>
      <c r="G5" s="11" t="s">
        <v>9</v>
      </c>
    </row>
    <row r="6" spans="1:7" x14ac:dyDescent="0.35">
      <c r="A6" s="35" t="s">
        <v>11</v>
      </c>
      <c r="B6" s="36">
        <v>31007</v>
      </c>
      <c r="C6" s="36">
        <v>67684.53</v>
      </c>
      <c r="D6" s="48">
        <v>-36677.53</v>
      </c>
      <c r="E6" s="37">
        <v>0</v>
      </c>
      <c r="F6" s="50">
        <v>-36677.53</v>
      </c>
      <c r="G6" s="43">
        <f t="shared" ref="G6:G37" si="0">B6/$B$117</f>
        <v>2.6890308839190629E-4</v>
      </c>
    </row>
    <row r="7" spans="1:7" x14ac:dyDescent="0.35">
      <c r="A7" s="35" t="s">
        <v>117</v>
      </c>
      <c r="B7" s="36">
        <v>49757</v>
      </c>
      <c r="C7" s="36">
        <v>87206.83</v>
      </c>
      <c r="D7" s="48">
        <v>-37449.83</v>
      </c>
      <c r="E7" s="37">
        <v>36.47</v>
      </c>
      <c r="F7" s="50">
        <v>-37413.360000000001</v>
      </c>
      <c r="G7" s="43">
        <f t="shared" si="0"/>
        <v>4.315093678561641E-4</v>
      </c>
    </row>
    <row r="8" spans="1:7" x14ac:dyDescent="0.35">
      <c r="A8" s="35" t="s">
        <v>10</v>
      </c>
      <c r="B8" s="36">
        <v>2342319</v>
      </c>
      <c r="C8" s="36">
        <v>954789</v>
      </c>
      <c r="D8" s="48">
        <v>1387530</v>
      </c>
      <c r="E8" s="37">
        <v>0</v>
      </c>
      <c r="F8" s="50">
        <v>1094319</v>
      </c>
      <c r="G8" s="43">
        <f t="shared" si="0"/>
        <v>2.0313374821783518E-2</v>
      </c>
    </row>
    <row r="9" spans="1:7" x14ac:dyDescent="0.35">
      <c r="A9" s="35" t="s">
        <v>12</v>
      </c>
      <c r="B9" s="36">
        <v>1195744</v>
      </c>
      <c r="C9" s="36">
        <v>794721</v>
      </c>
      <c r="D9" s="48">
        <v>401023</v>
      </c>
      <c r="E9" s="36">
        <v>95898</v>
      </c>
      <c r="F9" s="50">
        <v>372691</v>
      </c>
      <c r="G9" s="43">
        <f t="shared" si="0"/>
        <v>1.0369892428357841E-2</v>
      </c>
    </row>
    <row r="10" spans="1:7" x14ac:dyDescent="0.35">
      <c r="A10" s="35" t="s">
        <v>13</v>
      </c>
      <c r="B10" s="36">
        <v>218967</v>
      </c>
      <c r="C10" s="36">
        <v>198695</v>
      </c>
      <c r="D10" s="48">
        <v>20272</v>
      </c>
      <c r="E10" s="36">
        <v>31707</v>
      </c>
      <c r="F10" s="50">
        <v>38984</v>
      </c>
      <c r="G10" s="43">
        <f t="shared" si="0"/>
        <v>1.8989551570906744E-3</v>
      </c>
    </row>
    <row r="11" spans="1:7" x14ac:dyDescent="0.35">
      <c r="A11" s="35" t="s">
        <v>14</v>
      </c>
      <c r="B11" s="36">
        <v>1001700</v>
      </c>
      <c r="C11" s="36">
        <v>855968</v>
      </c>
      <c r="D11" s="48">
        <v>145732</v>
      </c>
      <c r="E11" s="36">
        <v>31173</v>
      </c>
      <c r="F11" s="50">
        <v>132679</v>
      </c>
      <c r="G11" s="43">
        <f t="shared" si="0"/>
        <v>8.6870778740985102E-3</v>
      </c>
    </row>
    <row r="12" spans="1:7" x14ac:dyDescent="0.35">
      <c r="A12" s="35" t="s">
        <v>15</v>
      </c>
      <c r="B12" s="37"/>
      <c r="C12" s="37"/>
      <c r="D12" s="48"/>
      <c r="E12" s="37"/>
      <c r="F12" s="50"/>
      <c r="G12" s="43">
        <f t="shared" si="0"/>
        <v>0</v>
      </c>
    </row>
    <row r="13" spans="1:7" x14ac:dyDescent="0.35">
      <c r="A13" s="35" t="s">
        <v>16</v>
      </c>
      <c r="B13" s="36">
        <v>3248665</v>
      </c>
      <c r="C13" s="36">
        <v>1752240.62</v>
      </c>
      <c r="D13" s="48">
        <v>1496424.38</v>
      </c>
      <c r="E13" s="36">
        <v>328878.46999999997</v>
      </c>
      <c r="F13" s="50">
        <v>1368977.19</v>
      </c>
      <c r="G13" s="43">
        <f t="shared" si="0"/>
        <v>2.8173510873373504E-2</v>
      </c>
    </row>
    <row r="14" spans="1:7" x14ac:dyDescent="0.35">
      <c r="A14" s="35" t="s">
        <v>17</v>
      </c>
      <c r="B14" s="36">
        <v>394956</v>
      </c>
      <c r="C14" s="36">
        <v>259100</v>
      </c>
      <c r="D14" s="48">
        <v>135856</v>
      </c>
      <c r="E14" s="37">
        <v>0</v>
      </c>
      <c r="F14" s="50">
        <v>135856</v>
      </c>
      <c r="G14" s="43">
        <f t="shared" si="0"/>
        <v>3.4251907046445556E-3</v>
      </c>
    </row>
    <row r="15" spans="1:7" x14ac:dyDescent="0.35">
      <c r="A15" s="35" t="s">
        <v>18</v>
      </c>
      <c r="B15" s="37"/>
      <c r="C15" s="37"/>
      <c r="D15" s="48"/>
      <c r="E15" s="37"/>
      <c r="F15" s="50"/>
      <c r="G15" s="43">
        <f t="shared" si="0"/>
        <v>0</v>
      </c>
    </row>
    <row r="16" spans="1:7" x14ac:dyDescent="0.35">
      <c r="A16" s="35" t="s">
        <v>19</v>
      </c>
      <c r="B16" s="36">
        <v>683731</v>
      </c>
      <c r="C16" s="36">
        <v>514413.43</v>
      </c>
      <c r="D16" s="48">
        <v>169317.57</v>
      </c>
      <c r="E16" s="37">
        <v>0</v>
      </c>
      <c r="F16" s="50">
        <v>169317.57</v>
      </c>
      <c r="G16" s="43">
        <f t="shared" si="0"/>
        <v>5.9295442167667453E-3</v>
      </c>
    </row>
    <row r="17" spans="1:7" x14ac:dyDescent="0.35">
      <c r="A17" s="35" t="s">
        <v>20</v>
      </c>
      <c r="B17" s="36">
        <v>518456</v>
      </c>
      <c r="C17" s="36">
        <v>402204.07</v>
      </c>
      <c r="D17" s="48">
        <v>116251.93</v>
      </c>
      <c r="E17" s="36">
        <v>33935.14</v>
      </c>
      <c r="F17" s="50">
        <v>150187.07</v>
      </c>
      <c r="G17" s="43">
        <f t="shared" si="0"/>
        <v>4.4962240653824677E-3</v>
      </c>
    </row>
    <row r="18" spans="1:7" x14ac:dyDescent="0.35">
      <c r="A18" s="35" t="s">
        <v>21</v>
      </c>
      <c r="B18" s="36">
        <v>907596</v>
      </c>
      <c r="C18" s="36">
        <v>778960</v>
      </c>
      <c r="D18" s="48">
        <v>128636</v>
      </c>
      <c r="E18" s="36">
        <v>29154</v>
      </c>
      <c r="F18" s="50">
        <v>119985</v>
      </c>
      <c r="G18" s="43">
        <f t="shared" si="0"/>
        <v>7.8709764702209369E-3</v>
      </c>
    </row>
    <row r="19" spans="1:7" x14ac:dyDescent="0.35">
      <c r="A19" s="35" t="s">
        <v>22</v>
      </c>
      <c r="B19" s="36">
        <v>107567</v>
      </c>
      <c r="C19" s="36">
        <v>127550.93</v>
      </c>
      <c r="D19" s="48">
        <v>-19983.93</v>
      </c>
      <c r="E19" s="36">
        <v>34038.93</v>
      </c>
      <c r="F19" s="50">
        <v>14055</v>
      </c>
      <c r="G19" s="43">
        <f t="shared" si="0"/>
        <v>9.3285704870036388E-4</v>
      </c>
    </row>
    <row r="20" spans="1:7" x14ac:dyDescent="0.35">
      <c r="A20" s="35" t="s">
        <v>23</v>
      </c>
      <c r="B20" s="36">
        <v>861956</v>
      </c>
      <c r="C20" s="36">
        <v>730714</v>
      </c>
      <c r="D20" s="48">
        <v>131242</v>
      </c>
      <c r="E20" s="36">
        <v>144190</v>
      </c>
      <c r="F20" s="50">
        <v>182723</v>
      </c>
      <c r="G20" s="43">
        <f t="shared" si="0"/>
        <v>7.4751711051676707E-3</v>
      </c>
    </row>
    <row r="21" spans="1:7" x14ac:dyDescent="0.35">
      <c r="A21" s="35" t="s">
        <v>24</v>
      </c>
      <c r="B21" s="36">
        <v>4713868</v>
      </c>
      <c r="C21" s="36">
        <v>4013586.78</v>
      </c>
      <c r="D21" s="48">
        <v>700281.22</v>
      </c>
      <c r="E21" s="36">
        <v>456028</v>
      </c>
      <c r="F21" s="50">
        <v>830307.96</v>
      </c>
      <c r="G21" s="43">
        <f t="shared" si="0"/>
        <v>4.0880241992833181E-2</v>
      </c>
    </row>
    <row r="22" spans="1:7" x14ac:dyDescent="0.35">
      <c r="A22" s="35" t="s">
        <v>25</v>
      </c>
      <c r="B22" s="36">
        <v>194483</v>
      </c>
      <c r="C22" s="36">
        <v>173689</v>
      </c>
      <c r="D22" s="48">
        <v>20794</v>
      </c>
      <c r="E22" s="36">
        <v>4464</v>
      </c>
      <c r="F22" s="50">
        <v>25258</v>
      </c>
      <c r="G22" s="43">
        <f t="shared" si="0"/>
        <v>1.6866217092825204E-3</v>
      </c>
    </row>
    <row r="23" spans="1:7" x14ac:dyDescent="0.35">
      <c r="A23" s="35" t="s">
        <v>26</v>
      </c>
      <c r="B23" s="36">
        <v>16511</v>
      </c>
      <c r="C23" s="36">
        <v>38172.199999999997</v>
      </c>
      <c r="D23" s="48">
        <v>-21661.200000000001</v>
      </c>
      <c r="E23" s="36">
        <v>5332.48</v>
      </c>
      <c r="F23" s="50">
        <v>-16328.72</v>
      </c>
      <c r="G23" s="43">
        <f t="shared" si="0"/>
        <v>1.4318892161249927E-4</v>
      </c>
    </row>
    <row r="24" spans="1:7" x14ac:dyDescent="0.35">
      <c r="A24" s="35" t="s">
        <v>27</v>
      </c>
      <c r="B24" s="36">
        <v>120527</v>
      </c>
      <c r="C24" s="36">
        <v>106346.26</v>
      </c>
      <c r="D24" s="48">
        <v>14180.74</v>
      </c>
      <c r="E24" s="36">
        <v>29106</v>
      </c>
      <c r="F24" s="50">
        <v>43286.74</v>
      </c>
      <c r="G24" s="43">
        <f t="shared" si="0"/>
        <v>1.045250509066059E-3</v>
      </c>
    </row>
    <row r="25" spans="1:7" x14ac:dyDescent="0.35">
      <c r="A25" s="35" t="s">
        <v>118</v>
      </c>
      <c r="B25" s="36">
        <v>36071</v>
      </c>
      <c r="C25" s="36">
        <v>61780.11</v>
      </c>
      <c r="D25" s="48">
        <v>-25709.11</v>
      </c>
      <c r="E25" s="36">
        <v>15225</v>
      </c>
      <c r="F25" s="50">
        <v>-10484.11</v>
      </c>
      <c r="G25" s="43">
        <f t="shared" si="0"/>
        <v>3.1281979234961305E-4</v>
      </c>
    </row>
    <row r="26" spans="1:7" x14ac:dyDescent="0.35">
      <c r="A26" s="35" t="s">
        <v>28</v>
      </c>
      <c r="B26" s="36">
        <v>715208</v>
      </c>
      <c r="C26" s="36">
        <v>392165.51</v>
      </c>
      <c r="D26" s="48">
        <v>323042.49</v>
      </c>
      <c r="E26" s="36">
        <v>191368.51</v>
      </c>
      <c r="F26" s="50">
        <v>514411</v>
      </c>
      <c r="G26" s="43">
        <f t="shared" si="0"/>
        <v>6.2025233025638895E-3</v>
      </c>
    </row>
    <row r="27" spans="1:7" x14ac:dyDescent="0.35">
      <c r="A27" s="35" t="s">
        <v>129</v>
      </c>
      <c r="B27" s="37"/>
      <c r="C27" s="37"/>
      <c r="D27" s="48"/>
      <c r="E27" s="37"/>
      <c r="F27" s="50"/>
      <c r="G27" s="43">
        <f t="shared" si="0"/>
        <v>0</v>
      </c>
    </row>
    <row r="28" spans="1:7" x14ac:dyDescent="0.35">
      <c r="A28" s="35" t="s">
        <v>8</v>
      </c>
      <c r="B28" s="36">
        <v>127075</v>
      </c>
      <c r="C28" s="36">
        <v>97212</v>
      </c>
      <c r="D28" s="48">
        <v>29863</v>
      </c>
      <c r="E28" s="37">
        <v>0</v>
      </c>
      <c r="F28" s="50">
        <v>29863</v>
      </c>
      <c r="G28" s="43">
        <f t="shared" si="0"/>
        <v>1.1020369580224301E-3</v>
      </c>
    </row>
    <row r="29" spans="1:7" x14ac:dyDescent="0.35">
      <c r="A29" s="35" t="s">
        <v>29</v>
      </c>
      <c r="B29" s="37"/>
      <c r="C29" s="37"/>
      <c r="D29" s="48"/>
      <c r="E29" s="37"/>
      <c r="F29" s="50"/>
      <c r="G29" s="43">
        <f t="shared" si="0"/>
        <v>0</v>
      </c>
    </row>
    <row r="30" spans="1:7" x14ac:dyDescent="0.35">
      <c r="A30" s="35" t="s">
        <v>30</v>
      </c>
      <c r="B30" s="36">
        <v>119949</v>
      </c>
      <c r="C30" s="36">
        <v>77593</v>
      </c>
      <c r="D30" s="48">
        <v>42356</v>
      </c>
      <c r="E30" s="37">
        <v>0</v>
      </c>
      <c r="F30" s="50">
        <v>31517</v>
      </c>
      <c r="G30" s="43">
        <f t="shared" si="0"/>
        <v>1.0402378994911073E-3</v>
      </c>
    </row>
    <row r="31" spans="1:7" x14ac:dyDescent="0.35">
      <c r="A31" s="35" t="s">
        <v>31</v>
      </c>
      <c r="B31" s="36">
        <v>349918</v>
      </c>
      <c r="C31" s="36">
        <v>346606.08000000002</v>
      </c>
      <c r="D31" s="48">
        <v>3311.92</v>
      </c>
      <c r="E31" s="37">
        <v>0</v>
      </c>
      <c r="F31" s="50">
        <v>3311.92</v>
      </c>
      <c r="G31" s="43">
        <f t="shared" si="0"/>
        <v>3.0346060852039559E-3</v>
      </c>
    </row>
    <row r="32" spans="1:7" x14ac:dyDescent="0.35">
      <c r="A32" s="35" t="s">
        <v>32</v>
      </c>
      <c r="B32" s="36">
        <v>198404</v>
      </c>
      <c r="C32" s="36">
        <v>178340</v>
      </c>
      <c r="D32" s="48">
        <v>20064</v>
      </c>
      <c r="E32" s="36">
        <v>7490</v>
      </c>
      <c r="F32" s="50">
        <v>27554</v>
      </c>
      <c r="G32" s="43">
        <f t="shared" si="0"/>
        <v>1.7206259344440861E-3</v>
      </c>
    </row>
    <row r="33" spans="1:7" x14ac:dyDescent="0.35">
      <c r="A33" s="35" t="s">
        <v>33</v>
      </c>
      <c r="B33" s="36">
        <v>36445</v>
      </c>
      <c r="C33" s="36">
        <v>57934</v>
      </c>
      <c r="D33" s="48">
        <v>-21489</v>
      </c>
      <c r="E33" s="36">
        <v>15250</v>
      </c>
      <c r="F33" s="50">
        <v>-6239</v>
      </c>
      <c r="G33" s="43">
        <f t="shared" si="0"/>
        <v>3.1606324560399341E-4</v>
      </c>
    </row>
    <row r="34" spans="1:7" x14ac:dyDescent="0.35">
      <c r="A34" s="35" t="s">
        <v>34</v>
      </c>
      <c r="B34" s="36">
        <v>27840</v>
      </c>
      <c r="C34" s="36">
        <v>18948.580000000002</v>
      </c>
      <c r="D34" s="48">
        <v>8891.42</v>
      </c>
      <c r="E34" s="37">
        <v>0</v>
      </c>
      <c r="F34" s="50">
        <v>8891.42</v>
      </c>
      <c r="G34" s="43">
        <f t="shared" si="0"/>
        <v>2.4143780374853005E-4</v>
      </c>
    </row>
    <row r="35" spans="1:7" x14ac:dyDescent="0.35">
      <c r="A35" s="35" t="s">
        <v>35</v>
      </c>
      <c r="B35" s="36">
        <v>962008</v>
      </c>
      <c r="C35" s="36">
        <v>1067365</v>
      </c>
      <c r="D35" s="48">
        <v>-105357</v>
      </c>
      <c r="E35" s="36">
        <v>74581.179999999993</v>
      </c>
      <c r="F35" s="50">
        <v>-30775.82</v>
      </c>
      <c r="G35" s="43">
        <f t="shared" si="0"/>
        <v>8.3428555570587599E-3</v>
      </c>
    </row>
    <row r="36" spans="1:7" x14ac:dyDescent="0.35">
      <c r="A36" s="35" t="s">
        <v>36</v>
      </c>
      <c r="B36" s="36">
        <v>643550</v>
      </c>
      <c r="C36" s="36">
        <v>627873</v>
      </c>
      <c r="D36" s="48">
        <v>15677</v>
      </c>
      <c r="E36" s="37">
        <v>30</v>
      </c>
      <c r="F36" s="50">
        <v>11780</v>
      </c>
      <c r="G36" s="43">
        <f t="shared" si="0"/>
        <v>5.5810811279585672E-3</v>
      </c>
    </row>
    <row r="37" spans="1:7" x14ac:dyDescent="0.35">
      <c r="A37" s="35" t="s">
        <v>37</v>
      </c>
      <c r="B37" s="36">
        <v>212534</v>
      </c>
      <c r="C37" s="36">
        <v>77525</v>
      </c>
      <c r="D37" s="48">
        <v>135009</v>
      </c>
      <c r="E37" s="37">
        <v>0</v>
      </c>
      <c r="F37" s="50">
        <v>135009</v>
      </c>
      <c r="G37" s="43">
        <f t="shared" si="0"/>
        <v>1.8431660266483507E-3</v>
      </c>
    </row>
    <row r="38" spans="1:7" x14ac:dyDescent="0.35">
      <c r="A38" s="35" t="s">
        <v>119</v>
      </c>
      <c r="B38" s="37"/>
      <c r="C38" s="37"/>
      <c r="D38" s="48"/>
      <c r="E38" s="37"/>
      <c r="F38" s="50"/>
      <c r="G38" s="43">
        <f t="shared" ref="G38:G69" si="1">B38/$B$117</f>
        <v>0</v>
      </c>
    </row>
    <row r="39" spans="1:7" x14ac:dyDescent="0.35">
      <c r="A39" s="35" t="s">
        <v>38</v>
      </c>
      <c r="B39" s="36">
        <v>187388</v>
      </c>
      <c r="C39" s="36">
        <v>178117.55</v>
      </c>
      <c r="D39" s="48">
        <v>9270.4500000000007</v>
      </c>
      <c r="E39" s="37">
        <v>0</v>
      </c>
      <c r="F39" s="50">
        <v>9270.4500000000007</v>
      </c>
      <c r="G39" s="43">
        <f t="shared" si="1"/>
        <v>1.6250914931332451E-3</v>
      </c>
    </row>
    <row r="40" spans="1:7" x14ac:dyDescent="0.35">
      <c r="A40" s="35" t="s">
        <v>39</v>
      </c>
      <c r="B40" s="36">
        <v>10001010</v>
      </c>
      <c r="C40" s="36">
        <v>4781547</v>
      </c>
      <c r="D40" s="48">
        <v>5219463</v>
      </c>
      <c r="E40" s="36">
        <v>1193328</v>
      </c>
      <c r="F40" s="50">
        <v>5212791</v>
      </c>
      <c r="G40" s="43">
        <f t="shared" si="1"/>
        <v>8.6732108105857991E-2</v>
      </c>
    </row>
    <row r="41" spans="1:7" x14ac:dyDescent="0.35">
      <c r="A41" s="35" t="s">
        <v>120</v>
      </c>
      <c r="B41" s="37"/>
      <c r="C41" s="37"/>
      <c r="D41" s="48"/>
      <c r="E41" s="37"/>
      <c r="F41" s="50"/>
      <c r="G41" s="43">
        <f t="shared" si="1"/>
        <v>0</v>
      </c>
    </row>
    <row r="42" spans="1:7" x14ac:dyDescent="0.35">
      <c r="A42" s="35" t="s">
        <v>40</v>
      </c>
      <c r="B42" s="36">
        <v>192113</v>
      </c>
      <c r="C42" s="36">
        <v>125690</v>
      </c>
      <c r="D42" s="48">
        <v>66423</v>
      </c>
      <c r="E42" s="36">
        <v>39332</v>
      </c>
      <c r="F42" s="50">
        <v>105755</v>
      </c>
      <c r="G42" s="43">
        <f t="shared" si="1"/>
        <v>1.6660682755582383E-3</v>
      </c>
    </row>
    <row r="43" spans="1:7" x14ac:dyDescent="0.35">
      <c r="A43" s="35" t="s">
        <v>41</v>
      </c>
      <c r="B43" s="36">
        <v>238225</v>
      </c>
      <c r="C43" s="36">
        <v>322437.67</v>
      </c>
      <c r="D43" s="48">
        <v>-84212.67</v>
      </c>
      <c r="E43" s="37">
        <v>0</v>
      </c>
      <c r="F43" s="50">
        <v>-84212.67</v>
      </c>
      <c r="G43" s="43">
        <f t="shared" si="1"/>
        <v>2.0659669826865504E-3</v>
      </c>
    </row>
    <row r="44" spans="1:7" x14ac:dyDescent="0.35">
      <c r="A44" s="35" t="s">
        <v>121</v>
      </c>
      <c r="B44" s="36">
        <v>2650455</v>
      </c>
      <c r="C44" s="36">
        <v>2324153.94</v>
      </c>
      <c r="D44" s="48">
        <v>326301.06</v>
      </c>
      <c r="E44" s="36">
        <v>12000</v>
      </c>
      <c r="F44" s="50">
        <v>253726.06</v>
      </c>
      <c r="G44" s="43">
        <f t="shared" si="1"/>
        <v>2.2985633409996774E-2</v>
      </c>
    </row>
    <row r="45" spans="1:7" x14ac:dyDescent="0.35">
      <c r="A45" s="35" t="s">
        <v>43</v>
      </c>
      <c r="B45" s="36">
        <v>1856505</v>
      </c>
      <c r="C45" s="36">
        <v>1794329.01</v>
      </c>
      <c r="D45" s="48">
        <v>62175.99</v>
      </c>
      <c r="E45" s="36">
        <v>2175</v>
      </c>
      <c r="F45" s="50">
        <v>48263.24</v>
      </c>
      <c r="G45" s="43">
        <f t="shared" si="1"/>
        <v>1.610023311236224E-2</v>
      </c>
    </row>
    <row r="46" spans="1:7" x14ac:dyDescent="0.35">
      <c r="A46" s="35" t="s">
        <v>122</v>
      </c>
      <c r="B46" s="37"/>
      <c r="C46" s="37"/>
      <c r="D46" s="48"/>
      <c r="E46" s="37"/>
      <c r="F46" s="50"/>
      <c r="G46" s="43">
        <f t="shared" si="1"/>
        <v>0</v>
      </c>
    </row>
    <row r="47" spans="1:7" x14ac:dyDescent="0.35">
      <c r="A47" s="35" t="s">
        <v>44</v>
      </c>
      <c r="B47" s="36">
        <v>354790</v>
      </c>
      <c r="C47" s="36">
        <v>165795.09</v>
      </c>
      <c r="D47" s="48">
        <v>188994.91</v>
      </c>
      <c r="E47" s="37">
        <v>0</v>
      </c>
      <c r="F47" s="50">
        <v>188994.91</v>
      </c>
      <c r="G47" s="43">
        <f t="shared" si="1"/>
        <v>3.0768577008599488E-3</v>
      </c>
    </row>
    <row r="48" spans="1:7" x14ac:dyDescent="0.35">
      <c r="A48" s="35" t="s">
        <v>45</v>
      </c>
      <c r="B48" s="36">
        <v>23960</v>
      </c>
      <c r="C48" s="36">
        <v>75460</v>
      </c>
      <c r="D48" s="48">
        <v>-51500</v>
      </c>
      <c r="E48" s="37">
        <v>0</v>
      </c>
      <c r="F48" s="50">
        <v>-51500</v>
      </c>
      <c r="G48" s="43">
        <f t="shared" si="1"/>
        <v>2.0778914431805962E-4</v>
      </c>
    </row>
    <row r="49" spans="1:7" x14ac:dyDescent="0.35">
      <c r="A49" s="35" t="s">
        <v>46</v>
      </c>
      <c r="B49" s="36">
        <v>485126</v>
      </c>
      <c r="C49" s="36">
        <v>605945.05000000005</v>
      </c>
      <c r="D49" s="48">
        <v>-120819.05</v>
      </c>
      <c r="E49" s="37">
        <v>0</v>
      </c>
      <c r="F49" s="50">
        <v>-124963.05</v>
      </c>
      <c r="G49" s="43">
        <f t="shared" si="1"/>
        <v>4.2071751430068022E-3</v>
      </c>
    </row>
    <row r="50" spans="1:7" x14ac:dyDescent="0.35">
      <c r="A50" s="35" t="s">
        <v>47</v>
      </c>
      <c r="B50" s="36">
        <v>92531</v>
      </c>
      <c r="C50" s="36">
        <v>52911</v>
      </c>
      <c r="D50" s="48">
        <v>39620</v>
      </c>
      <c r="E50" s="37">
        <v>0</v>
      </c>
      <c r="F50" s="50">
        <v>29715</v>
      </c>
      <c r="G50" s="43">
        <f t="shared" si="1"/>
        <v>8.0245982107238624E-4</v>
      </c>
    </row>
    <row r="51" spans="1:7" x14ac:dyDescent="0.35">
      <c r="A51" s="35" t="s">
        <v>48</v>
      </c>
      <c r="B51" s="36">
        <v>58705</v>
      </c>
      <c r="C51" s="36">
        <v>113745</v>
      </c>
      <c r="D51" s="48">
        <v>-55040</v>
      </c>
      <c r="E51" s="36">
        <v>16132</v>
      </c>
      <c r="F51" s="50">
        <v>-38908</v>
      </c>
      <c r="G51" s="43">
        <f t="shared" si="1"/>
        <v>5.0910942058396034E-4</v>
      </c>
    </row>
    <row r="52" spans="1:7" x14ac:dyDescent="0.35">
      <c r="A52" s="35" t="s">
        <v>49</v>
      </c>
      <c r="B52" s="37"/>
      <c r="C52" s="37"/>
      <c r="D52" s="48"/>
      <c r="E52" s="37"/>
      <c r="F52" s="50"/>
      <c r="G52" s="43">
        <f t="shared" si="1"/>
        <v>0</v>
      </c>
    </row>
    <row r="53" spans="1:7" x14ac:dyDescent="0.35">
      <c r="A53" s="35" t="s">
        <v>50</v>
      </c>
      <c r="B53" s="36">
        <v>1043178</v>
      </c>
      <c r="C53" s="36">
        <v>737323</v>
      </c>
      <c r="D53" s="48">
        <v>305855</v>
      </c>
      <c r="E53" s="36">
        <v>94914</v>
      </c>
      <c r="F53" s="50">
        <v>400769</v>
      </c>
      <c r="G53" s="43">
        <f t="shared" si="1"/>
        <v>9.0467889812781629E-3</v>
      </c>
    </row>
    <row r="54" spans="1:7" x14ac:dyDescent="0.35">
      <c r="A54" s="35" t="s">
        <v>123</v>
      </c>
      <c r="B54" s="36">
        <v>82324</v>
      </c>
      <c r="C54" s="36">
        <v>60007</v>
      </c>
      <c r="D54" s="48">
        <v>22317</v>
      </c>
      <c r="E54" s="36">
        <v>10125.85</v>
      </c>
      <c r="F54" s="50">
        <v>32442.85</v>
      </c>
      <c r="G54" s="43">
        <f t="shared" si="1"/>
        <v>7.1394129869949662E-4</v>
      </c>
    </row>
    <row r="55" spans="1:7" x14ac:dyDescent="0.35">
      <c r="A55" s="35" t="s">
        <v>51</v>
      </c>
      <c r="B55" s="36">
        <v>222146</v>
      </c>
      <c r="C55" s="36">
        <v>138430</v>
      </c>
      <c r="D55" s="48">
        <v>83716</v>
      </c>
      <c r="E55" s="36">
        <v>10398</v>
      </c>
      <c r="F55" s="50">
        <v>94114</v>
      </c>
      <c r="G55" s="43">
        <f t="shared" si="1"/>
        <v>1.9265245097529078E-3</v>
      </c>
    </row>
    <row r="56" spans="1:7" x14ac:dyDescent="0.35">
      <c r="A56" s="35" t="s">
        <v>52</v>
      </c>
      <c r="B56" s="36">
        <v>5979867</v>
      </c>
      <c r="C56" s="36">
        <v>4526834.42</v>
      </c>
      <c r="D56" s="48">
        <v>1453032.58</v>
      </c>
      <c r="E56" s="37">
        <v>0</v>
      </c>
      <c r="F56" s="50">
        <v>1089774.33</v>
      </c>
      <c r="G56" s="43">
        <f t="shared" si="1"/>
        <v>5.185940930992497E-2</v>
      </c>
    </row>
    <row r="57" spans="1:7" x14ac:dyDescent="0.35">
      <c r="A57" s="35" t="s">
        <v>53</v>
      </c>
      <c r="B57" s="37"/>
      <c r="C57" s="37"/>
      <c r="D57" s="48"/>
      <c r="E57" s="37"/>
      <c r="F57" s="50"/>
      <c r="G57" s="43">
        <f t="shared" si="1"/>
        <v>0</v>
      </c>
    </row>
    <row r="58" spans="1:7" x14ac:dyDescent="0.35">
      <c r="A58" s="35" t="s">
        <v>54</v>
      </c>
      <c r="B58" s="36">
        <v>386466</v>
      </c>
      <c r="C58" s="36">
        <v>241486</v>
      </c>
      <c r="D58" s="48">
        <v>144980</v>
      </c>
      <c r="E58" s="36">
        <v>11477</v>
      </c>
      <c r="F58" s="50">
        <v>156457</v>
      </c>
      <c r="G58" s="43">
        <f t="shared" si="1"/>
        <v>3.3515625813031399E-3</v>
      </c>
    </row>
    <row r="59" spans="1:7" x14ac:dyDescent="0.35">
      <c r="A59" s="35" t="s">
        <v>55</v>
      </c>
      <c r="B59" s="36">
        <v>80828</v>
      </c>
      <c r="C59" s="36">
        <v>161204.87</v>
      </c>
      <c r="D59" s="48">
        <v>-80376.87</v>
      </c>
      <c r="E59" s="37">
        <v>28.35</v>
      </c>
      <c r="F59" s="50">
        <v>-80348.52</v>
      </c>
      <c r="G59" s="43">
        <f t="shared" si="1"/>
        <v>7.0096748568197504E-4</v>
      </c>
    </row>
    <row r="60" spans="1:7" x14ac:dyDescent="0.35">
      <c r="A60" s="35" t="s">
        <v>56</v>
      </c>
      <c r="B60" s="36">
        <v>559094</v>
      </c>
      <c r="C60" s="36">
        <v>536352</v>
      </c>
      <c r="D60" s="48">
        <v>22742</v>
      </c>
      <c r="E60" s="36">
        <v>-126235</v>
      </c>
      <c r="F60" s="50">
        <v>-103493</v>
      </c>
      <c r="G60" s="43">
        <f t="shared" si="1"/>
        <v>4.8486504112421214E-3</v>
      </c>
    </row>
    <row r="61" spans="1:7" x14ac:dyDescent="0.35">
      <c r="A61" s="35" t="s">
        <v>57</v>
      </c>
      <c r="B61" s="36">
        <v>1324617</v>
      </c>
      <c r="C61" s="36">
        <v>1132716.9099999999</v>
      </c>
      <c r="D61" s="48">
        <v>191900.09</v>
      </c>
      <c r="E61" s="36">
        <v>80552.19</v>
      </c>
      <c r="F61" s="50">
        <v>197688.28</v>
      </c>
      <c r="G61" s="43">
        <f t="shared" si="1"/>
        <v>1.1487522244539031E-2</v>
      </c>
    </row>
    <row r="62" spans="1:7" x14ac:dyDescent="0.35">
      <c r="A62" s="35" t="s">
        <v>58</v>
      </c>
      <c r="B62" s="36">
        <v>221514</v>
      </c>
      <c r="C62" s="36">
        <v>141356</v>
      </c>
      <c r="D62" s="48">
        <v>80158</v>
      </c>
      <c r="E62" s="37">
        <v>0</v>
      </c>
      <c r="F62" s="50">
        <v>60118</v>
      </c>
      <c r="G62" s="43">
        <f t="shared" si="1"/>
        <v>1.9210435940930993E-3</v>
      </c>
    </row>
    <row r="63" spans="1:7" x14ac:dyDescent="0.35">
      <c r="A63" s="35" t="s">
        <v>60</v>
      </c>
      <c r="B63" s="36">
        <v>4663056</v>
      </c>
      <c r="C63" s="36">
        <v>2314346.7799999998</v>
      </c>
      <c r="D63" s="48">
        <v>2348709.2200000002</v>
      </c>
      <c r="E63" s="36">
        <v>363133.17</v>
      </c>
      <c r="F63" s="50">
        <v>1996701</v>
      </c>
      <c r="G63" s="43">
        <f t="shared" si="1"/>
        <v>4.0439583311652497E-2</v>
      </c>
    </row>
    <row r="64" spans="1:7" x14ac:dyDescent="0.35">
      <c r="A64" s="35" t="s">
        <v>61</v>
      </c>
      <c r="B64" s="36">
        <v>238905</v>
      </c>
      <c r="C64" s="36">
        <v>197532.7</v>
      </c>
      <c r="D64" s="48">
        <v>41372.300000000003</v>
      </c>
      <c r="E64" s="36">
        <v>129046.52</v>
      </c>
      <c r="F64" s="50">
        <v>129015.35</v>
      </c>
      <c r="G64" s="43">
        <f t="shared" si="1"/>
        <v>2.0718641704217879E-3</v>
      </c>
    </row>
    <row r="65" spans="1:7" x14ac:dyDescent="0.35">
      <c r="A65" s="35" t="s">
        <v>62</v>
      </c>
      <c r="B65" s="36">
        <v>250679</v>
      </c>
      <c r="C65" s="36">
        <v>274319</v>
      </c>
      <c r="D65" s="48">
        <v>-23640</v>
      </c>
      <c r="E65" s="36">
        <v>45231</v>
      </c>
      <c r="F65" s="50">
        <v>16193</v>
      </c>
      <c r="G65" s="43">
        <f t="shared" si="1"/>
        <v>2.173972241590437E-3</v>
      </c>
    </row>
    <row r="66" spans="1:7" x14ac:dyDescent="0.35">
      <c r="A66" s="35" t="s">
        <v>63</v>
      </c>
      <c r="B66" s="36">
        <v>131737</v>
      </c>
      <c r="C66" s="36">
        <v>86869.15</v>
      </c>
      <c r="D66" s="48">
        <v>44867.85</v>
      </c>
      <c r="E66" s="36">
        <v>17499.73</v>
      </c>
      <c r="F66" s="50">
        <v>46494.83</v>
      </c>
      <c r="G66" s="43">
        <f t="shared" si="1"/>
        <v>1.1424673833484232E-3</v>
      </c>
    </row>
    <row r="67" spans="1:7" x14ac:dyDescent="0.35">
      <c r="A67" s="35" t="s">
        <v>64</v>
      </c>
      <c r="B67" s="36">
        <v>257980</v>
      </c>
      <c r="C67" s="36">
        <v>100320.16</v>
      </c>
      <c r="D67" s="48">
        <v>157659.84</v>
      </c>
      <c r="E67" s="36">
        <v>82519.429999999993</v>
      </c>
      <c r="F67" s="50">
        <v>186690.57</v>
      </c>
      <c r="G67" s="43">
        <f t="shared" si="1"/>
        <v>2.2372889587300927E-3</v>
      </c>
    </row>
    <row r="68" spans="1:7" x14ac:dyDescent="0.35">
      <c r="A68" s="35" t="s">
        <v>65</v>
      </c>
      <c r="B68" s="36">
        <v>21839344</v>
      </c>
      <c r="C68" s="36">
        <v>16762404.439999999</v>
      </c>
      <c r="D68" s="48">
        <v>5076939.5599999996</v>
      </c>
      <c r="E68" s="36">
        <v>3462028.28</v>
      </c>
      <c r="F68" s="50">
        <v>6404225.8799999999</v>
      </c>
      <c r="G68" s="43">
        <f t="shared" si="1"/>
        <v>0.18939810526827</v>
      </c>
    </row>
    <row r="69" spans="1:7" x14ac:dyDescent="0.35">
      <c r="A69" s="35" t="s">
        <v>66</v>
      </c>
      <c r="B69" s="36">
        <v>5994545</v>
      </c>
      <c r="C69" s="36">
        <v>2452643.7400000002</v>
      </c>
      <c r="D69" s="48">
        <v>3541901.26</v>
      </c>
      <c r="E69" s="36">
        <v>1981844</v>
      </c>
      <c r="F69" s="50">
        <v>4142809.26</v>
      </c>
      <c r="G69" s="43">
        <f t="shared" si="1"/>
        <v>5.1986701841657039E-2</v>
      </c>
    </row>
    <row r="70" spans="1:7" x14ac:dyDescent="0.35">
      <c r="A70" s="35" t="s">
        <v>67</v>
      </c>
      <c r="B70" s="36">
        <v>593812</v>
      </c>
      <c r="C70" s="36">
        <v>499761.53</v>
      </c>
      <c r="D70" s="48">
        <v>94050.47</v>
      </c>
      <c r="E70" s="36">
        <v>23397.62</v>
      </c>
      <c r="F70" s="50">
        <v>88085.98</v>
      </c>
      <c r="G70" s="43">
        <f t="shared" ref="G70:G101" si="2">B70/$B$117</f>
        <v>5.1497365344655936E-3</v>
      </c>
    </row>
    <row r="71" spans="1:7" x14ac:dyDescent="0.35">
      <c r="A71" s="35" t="s">
        <v>68</v>
      </c>
      <c r="B71" s="36">
        <v>53300</v>
      </c>
      <c r="C71" s="36">
        <v>53300</v>
      </c>
      <c r="D71" s="48">
        <v>48352.54</v>
      </c>
      <c r="E71" s="37">
        <v>0</v>
      </c>
      <c r="F71" s="50">
        <v>3710.71</v>
      </c>
      <c r="G71" s="43">
        <f t="shared" si="2"/>
        <v>4.6223545042373029E-4</v>
      </c>
    </row>
    <row r="72" spans="1:7" x14ac:dyDescent="0.35">
      <c r="A72" s="35" t="s">
        <v>69</v>
      </c>
      <c r="B72" s="36">
        <v>700043</v>
      </c>
      <c r="C72" s="36">
        <v>568810</v>
      </c>
      <c r="D72" s="48">
        <v>131233</v>
      </c>
      <c r="E72" s="36">
        <v>50837</v>
      </c>
      <c r="F72" s="50">
        <v>182070</v>
      </c>
      <c r="G72" s="43">
        <f t="shared" si="2"/>
        <v>6.0710073437331971E-3</v>
      </c>
    </row>
    <row r="73" spans="1:7" x14ac:dyDescent="0.35">
      <c r="A73" s="35" t="s">
        <v>110</v>
      </c>
      <c r="B73" s="36">
        <v>243636</v>
      </c>
      <c r="C73" s="36">
        <v>402094</v>
      </c>
      <c r="D73" s="48">
        <v>-158458</v>
      </c>
      <c r="E73" s="36">
        <v>6283</v>
      </c>
      <c r="F73" s="50">
        <v>-152175</v>
      </c>
      <c r="G73" s="43">
        <f t="shared" si="2"/>
        <v>2.1128929868562091E-3</v>
      </c>
    </row>
    <row r="74" spans="1:7" x14ac:dyDescent="0.35">
      <c r="A74" s="35" t="s">
        <v>125</v>
      </c>
      <c r="B74" s="37"/>
      <c r="C74" s="37"/>
      <c r="D74" s="48"/>
      <c r="E74" s="37"/>
      <c r="F74" s="50"/>
      <c r="G74" s="43">
        <f t="shared" si="2"/>
        <v>0</v>
      </c>
    </row>
    <row r="75" spans="1:7" x14ac:dyDescent="0.35">
      <c r="A75" s="35" t="s">
        <v>71</v>
      </c>
      <c r="B75" s="36">
        <v>296552</v>
      </c>
      <c r="C75" s="36">
        <v>190296.04</v>
      </c>
      <c r="D75" s="48">
        <v>106255.96</v>
      </c>
      <c r="E75" s="37">
        <v>0</v>
      </c>
      <c r="F75" s="50">
        <v>96831.28</v>
      </c>
      <c r="G75" s="43">
        <f t="shared" si="2"/>
        <v>2.5717982606765113E-3</v>
      </c>
    </row>
    <row r="76" spans="1:7" x14ac:dyDescent="0.35">
      <c r="A76" s="35" t="s">
        <v>72</v>
      </c>
      <c r="B76" s="37"/>
      <c r="C76" s="37"/>
      <c r="D76" s="48"/>
      <c r="E76" s="37"/>
      <c r="F76" s="50"/>
      <c r="G76" s="43">
        <f t="shared" si="2"/>
        <v>0</v>
      </c>
    </row>
    <row r="77" spans="1:7" x14ac:dyDescent="0.35">
      <c r="A77" s="35" t="s">
        <v>73</v>
      </c>
      <c r="B77" s="37"/>
      <c r="C77" s="37"/>
      <c r="D77" s="48"/>
      <c r="E77" s="37"/>
      <c r="F77" s="50"/>
      <c r="G77" s="43">
        <f t="shared" si="2"/>
        <v>0</v>
      </c>
    </row>
    <row r="78" spans="1:7" x14ac:dyDescent="0.35">
      <c r="A78" s="35" t="s">
        <v>126</v>
      </c>
      <c r="B78" s="36">
        <v>152978</v>
      </c>
      <c r="C78" s="36">
        <v>127418.29</v>
      </c>
      <c r="D78" s="48">
        <v>25559.71</v>
      </c>
      <c r="E78" s="37">
        <v>0</v>
      </c>
      <c r="F78" s="50">
        <v>21038.71</v>
      </c>
      <c r="G78" s="43">
        <f t="shared" si="2"/>
        <v>1.3266764490604392E-3</v>
      </c>
    </row>
    <row r="79" spans="1:7" x14ac:dyDescent="0.35">
      <c r="A79" s="35" t="s">
        <v>75</v>
      </c>
      <c r="B79" s="36">
        <v>42636</v>
      </c>
      <c r="C79" s="36">
        <v>32647.279999999999</v>
      </c>
      <c r="D79" s="48">
        <v>9988.7199999999993</v>
      </c>
      <c r="E79" s="37">
        <v>0</v>
      </c>
      <c r="F79" s="50">
        <v>9988.7199999999993</v>
      </c>
      <c r="G79" s="43">
        <f t="shared" si="2"/>
        <v>3.6975367099936518E-4</v>
      </c>
    </row>
    <row r="80" spans="1:7" x14ac:dyDescent="0.35">
      <c r="A80" s="35" t="s">
        <v>76</v>
      </c>
      <c r="B80" s="36">
        <v>62378</v>
      </c>
      <c r="C80" s="36">
        <v>74804</v>
      </c>
      <c r="D80" s="48">
        <v>-12426</v>
      </c>
      <c r="E80" s="37">
        <v>0</v>
      </c>
      <c r="F80" s="50">
        <v>-12426</v>
      </c>
      <c r="G80" s="43">
        <f t="shared" si="2"/>
        <v>5.409629066891454E-4</v>
      </c>
    </row>
    <row r="81" spans="1:7" x14ac:dyDescent="0.35">
      <c r="A81" s="35" t="s">
        <v>127</v>
      </c>
      <c r="B81" s="37"/>
      <c r="C81" s="37"/>
      <c r="D81" s="48"/>
      <c r="E81" s="37"/>
      <c r="F81" s="50"/>
      <c r="G81" s="43">
        <f t="shared" si="2"/>
        <v>0</v>
      </c>
    </row>
    <row r="82" spans="1:7" x14ac:dyDescent="0.35">
      <c r="A82" s="35" t="s">
        <v>77</v>
      </c>
      <c r="B82" s="36">
        <v>4058832</v>
      </c>
      <c r="C82" s="36">
        <v>2419755.46</v>
      </c>
      <c r="D82" s="48">
        <v>1639076.54</v>
      </c>
      <c r="E82" s="36">
        <v>60427.74</v>
      </c>
      <c r="F82" s="50">
        <v>1341651.28</v>
      </c>
      <c r="G82" s="43">
        <f t="shared" si="2"/>
        <v>3.5199550426158535E-2</v>
      </c>
    </row>
    <row r="83" spans="1:7" x14ac:dyDescent="0.35">
      <c r="A83" s="35" t="s">
        <v>78</v>
      </c>
      <c r="B83" s="37"/>
      <c r="C83" s="37"/>
      <c r="D83" s="48"/>
      <c r="E83" s="37"/>
      <c r="F83" s="50"/>
      <c r="G83" s="43">
        <f t="shared" si="2"/>
        <v>0</v>
      </c>
    </row>
    <row r="84" spans="1:7" x14ac:dyDescent="0.35">
      <c r="A84" s="35" t="s">
        <v>111</v>
      </c>
      <c r="B84" s="36">
        <v>331013</v>
      </c>
      <c r="C84" s="36">
        <v>580241.93999999994</v>
      </c>
      <c r="D84" s="48">
        <v>-249228.94</v>
      </c>
      <c r="E84" s="36">
        <v>24370.51</v>
      </c>
      <c r="F84" s="50">
        <v>-224858.43</v>
      </c>
      <c r="G84" s="43">
        <f t="shared" si="2"/>
        <v>2.8706555938294602E-3</v>
      </c>
    </row>
    <row r="85" spans="1:7" x14ac:dyDescent="0.35">
      <c r="A85" s="35" t="s">
        <v>79</v>
      </c>
      <c r="B85" s="37"/>
      <c r="C85" s="37"/>
      <c r="D85" s="48"/>
      <c r="E85" s="37"/>
      <c r="F85" s="50"/>
      <c r="G85" s="43">
        <f t="shared" si="2"/>
        <v>0</v>
      </c>
    </row>
    <row r="86" spans="1:7" x14ac:dyDescent="0.35">
      <c r="A86" s="35" t="s">
        <v>80</v>
      </c>
      <c r="B86" s="36">
        <v>897180</v>
      </c>
      <c r="C86" s="36">
        <v>787586</v>
      </c>
      <c r="D86" s="48">
        <v>109594</v>
      </c>
      <c r="E86" s="37">
        <v>0</v>
      </c>
      <c r="F86" s="50">
        <v>50195</v>
      </c>
      <c r="G86" s="43">
        <f t="shared" si="2"/>
        <v>7.7806454298529519E-3</v>
      </c>
    </row>
    <row r="87" spans="1:7" x14ac:dyDescent="0.35">
      <c r="A87" s="35" t="s">
        <v>81</v>
      </c>
      <c r="B87" s="37"/>
      <c r="C87" s="37"/>
      <c r="D87" s="48"/>
      <c r="E87" s="37"/>
      <c r="F87" s="50"/>
      <c r="G87" s="43">
        <f t="shared" si="2"/>
        <v>0</v>
      </c>
    </row>
    <row r="88" spans="1:7" x14ac:dyDescent="0.35">
      <c r="A88" s="35" t="s">
        <v>82</v>
      </c>
      <c r="B88" s="37">
        <v>0</v>
      </c>
      <c r="C88" s="36">
        <v>18400</v>
      </c>
      <c r="D88" s="48">
        <v>-18400</v>
      </c>
      <c r="E88" s="36">
        <v>107827.65</v>
      </c>
      <c r="F88" s="50">
        <v>89427.65</v>
      </c>
      <c r="G88" s="43">
        <f t="shared" si="2"/>
        <v>0</v>
      </c>
    </row>
    <row r="89" spans="1:7" x14ac:dyDescent="0.35">
      <c r="A89" s="35" t="s">
        <v>83</v>
      </c>
      <c r="B89" s="36">
        <v>589570</v>
      </c>
      <c r="C89" s="36">
        <v>1134469.68</v>
      </c>
      <c r="D89" s="48">
        <v>-544899.68000000005</v>
      </c>
      <c r="E89" s="36">
        <v>512047.35</v>
      </c>
      <c r="F89" s="50">
        <v>-32852.33</v>
      </c>
      <c r="G89" s="43">
        <f t="shared" si="2"/>
        <v>5.1129484897995993E-3</v>
      </c>
    </row>
    <row r="90" spans="1:7" x14ac:dyDescent="0.35">
      <c r="A90" s="35" t="s">
        <v>112</v>
      </c>
      <c r="B90" s="36">
        <v>98368</v>
      </c>
      <c r="C90" s="36">
        <v>166597</v>
      </c>
      <c r="D90" s="48">
        <v>-68229</v>
      </c>
      <c r="E90" s="36">
        <v>43254</v>
      </c>
      <c r="F90" s="50">
        <v>-24975</v>
      </c>
      <c r="G90" s="43">
        <f t="shared" si="2"/>
        <v>8.5308023991147283E-4</v>
      </c>
    </row>
    <row r="91" spans="1:7" x14ac:dyDescent="0.35">
      <c r="A91" s="35" t="s">
        <v>84</v>
      </c>
      <c r="B91" s="37"/>
      <c r="C91" s="37"/>
      <c r="D91" s="48"/>
      <c r="E91" s="37"/>
      <c r="F91" s="50"/>
      <c r="G91" s="43">
        <f t="shared" si="2"/>
        <v>0</v>
      </c>
    </row>
    <row r="92" spans="1:7" x14ac:dyDescent="0.35">
      <c r="A92" s="35" t="s">
        <v>85</v>
      </c>
      <c r="B92" s="36">
        <v>2269671</v>
      </c>
      <c r="C92" s="36">
        <v>1136711</v>
      </c>
      <c r="D92" s="48">
        <v>1132960</v>
      </c>
      <c r="E92" s="36">
        <v>35085</v>
      </c>
      <c r="F92" s="50">
        <v>876034</v>
      </c>
      <c r="G92" s="43">
        <f t="shared" si="2"/>
        <v>1.9683347035622484E-2</v>
      </c>
    </row>
    <row r="93" spans="1:7" x14ac:dyDescent="0.35">
      <c r="A93" s="35" t="s">
        <v>86</v>
      </c>
      <c r="B93" s="36">
        <v>2623260</v>
      </c>
      <c r="C93" s="36">
        <v>1972430.27</v>
      </c>
      <c r="D93" s="48">
        <v>650829.73</v>
      </c>
      <c r="E93" s="36">
        <v>155263.41</v>
      </c>
      <c r="F93" s="50">
        <v>806093.14</v>
      </c>
      <c r="G93" s="43">
        <f t="shared" si="2"/>
        <v>2.2749789262261816E-2</v>
      </c>
    </row>
    <row r="94" spans="1:7" x14ac:dyDescent="0.35">
      <c r="A94" s="35" t="s">
        <v>87</v>
      </c>
      <c r="B94" s="36">
        <v>136375</v>
      </c>
      <c r="C94" s="36">
        <v>81267.19</v>
      </c>
      <c r="D94" s="48">
        <v>55107.81</v>
      </c>
      <c r="E94" s="37">
        <v>0</v>
      </c>
      <c r="F94" s="50">
        <v>55107.81</v>
      </c>
      <c r="G94" s="43">
        <f t="shared" si="2"/>
        <v>1.182689672636702E-3</v>
      </c>
    </row>
    <row r="95" spans="1:7" x14ac:dyDescent="0.35">
      <c r="A95" s="35" t="s">
        <v>88</v>
      </c>
      <c r="B95" s="37"/>
      <c r="C95" s="37"/>
      <c r="D95" s="48"/>
      <c r="E95" s="37"/>
      <c r="F95" s="50"/>
      <c r="G95" s="43">
        <f t="shared" si="2"/>
        <v>0</v>
      </c>
    </row>
    <row r="96" spans="1:7" x14ac:dyDescent="0.35">
      <c r="A96" s="35" t="s">
        <v>89</v>
      </c>
      <c r="B96" s="36">
        <v>341583</v>
      </c>
      <c r="C96" s="36">
        <v>164935.13</v>
      </c>
      <c r="D96" s="48">
        <v>176647.87</v>
      </c>
      <c r="E96" s="36">
        <v>7026.92</v>
      </c>
      <c r="F96" s="50">
        <v>183674.79</v>
      </c>
      <c r="G96" s="43">
        <f t="shared" si="2"/>
        <v>2.9623221737727777E-3</v>
      </c>
    </row>
    <row r="97" spans="1:7" x14ac:dyDescent="0.35">
      <c r="A97" s="35" t="s">
        <v>90</v>
      </c>
      <c r="B97" s="36">
        <v>1484793</v>
      </c>
      <c r="C97" s="36">
        <v>866531</v>
      </c>
      <c r="D97" s="48">
        <v>618262</v>
      </c>
      <c r="E97" s="37">
        <v>0</v>
      </c>
      <c r="F97" s="50">
        <v>618262</v>
      </c>
      <c r="G97" s="43">
        <f t="shared" si="2"/>
        <v>1.2876622160243935E-2</v>
      </c>
    </row>
    <row r="98" spans="1:7" x14ac:dyDescent="0.35">
      <c r="A98" s="35" t="s">
        <v>91</v>
      </c>
      <c r="B98" s="37"/>
      <c r="C98" s="37"/>
      <c r="D98" s="48"/>
      <c r="E98" s="37"/>
      <c r="F98" s="50"/>
      <c r="G98" s="43">
        <f t="shared" si="2"/>
        <v>0</v>
      </c>
    </row>
    <row r="99" spans="1:7" x14ac:dyDescent="0.35">
      <c r="A99" s="35" t="s">
        <v>92</v>
      </c>
      <c r="B99" s="36">
        <v>35567</v>
      </c>
      <c r="C99" s="36">
        <v>22796</v>
      </c>
      <c r="D99" s="48">
        <v>12771</v>
      </c>
      <c r="E99" s="37">
        <v>0</v>
      </c>
      <c r="F99" s="50">
        <v>12771</v>
      </c>
      <c r="G99" s="43">
        <f t="shared" si="2"/>
        <v>3.0844893555761381E-4</v>
      </c>
    </row>
    <row r="100" spans="1:7" x14ac:dyDescent="0.35">
      <c r="A100" s="35" t="s">
        <v>93</v>
      </c>
      <c r="B100" s="37">
        <v>0</v>
      </c>
      <c r="C100" s="37">
        <v>0</v>
      </c>
      <c r="D100" s="48">
        <v>0</v>
      </c>
      <c r="E100" s="37">
        <v>0</v>
      </c>
      <c r="F100" s="50">
        <v>0</v>
      </c>
      <c r="G100" s="43">
        <f t="shared" si="2"/>
        <v>0</v>
      </c>
    </row>
    <row r="101" spans="1:7" x14ac:dyDescent="0.35">
      <c r="A101" s="35" t="s">
        <v>113</v>
      </c>
      <c r="B101" s="36">
        <v>421714</v>
      </c>
      <c r="C101" s="36">
        <v>65598.509999999995</v>
      </c>
      <c r="D101" s="48">
        <v>356115.49</v>
      </c>
      <c r="E101" s="37">
        <v>0</v>
      </c>
      <c r="F101" s="50">
        <v>356115.49</v>
      </c>
      <c r="G101" s="43">
        <f t="shared" si="2"/>
        <v>3.6572450420261351E-3</v>
      </c>
    </row>
    <row r="102" spans="1:7" x14ac:dyDescent="0.35">
      <c r="A102" s="35" t="s">
        <v>94</v>
      </c>
      <c r="B102" s="36">
        <v>1808739</v>
      </c>
      <c r="C102" s="36">
        <v>1285043.28</v>
      </c>
      <c r="D102" s="48">
        <v>523695.72</v>
      </c>
      <c r="E102" s="37">
        <v>324.20999999999998</v>
      </c>
      <c r="F102" s="50">
        <v>393095.98</v>
      </c>
      <c r="G102" s="43">
        <f t="shared" ref="G102:G116" si="3">B102/$B$117</f>
        <v>1.5685990363301455E-2</v>
      </c>
    </row>
    <row r="103" spans="1:7" x14ac:dyDescent="0.35">
      <c r="A103" s="35" t="s">
        <v>114</v>
      </c>
      <c r="B103" s="36">
        <v>754023</v>
      </c>
      <c r="C103" s="36">
        <v>609686.34</v>
      </c>
      <c r="D103" s="48">
        <v>144336.66</v>
      </c>
      <c r="E103" s="37">
        <v>0</v>
      </c>
      <c r="F103" s="50">
        <v>144336.66</v>
      </c>
      <c r="G103" s="43">
        <f t="shared" si="3"/>
        <v>6.539139981892165E-3</v>
      </c>
    </row>
    <row r="104" spans="1:7" x14ac:dyDescent="0.35">
      <c r="A104" s="35" t="s">
        <v>95</v>
      </c>
      <c r="B104" s="36">
        <v>28049</v>
      </c>
      <c r="C104" s="36">
        <v>27290</v>
      </c>
      <c r="D104" s="48">
        <v>759</v>
      </c>
      <c r="E104" s="36">
        <v>18425</v>
      </c>
      <c r="F104" s="50">
        <v>17321</v>
      </c>
      <c r="G104" s="43">
        <f t="shared" si="3"/>
        <v>2.4325032174362496E-4</v>
      </c>
    </row>
    <row r="105" spans="1:7" x14ac:dyDescent="0.35">
      <c r="A105" s="35" t="s">
        <v>96</v>
      </c>
      <c r="B105" s="36">
        <v>207534</v>
      </c>
      <c r="C105" s="36">
        <v>161362.1</v>
      </c>
      <c r="D105" s="48">
        <v>46171.9</v>
      </c>
      <c r="E105" s="36">
        <v>9600</v>
      </c>
      <c r="F105" s="50">
        <v>55771.9</v>
      </c>
      <c r="G105" s="43">
        <f t="shared" si="3"/>
        <v>1.7998043521245486E-3</v>
      </c>
    </row>
    <row r="106" spans="1:7" x14ac:dyDescent="0.35">
      <c r="A106" s="35" t="s">
        <v>97</v>
      </c>
      <c r="B106" s="36">
        <v>187574</v>
      </c>
      <c r="C106" s="36">
        <v>179488.12</v>
      </c>
      <c r="D106" s="48">
        <v>8085.88</v>
      </c>
      <c r="E106" s="36">
        <v>18386</v>
      </c>
      <c r="F106" s="50">
        <v>7715.63</v>
      </c>
      <c r="G106" s="43">
        <f t="shared" si="3"/>
        <v>1.6267045474255306E-3</v>
      </c>
    </row>
    <row r="107" spans="1:7" x14ac:dyDescent="0.35">
      <c r="A107" s="35" t="s">
        <v>98</v>
      </c>
      <c r="B107" s="36">
        <v>905947</v>
      </c>
      <c r="C107" s="36">
        <v>716830</v>
      </c>
      <c r="D107" s="48">
        <v>189117</v>
      </c>
      <c r="E107" s="36">
        <v>20769</v>
      </c>
      <c r="F107" s="50">
        <v>172829</v>
      </c>
      <c r="G107" s="43">
        <f t="shared" si="3"/>
        <v>7.8566757899629861E-3</v>
      </c>
    </row>
    <row r="108" spans="1:7" x14ac:dyDescent="0.35">
      <c r="A108" s="35" t="s">
        <v>99</v>
      </c>
      <c r="B108" s="37"/>
      <c r="C108" s="37"/>
      <c r="D108" s="48"/>
      <c r="E108" s="37"/>
      <c r="F108" s="50"/>
      <c r="G108" s="43">
        <f t="shared" si="3"/>
        <v>0</v>
      </c>
    </row>
    <row r="109" spans="1:7" x14ac:dyDescent="0.35">
      <c r="A109" s="35" t="s">
        <v>100</v>
      </c>
      <c r="B109" s="36">
        <v>2417753</v>
      </c>
      <c r="C109" s="36">
        <v>1943461.64</v>
      </c>
      <c r="D109" s="48">
        <v>474291.36</v>
      </c>
      <c r="E109" s="36">
        <v>111914.26</v>
      </c>
      <c r="F109" s="50">
        <v>586205.62</v>
      </c>
      <c r="G109" s="43">
        <f t="shared" si="3"/>
        <v>2.0967563732989216E-2</v>
      </c>
    </row>
    <row r="110" spans="1:7" x14ac:dyDescent="0.35">
      <c r="A110" s="35" t="s">
        <v>101</v>
      </c>
      <c r="B110" s="37"/>
      <c r="C110" s="37"/>
      <c r="D110" s="48"/>
      <c r="E110" s="37"/>
      <c r="F110" s="50"/>
      <c r="G110" s="43">
        <f t="shared" si="3"/>
        <v>0</v>
      </c>
    </row>
    <row r="111" spans="1:7" x14ac:dyDescent="0.35">
      <c r="A111" s="35" t="s">
        <v>102</v>
      </c>
      <c r="B111" s="36">
        <v>18368</v>
      </c>
      <c r="C111" s="36">
        <v>46173</v>
      </c>
      <c r="D111" s="48">
        <v>-27805</v>
      </c>
      <c r="E111" s="37">
        <v>0</v>
      </c>
      <c r="F111" s="50">
        <v>-27805</v>
      </c>
      <c r="G111" s="43">
        <f t="shared" si="3"/>
        <v>1.5929344753063936E-4</v>
      </c>
    </row>
    <row r="112" spans="1:7" x14ac:dyDescent="0.35">
      <c r="A112" s="35" t="s">
        <v>103</v>
      </c>
      <c r="B112" s="36">
        <v>2013110</v>
      </c>
      <c r="C112" s="36">
        <v>1034733.51</v>
      </c>
      <c r="D112" s="48">
        <v>978376.49</v>
      </c>
      <c r="E112" s="36">
        <v>67071.64</v>
      </c>
      <c r="F112" s="50">
        <v>1045448.13</v>
      </c>
      <c r="G112" s="43">
        <f t="shared" si="3"/>
        <v>1.7458364120122246E-2</v>
      </c>
    </row>
    <row r="113" spans="1:7" x14ac:dyDescent="0.35">
      <c r="A113" s="35" t="s">
        <v>104</v>
      </c>
      <c r="B113" s="36">
        <v>321020</v>
      </c>
      <c r="C113" s="36">
        <v>373542.21</v>
      </c>
      <c r="D113" s="48">
        <v>-52522.21</v>
      </c>
      <c r="E113" s="36">
        <v>40759.1</v>
      </c>
      <c r="F113" s="50">
        <v>-11763.11</v>
      </c>
      <c r="G113" s="43">
        <f t="shared" si="3"/>
        <v>2.7839929511261894E-3</v>
      </c>
    </row>
    <row r="114" spans="1:7" x14ac:dyDescent="0.35">
      <c r="A114" s="35" t="s">
        <v>105</v>
      </c>
      <c r="B114" s="37"/>
      <c r="C114" s="37"/>
      <c r="D114" s="48"/>
      <c r="E114" s="37"/>
      <c r="F114" s="50"/>
      <c r="G114" s="43">
        <f t="shared" si="3"/>
        <v>0</v>
      </c>
    </row>
    <row r="115" spans="1:7" x14ac:dyDescent="0.35">
      <c r="A115" s="35" t="s">
        <v>106</v>
      </c>
      <c r="B115" s="36">
        <v>11643448</v>
      </c>
      <c r="C115" s="36">
        <v>3382593.06</v>
      </c>
      <c r="D115" s="48">
        <v>8260854.9400000004</v>
      </c>
      <c r="E115" s="36">
        <v>378966.96</v>
      </c>
      <c r="F115" s="50">
        <v>6573255.9000000004</v>
      </c>
      <c r="G115" s="43">
        <f t="shared" si="3"/>
        <v>0.10097588050216288</v>
      </c>
    </row>
    <row r="116" spans="1:7" x14ac:dyDescent="0.35">
      <c r="A116" s="35" t="s">
        <v>107</v>
      </c>
      <c r="B116" s="36">
        <v>116474</v>
      </c>
      <c r="C116" s="36">
        <v>235736</v>
      </c>
      <c r="D116" s="48">
        <v>-119262</v>
      </c>
      <c r="E116" s="37">
        <v>566</v>
      </c>
      <c r="F116" s="50">
        <v>-118696</v>
      </c>
      <c r="G116" s="43">
        <f t="shared" si="3"/>
        <v>1.0101015356970648E-3</v>
      </c>
    </row>
    <row r="117" spans="1:7" x14ac:dyDescent="0.35">
      <c r="A117" s="41" t="s">
        <v>108</v>
      </c>
      <c r="B117" s="42">
        <f>SUM(B6:B116)</f>
        <v>115309200</v>
      </c>
      <c r="C117" s="42">
        <f>SUM(C6:C116)</f>
        <v>76626050.99000001</v>
      </c>
      <c r="D117" s="49">
        <f>SUM(D6:D116)</f>
        <v>38731501.54999999</v>
      </c>
      <c r="E117" s="42">
        <f>SUM(E6:E116)</f>
        <v>10646018.07</v>
      </c>
      <c r="F117" s="49">
        <f>SUM(F6:F116)</f>
        <v>38803115.609999999</v>
      </c>
    </row>
  </sheetData>
  <sortState xmlns:xlrd2="http://schemas.microsoft.com/office/spreadsheetml/2017/richdata2" ref="A7:G129">
    <sortCondition ref="A6"/>
  </sortState>
  <mergeCells count="1">
    <mergeCell ref="A1:G1"/>
  </mergeCells>
  <dataValidations count="1">
    <dataValidation type="list" allowBlank="1" showInputMessage="1" showErrorMessage="1" sqref="A3:A4" xr:uid="{00000000-0002-0000-0300-000000000000}">
      <formula1>$A$8:$A$75</formula1>
    </dataValidation>
  </dataValidations>
  <pageMargins left="0.7" right="0.7" top="0.75" bottom="0.75" header="0.3" footer="0.3"/>
  <customProperties>
    <customPr name="LastActive" r:id="rId1"/>
  </customPropertie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6"/>
  <sheetViews>
    <sheetView zoomScale="70" zoomScaleNormal="70" workbookViewId="0">
      <selection activeCell="A33" sqref="A33"/>
    </sheetView>
  </sheetViews>
  <sheetFormatPr defaultColWidth="8.86328125" defaultRowHeight="14.25" x14ac:dyDescent="0.45"/>
  <cols>
    <col min="1" max="1" width="52.59765625" style="51" bestFit="1" customWidth="1"/>
    <col min="2" max="2" width="28.73046875" style="51" bestFit="1" customWidth="1"/>
    <col min="3" max="3" width="38.59765625" style="51" bestFit="1" customWidth="1"/>
    <col min="4" max="4" width="27.86328125" style="51" bestFit="1" customWidth="1"/>
    <col min="5" max="5" width="36.73046875" style="51" bestFit="1" customWidth="1"/>
    <col min="6" max="6" width="33.1328125" style="51" bestFit="1" customWidth="1"/>
    <col min="7" max="7" width="19.1328125" style="51" bestFit="1" customWidth="1"/>
    <col min="8" max="16384" width="8.86328125" style="51"/>
  </cols>
  <sheetData>
    <row r="1" spans="1:7" customFormat="1" ht="23.25" x14ac:dyDescent="0.7">
      <c r="A1" s="170" t="s">
        <v>130</v>
      </c>
      <c r="B1" s="170"/>
      <c r="C1" s="170"/>
      <c r="D1" s="170"/>
      <c r="E1" s="170"/>
      <c r="F1" s="170"/>
      <c r="G1" s="170"/>
    </row>
    <row r="2" spans="1:7" customFormat="1" ht="32.25" customHeight="1" x14ac:dyDescent="0.6">
      <c r="A2" s="61" t="s">
        <v>1</v>
      </c>
      <c r="B2" s="62" t="s">
        <v>2</v>
      </c>
      <c r="C2" s="62" t="s">
        <v>3</v>
      </c>
      <c r="D2" s="62" t="s">
        <v>4</v>
      </c>
      <c r="E2" s="62" t="s">
        <v>5</v>
      </c>
      <c r="F2" s="62" t="s">
        <v>6</v>
      </c>
      <c r="G2" s="63" t="s">
        <v>9</v>
      </c>
    </row>
    <row r="3" spans="1:7" customFormat="1" ht="20.65" x14ac:dyDescent="0.6">
      <c r="A3" s="64" t="s">
        <v>107</v>
      </c>
      <c r="B3" s="65">
        <f>INDEX(B6:B105,MATCH($A$3,$A$6:$A$105,0))</f>
        <v>1269983</v>
      </c>
      <c r="C3" s="65">
        <f t="shared" ref="C3:G3" si="0">INDEX(C6:C105,MATCH($A$3,$A$6:$A$105,0))</f>
        <v>1229595</v>
      </c>
      <c r="D3" s="65">
        <f t="shared" si="0"/>
        <v>40388</v>
      </c>
      <c r="E3" s="65">
        <f t="shared" si="0"/>
        <v>3105</v>
      </c>
      <c r="F3" s="65">
        <f t="shared" si="0"/>
        <v>28219</v>
      </c>
      <c r="G3" s="65">
        <f t="shared" si="0"/>
        <v>6.6941485700983379E-3</v>
      </c>
    </row>
    <row r="5" spans="1:7" x14ac:dyDescent="0.45">
      <c r="A5" s="60" t="s">
        <v>1</v>
      </c>
      <c r="B5" s="58" t="s">
        <v>2</v>
      </c>
      <c r="C5" s="58" t="s">
        <v>3</v>
      </c>
      <c r="D5" s="58" t="s">
        <v>4</v>
      </c>
      <c r="E5" s="58" t="s">
        <v>5</v>
      </c>
      <c r="F5" s="57" t="s">
        <v>6</v>
      </c>
      <c r="G5" s="51" t="s">
        <v>116</v>
      </c>
    </row>
    <row r="6" spans="1:7" ht="12.75" customHeight="1" x14ac:dyDescent="0.45">
      <c r="A6" s="54" t="s">
        <v>117</v>
      </c>
      <c r="B6" s="53">
        <v>459772</v>
      </c>
      <c r="C6" s="53">
        <v>713544</v>
      </c>
      <c r="D6" s="53">
        <v>-253772</v>
      </c>
      <c r="E6" s="53">
        <v>11471</v>
      </c>
      <c r="F6" s="52">
        <v>-242301</v>
      </c>
      <c r="G6" s="67">
        <f>SUM(B6/$B$106)</f>
        <v>2.4234828941578379E-3</v>
      </c>
    </row>
    <row r="7" spans="1:7" ht="12.75" customHeight="1" x14ac:dyDescent="0.45">
      <c r="A7" s="54" t="s">
        <v>10</v>
      </c>
      <c r="B7" s="53">
        <v>2868249</v>
      </c>
      <c r="C7" s="53">
        <v>1506498</v>
      </c>
      <c r="D7" s="53">
        <v>1361751</v>
      </c>
      <c r="E7" s="53">
        <v>133416</v>
      </c>
      <c r="F7" s="52">
        <v>1094471</v>
      </c>
      <c r="G7" s="67">
        <f t="shared" ref="G7:G70" si="1">SUM(B7/$B$106)</f>
        <v>1.5118694456568308E-2</v>
      </c>
    </row>
    <row r="8" spans="1:7" ht="12.75" customHeight="1" x14ac:dyDescent="0.45">
      <c r="A8" s="54" t="s">
        <v>11</v>
      </c>
      <c r="B8" s="53">
        <v>147720</v>
      </c>
      <c r="C8" s="53">
        <v>205317</v>
      </c>
      <c r="D8" s="53">
        <v>-57597</v>
      </c>
      <c r="E8" s="56">
        <v>0</v>
      </c>
      <c r="F8" s="52">
        <v>-57597</v>
      </c>
      <c r="G8" s="67">
        <f t="shared" si="1"/>
        <v>7.7864005012266029E-4</v>
      </c>
    </row>
    <row r="9" spans="1:7" ht="12.75" customHeight="1" x14ac:dyDescent="0.45">
      <c r="A9" s="54" t="s">
        <v>12</v>
      </c>
      <c r="B9" s="53">
        <v>1732785</v>
      </c>
      <c r="C9" s="53">
        <v>1224257.95</v>
      </c>
      <c r="D9" s="53">
        <v>508527.05</v>
      </c>
      <c r="E9" s="53">
        <v>137521</v>
      </c>
      <c r="F9" s="52">
        <v>484538.05</v>
      </c>
      <c r="G9" s="67">
        <f t="shared" si="1"/>
        <v>9.1336027569170995E-3</v>
      </c>
    </row>
    <row r="10" spans="1:7" ht="12.75" customHeight="1" x14ac:dyDescent="0.45">
      <c r="A10" s="54" t="s">
        <v>13</v>
      </c>
      <c r="B10" s="53">
        <v>292795</v>
      </c>
      <c r="C10" s="53">
        <v>256963.03</v>
      </c>
      <c r="D10" s="53">
        <v>35831.97</v>
      </c>
      <c r="E10" s="53">
        <v>44624</v>
      </c>
      <c r="F10" s="52">
        <v>60341.97</v>
      </c>
      <c r="G10" s="67">
        <f t="shared" si="1"/>
        <v>1.5433381632525341E-3</v>
      </c>
    </row>
    <row r="11" spans="1:7" ht="12.75" customHeight="1" x14ac:dyDescent="0.45">
      <c r="A11" s="54" t="s">
        <v>14</v>
      </c>
      <c r="B11" s="53">
        <v>1638324</v>
      </c>
      <c r="C11" s="53">
        <v>1630054.93</v>
      </c>
      <c r="D11" s="53">
        <v>8269.07</v>
      </c>
      <c r="E11" s="53">
        <v>51153</v>
      </c>
      <c r="F11" s="52">
        <v>39425.07</v>
      </c>
      <c r="G11" s="67">
        <f t="shared" si="1"/>
        <v>8.6356937549225375E-3</v>
      </c>
    </row>
    <row r="12" spans="1:7" ht="12.75" customHeight="1" x14ac:dyDescent="0.45">
      <c r="A12" s="54" t="s">
        <v>16</v>
      </c>
      <c r="B12" s="53">
        <v>4291695</v>
      </c>
      <c r="C12" s="53">
        <v>2248432.2999999998</v>
      </c>
      <c r="D12" s="53">
        <v>2043262.7</v>
      </c>
      <c r="E12" s="53">
        <v>293434.53000000003</v>
      </c>
      <c r="F12" s="52">
        <v>1752523.23</v>
      </c>
      <c r="G12" s="67">
        <f t="shared" si="1"/>
        <v>2.2621754738093493E-2</v>
      </c>
    </row>
    <row r="13" spans="1:7" ht="12.75" customHeight="1" x14ac:dyDescent="0.45">
      <c r="A13" s="54" t="s">
        <v>17</v>
      </c>
      <c r="B13" s="53">
        <v>781426</v>
      </c>
      <c r="C13" s="53">
        <v>400163.1</v>
      </c>
      <c r="D13" s="53">
        <v>381262.9</v>
      </c>
      <c r="E13" s="53">
        <v>19243.2</v>
      </c>
      <c r="F13" s="52">
        <v>400506.1</v>
      </c>
      <c r="G13" s="67">
        <f t="shared" si="1"/>
        <v>4.1189383956617247E-3</v>
      </c>
    </row>
    <row r="14" spans="1:7" ht="12.75" customHeight="1" x14ac:dyDescent="0.45">
      <c r="A14" s="54" t="s">
        <v>18</v>
      </c>
      <c r="B14" s="53">
        <v>6268</v>
      </c>
      <c r="C14" s="53">
        <v>62390.71</v>
      </c>
      <c r="D14" s="53">
        <v>-56122.71</v>
      </c>
      <c r="E14" s="53">
        <v>37029.67</v>
      </c>
      <c r="F14" s="52">
        <v>-19093.05</v>
      </c>
      <c r="G14" s="67">
        <f t="shared" si="1"/>
        <v>3.3038964488009984E-5</v>
      </c>
    </row>
    <row r="15" spans="1:7" ht="12.75" customHeight="1" x14ac:dyDescent="0.45">
      <c r="A15" s="54" t="s">
        <v>20</v>
      </c>
      <c r="B15" s="53">
        <v>564794</v>
      </c>
      <c r="C15" s="53">
        <v>579503.5</v>
      </c>
      <c r="D15" s="53">
        <v>-14709.5</v>
      </c>
      <c r="E15" s="53">
        <v>50038</v>
      </c>
      <c r="F15" s="52">
        <v>26496.5</v>
      </c>
      <c r="G15" s="67">
        <f t="shared" si="1"/>
        <v>2.9770594941035595E-3</v>
      </c>
    </row>
    <row r="16" spans="1:7" ht="12.75" customHeight="1" x14ac:dyDescent="0.45">
      <c r="A16" s="54" t="s">
        <v>21</v>
      </c>
      <c r="B16" s="53">
        <v>2291995</v>
      </c>
      <c r="C16" s="53">
        <v>2035027</v>
      </c>
      <c r="D16" s="53">
        <v>256968</v>
      </c>
      <c r="E16" s="53">
        <v>118297</v>
      </c>
      <c r="F16" s="52">
        <v>289185</v>
      </c>
      <c r="G16" s="67">
        <f t="shared" si="1"/>
        <v>1.2081228687252145E-2</v>
      </c>
    </row>
    <row r="17" spans="1:7" ht="12.75" customHeight="1" x14ac:dyDescent="0.45">
      <c r="A17" s="54" t="s">
        <v>22</v>
      </c>
      <c r="B17" s="53">
        <v>179393</v>
      </c>
      <c r="C17" s="53">
        <v>170150.59</v>
      </c>
      <c r="D17" s="53">
        <v>9242.41</v>
      </c>
      <c r="E17" s="53">
        <v>48142</v>
      </c>
      <c r="F17" s="52">
        <v>43038.29</v>
      </c>
      <c r="G17" s="67">
        <f t="shared" si="1"/>
        <v>9.4559013343930686E-4</v>
      </c>
    </row>
    <row r="18" spans="1:7" ht="12.75" customHeight="1" x14ac:dyDescent="0.45">
      <c r="A18" s="54" t="s">
        <v>23</v>
      </c>
      <c r="B18" s="53">
        <v>1178360</v>
      </c>
      <c r="C18" s="53">
        <v>918085</v>
      </c>
      <c r="D18" s="53">
        <v>260275</v>
      </c>
      <c r="E18" s="53">
        <v>203519</v>
      </c>
      <c r="F18" s="52">
        <v>347845</v>
      </c>
      <c r="G18" s="67">
        <f t="shared" si="1"/>
        <v>6.2111988184574739E-3</v>
      </c>
    </row>
    <row r="19" spans="1:7" ht="12.75" customHeight="1" x14ac:dyDescent="0.45">
      <c r="A19" s="54" t="s">
        <v>24</v>
      </c>
      <c r="B19" s="53">
        <v>6309008</v>
      </c>
      <c r="C19" s="53">
        <v>5771383.6399999997</v>
      </c>
      <c r="D19" s="53">
        <v>537624.36</v>
      </c>
      <c r="E19" s="53">
        <v>868545.3</v>
      </c>
      <c r="F19" s="52">
        <v>996442.66</v>
      </c>
      <c r="G19" s="67">
        <f t="shared" si="1"/>
        <v>3.3255119857461851E-2</v>
      </c>
    </row>
    <row r="20" spans="1:7" ht="12.75" customHeight="1" x14ac:dyDescent="0.45">
      <c r="A20" s="54" t="s">
        <v>25</v>
      </c>
      <c r="B20" s="53">
        <v>855384</v>
      </c>
      <c r="C20" s="53">
        <v>831730</v>
      </c>
      <c r="D20" s="53">
        <v>23654</v>
      </c>
      <c r="E20" s="53">
        <v>21315</v>
      </c>
      <c r="F20" s="52">
        <v>23461</v>
      </c>
      <c r="G20" s="67">
        <f t="shared" si="1"/>
        <v>4.508774983984035E-3</v>
      </c>
    </row>
    <row r="21" spans="1:7" ht="12.75" customHeight="1" x14ac:dyDescent="0.45">
      <c r="A21" s="54" t="s">
        <v>26</v>
      </c>
      <c r="B21" s="53">
        <v>48280</v>
      </c>
      <c r="C21" s="53">
        <v>167784</v>
      </c>
      <c r="D21" s="53">
        <v>-119504</v>
      </c>
      <c r="E21" s="53">
        <v>19080</v>
      </c>
      <c r="F21" s="52">
        <v>-100424</v>
      </c>
      <c r="G21" s="67">
        <f t="shared" si="1"/>
        <v>2.5448647183808586E-4</v>
      </c>
    </row>
    <row r="22" spans="1:7" ht="12.75" customHeight="1" x14ac:dyDescent="0.45">
      <c r="A22" s="54" t="s">
        <v>27</v>
      </c>
      <c r="B22" s="53">
        <v>201477</v>
      </c>
      <c r="C22" s="53">
        <v>149603.03</v>
      </c>
      <c r="D22" s="53">
        <v>51873.97</v>
      </c>
      <c r="E22" s="53">
        <v>41849</v>
      </c>
      <c r="F22" s="52">
        <v>74824.97</v>
      </c>
      <c r="G22" s="67">
        <f t="shared" si="1"/>
        <v>1.0619960829851289E-3</v>
      </c>
    </row>
    <row r="23" spans="1:7" ht="12.75" customHeight="1" x14ac:dyDescent="0.45">
      <c r="A23" s="54" t="s">
        <v>118</v>
      </c>
      <c r="B23" s="53">
        <v>152154</v>
      </c>
      <c r="C23" s="53">
        <v>393101</v>
      </c>
      <c r="D23" s="53">
        <v>-240947</v>
      </c>
      <c r="E23" s="56">
        <v>0</v>
      </c>
      <c r="F23" s="52">
        <v>-240947</v>
      </c>
      <c r="G23" s="67">
        <f t="shared" si="1"/>
        <v>8.0201190215518046E-4</v>
      </c>
    </row>
    <row r="24" spans="1:7" ht="12.75" customHeight="1" x14ac:dyDescent="0.45">
      <c r="A24" s="54" t="s">
        <v>28</v>
      </c>
      <c r="B24" s="53">
        <v>1769514</v>
      </c>
      <c r="C24" s="53">
        <v>1315907</v>
      </c>
      <c r="D24" s="53">
        <v>453607</v>
      </c>
      <c r="E24" s="53">
        <v>69411</v>
      </c>
      <c r="F24" s="52">
        <v>390848</v>
      </c>
      <c r="G24" s="67">
        <f t="shared" si="1"/>
        <v>9.3272032876573867E-3</v>
      </c>
    </row>
    <row r="25" spans="1:7" ht="12.75" customHeight="1" x14ac:dyDescent="0.45">
      <c r="A25" s="54" t="s">
        <v>8</v>
      </c>
      <c r="B25" s="53">
        <v>1167635</v>
      </c>
      <c r="C25" s="53">
        <v>370090</v>
      </c>
      <c r="D25" s="53">
        <v>797545</v>
      </c>
      <c r="E25" s="56">
        <v>0</v>
      </c>
      <c r="F25" s="52">
        <v>797545</v>
      </c>
      <c r="G25" s="67">
        <f t="shared" si="1"/>
        <v>6.1546667677022234E-3</v>
      </c>
    </row>
    <row r="26" spans="1:7" ht="12.75" customHeight="1" x14ac:dyDescent="0.45">
      <c r="A26" s="54" t="s">
        <v>30</v>
      </c>
      <c r="B26" s="53">
        <v>461230</v>
      </c>
      <c r="C26" s="53">
        <v>443223</v>
      </c>
      <c r="D26" s="53">
        <v>18007</v>
      </c>
      <c r="E26" s="56">
        <v>0</v>
      </c>
      <c r="F26" s="52">
        <v>3854</v>
      </c>
      <c r="G26" s="67">
        <f t="shared" si="1"/>
        <v>2.4311680904283415E-3</v>
      </c>
    </row>
    <row r="27" spans="1:7" ht="12.75" customHeight="1" x14ac:dyDescent="0.45">
      <c r="A27" s="54" t="s">
        <v>31</v>
      </c>
      <c r="B27" s="53">
        <v>474081</v>
      </c>
      <c r="C27" s="53">
        <v>506631</v>
      </c>
      <c r="D27" s="53">
        <v>-32550</v>
      </c>
      <c r="E27" s="53">
        <v>7259</v>
      </c>
      <c r="F27" s="52">
        <v>-25291</v>
      </c>
      <c r="G27" s="67">
        <f t="shared" si="1"/>
        <v>2.4989064013146555E-3</v>
      </c>
    </row>
    <row r="28" spans="1:7" ht="12.75" customHeight="1" x14ac:dyDescent="0.45">
      <c r="A28" s="54" t="s">
        <v>32</v>
      </c>
      <c r="B28" s="53">
        <v>867677</v>
      </c>
      <c r="C28" s="53">
        <v>783062</v>
      </c>
      <c r="D28" s="53">
        <v>84615</v>
      </c>
      <c r="E28" s="53">
        <v>59045</v>
      </c>
      <c r="F28" s="52">
        <v>107745</v>
      </c>
      <c r="G28" s="67">
        <f t="shared" si="1"/>
        <v>4.5735720469149707E-3</v>
      </c>
    </row>
    <row r="29" spans="1:7" ht="12.75" customHeight="1" x14ac:dyDescent="0.45">
      <c r="A29" s="54" t="s">
        <v>33</v>
      </c>
      <c r="B29" s="56">
        <v>178764</v>
      </c>
      <c r="C29" s="56">
        <v>208077</v>
      </c>
      <c r="D29" s="56">
        <v>-29313</v>
      </c>
      <c r="E29" s="56">
        <v>0</v>
      </c>
      <c r="F29" s="55">
        <v>-19485</v>
      </c>
      <c r="G29" s="67">
        <f t="shared" si="1"/>
        <v>9.4227464067240217E-4</v>
      </c>
    </row>
    <row r="30" spans="1:7" ht="12.75" customHeight="1" x14ac:dyDescent="0.45">
      <c r="A30" s="54" t="s">
        <v>34</v>
      </c>
      <c r="B30" s="53">
        <v>94637</v>
      </c>
      <c r="C30" s="53">
        <v>105195</v>
      </c>
      <c r="D30" s="53">
        <v>-10558</v>
      </c>
      <c r="E30" s="53">
        <v>10558</v>
      </c>
      <c r="F30" s="55">
        <v>0</v>
      </c>
      <c r="G30" s="67">
        <f t="shared" si="1"/>
        <v>4.9883670744285268E-4</v>
      </c>
    </row>
    <row r="31" spans="1:7" ht="12.75" customHeight="1" x14ac:dyDescent="0.45">
      <c r="A31" s="54" t="s">
        <v>35</v>
      </c>
      <c r="B31" s="53">
        <v>1265939</v>
      </c>
      <c r="C31" s="53">
        <v>1355521</v>
      </c>
      <c r="D31" s="53">
        <v>-89582</v>
      </c>
      <c r="E31" s="53">
        <v>66262</v>
      </c>
      <c r="F31" s="52">
        <v>-24844</v>
      </c>
      <c r="G31" s="67">
        <f t="shared" si="1"/>
        <v>6.6728324290023728E-3</v>
      </c>
    </row>
    <row r="32" spans="1:7" ht="12.75" customHeight="1" x14ac:dyDescent="0.45">
      <c r="A32" s="54" t="s">
        <v>36</v>
      </c>
      <c r="B32" s="53">
        <v>1189418</v>
      </c>
      <c r="C32" s="53">
        <v>1145008</v>
      </c>
      <c r="D32" s="53">
        <v>44410</v>
      </c>
      <c r="E32" s="56">
        <v>121</v>
      </c>
      <c r="F32" s="52">
        <v>16755</v>
      </c>
      <c r="G32" s="67">
        <f t="shared" si="1"/>
        <v>6.2694861300893199E-3</v>
      </c>
    </row>
    <row r="33" spans="1:7" ht="12.75" customHeight="1" x14ac:dyDescent="0.45">
      <c r="A33" s="54" t="s">
        <v>37</v>
      </c>
      <c r="B33" s="53">
        <v>234019</v>
      </c>
      <c r="C33" s="53">
        <v>105195</v>
      </c>
      <c r="D33" s="53">
        <v>128824</v>
      </c>
      <c r="E33" s="56">
        <v>0</v>
      </c>
      <c r="F33" s="52">
        <v>116602</v>
      </c>
      <c r="G33" s="67">
        <f t="shared" si="1"/>
        <v>1.2335267119527136E-3</v>
      </c>
    </row>
    <row r="34" spans="1:7" ht="12.75" customHeight="1" x14ac:dyDescent="0.45">
      <c r="A34" s="54" t="s">
        <v>38</v>
      </c>
      <c r="B34" s="53">
        <v>822760</v>
      </c>
      <c r="C34" s="53">
        <v>765051</v>
      </c>
      <c r="D34" s="53">
        <v>57709</v>
      </c>
      <c r="E34" s="56">
        <v>0</v>
      </c>
      <c r="F34" s="52">
        <v>43282</v>
      </c>
      <c r="G34" s="67">
        <f t="shared" si="1"/>
        <v>4.3368121286144054E-3</v>
      </c>
    </row>
    <row r="35" spans="1:7" ht="12.75" customHeight="1" x14ac:dyDescent="0.45">
      <c r="A35" s="54" t="s">
        <v>39</v>
      </c>
      <c r="B35" s="53">
        <v>13572972</v>
      </c>
      <c r="C35" s="53">
        <v>7140873</v>
      </c>
      <c r="D35" s="53">
        <v>6432099</v>
      </c>
      <c r="E35" s="53">
        <v>1856026</v>
      </c>
      <c r="F35" s="52">
        <v>6190817</v>
      </c>
      <c r="G35" s="67">
        <f t="shared" si="1"/>
        <v>7.1543864056278536E-2</v>
      </c>
    </row>
    <row r="36" spans="1:7" ht="12.75" customHeight="1" x14ac:dyDescent="0.45">
      <c r="A36" s="54" t="s">
        <v>40</v>
      </c>
      <c r="B36" s="53">
        <v>252078</v>
      </c>
      <c r="C36" s="53">
        <v>230447.33</v>
      </c>
      <c r="D36" s="53">
        <v>21630.67</v>
      </c>
      <c r="E36" s="53">
        <v>47176</v>
      </c>
      <c r="F36" s="52">
        <v>26264.23</v>
      </c>
      <c r="G36" s="67">
        <f t="shared" si="1"/>
        <v>1.328716670422556E-3</v>
      </c>
    </row>
    <row r="37" spans="1:7" ht="12.75" customHeight="1" x14ac:dyDescent="0.45">
      <c r="A37" s="54" t="s">
        <v>41</v>
      </c>
      <c r="B37" s="53">
        <v>450810</v>
      </c>
      <c r="C37" s="53">
        <v>361613</v>
      </c>
      <c r="D37" s="53">
        <v>89197</v>
      </c>
      <c r="E37" s="56">
        <v>310</v>
      </c>
      <c r="F37" s="52">
        <v>67689</v>
      </c>
      <c r="G37" s="67">
        <f t="shared" si="1"/>
        <v>2.3762437110465507E-3</v>
      </c>
    </row>
    <row r="38" spans="1:7" ht="12.75" customHeight="1" x14ac:dyDescent="0.45">
      <c r="A38" s="54" t="s">
        <v>121</v>
      </c>
      <c r="B38" s="53">
        <v>3180517</v>
      </c>
      <c r="C38" s="53">
        <v>2984504</v>
      </c>
      <c r="D38" s="53">
        <v>196013</v>
      </c>
      <c r="E38" s="53">
        <v>224624</v>
      </c>
      <c r="F38" s="52">
        <v>346572</v>
      </c>
      <c r="G38" s="67">
        <f t="shared" si="1"/>
        <v>1.6764675848199115E-2</v>
      </c>
    </row>
    <row r="39" spans="1:7" ht="12.75" customHeight="1" x14ac:dyDescent="0.45">
      <c r="A39" s="54" t="s">
        <v>43</v>
      </c>
      <c r="B39" s="53">
        <v>2482759</v>
      </c>
      <c r="C39" s="53">
        <v>2484058</v>
      </c>
      <c r="D39" s="53">
        <v>-1299</v>
      </c>
      <c r="E39" s="53">
        <v>2427</v>
      </c>
      <c r="F39" s="55">
        <v>846</v>
      </c>
      <c r="G39" s="67">
        <f t="shared" si="1"/>
        <v>1.3086755972126225E-2</v>
      </c>
    </row>
    <row r="40" spans="1:7" ht="12.75" customHeight="1" x14ac:dyDescent="0.45">
      <c r="A40" s="54" t="s">
        <v>44</v>
      </c>
      <c r="B40" s="53">
        <v>873650</v>
      </c>
      <c r="C40" s="53">
        <v>732689</v>
      </c>
      <c r="D40" s="53">
        <v>140961</v>
      </c>
      <c r="E40" s="53">
        <v>99556</v>
      </c>
      <c r="F40" s="52">
        <v>144767</v>
      </c>
      <c r="G40" s="67">
        <f t="shared" si="1"/>
        <v>4.6050560505663564E-3</v>
      </c>
    </row>
    <row r="41" spans="1:7" ht="12.75" customHeight="1" x14ac:dyDescent="0.45">
      <c r="A41" s="54" t="s">
        <v>45</v>
      </c>
      <c r="B41" s="53">
        <v>43032</v>
      </c>
      <c r="C41" s="53">
        <v>92850</v>
      </c>
      <c r="D41" s="53">
        <v>-49818</v>
      </c>
      <c r="E41" s="56">
        <v>0</v>
      </c>
      <c r="F41" s="52">
        <v>-49818</v>
      </c>
      <c r="G41" s="67">
        <f t="shared" si="1"/>
        <v>2.2682398210721851E-4</v>
      </c>
    </row>
    <row r="42" spans="1:7" ht="12.75" customHeight="1" x14ac:dyDescent="0.45">
      <c r="A42" s="54" t="s">
        <v>46</v>
      </c>
      <c r="B42" s="53">
        <v>615956</v>
      </c>
      <c r="C42" s="53">
        <v>821872.09</v>
      </c>
      <c r="D42" s="53">
        <v>-205916.09</v>
      </c>
      <c r="E42" s="53">
        <v>150897.24</v>
      </c>
      <c r="F42" s="52">
        <v>-63246.85</v>
      </c>
      <c r="G42" s="67">
        <f t="shared" si="1"/>
        <v>3.2467371426574149E-3</v>
      </c>
    </row>
    <row r="43" spans="1:7" ht="12.75" customHeight="1" x14ac:dyDescent="0.45">
      <c r="A43" s="54" t="s">
        <v>47</v>
      </c>
      <c r="B43" s="53">
        <v>199116</v>
      </c>
      <c r="C43" s="53">
        <v>161924</v>
      </c>
      <c r="D43" s="53">
        <v>37192</v>
      </c>
      <c r="E43" s="56">
        <v>0</v>
      </c>
      <c r="F43" s="52">
        <v>27894</v>
      </c>
      <c r="G43" s="67">
        <f t="shared" si="1"/>
        <v>1.0495511252384486E-3</v>
      </c>
    </row>
    <row r="44" spans="1:7" ht="12.75" customHeight="1" x14ac:dyDescent="0.45">
      <c r="A44" s="54" t="s">
        <v>48</v>
      </c>
      <c r="B44" s="53">
        <v>85976</v>
      </c>
      <c r="C44" s="53">
        <v>168027</v>
      </c>
      <c r="D44" s="53">
        <v>-82051</v>
      </c>
      <c r="E44" s="53">
        <v>61009</v>
      </c>
      <c r="F44" s="52">
        <v>-21042</v>
      </c>
      <c r="G44" s="67">
        <f t="shared" si="1"/>
        <v>4.5318411149029137E-4</v>
      </c>
    </row>
    <row r="45" spans="1:7" ht="12.75" customHeight="1" x14ac:dyDescent="0.45">
      <c r="A45" s="54" t="s">
        <v>49</v>
      </c>
      <c r="B45" s="56"/>
      <c r="C45" s="56"/>
      <c r="D45" s="56"/>
      <c r="E45" s="56"/>
      <c r="F45" s="55"/>
      <c r="G45" s="67">
        <f t="shared" si="1"/>
        <v>0</v>
      </c>
    </row>
    <row r="46" spans="1:7" ht="12.75" customHeight="1" x14ac:dyDescent="0.45">
      <c r="A46" s="54" t="s">
        <v>50</v>
      </c>
      <c r="B46" s="53">
        <v>1348024</v>
      </c>
      <c r="C46" s="53">
        <v>888629</v>
      </c>
      <c r="D46" s="53">
        <v>459395</v>
      </c>
      <c r="E46" s="53">
        <v>212910</v>
      </c>
      <c r="F46" s="52">
        <v>508874</v>
      </c>
      <c r="G46" s="67">
        <f t="shared" si="1"/>
        <v>7.1055068706102698E-3</v>
      </c>
    </row>
    <row r="47" spans="1:7" ht="12.75" customHeight="1" x14ac:dyDescent="0.45">
      <c r="A47" s="54" t="s">
        <v>123</v>
      </c>
      <c r="B47" s="53">
        <v>124176</v>
      </c>
      <c r="C47" s="53">
        <v>131911.29999999999</v>
      </c>
      <c r="D47" s="53">
        <v>-7735.3</v>
      </c>
      <c r="E47" s="53">
        <v>20214.689999999999</v>
      </c>
      <c r="F47" s="52">
        <v>12479.39</v>
      </c>
      <c r="G47" s="67">
        <f t="shared" si="1"/>
        <v>6.5453836219896741E-4</v>
      </c>
    </row>
    <row r="48" spans="1:7" ht="12.75" customHeight="1" x14ac:dyDescent="0.45">
      <c r="A48" s="54" t="s">
        <v>51</v>
      </c>
      <c r="B48" s="53">
        <v>904662</v>
      </c>
      <c r="C48" s="53">
        <v>678048</v>
      </c>
      <c r="D48" s="53">
        <v>226614</v>
      </c>
      <c r="E48" s="53">
        <v>44015</v>
      </c>
      <c r="F48" s="52">
        <v>206091</v>
      </c>
      <c r="G48" s="67">
        <f t="shared" si="1"/>
        <v>4.768521967398227E-3</v>
      </c>
    </row>
    <row r="49" spans="1:7" ht="12.75" customHeight="1" x14ac:dyDescent="0.45">
      <c r="A49" s="54" t="s">
        <v>52</v>
      </c>
      <c r="B49" s="53">
        <v>7117216</v>
      </c>
      <c r="C49" s="53">
        <v>6710096</v>
      </c>
      <c r="D49" s="53">
        <v>407120</v>
      </c>
      <c r="E49" s="53">
        <v>40186</v>
      </c>
      <c r="F49" s="52">
        <v>-26690</v>
      </c>
      <c r="G49" s="67">
        <f t="shared" si="1"/>
        <v>3.7515227612874354E-2</v>
      </c>
    </row>
    <row r="50" spans="1:7" ht="12.75" customHeight="1" x14ac:dyDescent="0.45">
      <c r="A50" s="54" t="s">
        <v>54</v>
      </c>
      <c r="B50" s="53">
        <v>471356</v>
      </c>
      <c r="C50" s="53">
        <v>413734</v>
      </c>
      <c r="D50" s="53">
        <v>57622</v>
      </c>
      <c r="E50" s="53">
        <v>53090</v>
      </c>
      <c r="F50" s="52">
        <v>91655</v>
      </c>
      <c r="G50" s="67">
        <f t="shared" si="1"/>
        <v>2.484542780027191E-3</v>
      </c>
    </row>
    <row r="51" spans="1:7" ht="12.75" customHeight="1" x14ac:dyDescent="0.45">
      <c r="A51" s="54" t="s">
        <v>55</v>
      </c>
      <c r="B51" s="56">
        <v>325716</v>
      </c>
      <c r="C51" s="56">
        <v>314494</v>
      </c>
      <c r="D51" s="56">
        <v>11222</v>
      </c>
      <c r="E51" s="56">
        <v>230</v>
      </c>
      <c r="F51" s="55">
        <v>13082</v>
      </c>
      <c r="G51" s="67">
        <f t="shared" si="1"/>
        <v>1.7168665215661551E-3</v>
      </c>
    </row>
    <row r="52" spans="1:7" ht="12.75" customHeight="1" x14ac:dyDescent="0.45">
      <c r="A52" s="54" t="s">
        <v>56</v>
      </c>
      <c r="B52" s="53">
        <v>778759</v>
      </c>
      <c r="C52" s="53">
        <v>757358</v>
      </c>
      <c r="D52" s="53">
        <v>21401</v>
      </c>
      <c r="E52" s="53">
        <v>12466</v>
      </c>
      <c r="F52" s="52">
        <v>25401</v>
      </c>
      <c r="G52" s="67">
        <f t="shared" si="1"/>
        <v>4.1048804954879016E-3</v>
      </c>
    </row>
    <row r="53" spans="1:7" ht="12.75" customHeight="1" x14ac:dyDescent="0.45">
      <c r="A53" s="54" t="s">
        <v>57</v>
      </c>
      <c r="B53" s="56">
        <v>3852225</v>
      </c>
      <c r="C53" s="56">
        <v>2565720.31</v>
      </c>
      <c r="D53" s="56">
        <v>1286504.69</v>
      </c>
      <c r="E53" s="56">
        <v>111368.4</v>
      </c>
      <c r="F53" s="55">
        <v>950244.09000000008</v>
      </c>
      <c r="G53" s="67">
        <f t="shared" si="1"/>
        <v>2.0305284775817528E-2</v>
      </c>
    </row>
    <row r="54" spans="1:7" ht="12.75" customHeight="1" x14ac:dyDescent="0.45">
      <c r="A54" s="54" t="s">
        <v>58</v>
      </c>
      <c r="B54" s="53">
        <v>309542</v>
      </c>
      <c r="C54" s="53">
        <v>176495</v>
      </c>
      <c r="D54" s="53">
        <v>133047</v>
      </c>
      <c r="E54" s="53">
        <v>4374</v>
      </c>
      <c r="F54" s="52">
        <v>102994</v>
      </c>
      <c r="G54" s="67">
        <f t="shared" si="1"/>
        <v>1.6316124992896597E-3</v>
      </c>
    </row>
    <row r="55" spans="1:7" ht="12.75" customHeight="1" x14ac:dyDescent="0.45">
      <c r="A55" s="54" t="s">
        <v>60</v>
      </c>
      <c r="B55" s="53">
        <v>7365478</v>
      </c>
      <c r="C55" s="53">
        <v>4298265</v>
      </c>
      <c r="D55" s="53">
        <v>3067213</v>
      </c>
      <c r="E55" s="53">
        <v>494438</v>
      </c>
      <c r="F55" s="52">
        <v>2652167</v>
      </c>
      <c r="G55" s="67">
        <f t="shared" si="1"/>
        <v>3.8823829942440782E-2</v>
      </c>
    </row>
    <row r="56" spans="1:7" ht="12.75" customHeight="1" x14ac:dyDescent="0.45">
      <c r="A56" s="54" t="s">
        <v>61</v>
      </c>
      <c r="B56" s="53">
        <v>326129</v>
      </c>
      <c r="C56" s="53">
        <v>324821</v>
      </c>
      <c r="D56" s="53">
        <v>1308</v>
      </c>
      <c r="E56" s="53">
        <v>197159</v>
      </c>
      <c r="F56" s="52">
        <v>198667</v>
      </c>
      <c r="G56" s="67">
        <f t="shared" si="1"/>
        <v>1.7190434667374295E-3</v>
      </c>
    </row>
    <row r="57" spans="1:7" ht="12.75" customHeight="1" x14ac:dyDescent="0.45">
      <c r="A57" s="54" t="s">
        <v>62</v>
      </c>
      <c r="B57" s="53">
        <v>400043</v>
      </c>
      <c r="C57" s="53">
        <v>364248</v>
      </c>
      <c r="D57" s="53">
        <v>35795</v>
      </c>
      <c r="E57" s="53">
        <v>55152</v>
      </c>
      <c r="F57" s="52">
        <v>84306</v>
      </c>
      <c r="G57" s="67">
        <f t="shared" si="1"/>
        <v>2.1086481286976674E-3</v>
      </c>
    </row>
    <row r="58" spans="1:7" ht="12.75" customHeight="1" x14ac:dyDescent="0.45">
      <c r="A58" s="54" t="s">
        <v>63</v>
      </c>
      <c r="B58" s="53">
        <v>534742</v>
      </c>
      <c r="C58" s="53">
        <v>158681.68</v>
      </c>
      <c r="D58" s="53">
        <v>376060.32</v>
      </c>
      <c r="E58" s="53">
        <v>16515</v>
      </c>
      <c r="F58" s="52">
        <v>294431.40000000002</v>
      </c>
      <c r="G58" s="67">
        <f t="shared" si="1"/>
        <v>2.8186537888078233E-3</v>
      </c>
    </row>
    <row r="59" spans="1:7" ht="12.75" customHeight="1" x14ac:dyDescent="0.45">
      <c r="A59" s="54" t="s">
        <v>64</v>
      </c>
      <c r="B59" s="53">
        <v>356800</v>
      </c>
      <c r="C59" s="53">
        <v>181723.74</v>
      </c>
      <c r="D59" s="53">
        <v>175076.26</v>
      </c>
      <c r="E59" s="53">
        <v>75949.73</v>
      </c>
      <c r="F59" s="52">
        <v>190450.47</v>
      </c>
      <c r="G59" s="67">
        <f t="shared" si="1"/>
        <v>1.8807119542632359E-3</v>
      </c>
    </row>
    <row r="60" spans="1:7" ht="12.75" customHeight="1" x14ac:dyDescent="0.45">
      <c r="A60" s="54" t="s">
        <v>65</v>
      </c>
      <c r="B60" s="53">
        <v>28118195</v>
      </c>
      <c r="C60" s="53">
        <v>22937956.469999999</v>
      </c>
      <c r="D60" s="53">
        <v>5180238.53</v>
      </c>
      <c r="E60" s="53">
        <v>5643857.2999999998</v>
      </c>
      <c r="F60" s="52">
        <v>8283704.8200000003</v>
      </c>
      <c r="G60" s="67">
        <f t="shared" si="1"/>
        <v>0.14821251532736757</v>
      </c>
    </row>
    <row r="61" spans="1:7" ht="12.75" customHeight="1" x14ac:dyDescent="0.45">
      <c r="A61" s="54" t="s">
        <v>66</v>
      </c>
      <c r="B61" s="53">
        <v>8682410</v>
      </c>
      <c r="C61" s="53">
        <v>3588295.78</v>
      </c>
      <c r="D61" s="53">
        <v>5094114.22</v>
      </c>
      <c r="E61" s="53">
        <v>2601647</v>
      </c>
      <c r="F61" s="52">
        <v>5687573.2199999997</v>
      </c>
      <c r="G61" s="67">
        <f t="shared" si="1"/>
        <v>4.5765449211924498E-2</v>
      </c>
    </row>
    <row r="62" spans="1:7" ht="12.75" customHeight="1" x14ac:dyDescent="0.45">
      <c r="A62" s="54" t="s">
        <v>67</v>
      </c>
      <c r="B62" s="53">
        <v>800017</v>
      </c>
      <c r="C62" s="53">
        <v>715033</v>
      </c>
      <c r="D62" s="53">
        <v>84984</v>
      </c>
      <c r="E62" s="53">
        <v>23250</v>
      </c>
      <c r="F62" s="52">
        <v>75082</v>
      </c>
      <c r="G62" s="67">
        <f t="shared" si="1"/>
        <v>4.2169325546911746E-3</v>
      </c>
    </row>
    <row r="63" spans="1:7" ht="12.75" customHeight="1" x14ac:dyDescent="0.45">
      <c r="A63" s="54" t="s">
        <v>68</v>
      </c>
      <c r="B63" s="56">
        <v>220218</v>
      </c>
      <c r="C63" s="56">
        <v>219445</v>
      </c>
      <c r="D63" s="56">
        <v>773</v>
      </c>
      <c r="E63" s="56">
        <v>0</v>
      </c>
      <c r="F63" s="55">
        <v>580</v>
      </c>
      <c r="G63" s="67">
        <f t="shared" si="1"/>
        <v>1.1607809000671E-3</v>
      </c>
    </row>
    <row r="64" spans="1:7" ht="12.75" customHeight="1" x14ac:dyDescent="0.45">
      <c r="A64" s="54" t="s">
        <v>69</v>
      </c>
      <c r="B64" s="53">
        <v>1141313</v>
      </c>
      <c r="C64" s="53">
        <v>992259</v>
      </c>
      <c r="D64" s="53">
        <v>149054</v>
      </c>
      <c r="E64" s="53">
        <v>10761</v>
      </c>
      <c r="F64" s="52">
        <v>111027</v>
      </c>
      <c r="G64" s="67">
        <f t="shared" si="1"/>
        <v>6.0159220926458423E-3</v>
      </c>
    </row>
    <row r="65" spans="1:7" ht="12.75" customHeight="1" x14ac:dyDescent="0.45">
      <c r="A65" s="54" t="s">
        <v>110</v>
      </c>
      <c r="B65" s="53">
        <v>401357</v>
      </c>
      <c r="C65" s="53">
        <v>450965</v>
      </c>
      <c r="D65" s="53">
        <v>-49608</v>
      </c>
      <c r="E65" s="53">
        <v>12754</v>
      </c>
      <c r="F65" s="52">
        <v>-36854</v>
      </c>
      <c r="G65" s="67">
        <f t="shared" si="1"/>
        <v>2.1155742932377512E-3</v>
      </c>
    </row>
    <row r="66" spans="1:7" ht="12.75" customHeight="1" x14ac:dyDescent="0.45">
      <c r="A66" s="54" t="s">
        <v>125</v>
      </c>
      <c r="B66" s="53">
        <v>183468</v>
      </c>
      <c r="C66" s="53">
        <v>203782</v>
      </c>
      <c r="D66" s="53">
        <v>-20314</v>
      </c>
      <c r="E66" s="56">
        <v>0</v>
      </c>
      <c r="F66" s="52">
        <v>-21205</v>
      </c>
      <c r="G66" s="67">
        <f t="shared" si="1"/>
        <v>9.6706967719946012E-4</v>
      </c>
    </row>
    <row r="67" spans="1:7" ht="12.75" customHeight="1" x14ac:dyDescent="0.45">
      <c r="A67" s="54" t="s">
        <v>71</v>
      </c>
      <c r="B67" s="53">
        <v>516251</v>
      </c>
      <c r="C67" s="53">
        <v>486953.28</v>
      </c>
      <c r="D67" s="53">
        <v>29297.72</v>
      </c>
      <c r="E67" s="56">
        <v>0</v>
      </c>
      <c r="F67" s="52">
        <v>29297.72</v>
      </c>
      <c r="G67" s="67">
        <f t="shared" si="1"/>
        <v>2.7211867351467204E-3</v>
      </c>
    </row>
    <row r="68" spans="1:7" ht="12.75" customHeight="1" x14ac:dyDescent="0.45">
      <c r="A68" s="54" t="s">
        <v>72</v>
      </c>
      <c r="B68" s="53">
        <v>1194204</v>
      </c>
      <c r="C68" s="53">
        <v>1688486</v>
      </c>
      <c r="D68" s="53">
        <v>-494282</v>
      </c>
      <c r="E68" s="53">
        <v>101209.59</v>
      </c>
      <c r="F68" s="52">
        <v>-910848.41</v>
      </c>
      <c r="G68" s="67">
        <f t="shared" si="1"/>
        <v>6.2947133930184229E-3</v>
      </c>
    </row>
    <row r="69" spans="1:7" ht="12.75" customHeight="1" x14ac:dyDescent="0.45">
      <c r="A69" s="54" t="s">
        <v>73</v>
      </c>
      <c r="B69" s="53">
        <v>271184</v>
      </c>
      <c r="C69" s="53">
        <v>199993</v>
      </c>
      <c r="D69" s="53">
        <v>71191</v>
      </c>
      <c r="E69" s="56">
        <v>0</v>
      </c>
      <c r="F69" s="52">
        <v>71191</v>
      </c>
      <c r="G69" s="67">
        <f t="shared" si="1"/>
        <v>1.4294254220989949E-3</v>
      </c>
    </row>
    <row r="70" spans="1:7" ht="12.75" customHeight="1" x14ac:dyDescent="0.45">
      <c r="A70" s="54" t="s">
        <v>126</v>
      </c>
      <c r="B70" s="53">
        <v>581505</v>
      </c>
      <c r="C70" s="53">
        <v>492813</v>
      </c>
      <c r="D70" s="53">
        <v>88692</v>
      </c>
      <c r="E70" s="56">
        <v>0</v>
      </c>
      <c r="F70" s="52">
        <v>67234</v>
      </c>
      <c r="G70" s="67">
        <f t="shared" si="1"/>
        <v>3.0651440722080799E-3</v>
      </c>
    </row>
    <row r="71" spans="1:7" ht="12.75" customHeight="1" x14ac:dyDescent="0.45">
      <c r="A71" s="54" t="s">
        <v>75</v>
      </c>
      <c r="B71" s="53">
        <v>213027</v>
      </c>
      <c r="C71" s="53">
        <v>197555</v>
      </c>
      <c r="D71" s="53">
        <v>15472</v>
      </c>
      <c r="E71" s="53">
        <v>7255</v>
      </c>
      <c r="F71" s="52">
        <v>17045</v>
      </c>
      <c r="G71" s="67">
        <f t="shared" ref="G71:G105" si="2">SUM(B71/$B$106)</f>
        <v>1.1228767530292443E-3</v>
      </c>
    </row>
    <row r="72" spans="1:7" ht="12.75" customHeight="1" x14ac:dyDescent="0.45">
      <c r="A72" s="54" t="s">
        <v>76</v>
      </c>
      <c r="B72" s="53">
        <v>80683</v>
      </c>
      <c r="C72" s="53">
        <v>93652</v>
      </c>
      <c r="D72" s="53">
        <v>-12969</v>
      </c>
      <c r="E72" s="56">
        <v>0</v>
      </c>
      <c r="F72" s="52">
        <v>-12969</v>
      </c>
      <c r="G72" s="67">
        <f t="shared" si="2"/>
        <v>4.2528442434366779E-4</v>
      </c>
    </row>
    <row r="73" spans="1:7" ht="12.75" customHeight="1" x14ac:dyDescent="0.45">
      <c r="A73" s="54" t="s">
        <v>77</v>
      </c>
      <c r="B73" s="53">
        <v>5061632</v>
      </c>
      <c r="C73" s="53">
        <v>3552506</v>
      </c>
      <c r="D73" s="53">
        <v>1509126</v>
      </c>
      <c r="E73" s="53">
        <v>277928</v>
      </c>
      <c r="F73" s="52">
        <v>1347747</v>
      </c>
      <c r="G73" s="67">
        <f t="shared" si="2"/>
        <v>2.6680133997985793E-2</v>
      </c>
    </row>
    <row r="74" spans="1:7" ht="12.75" customHeight="1" x14ac:dyDescent="0.45">
      <c r="A74" s="54" t="s">
        <v>78</v>
      </c>
      <c r="B74" s="53">
        <v>481622</v>
      </c>
      <c r="C74" s="53">
        <v>445203</v>
      </c>
      <c r="D74" s="53">
        <v>36419</v>
      </c>
      <c r="E74" s="53">
        <v>48484</v>
      </c>
      <c r="F74" s="52">
        <v>42884</v>
      </c>
      <c r="G74" s="67">
        <f t="shared" si="2"/>
        <v>2.5386554171417269E-3</v>
      </c>
    </row>
    <row r="75" spans="1:7" ht="12.75" customHeight="1" x14ac:dyDescent="0.45">
      <c r="A75" s="54" t="s">
        <v>111</v>
      </c>
      <c r="B75" s="53">
        <v>440383</v>
      </c>
      <c r="C75" s="53">
        <v>819120.82</v>
      </c>
      <c r="D75" s="53">
        <v>-378737.82</v>
      </c>
      <c r="E75" s="53">
        <v>25529.86</v>
      </c>
      <c r="F75" s="52">
        <v>-353207.96</v>
      </c>
      <c r="G75" s="67">
        <f t="shared" si="2"/>
        <v>2.3212824342889759E-3</v>
      </c>
    </row>
    <row r="76" spans="1:7" ht="12.75" customHeight="1" x14ac:dyDescent="0.45">
      <c r="A76" s="54" t="s">
        <v>80</v>
      </c>
      <c r="B76" s="53">
        <v>1978167</v>
      </c>
      <c r="C76" s="53">
        <v>1608625</v>
      </c>
      <c r="D76" s="53">
        <v>369542</v>
      </c>
      <c r="E76" s="53">
        <v>47352</v>
      </c>
      <c r="F76" s="52">
        <v>312697</v>
      </c>
      <c r="G76" s="67">
        <f t="shared" si="2"/>
        <v>1.0427024451875119E-2</v>
      </c>
    </row>
    <row r="77" spans="1:7" ht="12.75" customHeight="1" x14ac:dyDescent="0.45">
      <c r="A77" s="54" t="s">
        <v>81</v>
      </c>
      <c r="B77" s="53">
        <v>461141</v>
      </c>
      <c r="C77" s="53">
        <v>444163</v>
      </c>
      <c r="D77" s="53">
        <v>16978</v>
      </c>
      <c r="E77" s="53">
        <v>63929</v>
      </c>
      <c r="F77" s="52">
        <v>61280</v>
      </c>
      <c r="G77" s="67">
        <f t="shared" si="2"/>
        <v>2.4306989666505125E-3</v>
      </c>
    </row>
    <row r="78" spans="1:7" ht="12.75" customHeight="1" x14ac:dyDescent="0.45">
      <c r="A78" s="54" t="s">
        <v>82</v>
      </c>
      <c r="B78" s="56">
        <v>0</v>
      </c>
      <c r="C78" s="53">
        <v>70188.25</v>
      </c>
      <c r="D78" s="53">
        <v>-70188.25</v>
      </c>
      <c r="E78" s="53">
        <v>151086</v>
      </c>
      <c r="F78" s="52">
        <v>80897.75</v>
      </c>
      <c r="G78" s="67">
        <f t="shared" si="2"/>
        <v>0</v>
      </c>
    </row>
    <row r="79" spans="1:7" ht="12.75" customHeight="1" x14ac:dyDescent="0.45">
      <c r="A79" s="54" t="s">
        <v>83</v>
      </c>
      <c r="B79" s="53">
        <v>1022196</v>
      </c>
      <c r="C79" s="53">
        <v>1966703</v>
      </c>
      <c r="D79" s="53">
        <v>-944507</v>
      </c>
      <c r="E79" s="53">
        <v>1309772</v>
      </c>
      <c r="F79" s="52">
        <v>249870</v>
      </c>
      <c r="G79" s="67">
        <f t="shared" si="2"/>
        <v>5.3880499910315656E-3</v>
      </c>
    </row>
    <row r="80" spans="1:7" ht="12.75" customHeight="1" x14ac:dyDescent="0.45">
      <c r="A80" s="54" t="s">
        <v>112</v>
      </c>
      <c r="B80" s="53">
        <v>139558</v>
      </c>
      <c r="C80" s="53">
        <v>219539.6</v>
      </c>
      <c r="D80" s="53">
        <v>-79981.600000000006</v>
      </c>
      <c r="E80" s="53">
        <v>66848</v>
      </c>
      <c r="F80" s="52">
        <v>-13157.6</v>
      </c>
      <c r="G80" s="67">
        <f t="shared" si="2"/>
        <v>7.356177099581521E-4</v>
      </c>
    </row>
    <row r="81" spans="1:7" ht="12.75" customHeight="1" x14ac:dyDescent="0.45">
      <c r="A81" s="54" t="s">
        <v>84</v>
      </c>
      <c r="B81" s="53">
        <v>2359695</v>
      </c>
      <c r="C81" s="53">
        <v>1618707</v>
      </c>
      <c r="D81" s="53">
        <v>740988</v>
      </c>
      <c r="E81" s="53">
        <v>40699</v>
      </c>
      <c r="F81" s="52">
        <v>589099</v>
      </c>
      <c r="G81" s="67">
        <f t="shared" si="2"/>
        <v>1.2438079021623281E-2</v>
      </c>
    </row>
    <row r="82" spans="1:7" ht="12.75" customHeight="1" x14ac:dyDescent="0.45">
      <c r="A82" s="54" t="s">
        <v>85</v>
      </c>
      <c r="B82" s="53">
        <v>3707815</v>
      </c>
      <c r="C82" s="53">
        <v>2372292</v>
      </c>
      <c r="D82" s="53">
        <v>1335523</v>
      </c>
      <c r="E82" s="53">
        <v>115903</v>
      </c>
      <c r="F82" s="52">
        <v>1088569</v>
      </c>
      <c r="G82" s="67">
        <f t="shared" si="2"/>
        <v>1.9544091913387164E-2</v>
      </c>
    </row>
    <row r="83" spans="1:7" ht="12.75" customHeight="1" x14ac:dyDescent="0.45">
      <c r="A83" s="54" t="s">
        <v>86</v>
      </c>
      <c r="B83" s="53">
        <v>3500854</v>
      </c>
      <c r="C83" s="53">
        <v>3114009</v>
      </c>
      <c r="D83" s="53">
        <v>386845</v>
      </c>
      <c r="E83" s="53">
        <v>279816</v>
      </c>
      <c r="F83" s="52">
        <v>456117</v>
      </c>
      <c r="G83" s="67">
        <f t="shared" si="2"/>
        <v>1.8453189372001869E-2</v>
      </c>
    </row>
    <row r="84" spans="1:7" ht="12.75" customHeight="1" x14ac:dyDescent="0.45">
      <c r="A84" s="54" t="s">
        <v>87</v>
      </c>
      <c r="B84" s="53">
        <v>1346963</v>
      </c>
      <c r="C84" s="53">
        <v>978365.37</v>
      </c>
      <c r="D84" s="53">
        <v>368597.63</v>
      </c>
      <c r="E84" s="56">
        <v>0</v>
      </c>
      <c r="F84" s="52">
        <v>368597.63</v>
      </c>
      <c r="G84" s="67">
        <f t="shared" si="2"/>
        <v>7.0999142826521046E-3</v>
      </c>
    </row>
    <row r="85" spans="1:7" ht="12.75" customHeight="1" x14ac:dyDescent="0.45">
      <c r="A85" s="54" t="s">
        <v>89</v>
      </c>
      <c r="B85" s="53">
        <v>535290</v>
      </c>
      <c r="C85" s="53">
        <v>336465.64</v>
      </c>
      <c r="D85" s="53">
        <v>198824.36</v>
      </c>
      <c r="E85" s="53">
        <v>55253</v>
      </c>
      <c r="F85" s="52">
        <v>195136.18</v>
      </c>
      <c r="G85" s="67">
        <f t="shared" si="2"/>
        <v>2.8215423262263665E-3</v>
      </c>
    </row>
    <row r="86" spans="1:7" ht="12.75" customHeight="1" x14ac:dyDescent="0.45">
      <c r="A86" s="54" t="s">
        <v>90</v>
      </c>
      <c r="B86" s="53">
        <v>2082223</v>
      </c>
      <c r="C86" s="53">
        <v>1435596</v>
      </c>
      <c r="D86" s="53">
        <v>646627</v>
      </c>
      <c r="E86" s="53">
        <v>213689</v>
      </c>
      <c r="F86" s="52">
        <v>651002</v>
      </c>
      <c r="G86" s="67">
        <f t="shared" si="2"/>
        <v>1.0975509213962606E-2</v>
      </c>
    </row>
    <row r="87" spans="1:7" ht="12.75" customHeight="1" x14ac:dyDescent="0.45">
      <c r="A87" s="54" t="s">
        <v>91</v>
      </c>
      <c r="B87" s="53">
        <v>8284008</v>
      </c>
      <c r="C87" s="53">
        <v>5921789</v>
      </c>
      <c r="D87" s="53">
        <v>2362219</v>
      </c>
      <c r="E87" s="53">
        <v>235800</v>
      </c>
      <c r="F87" s="52">
        <v>2190182</v>
      </c>
      <c r="G87" s="67">
        <f t="shared" si="2"/>
        <v>4.3665450882321412E-2</v>
      </c>
    </row>
    <row r="88" spans="1:7" ht="12.75" customHeight="1" x14ac:dyDescent="0.45">
      <c r="A88" s="54" t="s">
        <v>92</v>
      </c>
      <c r="B88" s="53">
        <v>135164</v>
      </c>
      <c r="C88" s="53">
        <v>82879</v>
      </c>
      <c r="D88" s="53">
        <v>52285</v>
      </c>
      <c r="E88" s="56">
        <v>0</v>
      </c>
      <c r="F88" s="52">
        <v>37839</v>
      </c>
      <c r="G88" s="67">
        <f t="shared" si="2"/>
        <v>7.1245670007297093E-4</v>
      </c>
    </row>
    <row r="89" spans="1:7" ht="12.75" customHeight="1" x14ac:dyDescent="0.45">
      <c r="A89" s="54" t="s">
        <v>93</v>
      </c>
      <c r="B89" s="56">
        <v>63008</v>
      </c>
      <c r="C89" s="56">
        <v>253708</v>
      </c>
      <c r="D89" s="56">
        <v>-190700</v>
      </c>
      <c r="E89" s="56">
        <v>2647</v>
      </c>
      <c r="F89" s="55">
        <v>-188024</v>
      </c>
      <c r="G89" s="67">
        <f t="shared" si="2"/>
        <v>3.3211855048827905E-4</v>
      </c>
    </row>
    <row r="90" spans="1:7" ht="12.75" customHeight="1" x14ac:dyDescent="0.45">
      <c r="A90" s="54" t="s">
        <v>113</v>
      </c>
      <c r="B90" s="53">
        <v>501654</v>
      </c>
      <c r="C90" s="53">
        <v>411298.67</v>
      </c>
      <c r="D90" s="53">
        <v>90355.33</v>
      </c>
      <c r="E90" s="56">
        <v>0</v>
      </c>
      <c r="F90" s="52">
        <v>66141.33</v>
      </c>
      <c r="G90" s="67">
        <f t="shared" si="2"/>
        <v>2.6442451645290622E-3</v>
      </c>
    </row>
    <row r="91" spans="1:7" ht="12.75" customHeight="1" x14ac:dyDescent="0.45">
      <c r="A91" s="54" t="s">
        <v>94</v>
      </c>
      <c r="B91" s="53">
        <v>6708349</v>
      </c>
      <c r="C91" s="53">
        <v>4180515.56</v>
      </c>
      <c r="D91" s="53">
        <v>2527833.44</v>
      </c>
      <c r="E91" s="56">
        <v>0</v>
      </c>
      <c r="F91" s="52">
        <v>1878442.44</v>
      </c>
      <c r="G91" s="67">
        <f t="shared" si="2"/>
        <v>3.5360067706473722E-2</v>
      </c>
    </row>
    <row r="92" spans="1:7" ht="12.75" customHeight="1" x14ac:dyDescent="0.45">
      <c r="A92" s="54" t="s">
        <v>114</v>
      </c>
      <c r="B92" s="53">
        <v>902191</v>
      </c>
      <c r="C92" s="53">
        <v>885676.2</v>
      </c>
      <c r="D92" s="53">
        <v>16514.8</v>
      </c>
      <c r="E92" s="56">
        <v>691.24</v>
      </c>
      <c r="F92" s="52">
        <v>16389.64</v>
      </c>
      <c r="G92" s="67">
        <f t="shared" si="2"/>
        <v>4.7554971937463653E-3</v>
      </c>
    </row>
    <row r="93" spans="1:7" ht="12.75" customHeight="1" x14ac:dyDescent="0.45">
      <c r="A93" s="54" t="s">
        <v>95</v>
      </c>
      <c r="B93" s="53">
        <v>177882</v>
      </c>
      <c r="C93" s="53">
        <v>165805</v>
      </c>
      <c r="D93" s="53">
        <v>12077</v>
      </c>
      <c r="E93" s="56">
        <v>0</v>
      </c>
      <c r="F93" s="52">
        <v>9058</v>
      </c>
      <c r="G93" s="67">
        <f t="shared" si="2"/>
        <v>9.3762557132357881E-4</v>
      </c>
    </row>
    <row r="94" spans="1:7" ht="12.75" customHeight="1" x14ac:dyDescent="0.45">
      <c r="A94" s="54" t="s">
        <v>96</v>
      </c>
      <c r="B94" s="53">
        <v>285186</v>
      </c>
      <c r="C94" s="53">
        <v>214234</v>
      </c>
      <c r="D94" s="53">
        <v>70952</v>
      </c>
      <c r="E94" s="53">
        <v>-23509</v>
      </c>
      <c r="F94" s="52">
        <v>35582</v>
      </c>
      <c r="G94" s="67">
        <f t="shared" si="2"/>
        <v>1.5032307157749865E-3</v>
      </c>
    </row>
    <row r="95" spans="1:7" ht="12.75" customHeight="1" x14ac:dyDescent="0.45">
      <c r="A95" s="54" t="s">
        <v>97</v>
      </c>
      <c r="B95" s="53">
        <v>511193</v>
      </c>
      <c r="C95" s="53">
        <v>632169.51</v>
      </c>
      <c r="D95" s="53">
        <v>-120976.51</v>
      </c>
      <c r="E95" s="53">
        <v>216293.74</v>
      </c>
      <c r="F95" s="52">
        <v>58150.879999999997</v>
      </c>
      <c r="G95" s="67">
        <f t="shared" si="2"/>
        <v>2.694525745615713E-3</v>
      </c>
    </row>
    <row r="96" spans="1:7" ht="12.75" customHeight="1" x14ac:dyDescent="0.45">
      <c r="A96" s="54" t="s">
        <v>98</v>
      </c>
      <c r="B96" s="53">
        <v>1254094</v>
      </c>
      <c r="C96" s="53">
        <v>1011630</v>
      </c>
      <c r="D96" s="53">
        <v>242464</v>
      </c>
      <c r="E96" s="53">
        <v>21348</v>
      </c>
      <c r="F96" s="52">
        <v>194992</v>
      </c>
      <c r="G96" s="67">
        <f t="shared" si="2"/>
        <v>6.6103967981216323E-3</v>
      </c>
    </row>
    <row r="97" spans="1:7" ht="12.75" customHeight="1" x14ac:dyDescent="0.45">
      <c r="A97" s="54" t="s">
        <v>99</v>
      </c>
      <c r="B97" s="53">
        <v>422504</v>
      </c>
      <c r="C97" s="53">
        <v>401853</v>
      </c>
      <c r="D97" s="53">
        <v>20651</v>
      </c>
      <c r="E97" s="53">
        <v>1053</v>
      </c>
      <c r="F97" s="52">
        <v>18462</v>
      </c>
      <c r="G97" s="67">
        <f t="shared" si="2"/>
        <v>2.2270412654821587E-3</v>
      </c>
    </row>
    <row r="98" spans="1:7" ht="12.75" customHeight="1" x14ac:dyDescent="0.45">
      <c r="A98" s="54" t="s">
        <v>100</v>
      </c>
      <c r="B98" s="53">
        <v>3079459</v>
      </c>
      <c r="C98" s="53">
        <v>2833655</v>
      </c>
      <c r="D98" s="53">
        <v>245804</v>
      </c>
      <c r="E98" s="53">
        <v>329396</v>
      </c>
      <c r="F98" s="52">
        <v>451260</v>
      </c>
      <c r="G98" s="67">
        <f t="shared" si="2"/>
        <v>1.6231993705054681E-2</v>
      </c>
    </row>
    <row r="99" spans="1:7" ht="12.75" customHeight="1" x14ac:dyDescent="0.45">
      <c r="A99" s="54" t="s">
        <v>101</v>
      </c>
      <c r="B99" s="53">
        <v>58886</v>
      </c>
      <c r="C99" s="53">
        <v>58886</v>
      </c>
      <c r="D99" s="53">
        <v>58145.05</v>
      </c>
      <c r="E99" s="56">
        <v>87.5</v>
      </c>
      <c r="F99" s="55">
        <v>828.45</v>
      </c>
      <c r="G99" s="67">
        <f t="shared" si="2"/>
        <v>3.1039126720500257E-4</v>
      </c>
    </row>
    <row r="100" spans="1:7" ht="12.75" customHeight="1" x14ac:dyDescent="0.45">
      <c r="A100" s="54" t="s">
        <v>102</v>
      </c>
      <c r="B100" s="53">
        <v>107648</v>
      </c>
      <c r="C100" s="53">
        <v>149412</v>
      </c>
      <c r="D100" s="53">
        <v>-41764</v>
      </c>
      <c r="E100" s="53">
        <v>148966</v>
      </c>
      <c r="F100" s="52">
        <v>107202</v>
      </c>
      <c r="G100" s="67">
        <f t="shared" si="2"/>
        <v>5.6741838691852248E-4</v>
      </c>
    </row>
    <row r="101" spans="1:7" ht="12.75" customHeight="1" x14ac:dyDescent="0.45">
      <c r="A101" s="54" t="s">
        <v>103</v>
      </c>
      <c r="B101" s="53">
        <v>3496725</v>
      </c>
      <c r="C101" s="53">
        <v>3248376</v>
      </c>
      <c r="D101" s="53">
        <v>248349</v>
      </c>
      <c r="E101" s="53">
        <v>199619</v>
      </c>
      <c r="F101" s="52">
        <v>488794.55</v>
      </c>
      <c r="G101" s="67">
        <f t="shared" si="2"/>
        <v>1.8431425191342807E-2</v>
      </c>
    </row>
    <row r="102" spans="1:7" ht="12.75" customHeight="1" x14ac:dyDescent="0.45">
      <c r="A102" s="54" t="s">
        <v>104</v>
      </c>
      <c r="B102" s="53">
        <v>1267059</v>
      </c>
      <c r="C102" s="53">
        <v>1194619.08</v>
      </c>
      <c r="D102" s="53">
        <v>72439.92</v>
      </c>
      <c r="E102" s="53">
        <v>172657.08</v>
      </c>
      <c r="F102" s="52">
        <v>184204</v>
      </c>
      <c r="G102" s="67">
        <f t="shared" si="2"/>
        <v>6.6787360091278627E-3</v>
      </c>
    </row>
    <row r="103" spans="1:7" ht="12.75" customHeight="1" x14ac:dyDescent="0.45">
      <c r="A103" s="54" t="s">
        <v>105</v>
      </c>
      <c r="B103" s="53">
        <v>232666</v>
      </c>
      <c r="C103" s="53">
        <v>331408</v>
      </c>
      <c r="D103" s="53">
        <v>-98742</v>
      </c>
      <c r="E103" s="53">
        <v>32672</v>
      </c>
      <c r="F103" s="52">
        <v>-66070</v>
      </c>
      <c r="G103" s="67">
        <f t="shared" si="2"/>
        <v>1.2263949763189742E-3</v>
      </c>
    </row>
    <row r="104" spans="1:7" ht="12.75" customHeight="1" x14ac:dyDescent="0.45">
      <c r="A104" s="54" t="s">
        <v>106</v>
      </c>
      <c r="B104" s="53">
        <v>16939072</v>
      </c>
      <c r="C104" s="53">
        <v>5329585.4400000004</v>
      </c>
      <c r="D104" s="53">
        <v>11609486.560000001</v>
      </c>
      <c r="E104" s="53">
        <v>544418.41</v>
      </c>
      <c r="F104" s="52">
        <v>9494366.9700000007</v>
      </c>
      <c r="G104" s="67">
        <f t="shared" si="2"/>
        <v>8.9286757860217655E-2</v>
      </c>
    </row>
    <row r="105" spans="1:7" ht="12.75" customHeight="1" x14ac:dyDescent="0.45">
      <c r="A105" s="54" t="s">
        <v>107</v>
      </c>
      <c r="B105" s="53">
        <v>1269983</v>
      </c>
      <c r="C105" s="53">
        <v>1229595</v>
      </c>
      <c r="D105" s="53">
        <v>40388</v>
      </c>
      <c r="E105" s="53">
        <v>3105</v>
      </c>
      <c r="F105" s="52">
        <v>28219</v>
      </c>
      <c r="G105" s="67">
        <f t="shared" si="2"/>
        <v>6.6941485700983379E-3</v>
      </c>
    </row>
    <row r="106" spans="1:7" x14ac:dyDescent="0.45">
      <c r="A106" s="51" t="s">
        <v>131</v>
      </c>
      <c r="B106" s="66">
        <f>SUM(B6:B105)</f>
        <v>189715389</v>
      </c>
      <c r="C106" s="66">
        <f t="shared" ref="C106:G106" si="3">SUM(C6:C105)</f>
        <v>139295797.90000001</v>
      </c>
      <c r="D106" s="66">
        <f t="shared" si="3"/>
        <v>50477736.149999991</v>
      </c>
      <c r="E106" s="66">
        <f t="shared" si="3"/>
        <v>19073694.479999997</v>
      </c>
      <c r="F106" s="66">
        <f t="shared" si="3"/>
        <v>51799052.129999988</v>
      </c>
      <c r="G106" s="66">
        <f t="shared" si="3"/>
        <v>0.99999999999999989</v>
      </c>
    </row>
  </sheetData>
  <mergeCells count="1">
    <mergeCell ref="A1:G1"/>
  </mergeCells>
  <dataValidations count="1">
    <dataValidation type="list" allowBlank="1" showInputMessage="1" showErrorMessage="1" sqref="A3" xr:uid="{00000000-0002-0000-0400-000000000000}">
      <formula1>$A$6:$A$105</formula1>
    </dataValidation>
  </dataValidations>
  <pageMargins left="0.7" right="0.7" top="0.75" bottom="0.75" header="0.3" footer="0.3"/>
  <headerFooter alignWithMargins="0"/>
  <customProperties>
    <customPr name="LastActive" r:id="rId1"/>
  </customPropertie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5"/>
  <sheetViews>
    <sheetView topLeftCell="A4" workbookViewId="0">
      <selection activeCell="B23" sqref="B23"/>
    </sheetView>
  </sheetViews>
  <sheetFormatPr defaultColWidth="8.86328125" defaultRowHeight="15.4" x14ac:dyDescent="0.45"/>
  <cols>
    <col min="1" max="1" width="71" style="59" customWidth="1"/>
    <col min="2" max="2" width="26.1328125" style="59" bestFit="1" customWidth="1"/>
    <col min="3" max="3" width="34.73046875" style="59" bestFit="1" customWidth="1"/>
    <col min="4" max="4" width="24.86328125" style="59" bestFit="1" customWidth="1"/>
    <col min="5" max="5" width="33" style="59" bestFit="1" customWidth="1"/>
    <col min="6" max="6" width="29.1328125" style="59" bestFit="1" customWidth="1"/>
    <col min="7" max="7" width="18.3984375" style="59" bestFit="1" customWidth="1"/>
    <col min="8" max="16384" width="8.86328125" style="59"/>
  </cols>
  <sheetData>
    <row r="1" spans="1:7" customFormat="1" ht="18" x14ac:dyDescent="0.55000000000000004">
      <c r="A1" s="171" t="s">
        <v>132</v>
      </c>
      <c r="B1" s="171"/>
      <c r="C1" s="171"/>
      <c r="D1" s="171"/>
      <c r="E1" s="171"/>
      <c r="F1" s="171"/>
      <c r="G1" s="171"/>
    </row>
    <row r="2" spans="1:7" customFormat="1" ht="32.25" customHeight="1" x14ac:dyDescent="0.55000000000000004">
      <c r="A2" s="70" t="s">
        <v>1</v>
      </c>
      <c r="B2" s="71" t="s">
        <v>2</v>
      </c>
      <c r="C2" s="71" t="s">
        <v>3</v>
      </c>
      <c r="D2" s="71" t="s">
        <v>4</v>
      </c>
      <c r="E2" s="71" t="s">
        <v>5</v>
      </c>
      <c r="F2" s="71" t="s">
        <v>6</v>
      </c>
      <c r="G2" s="72" t="s">
        <v>9</v>
      </c>
    </row>
    <row r="3" spans="1:7" customFormat="1" ht="18" x14ac:dyDescent="0.55000000000000004">
      <c r="A3" s="73" t="s">
        <v>117</v>
      </c>
      <c r="B3" s="78">
        <f t="shared" ref="B3:G3" si="0">INDEX(B6:B124,MATCH($A$3,$A$6:$A$124,0))</f>
        <v>490087</v>
      </c>
      <c r="C3" s="76">
        <f t="shared" si="0"/>
        <v>291284.83</v>
      </c>
      <c r="D3" s="76">
        <f t="shared" si="0"/>
        <v>198802.17</v>
      </c>
      <c r="E3" s="76">
        <f t="shared" si="0"/>
        <v>44096.58</v>
      </c>
      <c r="F3" s="76">
        <f t="shared" si="0"/>
        <v>242898.75</v>
      </c>
      <c r="G3" s="77">
        <f t="shared" si="0"/>
        <v>8.4688381947441733E-3</v>
      </c>
    </row>
    <row r="5" spans="1:7" x14ac:dyDescent="0.45">
      <c r="A5" s="68" t="s">
        <v>133</v>
      </c>
      <c r="B5" s="74" t="s">
        <v>2</v>
      </c>
      <c r="C5" s="74" t="s">
        <v>3</v>
      </c>
      <c r="D5" s="74" t="s">
        <v>4</v>
      </c>
      <c r="E5" s="74" t="s">
        <v>5</v>
      </c>
      <c r="F5" s="74" t="s">
        <v>6</v>
      </c>
      <c r="G5" s="75" t="s">
        <v>116</v>
      </c>
    </row>
    <row r="6" spans="1:7" x14ac:dyDescent="0.45">
      <c r="A6" s="69" t="s">
        <v>117</v>
      </c>
      <c r="B6" s="86">
        <v>490087</v>
      </c>
      <c r="C6" s="86">
        <v>291284.83</v>
      </c>
      <c r="D6" s="86">
        <v>198802.17</v>
      </c>
      <c r="E6" s="86">
        <v>44096.58</v>
      </c>
      <c r="F6" s="86">
        <v>242898.75</v>
      </c>
      <c r="G6" s="90">
        <f t="shared" ref="G6:G37" si="1">B6/$B$125</f>
        <v>8.4688381947441733E-3</v>
      </c>
    </row>
    <row r="7" spans="1:7" x14ac:dyDescent="0.45">
      <c r="A7" s="69" t="s">
        <v>10</v>
      </c>
      <c r="B7" s="86">
        <v>1066447</v>
      </c>
      <c r="C7" s="86">
        <v>350841</v>
      </c>
      <c r="D7" s="86">
        <v>715606</v>
      </c>
      <c r="E7" s="86">
        <v>0</v>
      </c>
      <c r="F7" s="86">
        <v>715606</v>
      </c>
      <c r="G7" s="90">
        <f t="shared" si="1"/>
        <v>1.8428497565269715E-2</v>
      </c>
    </row>
    <row r="8" spans="1:7" x14ac:dyDescent="0.45">
      <c r="A8" s="69" t="s">
        <v>11</v>
      </c>
      <c r="B8" s="86">
        <v>57928</v>
      </c>
      <c r="C8" s="86">
        <v>34157.74</v>
      </c>
      <c r="D8" s="86">
        <v>23770.26</v>
      </c>
      <c r="E8" s="86">
        <v>0</v>
      </c>
      <c r="F8" s="86">
        <v>23770.26</v>
      </c>
      <c r="G8" s="90">
        <f t="shared" si="1"/>
        <v>1.0010117773887911E-3</v>
      </c>
    </row>
    <row r="9" spans="1:7" x14ac:dyDescent="0.45">
      <c r="A9" s="69" t="s">
        <v>12</v>
      </c>
      <c r="B9" s="86">
        <v>484464</v>
      </c>
      <c r="C9" s="86">
        <v>341331.55</v>
      </c>
      <c r="D9" s="86">
        <v>143132.45000000001</v>
      </c>
      <c r="E9" s="86">
        <v>74354.080000000002</v>
      </c>
      <c r="F9" s="86">
        <v>163114.82</v>
      </c>
      <c r="G9" s="90">
        <f t="shared" si="1"/>
        <v>8.3716712077213668E-3</v>
      </c>
    </row>
    <row r="10" spans="1:7" x14ac:dyDescent="0.45">
      <c r="A10" s="69" t="s">
        <v>13</v>
      </c>
      <c r="B10" s="86">
        <v>127476</v>
      </c>
      <c r="C10" s="86">
        <v>73169</v>
      </c>
      <c r="D10" s="86">
        <v>54307</v>
      </c>
      <c r="E10" s="86">
        <v>41809</v>
      </c>
      <c r="F10" s="86">
        <v>72087</v>
      </c>
      <c r="G10" s="90">
        <f t="shared" si="1"/>
        <v>2.2028203517196095E-3</v>
      </c>
    </row>
    <row r="11" spans="1:7" x14ac:dyDescent="0.45">
      <c r="A11" s="69" t="s">
        <v>14</v>
      </c>
      <c r="B11" s="86">
        <v>401485</v>
      </c>
      <c r="C11" s="86">
        <v>271147</v>
      </c>
      <c r="D11" s="86">
        <v>130338</v>
      </c>
      <c r="E11" s="86">
        <v>0</v>
      </c>
      <c r="F11" s="86">
        <v>130338</v>
      </c>
      <c r="G11" s="90">
        <f t="shared" si="1"/>
        <v>6.937771258198778E-3</v>
      </c>
    </row>
    <row r="12" spans="1:7" x14ac:dyDescent="0.45">
      <c r="A12" s="69" t="s">
        <v>16</v>
      </c>
      <c r="B12" s="86">
        <v>735433</v>
      </c>
      <c r="C12" s="86">
        <v>440947.53</v>
      </c>
      <c r="D12" s="86">
        <v>294485.46999999997</v>
      </c>
      <c r="E12" s="86">
        <v>473323.89</v>
      </c>
      <c r="F12" s="86">
        <v>575857.05000000005</v>
      </c>
      <c r="G12" s="90">
        <f t="shared" si="1"/>
        <v>1.27084845753413E-2</v>
      </c>
    </row>
    <row r="13" spans="1:7" x14ac:dyDescent="0.45">
      <c r="A13" s="69" t="s">
        <v>17</v>
      </c>
      <c r="B13" s="86">
        <v>351607</v>
      </c>
      <c r="C13" s="86">
        <v>242723.67</v>
      </c>
      <c r="D13" s="86">
        <v>108883.33</v>
      </c>
      <c r="E13" s="86">
        <v>0</v>
      </c>
      <c r="F13" s="86">
        <v>108883.33</v>
      </c>
      <c r="G13" s="90">
        <f t="shared" si="1"/>
        <v>6.0758656955589817E-3</v>
      </c>
    </row>
    <row r="14" spans="1:7" x14ac:dyDescent="0.45">
      <c r="A14" s="69" t="s">
        <v>18</v>
      </c>
      <c r="B14" s="86">
        <v>2048</v>
      </c>
      <c r="C14" s="86">
        <v>6749.8</v>
      </c>
      <c r="D14" s="86">
        <v>-4701.8</v>
      </c>
      <c r="E14" s="86">
        <v>91317.81</v>
      </c>
      <c r="F14" s="86">
        <v>86616.01</v>
      </c>
      <c r="G14" s="90">
        <f t="shared" si="1"/>
        <v>3.5390003454154197E-5</v>
      </c>
    </row>
    <row r="15" spans="1:7" x14ac:dyDescent="0.45">
      <c r="A15" s="69" t="s">
        <v>19</v>
      </c>
      <c r="B15" s="86">
        <v>87297</v>
      </c>
      <c r="C15" s="86">
        <v>203957.72</v>
      </c>
      <c r="D15" s="86">
        <v>-116660.72</v>
      </c>
      <c r="E15" s="86">
        <v>0</v>
      </c>
      <c r="F15" s="86">
        <v>-116660.72</v>
      </c>
      <c r="G15" s="90">
        <f t="shared" si="1"/>
        <v>1.5085161775084466E-3</v>
      </c>
    </row>
    <row r="16" spans="1:7" x14ac:dyDescent="0.45">
      <c r="A16" s="69" t="s">
        <v>20</v>
      </c>
      <c r="B16" s="86">
        <v>379692</v>
      </c>
      <c r="C16" s="86">
        <v>130591.66</v>
      </c>
      <c r="D16" s="86">
        <v>249100.34</v>
      </c>
      <c r="E16" s="86">
        <v>12421.33</v>
      </c>
      <c r="F16" s="86">
        <v>261521.67</v>
      </c>
      <c r="G16" s="90">
        <f t="shared" si="1"/>
        <v>6.5611822224192944E-3</v>
      </c>
    </row>
    <row r="17" spans="1:7" x14ac:dyDescent="0.45">
      <c r="A17" s="69" t="s">
        <v>21</v>
      </c>
      <c r="B17" s="86"/>
      <c r="C17" s="86"/>
      <c r="D17" s="86"/>
      <c r="E17" s="86"/>
      <c r="F17" s="86"/>
      <c r="G17" s="90">
        <f t="shared" si="1"/>
        <v>0</v>
      </c>
    </row>
    <row r="18" spans="1:7" x14ac:dyDescent="0.45">
      <c r="A18" s="69" t="s">
        <v>134</v>
      </c>
      <c r="B18" s="86"/>
      <c r="C18" s="86"/>
      <c r="D18" s="86"/>
      <c r="E18" s="86"/>
      <c r="F18" s="86"/>
      <c r="G18" s="90">
        <f t="shared" si="1"/>
        <v>0</v>
      </c>
    </row>
    <row r="19" spans="1:7" x14ac:dyDescent="0.45">
      <c r="A19" s="69" t="s">
        <v>22</v>
      </c>
      <c r="B19" s="86">
        <v>20527</v>
      </c>
      <c r="C19" s="86">
        <v>28687.7</v>
      </c>
      <c r="D19" s="86">
        <v>-8160.7</v>
      </c>
      <c r="E19" s="86">
        <v>12092.15</v>
      </c>
      <c r="F19" s="86">
        <v>3931.45</v>
      </c>
      <c r="G19" s="90">
        <f t="shared" si="1"/>
        <v>3.547122074723746E-4</v>
      </c>
    </row>
    <row r="20" spans="1:7" x14ac:dyDescent="0.45">
      <c r="A20" s="69" t="s">
        <v>135</v>
      </c>
      <c r="B20" s="86"/>
      <c r="C20" s="86"/>
      <c r="D20" s="86"/>
      <c r="E20" s="86"/>
      <c r="F20" s="86"/>
      <c r="G20" s="90">
        <f t="shared" si="1"/>
        <v>0</v>
      </c>
    </row>
    <row r="21" spans="1:7" x14ac:dyDescent="0.45">
      <c r="A21" s="69" t="s">
        <v>23</v>
      </c>
      <c r="B21" s="86">
        <v>289193</v>
      </c>
      <c r="C21" s="86">
        <v>276050</v>
      </c>
      <c r="D21" s="86">
        <v>13143</v>
      </c>
      <c r="E21" s="86">
        <v>0</v>
      </c>
      <c r="F21" s="86">
        <v>13143</v>
      </c>
      <c r="G21" s="90">
        <f t="shared" si="1"/>
        <v>4.9973346039634834E-3</v>
      </c>
    </row>
    <row r="22" spans="1:7" x14ac:dyDescent="0.45">
      <c r="A22" s="69" t="s">
        <v>24</v>
      </c>
      <c r="B22" s="86">
        <v>1398858</v>
      </c>
      <c r="C22" s="86">
        <v>1317370.43</v>
      </c>
      <c r="D22" s="86">
        <v>81487.570000000007</v>
      </c>
      <c r="E22" s="86">
        <v>24512.23</v>
      </c>
      <c r="F22" s="86">
        <v>105999.8</v>
      </c>
      <c r="G22" s="90">
        <f t="shared" si="1"/>
        <v>2.4172651099546499E-2</v>
      </c>
    </row>
    <row r="23" spans="1:7" x14ac:dyDescent="0.45">
      <c r="A23" s="69" t="s">
        <v>136</v>
      </c>
      <c r="B23" s="86">
        <v>0</v>
      </c>
      <c r="C23" s="86">
        <v>16950</v>
      </c>
      <c r="D23" s="86">
        <v>-16950</v>
      </c>
      <c r="E23" s="86">
        <v>10000</v>
      </c>
      <c r="F23" s="86">
        <v>-6950</v>
      </c>
      <c r="G23" s="90">
        <f t="shared" si="1"/>
        <v>0</v>
      </c>
    </row>
    <row r="24" spans="1:7" x14ac:dyDescent="0.45">
      <c r="A24" s="69" t="s">
        <v>25</v>
      </c>
      <c r="B24" s="86">
        <v>154022</v>
      </c>
      <c r="C24" s="86">
        <v>137881</v>
      </c>
      <c r="D24" s="86">
        <v>16141</v>
      </c>
      <c r="E24" s="86">
        <v>4828</v>
      </c>
      <c r="F24" s="86">
        <v>20969</v>
      </c>
      <c r="G24" s="90">
        <f t="shared" si="1"/>
        <v>2.6615425351639342E-3</v>
      </c>
    </row>
    <row r="25" spans="1:7" x14ac:dyDescent="0.45">
      <c r="A25" s="69" t="s">
        <v>26</v>
      </c>
      <c r="B25" s="86">
        <v>12444</v>
      </c>
      <c r="C25" s="86">
        <v>44327.67</v>
      </c>
      <c r="D25" s="86">
        <v>-31883.67</v>
      </c>
      <c r="E25" s="86">
        <v>11113.85</v>
      </c>
      <c r="F25" s="86">
        <v>-20769.82</v>
      </c>
      <c r="G25" s="90">
        <f t="shared" si="1"/>
        <v>2.1503574364428458E-4</v>
      </c>
    </row>
    <row r="26" spans="1:7" x14ac:dyDescent="0.45">
      <c r="A26" s="69" t="s">
        <v>27</v>
      </c>
      <c r="B26" s="86">
        <v>55816</v>
      </c>
      <c r="C26" s="86">
        <v>48450.65</v>
      </c>
      <c r="D26" s="86">
        <v>7365.35</v>
      </c>
      <c r="E26" s="86">
        <v>21170.1</v>
      </c>
      <c r="F26" s="86">
        <v>26780.3</v>
      </c>
      <c r="G26" s="90">
        <f t="shared" si="1"/>
        <v>9.6451583632669463E-4</v>
      </c>
    </row>
    <row r="27" spans="1:7" x14ac:dyDescent="0.45">
      <c r="A27" s="69" t="s">
        <v>118</v>
      </c>
      <c r="B27" s="86">
        <v>58152</v>
      </c>
      <c r="C27" s="86">
        <v>60980.55</v>
      </c>
      <c r="D27" s="86">
        <v>-2828.55</v>
      </c>
      <c r="E27" s="86">
        <v>15225</v>
      </c>
      <c r="F27" s="86">
        <v>12396.45</v>
      </c>
      <c r="G27" s="90">
        <f t="shared" si="1"/>
        <v>1.0048825590165892E-3</v>
      </c>
    </row>
    <row r="28" spans="1:7" x14ac:dyDescent="0.45">
      <c r="A28" s="69" t="s">
        <v>28</v>
      </c>
      <c r="B28" s="86">
        <v>231407</v>
      </c>
      <c r="C28" s="86">
        <v>341759.1</v>
      </c>
      <c r="D28" s="86">
        <v>-110352.1</v>
      </c>
      <c r="E28" s="86">
        <v>0</v>
      </c>
      <c r="F28" s="86">
        <v>-110352.1</v>
      </c>
      <c r="G28" s="90">
        <f t="shared" si="1"/>
        <v>3.9987766256423139E-3</v>
      </c>
    </row>
    <row r="29" spans="1:7" x14ac:dyDescent="0.45">
      <c r="A29" s="69" t="s">
        <v>8</v>
      </c>
      <c r="B29" s="86">
        <v>288748</v>
      </c>
      <c r="C29" s="86">
        <v>117952</v>
      </c>
      <c r="D29" s="86">
        <v>170796</v>
      </c>
      <c r="E29" s="86">
        <v>0</v>
      </c>
      <c r="F29" s="86">
        <v>170796</v>
      </c>
      <c r="G29" s="90">
        <f t="shared" si="1"/>
        <v>4.9896448815332593E-3</v>
      </c>
    </row>
    <row r="30" spans="1:7" x14ac:dyDescent="0.45">
      <c r="A30" s="69" t="s">
        <v>29</v>
      </c>
      <c r="B30" s="86"/>
      <c r="C30" s="86"/>
      <c r="D30" s="86"/>
      <c r="E30" s="86"/>
      <c r="F30" s="86"/>
      <c r="G30" s="90">
        <f t="shared" si="1"/>
        <v>0</v>
      </c>
    </row>
    <row r="31" spans="1:7" x14ac:dyDescent="0.45">
      <c r="A31" s="69" t="s">
        <v>30</v>
      </c>
      <c r="B31" s="86">
        <v>149260</v>
      </c>
      <c r="C31" s="86">
        <v>115975</v>
      </c>
      <c r="D31" s="86">
        <v>33285</v>
      </c>
      <c r="E31" s="86">
        <v>0</v>
      </c>
      <c r="F31" s="86">
        <v>24964</v>
      </c>
      <c r="G31" s="90">
        <f t="shared" si="1"/>
        <v>2.5792538650229761E-3</v>
      </c>
    </row>
    <row r="32" spans="1:7" x14ac:dyDescent="0.45">
      <c r="A32" s="69" t="s">
        <v>31</v>
      </c>
      <c r="B32" s="86">
        <v>61625</v>
      </c>
      <c r="C32" s="86">
        <v>90217</v>
      </c>
      <c r="D32" s="86">
        <v>-28592</v>
      </c>
      <c r="E32" s="86">
        <v>0</v>
      </c>
      <c r="F32" s="86">
        <v>-28592</v>
      </c>
      <c r="G32" s="90">
        <f t="shared" si="1"/>
        <v>1.0648969545225841E-3</v>
      </c>
    </row>
    <row r="33" spans="1:7" x14ac:dyDescent="0.45">
      <c r="A33" s="69" t="s">
        <v>32</v>
      </c>
      <c r="B33" s="86">
        <v>94574</v>
      </c>
      <c r="C33" s="86">
        <v>168901</v>
      </c>
      <c r="D33" s="86">
        <v>-74327</v>
      </c>
      <c r="E33" s="86">
        <v>10913</v>
      </c>
      <c r="F33" s="86">
        <v>-63414</v>
      </c>
      <c r="G33" s="90">
        <f t="shared" si="1"/>
        <v>1.634264739586513E-3</v>
      </c>
    </row>
    <row r="34" spans="1:7" x14ac:dyDescent="0.45">
      <c r="A34" s="69" t="s">
        <v>33</v>
      </c>
      <c r="B34" s="86">
        <v>54707</v>
      </c>
      <c r="C34" s="86">
        <v>62052.08</v>
      </c>
      <c r="D34" s="86">
        <v>-7345.08</v>
      </c>
      <c r="E34" s="86">
        <v>0</v>
      </c>
      <c r="F34" s="86">
        <v>-7345.08</v>
      </c>
      <c r="G34" s="90">
        <f t="shared" si="1"/>
        <v>9.4535201121406906E-4</v>
      </c>
    </row>
    <row r="35" spans="1:7" x14ac:dyDescent="0.45">
      <c r="A35" s="69" t="s">
        <v>34</v>
      </c>
      <c r="B35" s="86">
        <v>81732</v>
      </c>
      <c r="C35" s="86">
        <v>58582.57</v>
      </c>
      <c r="D35" s="86">
        <v>23149.43</v>
      </c>
      <c r="E35" s="86">
        <v>0</v>
      </c>
      <c r="F35" s="86">
        <v>23149.43</v>
      </c>
      <c r="G35" s="90">
        <f t="shared" si="1"/>
        <v>1.4123514464428372E-3</v>
      </c>
    </row>
    <row r="36" spans="1:7" x14ac:dyDescent="0.45">
      <c r="A36" s="69" t="s">
        <v>35</v>
      </c>
      <c r="B36" s="86">
        <v>271189</v>
      </c>
      <c r="C36" s="86">
        <v>272402</v>
      </c>
      <c r="D36" s="86">
        <v>-1213</v>
      </c>
      <c r="E36" s="86">
        <v>5485</v>
      </c>
      <c r="F36" s="86">
        <v>3204</v>
      </c>
      <c r="G36" s="90">
        <f t="shared" si="1"/>
        <v>4.6862205306292095E-3</v>
      </c>
    </row>
    <row r="37" spans="1:7" x14ac:dyDescent="0.45">
      <c r="A37" s="69" t="s">
        <v>36</v>
      </c>
      <c r="B37" s="86">
        <v>205864</v>
      </c>
      <c r="C37" s="86">
        <v>183450</v>
      </c>
      <c r="D37" s="86">
        <v>22414</v>
      </c>
      <c r="E37" s="86">
        <v>30</v>
      </c>
      <c r="F37" s="86">
        <v>16833</v>
      </c>
      <c r="G37" s="90">
        <f t="shared" si="1"/>
        <v>3.5573865581474606E-3</v>
      </c>
    </row>
    <row r="38" spans="1:7" x14ac:dyDescent="0.45">
      <c r="A38" s="69" t="s">
        <v>37</v>
      </c>
      <c r="B38" s="86">
        <v>155145</v>
      </c>
      <c r="C38" s="86">
        <v>68177</v>
      </c>
      <c r="D38" s="86">
        <v>86968</v>
      </c>
      <c r="E38" s="86">
        <v>0</v>
      </c>
      <c r="F38" s="86">
        <v>86968</v>
      </c>
      <c r="G38" s="90">
        <f t="shared" ref="G38:G69" si="2">B38/$B$125</f>
        <v>2.6809482841282971E-3</v>
      </c>
    </row>
    <row r="39" spans="1:7" x14ac:dyDescent="0.45">
      <c r="A39" s="69" t="s">
        <v>119</v>
      </c>
      <c r="B39" s="86"/>
      <c r="C39" s="86"/>
      <c r="D39" s="86"/>
      <c r="E39" s="86"/>
      <c r="F39" s="86"/>
      <c r="G39" s="90">
        <f t="shared" si="2"/>
        <v>0</v>
      </c>
    </row>
    <row r="40" spans="1:7" x14ac:dyDescent="0.45">
      <c r="A40" s="69" t="s">
        <v>38</v>
      </c>
      <c r="B40" s="86">
        <v>216458</v>
      </c>
      <c r="C40" s="86">
        <v>211723.2</v>
      </c>
      <c r="D40" s="86">
        <v>4734.8</v>
      </c>
      <c r="E40" s="86">
        <v>0</v>
      </c>
      <c r="F40" s="86">
        <v>4734.8</v>
      </c>
      <c r="G40" s="90">
        <f t="shared" si="2"/>
        <v>3.7404537928121626E-3</v>
      </c>
    </row>
    <row r="41" spans="1:7" x14ac:dyDescent="0.45">
      <c r="A41" s="69" t="s">
        <v>39</v>
      </c>
      <c r="B41" s="86">
        <v>2666240</v>
      </c>
      <c r="C41" s="86">
        <v>1665101.15</v>
      </c>
      <c r="D41" s="86">
        <v>1001138.85</v>
      </c>
      <c r="E41" s="86">
        <v>453611</v>
      </c>
      <c r="F41" s="86">
        <v>1069895.8500000001</v>
      </c>
      <c r="G41" s="90">
        <f t="shared" si="2"/>
        <v>4.6073360746876992E-2</v>
      </c>
    </row>
    <row r="42" spans="1:7" x14ac:dyDescent="0.45">
      <c r="A42" s="69" t="s">
        <v>40</v>
      </c>
      <c r="B42" s="86">
        <v>53585</v>
      </c>
      <c r="C42" s="86">
        <v>40003.29</v>
      </c>
      <c r="D42" s="86">
        <v>13581.71</v>
      </c>
      <c r="E42" s="86">
        <v>17005.75</v>
      </c>
      <c r="F42" s="86">
        <v>30587.46</v>
      </c>
      <c r="G42" s="90">
        <f t="shared" si="2"/>
        <v>9.2596354252483032E-4</v>
      </c>
    </row>
    <row r="43" spans="1:7" x14ac:dyDescent="0.45">
      <c r="A43" s="69" t="s">
        <v>41</v>
      </c>
      <c r="B43" s="86">
        <v>53843</v>
      </c>
      <c r="C43" s="86">
        <v>76413</v>
      </c>
      <c r="D43" s="86">
        <v>-22570</v>
      </c>
      <c r="E43" s="86">
        <v>91.86</v>
      </c>
      <c r="F43" s="86">
        <v>-22478.14</v>
      </c>
      <c r="G43" s="90">
        <f t="shared" si="2"/>
        <v>9.3042185350684784E-4</v>
      </c>
    </row>
    <row r="44" spans="1:7" x14ac:dyDescent="0.45">
      <c r="A44" s="69" t="s">
        <v>121</v>
      </c>
      <c r="B44" s="86">
        <v>794121</v>
      </c>
      <c r="C44" s="86">
        <v>639350.82999999996</v>
      </c>
      <c r="D44" s="86">
        <v>154770.17000000001</v>
      </c>
      <c r="E44" s="86">
        <v>30480.32</v>
      </c>
      <c r="F44" s="86">
        <v>138937.66</v>
      </c>
      <c r="G44" s="90">
        <f t="shared" si="2"/>
        <v>1.3722629361824406E-2</v>
      </c>
    </row>
    <row r="45" spans="1:7" x14ac:dyDescent="0.45">
      <c r="A45" s="69" t="s">
        <v>43</v>
      </c>
      <c r="B45" s="86">
        <v>794955</v>
      </c>
      <c r="C45" s="86">
        <v>621721</v>
      </c>
      <c r="D45" s="86">
        <v>173234</v>
      </c>
      <c r="E45" s="86">
        <v>2556.67</v>
      </c>
      <c r="F45" s="86">
        <v>131843</v>
      </c>
      <c r="G45" s="90">
        <f t="shared" si="2"/>
        <v>1.3737041111277904E-2</v>
      </c>
    </row>
    <row r="46" spans="1:7" x14ac:dyDescent="0.45">
      <c r="A46" s="69" t="s">
        <v>44</v>
      </c>
      <c r="B46" s="86">
        <v>228869</v>
      </c>
      <c r="C46" s="86">
        <v>166776.81</v>
      </c>
      <c r="D46" s="86">
        <v>62092.19</v>
      </c>
      <c r="E46" s="86">
        <v>7950.34</v>
      </c>
      <c r="F46" s="86">
        <v>70042.53</v>
      </c>
      <c r="G46" s="90">
        <f t="shared" si="2"/>
        <v>3.9549192873773514E-3</v>
      </c>
    </row>
    <row r="47" spans="1:7" x14ac:dyDescent="0.45">
      <c r="A47" s="69" t="s">
        <v>45</v>
      </c>
      <c r="B47" s="86">
        <v>12612</v>
      </c>
      <c r="C47" s="86">
        <v>37710</v>
      </c>
      <c r="D47" s="86">
        <v>-25098</v>
      </c>
      <c r="E47" s="86">
        <v>0</v>
      </c>
      <c r="F47" s="86">
        <v>-27548</v>
      </c>
      <c r="G47" s="90">
        <f t="shared" si="2"/>
        <v>2.1793882986513317E-4</v>
      </c>
    </row>
    <row r="48" spans="1:7" x14ac:dyDescent="0.45">
      <c r="A48" s="69" t="s">
        <v>137</v>
      </c>
      <c r="B48" s="86"/>
      <c r="C48" s="86"/>
      <c r="D48" s="86"/>
      <c r="E48" s="86"/>
      <c r="F48" s="86"/>
      <c r="G48" s="90">
        <f t="shared" si="2"/>
        <v>0</v>
      </c>
    </row>
    <row r="49" spans="1:7" x14ac:dyDescent="0.45">
      <c r="A49" s="69" t="s">
        <v>46</v>
      </c>
      <c r="B49" s="86">
        <v>197799</v>
      </c>
      <c r="C49" s="86">
        <v>206404.93</v>
      </c>
      <c r="D49" s="86">
        <v>-8605.93</v>
      </c>
      <c r="E49" s="86">
        <v>54676.959999999999</v>
      </c>
      <c r="F49" s="86">
        <v>43714.03</v>
      </c>
      <c r="G49" s="90">
        <f t="shared" si="2"/>
        <v>3.4180211392716041E-3</v>
      </c>
    </row>
    <row r="50" spans="1:7" x14ac:dyDescent="0.45">
      <c r="A50" s="69" t="s">
        <v>47</v>
      </c>
      <c r="B50" s="86">
        <v>84711</v>
      </c>
      <c r="C50" s="86">
        <v>39082</v>
      </c>
      <c r="D50" s="86">
        <v>45629</v>
      </c>
      <c r="E50" s="86">
        <v>0</v>
      </c>
      <c r="F50" s="86">
        <v>34222</v>
      </c>
      <c r="G50" s="90">
        <f t="shared" si="2"/>
        <v>1.4638293860375273E-3</v>
      </c>
    </row>
    <row r="51" spans="1:7" x14ac:dyDescent="0.45">
      <c r="A51" s="69" t="s">
        <v>48</v>
      </c>
      <c r="B51" s="86">
        <v>73016</v>
      </c>
      <c r="C51" s="86">
        <v>42617</v>
      </c>
      <c r="D51" s="86">
        <v>30399</v>
      </c>
      <c r="E51" s="86">
        <v>88694</v>
      </c>
      <c r="F51" s="86">
        <v>119093</v>
      </c>
      <c r="G51" s="90">
        <f t="shared" si="2"/>
        <v>1.2617365684611927E-3</v>
      </c>
    </row>
    <row r="52" spans="1:7" x14ac:dyDescent="0.45">
      <c r="A52" s="69" t="s">
        <v>49</v>
      </c>
      <c r="B52" s="86"/>
      <c r="C52" s="86"/>
      <c r="D52" s="86"/>
      <c r="E52" s="86"/>
      <c r="F52" s="86"/>
      <c r="G52" s="90">
        <f t="shared" si="2"/>
        <v>0</v>
      </c>
    </row>
    <row r="53" spans="1:7" x14ac:dyDescent="0.45">
      <c r="A53" s="69" t="s">
        <v>50</v>
      </c>
      <c r="B53" s="86">
        <v>207138</v>
      </c>
      <c r="C53" s="86">
        <v>213058</v>
      </c>
      <c r="D53" s="86">
        <v>-5920</v>
      </c>
      <c r="E53" s="86">
        <v>51987</v>
      </c>
      <c r="F53" s="86">
        <v>34550</v>
      </c>
      <c r="G53" s="90">
        <f t="shared" si="2"/>
        <v>3.5794016286555624E-3</v>
      </c>
    </row>
    <row r="54" spans="1:7" x14ac:dyDescent="0.45">
      <c r="A54" s="69" t="s">
        <v>123</v>
      </c>
      <c r="B54" s="86">
        <v>54021</v>
      </c>
      <c r="C54" s="86">
        <v>36856.92</v>
      </c>
      <c r="D54" s="86">
        <v>17164.080000000002</v>
      </c>
      <c r="E54" s="86">
        <v>18283.169999999998</v>
      </c>
      <c r="F54" s="86">
        <v>35447.25</v>
      </c>
      <c r="G54" s="90">
        <f t="shared" si="2"/>
        <v>9.3349774247893742E-4</v>
      </c>
    </row>
    <row r="55" spans="1:7" x14ac:dyDescent="0.45">
      <c r="A55" s="69" t="s">
        <v>51</v>
      </c>
      <c r="B55" s="86">
        <v>1009765</v>
      </c>
      <c r="C55" s="86">
        <v>281647</v>
      </c>
      <c r="D55" s="86">
        <v>728118</v>
      </c>
      <c r="E55" s="86">
        <v>11910</v>
      </c>
      <c r="F55" s="86">
        <v>740028</v>
      </c>
      <c r="G55" s="90">
        <f t="shared" si="2"/>
        <v>1.744901701068555E-2</v>
      </c>
    </row>
    <row r="56" spans="1:7" x14ac:dyDescent="0.45">
      <c r="A56" s="69" t="s">
        <v>138</v>
      </c>
      <c r="B56" s="86"/>
      <c r="C56" s="86"/>
      <c r="D56" s="86"/>
      <c r="E56" s="86"/>
      <c r="F56" s="86"/>
      <c r="G56" s="90">
        <f t="shared" si="2"/>
        <v>0</v>
      </c>
    </row>
    <row r="57" spans="1:7" x14ac:dyDescent="0.45">
      <c r="A57" s="69" t="s">
        <v>52</v>
      </c>
      <c r="B57" s="86">
        <v>3163336</v>
      </c>
      <c r="C57" s="86">
        <v>1731950.32</v>
      </c>
      <c r="D57" s="86">
        <v>1431385.68</v>
      </c>
      <c r="E57" s="86">
        <v>0</v>
      </c>
      <c r="F57" s="86">
        <v>1073539.26</v>
      </c>
      <c r="G57" s="90">
        <f t="shared" si="2"/>
        <v>5.4663316389965973E-2</v>
      </c>
    </row>
    <row r="58" spans="1:7" x14ac:dyDescent="0.45">
      <c r="A58" s="69" t="s">
        <v>53</v>
      </c>
      <c r="B58" s="86"/>
      <c r="C58" s="86"/>
      <c r="D58" s="86"/>
      <c r="E58" s="86"/>
      <c r="F58" s="86"/>
      <c r="G58" s="90">
        <f t="shared" si="2"/>
        <v>0</v>
      </c>
    </row>
    <row r="59" spans="1:7" x14ac:dyDescent="0.45">
      <c r="A59" s="69" t="s">
        <v>54</v>
      </c>
      <c r="B59" s="86">
        <v>826750</v>
      </c>
      <c r="C59" s="86">
        <v>145210</v>
      </c>
      <c r="D59" s="86">
        <v>681540</v>
      </c>
      <c r="E59" s="86">
        <v>1029</v>
      </c>
      <c r="F59" s="86">
        <v>682569</v>
      </c>
      <c r="G59" s="90">
        <f t="shared" si="2"/>
        <v>1.4286467458848623E-2</v>
      </c>
    </row>
    <row r="60" spans="1:7" x14ac:dyDescent="0.45">
      <c r="A60" s="69" t="s">
        <v>55</v>
      </c>
      <c r="B60" s="86">
        <v>18566</v>
      </c>
      <c r="C60" s="86">
        <v>40920.97</v>
      </c>
      <c r="D60" s="86">
        <v>-22354.97</v>
      </c>
      <c r="E60" s="86">
        <v>0</v>
      </c>
      <c r="F60" s="86">
        <v>-22354.97</v>
      </c>
      <c r="G60" s="90">
        <f t="shared" si="2"/>
        <v>3.2082558795401697E-4</v>
      </c>
    </row>
    <row r="61" spans="1:7" x14ac:dyDescent="0.45">
      <c r="A61" s="69" t="s">
        <v>56</v>
      </c>
      <c r="B61" s="86">
        <v>172283</v>
      </c>
      <c r="C61" s="86">
        <v>148248</v>
      </c>
      <c r="D61" s="86">
        <v>24035</v>
      </c>
      <c r="E61" s="86">
        <v>1934</v>
      </c>
      <c r="F61" s="86">
        <v>25969</v>
      </c>
      <c r="G61" s="90">
        <f t="shared" si="2"/>
        <v>2.9770976392051013E-3</v>
      </c>
    </row>
    <row r="62" spans="1:7" x14ac:dyDescent="0.45">
      <c r="A62" s="69" t="s">
        <v>57</v>
      </c>
      <c r="B62" s="86">
        <v>600123</v>
      </c>
      <c r="C62" s="86">
        <v>472309.4</v>
      </c>
      <c r="D62" s="86">
        <v>127813.6</v>
      </c>
      <c r="E62" s="86">
        <v>293717.65000000002</v>
      </c>
      <c r="F62" s="86">
        <v>321080.75</v>
      </c>
      <c r="G62" s="90">
        <f t="shared" si="2"/>
        <v>1.03702905482995E-2</v>
      </c>
    </row>
    <row r="63" spans="1:7" x14ac:dyDescent="0.45">
      <c r="A63" s="69" t="s">
        <v>58</v>
      </c>
      <c r="B63" s="86"/>
      <c r="C63" s="86"/>
      <c r="D63" s="86"/>
      <c r="E63" s="86"/>
      <c r="F63" s="86"/>
      <c r="G63" s="90">
        <f t="shared" si="2"/>
        <v>0</v>
      </c>
    </row>
    <row r="64" spans="1:7" x14ac:dyDescent="0.45">
      <c r="A64" s="69" t="s">
        <v>60</v>
      </c>
      <c r="B64" s="86">
        <v>2287974</v>
      </c>
      <c r="C64" s="86">
        <v>809395.25</v>
      </c>
      <c r="D64" s="86">
        <v>1478578.75</v>
      </c>
      <c r="E64" s="86">
        <v>384953.49</v>
      </c>
      <c r="F64" s="86">
        <v>1863532.24</v>
      </c>
      <c r="G64" s="90">
        <f t="shared" si="2"/>
        <v>3.9536820196784665E-2</v>
      </c>
    </row>
    <row r="65" spans="1:7" x14ac:dyDescent="0.45">
      <c r="A65" s="69" t="s">
        <v>61</v>
      </c>
      <c r="B65" s="86">
        <v>146170</v>
      </c>
      <c r="C65" s="86">
        <v>119977.05</v>
      </c>
      <c r="D65" s="86">
        <v>26192.95</v>
      </c>
      <c r="E65" s="86">
        <v>181004.93</v>
      </c>
      <c r="F65" s="86">
        <v>207197.88</v>
      </c>
      <c r="G65" s="90">
        <f t="shared" si="2"/>
        <v>2.5258578148895112E-3</v>
      </c>
    </row>
    <row r="66" spans="1:7" x14ac:dyDescent="0.45">
      <c r="A66" s="69" t="s">
        <v>62</v>
      </c>
      <c r="B66" s="86">
        <v>220809</v>
      </c>
      <c r="C66" s="86">
        <v>116787</v>
      </c>
      <c r="D66" s="86">
        <v>104022</v>
      </c>
      <c r="E66" s="86">
        <v>26789</v>
      </c>
      <c r="F66" s="86">
        <v>114808</v>
      </c>
      <c r="G66" s="90">
        <f t="shared" si="2"/>
        <v>3.8156402698771158E-3</v>
      </c>
    </row>
    <row r="67" spans="1:7" x14ac:dyDescent="0.45">
      <c r="A67" s="69" t="s">
        <v>63</v>
      </c>
      <c r="B67" s="86">
        <v>534742</v>
      </c>
      <c r="C67" s="86">
        <v>158681.68</v>
      </c>
      <c r="D67" s="86">
        <v>376060.32</v>
      </c>
      <c r="E67" s="86">
        <v>16515</v>
      </c>
      <c r="F67" s="86">
        <v>294431.40000000002</v>
      </c>
      <c r="G67" s="90">
        <f t="shared" si="2"/>
        <v>9.2404888804108014E-3</v>
      </c>
    </row>
    <row r="68" spans="1:7" x14ac:dyDescent="0.45">
      <c r="A68" s="69" t="s">
        <v>64</v>
      </c>
      <c r="B68" s="86">
        <v>108187</v>
      </c>
      <c r="C68" s="86">
        <v>60043.61</v>
      </c>
      <c r="D68" s="86">
        <v>48143.39</v>
      </c>
      <c r="E68" s="86">
        <v>34026.32</v>
      </c>
      <c r="F68" s="86">
        <v>66149.17</v>
      </c>
      <c r="G68" s="90">
        <f t="shared" si="2"/>
        <v>1.869501124850869E-3</v>
      </c>
    </row>
    <row r="69" spans="1:7" x14ac:dyDescent="0.45">
      <c r="A69" s="69" t="s">
        <v>65</v>
      </c>
      <c r="B69" s="86">
        <v>9540495</v>
      </c>
      <c r="C69" s="86">
        <v>6219236.96</v>
      </c>
      <c r="D69" s="86">
        <v>3321258.04</v>
      </c>
      <c r="E69" s="86">
        <v>998046.01</v>
      </c>
      <c r="F69" s="86">
        <v>3239478.04</v>
      </c>
      <c r="G69" s="90">
        <f t="shared" si="2"/>
        <v>0.1648623784200883</v>
      </c>
    </row>
    <row r="70" spans="1:7" x14ac:dyDescent="0.45">
      <c r="A70" s="69" t="s">
        <v>66</v>
      </c>
      <c r="B70" s="86"/>
      <c r="C70" s="86"/>
      <c r="D70" s="86"/>
      <c r="E70" s="86"/>
      <c r="F70" s="86"/>
      <c r="G70" s="90">
        <f t="shared" ref="G70:G124" si="3">B70/$B$125</f>
        <v>0</v>
      </c>
    </row>
    <row r="71" spans="1:7" ht="18" customHeight="1" x14ac:dyDescent="0.45">
      <c r="A71" s="69" t="s">
        <v>67</v>
      </c>
      <c r="B71" s="86">
        <v>323921</v>
      </c>
      <c r="C71" s="86">
        <v>194120.31</v>
      </c>
      <c r="D71" s="86">
        <v>129800.69</v>
      </c>
      <c r="E71" s="86">
        <v>205.6</v>
      </c>
      <c r="F71" s="86">
        <v>97504.82</v>
      </c>
      <c r="G71" s="90">
        <f t="shared" si="3"/>
        <v>5.597443998473184E-3</v>
      </c>
    </row>
    <row r="72" spans="1:7" x14ac:dyDescent="0.45">
      <c r="A72" s="69" t="s">
        <v>139</v>
      </c>
      <c r="B72" s="86"/>
      <c r="C72" s="86"/>
      <c r="D72" s="86"/>
      <c r="E72" s="86"/>
      <c r="F72" s="86"/>
      <c r="G72" s="90">
        <f t="shared" si="3"/>
        <v>0</v>
      </c>
    </row>
    <row r="73" spans="1:7" x14ac:dyDescent="0.45">
      <c r="A73" s="69" t="s">
        <v>68</v>
      </c>
      <c r="B73" s="86">
        <v>67584</v>
      </c>
      <c r="C73" s="86">
        <v>67584</v>
      </c>
      <c r="D73" s="86">
        <v>43510.43</v>
      </c>
      <c r="E73" s="86">
        <v>0</v>
      </c>
      <c r="F73" s="86">
        <v>18055.18</v>
      </c>
      <c r="G73" s="90">
        <f t="shared" si="3"/>
        <v>1.1678701139870883E-3</v>
      </c>
    </row>
    <row r="74" spans="1:7" x14ac:dyDescent="0.45">
      <c r="A74" s="69" t="s">
        <v>140</v>
      </c>
      <c r="B74" s="86"/>
      <c r="C74" s="86"/>
      <c r="D74" s="86"/>
      <c r="E74" s="86"/>
      <c r="F74" s="86"/>
      <c r="G74" s="90">
        <f t="shared" si="3"/>
        <v>0</v>
      </c>
    </row>
    <row r="75" spans="1:7" x14ac:dyDescent="0.45">
      <c r="A75" s="69" t="s">
        <v>69</v>
      </c>
      <c r="B75" s="86"/>
      <c r="C75" s="86"/>
      <c r="D75" s="86"/>
      <c r="E75" s="86"/>
      <c r="F75" s="86"/>
      <c r="G75" s="90">
        <f t="shared" si="3"/>
        <v>0</v>
      </c>
    </row>
    <row r="76" spans="1:7" x14ac:dyDescent="0.45">
      <c r="A76" s="69" t="s">
        <v>141</v>
      </c>
      <c r="B76" s="86"/>
      <c r="C76" s="86"/>
      <c r="D76" s="86"/>
      <c r="E76" s="86"/>
      <c r="F76" s="86"/>
      <c r="G76" s="90">
        <f t="shared" si="3"/>
        <v>0</v>
      </c>
    </row>
    <row r="77" spans="1:7" x14ac:dyDescent="0.45">
      <c r="A77" s="69" t="s">
        <v>110</v>
      </c>
      <c r="B77" s="86">
        <v>157584</v>
      </c>
      <c r="C77" s="86">
        <v>148228.31</v>
      </c>
      <c r="D77" s="86">
        <v>9355.69</v>
      </c>
      <c r="E77" s="86">
        <v>0</v>
      </c>
      <c r="F77" s="86">
        <v>7016.58</v>
      </c>
      <c r="G77" s="90">
        <f t="shared" si="3"/>
        <v>2.7230948751559739E-3</v>
      </c>
    </row>
    <row r="78" spans="1:7" x14ac:dyDescent="0.45">
      <c r="A78" s="69" t="s">
        <v>142</v>
      </c>
      <c r="B78" s="86"/>
      <c r="C78" s="86"/>
      <c r="D78" s="86"/>
      <c r="E78" s="86"/>
      <c r="F78" s="86"/>
      <c r="G78" s="90">
        <f t="shared" si="3"/>
        <v>0</v>
      </c>
    </row>
    <row r="79" spans="1:7" x14ac:dyDescent="0.45">
      <c r="A79" s="69" t="s">
        <v>143</v>
      </c>
      <c r="B79" s="86"/>
      <c r="C79" s="86"/>
      <c r="D79" s="86"/>
      <c r="E79" s="86"/>
      <c r="F79" s="86"/>
      <c r="G79" s="90">
        <f t="shared" si="3"/>
        <v>0</v>
      </c>
    </row>
    <row r="80" spans="1:7" x14ac:dyDescent="0.45">
      <c r="A80" s="69" t="s">
        <v>125</v>
      </c>
      <c r="B80" s="86">
        <v>71424</v>
      </c>
      <c r="C80" s="86">
        <v>57980</v>
      </c>
      <c r="D80" s="86">
        <v>13444</v>
      </c>
      <c r="E80" s="86">
        <v>0</v>
      </c>
      <c r="F80" s="86">
        <v>13444</v>
      </c>
      <c r="G80" s="90">
        <f t="shared" si="3"/>
        <v>1.2342263704636276E-3</v>
      </c>
    </row>
    <row r="81" spans="1:7" x14ac:dyDescent="0.45">
      <c r="A81" s="69" t="s">
        <v>71</v>
      </c>
      <c r="B81" s="86">
        <v>196007</v>
      </c>
      <c r="C81" s="86">
        <v>72070.039999999994</v>
      </c>
      <c r="D81" s="86">
        <v>123936.96000000001</v>
      </c>
      <c r="E81" s="86">
        <v>0</v>
      </c>
      <c r="F81" s="86">
        <v>123936.96000000001</v>
      </c>
      <c r="G81" s="90">
        <f t="shared" si="3"/>
        <v>3.3870548862492194E-3</v>
      </c>
    </row>
    <row r="82" spans="1:7" x14ac:dyDescent="0.45">
      <c r="A82" s="69" t="s">
        <v>72</v>
      </c>
      <c r="B82" s="86"/>
      <c r="C82" s="86"/>
      <c r="D82" s="86"/>
      <c r="E82" s="86"/>
      <c r="F82" s="86"/>
      <c r="G82" s="90">
        <f t="shared" si="3"/>
        <v>0</v>
      </c>
    </row>
    <row r="83" spans="1:7" x14ac:dyDescent="0.45">
      <c r="A83" s="69" t="s">
        <v>73</v>
      </c>
      <c r="B83" s="86">
        <v>328087</v>
      </c>
      <c r="C83" s="86">
        <v>80350.8</v>
      </c>
      <c r="D83" s="86">
        <v>247736.2</v>
      </c>
      <c r="E83" s="86">
        <v>0</v>
      </c>
      <c r="F83" s="86">
        <v>247736.2</v>
      </c>
      <c r="G83" s="90">
        <f t="shared" si="3"/>
        <v>5.6694336246401796E-3</v>
      </c>
    </row>
    <row r="84" spans="1:7" x14ac:dyDescent="0.45">
      <c r="A84" s="69" t="s">
        <v>126</v>
      </c>
      <c r="B84" s="86">
        <v>265137</v>
      </c>
      <c r="C84" s="86">
        <v>155964</v>
      </c>
      <c r="D84" s="86">
        <v>109173</v>
      </c>
      <c r="E84" s="86">
        <v>0</v>
      </c>
      <c r="F84" s="86">
        <v>105207</v>
      </c>
      <c r="G84" s="90">
        <f t="shared" si="3"/>
        <v>4.581640305578164E-3</v>
      </c>
    </row>
    <row r="85" spans="1:7" x14ac:dyDescent="0.45">
      <c r="A85" s="69" t="s">
        <v>75</v>
      </c>
      <c r="B85" s="86">
        <v>56432</v>
      </c>
      <c r="C85" s="86">
        <v>58561.29</v>
      </c>
      <c r="D85" s="86">
        <v>-2129.29</v>
      </c>
      <c r="E85" s="86">
        <v>7255</v>
      </c>
      <c r="F85" s="86">
        <v>-556.29</v>
      </c>
      <c r="G85" s="90">
        <f t="shared" si="3"/>
        <v>9.7516048580313945E-4</v>
      </c>
    </row>
    <row r="86" spans="1:7" x14ac:dyDescent="0.45">
      <c r="A86" s="69" t="s">
        <v>76</v>
      </c>
      <c r="B86" s="86"/>
      <c r="C86" s="86"/>
      <c r="D86" s="86"/>
      <c r="E86" s="86"/>
      <c r="F86" s="86"/>
      <c r="G86" s="90">
        <f t="shared" si="3"/>
        <v>0</v>
      </c>
    </row>
    <row r="87" spans="1:7" x14ac:dyDescent="0.45">
      <c r="A87" s="69" t="s">
        <v>127</v>
      </c>
      <c r="B87" s="86"/>
      <c r="C87" s="86"/>
      <c r="D87" s="86"/>
      <c r="E87" s="86"/>
      <c r="F87" s="86"/>
      <c r="G87" s="90">
        <f t="shared" si="3"/>
        <v>0</v>
      </c>
    </row>
    <row r="88" spans="1:7" x14ac:dyDescent="0.45">
      <c r="A88" s="69" t="s">
        <v>77</v>
      </c>
      <c r="B88" s="86">
        <v>2328278</v>
      </c>
      <c r="C88" s="86">
        <v>1053986.44</v>
      </c>
      <c r="D88" s="86">
        <v>1274291.56</v>
      </c>
      <c r="E88" s="86">
        <v>38900.76</v>
      </c>
      <c r="F88" s="86">
        <v>973187.32</v>
      </c>
      <c r="G88" s="90">
        <f t="shared" si="3"/>
        <v>4.0233284405386337E-2</v>
      </c>
    </row>
    <row r="89" spans="1:7" x14ac:dyDescent="0.45">
      <c r="A89" s="69" t="s">
        <v>78</v>
      </c>
      <c r="B89" s="86">
        <v>89291</v>
      </c>
      <c r="C89" s="86">
        <v>101318</v>
      </c>
      <c r="D89" s="86">
        <v>-12027</v>
      </c>
      <c r="E89" s="86">
        <v>19398</v>
      </c>
      <c r="F89" s="86">
        <v>5528</v>
      </c>
      <c r="G89" s="90">
        <f t="shared" si="3"/>
        <v>1.5429730461058995E-3</v>
      </c>
    </row>
    <row r="90" spans="1:7" x14ac:dyDescent="0.45">
      <c r="A90" s="69" t="s">
        <v>111</v>
      </c>
      <c r="B90" s="86">
        <v>95475</v>
      </c>
      <c r="C90" s="86">
        <v>95152.04</v>
      </c>
      <c r="D90" s="86">
        <v>322.95999999999998</v>
      </c>
      <c r="E90" s="86">
        <v>16016.5</v>
      </c>
      <c r="F90" s="86">
        <v>16339.46</v>
      </c>
      <c r="G90" s="90">
        <f t="shared" si="3"/>
        <v>1.649834267473326E-3</v>
      </c>
    </row>
    <row r="91" spans="1:7" x14ac:dyDescent="0.45">
      <c r="A91" s="69" t="s">
        <v>80</v>
      </c>
      <c r="B91" s="86">
        <v>402110</v>
      </c>
      <c r="C91" s="86">
        <v>277526</v>
      </c>
      <c r="D91" s="86">
        <v>124584</v>
      </c>
      <c r="E91" s="86">
        <v>0</v>
      </c>
      <c r="F91" s="86">
        <v>93458</v>
      </c>
      <c r="G91" s="90">
        <f t="shared" si="3"/>
        <v>6.9485714301513396E-3</v>
      </c>
    </row>
    <row r="92" spans="1:7" x14ac:dyDescent="0.45">
      <c r="A92" s="69" t="s">
        <v>81</v>
      </c>
      <c r="B92" s="86">
        <v>137038</v>
      </c>
      <c r="C92" s="86">
        <v>169346</v>
      </c>
      <c r="D92" s="86">
        <v>-32308</v>
      </c>
      <c r="E92" s="86">
        <v>4609</v>
      </c>
      <c r="F92" s="86">
        <v>-27699</v>
      </c>
      <c r="G92" s="90">
        <f t="shared" si="3"/>
        <v>2.3680543424562414E-3</v>
      </c>
    </row>
    <row r="93" spans="1:7" x14ac:dyDescent="0.45">
      <c r="A93" s="69" t="s">
        <v>82</v>
      </c>
      <c r="B93" s="86">
        <v>0</v>
      </c>
      <c r="C93" s="86">
        <v>21031.25</v>
      </c>
      <c r="D93" s="86">
        <v>-21031.25</v>
      </c>
      <c r="E93" s="86">
        <v>65997</v>
      </c>
      <c r="F93" s="86">
        <v>44965.75</v>
      </c>
      <c r="G93" s="90">
        <f t="shared" si="3"/>
        <v>0</v>
      </c>
    </row>
    <row r="94" spans="1:7" x14ac:dyDescent="0.45">
      <c r="A94" s="69" t="s">
        <v>83</v>
      </c>
      <c r="B94" s="86">
        <v>602978</v>
      </c>
      <c r="C94" s="86">
        <v>574370.56000000006</v>
      </c>
      <c r="D94" s="86">
        <v>28607.439999999999</v>
      </c>
      <c r="E94" s="86">
        <v>482221.97</v>
      </c>
      <c r="F94" s="86">
        <v>510829.41</v>
      </c>
      <c r="G94" s="90">
        <f t="shared" si="3"/>
        <v>1.0419625733778803E-2</v>
      </c>
    </row>
    <row r="95" spans="1:7" x14ac:dyDescent="0.45">
      <c r="A95" s="69" t="s">
        <v>112</v>
      </c>
      <c r="B95" s="86">
        <v>76602</v>
      </c>
      <c r="C95" s="86">
        <v>47376.33</v>
      </c>
      <c r="D95" s="86">
        <v>29225.67</v>
      </c>
      <c r="E95" s="86">
        <v>27631.040000000001</v>
      </c>
      <c r="F95" s="86">
        <v>42642.71</v>
      </c>
      <c r="G95" s="90">
        <f t="shared" si="3"/>
        <v>1.3237036350562108E-3</v>
      </c>
    </row>
    <row r="96" spans="1:7" x14ac:dyDescent="0.45">
      <c r="A96" s="69" t="s">
        <v>84</v>
      </c>
      <c r="B96" s="86">
        <v>646158</v>
      </c>
      <c r="C96" s="86">
        <v>777309.09</v>
      </c>
      <c r="D96" s="86">
        <v>-131151.09</v>
      </c>
      <c r="E96" s="86">
        <v>11250</v>
      </c>
      <c r="F96" s="86">
        <v>-119901.09</v>
      </c>
      <c r="G96" s="90">
        <f t="shared" si="3"/>
        <v>1.1165788013637386E-2</v>
      </c>
    </row>
    <row r="97" spans="1:7" x14ac:dyDescent="0.45">
      <c r="A97" s="69" t="s">
        <v>85</v>
      </c>
      <c r="B97" s="86">
        <v>941230</v>
      </c>
      <c r="C97" s="86">
        <v>458484</v>
      </c>
      <c r="D97" s="86">
        <v>482746</v>
      </c>
      <c r="E97" s="86">
        <v>567783</v>
      </c>
      <c r="F97" s="86">
        <v>787897</v>
      </c>
      <c r="G97" s="90">
        <f t="shared" si="3"/>
        <v>1.6264713355055447E-2</v>
      </c>
    </row>
    <row r="98" spans="1:7" x14ac:dyDescent="0.45">
      <c r="A98" s="69" t="s">
        <v>86</v>
      </c>
      <c r="B98" s="86">
        <v>1463567</v>
      </c>
      <c r="C98" s="86">
        <v>818838.62</v>
      </c>
      <c r="D98" s="86">
        <v>644728.38</v>
      </c>
      <c r="E98" s="86">
        <v>116923.09</v>
      </c>
      <c r="F98" s="86">
        <v>761651.47</v>
      </c>
      <c r="G98" s="90">
        <f t="shared" si="3"/>
        <v>2.5290840422551801E-2</v>
      </c>
    </row>
    <row r="99" spans="1:7" x14ac:dyDescent="0.45">
      <c r="A99" s="69" t="s">
        <v>87</v>
      </c>
      <c r="B99" s="86">
        <v>129701</v>
      </c>
      <c r="C99" s="86">
        <v>75415.679999999993</v>
      </c>
      <c r="D99" s="86">
        <v>54285.32</v>
      </c>
      <c r="E99" s="86">
        <v>0</v>
      </c>
      <c r="F99" s="86">
        <v>54285.32</v>
      </c>
      <c r="G99" s="90">
        <f t="shared" si="3"/>
        <v>2.2412689638707291E-3</v>
      </c>
    </row>
    <row r="100" spans="1:7" x14ac:dyDescent="0.45">
      <c r="A100" s="69" t="s">
        <v>88</v>
      </c>
      <c r="B100" s="86"/>
      <c r="C100" s="86"/>
      <c r="D100" s="86"/>
      <c r="E100" s="86"/>
      <c r="F100" s="86"/>
      <c r="G100" s="90">
        <f t="shared" si="3"/>
        <v>0</v>
      </c>
    </row>
    <row r="101" spans="1:7" x14ac:dyDescent="0.45">
      <c r="A101" s="69" t="s">
        <v>89</v>
      </c>
      <c r="B101" s="86">
        <v>7915</v>
      </c>
      <c r="C101" s="86">
        <v>46379.51</v>
      </c>
      <c r="D101" s="86">
        <v>-38464.51</v>
      </c>
      <c r="E101" s="86">
        <v>0</v>
      </c>
      <c r="F101" s="86">
        <v>-38464.51</v>
      </c>
      <c r="G101" s="90">
        <f t="shared" si="3"/>
        <v>1.3677337760724143E-4</v>
      </c>
    </row>
    <row r="102" spans="1:7" x14ac:dyDescent="0.45">
      <c r="A102" s="69" t="s">
        <v>144</v>
      </c>
      <c r="B102" s="86"/>
      <c r="C102" s="86"/>
      <c r="D102" s="86"/>
      <c r="E102" s="86"/>
      <c r="F102" s="86"/>
      <c r="G102" s="90">
        <f t="shared" si="3"/>
        <v>0</v>
      </c>
    </row>
    <row r="103" spans="1:7" x14ac:dyDescent="0.45">
      <c r="A103" s="69" t="s">
        <v>90</v>
      </c>
      <c r="B103" s="86">
        <v>829236</v>
      </c>
      <c r="C103" s="86">
        <v>528307</v>
      </c>
      <c r="D103" s="86">
        <v>300929</v>
      </c>
      <c r="E103" s="86">
        <v>0</v>
      </c>
      <c r="F103" s="86">
        <v>300929</v>
      </c>
      <c r="G103" s="90">
        <f t="shared" si="3"/>
        <v>1.4329426222807133E-2</v>
      </c>
    </row>
    <row r="104" spans="1:7" x14ac:dyDescent="0.45">
      <c r="A104" s="69" t="s">
        <v>91</v>
      </c>
      <c r="B104" s="86">
        <v>2387390</v>
      </c>
      <c r="C104" s="86">
        <v>1490050</v>
      </c>
      <c r="D104" s="86">
        <v>897340</v>
      </c>
      <c r="E104" s="86">
        <v>22500</v>
      </c>
      <c r="F104" s="86">
        <v>768066</v>
      </c>
      <c r="G104" s="90">
        <f t="shared" si="3"/>
        <v>4.1254756028522063E-2</v>
      </c>
    </row>
    <row r="105" spans="1:7" x14ac:dyDescent="0.45">
      <c r="A105" s="69" t="s">
        <v>92</v>
      </c>
      <c r="B105" s="86">
        <v>15886</v>
      </c>
      <c r="C105" s="86">
        <v>15774</v>
      </c>
      <c r="D105" s="86">
        <v>112</v>
      </c>
      <c r="E105" s="86">
        <v>0</v>
      </c>
      <c r="F105" s="86">
        <v>112</v>
      </c>
      <c r="G105" s="90">
        <f t="shared" si="3"/>
        <v>2.7451445062143237E-4</v>
      </c>
    </row>
    <row r="106" spans="1:7" x14ac:dyDescent="0.45">
      <c r="A106" s="69" t="s">
        <v>93</v>
      </c>
      <c r="B106" s="86">
        <v>175731</v>
      </c>
      <c r="C106" s="86">
        <v>49088</v>
      </c>
      <c r="D106" s="86">
        <v>126643</v>
      </c>
      <c r="E106" s="86">
        <v>63524</v>
      </c>
      <c r="F106" s="86">
        <v>190167</v>
      </c>
      <c r="G106" s="90">
        <f t="shared" si="3"/>
        <v>3.0366800278329937E-3</v>
      </c>
    </row>
    <row r="107" spans="1:7" x14ac:dyDescent="0.45">
      <c r="A107" s="69" t="s">
        <v>113</v>
      </c>
      <c r="B107" s="86">
        <v>241187</v>
      </c>
      <c r="C107" s="86">
        <v>41298</v>
      </c>
      <c r="D107" s="86">
        <v>199889</v>
      </c>
      <c r="E107" s="86">
        <v>0</v>
      </c>
      <c r="F107" s="86">
        <v>148666.75</v>
      </c>
      <c r="G107" s="90">
        <f t="shared" si="3"/>
        <v>4.1677777163559998E-3</v>
      </c>
    </row>
    <row r="108" spans="1:7" x14ac:dyDescent="0.45">
      <c r="A108" s="69" t="s">
        <v>94</v>
      </c>
      <c r="B108" s="86">
        <v>2870314</v>
      </c>
      <c r="C108" s="86">
        <v>1306125.96</v>
      </c>
      <c r="D108" s="86">
        <v>1564188.04</v>
      </c>
      <c r="E108" s="86">
        <v>12000</v>
      </c>
      <c r="F108" s="86">
        <v>1217019.02</v>
      </c>
      <c r="G108" s="90">
        <f t="shared" si="3"/>
        <v>4.9599815612552313E-2</v>
      </c>
    </row>
    <row r="109" spans="1:7" x14ac:dyDescent="0.45">
      <c r="A109" s="69" t="s">
        <v>114</v>
      </c>
      <c r="B109" s="86">
        <v>265179</v>
      </c>
      <c r="C109" s="86">
        <v>205128.75</v>
      </c>
      <c r="D109" s="86">
        <v>60050.25</v>
      </c>
      <c r="E109" s="86">
        <v>345.62</v>
      </c>
      <c r="F109" s="86">
        <v>60395.87</v>
      </c>
      <c r="G109" s="90">
        <f t="shared" si="3"/>
        <v>4.5823660771333761E-3</v>
      </c>
    </row>
    <row r="110" spans="1:7" x14ac:dyDescent="0.45">
      <c r="A110" s="69" t="s">
        <v>95</v>
      </c>
      <c r="B110" s="86">
        <v>84326</v>
      </c>
      <c r="C110" s="86">
        <v>29911.25</v>
      </c>
      <c r="D110" s="86">
        <v>54414.75</v>
      </c>
      <c r="E110" s="86">
        <v>0</v>
      </c>
      <c r="F110" s="86">
        <v>41809.75</v>
      </c>
      <c r="G110" s="90">
        <f t="shared" si="3"/>
        <v>1.4571764801147493E-3</v>
      </c>
    </row>
    <row r="111" spans="1:7" x14ac:dyDescent="0.45">
      <c r="A111" s="69" t="s">
        <v>96</v>
      </c>
      <c r="B111" s="86"/>
      <c r="C111" s="86"/>
      <c r="D111" s="86"/>
      <c r="E111" s="86"/>
      <c r="F111" s="86"/>
      <c r="G111" s="90">
        <f t="shared" si="3"/>
        <v>0</v>
      </c>
    </row>
    <row r="112" spans="1:7" x14ac:dyDescent="0.45">
      <c r="A112" s="69" t="s">
        <v>145</v>
      </c>
      <c r="B112" s="86"/>
      <c r="C112" s="86"/>
      <c r="D112" s="86"/>
      <c r="E112" s="86"/>
      <c r="F112" s="86"/>
      <c r="G112" s="90">
        <f t="shared" si="3"/>
        <v>0</v>
      </c>
    </row>
    <row r="113" spans="1:7" x14ac:dyDescent="0.45">
      <c r="A113" s="69" t="s">
        <v>97</v>
      </c>
      <c r="B113" s="86">
        <v>230565</v>
      </c>
      <c r="C113" s="86">
        <v>134708.5</v>
      </c>
      <c r="D113" s="86">
        <v>95856.5</v>
      </c>
      <c r="E113" s="86">
        <v>37189.75</v>
      </c>
      <c r="F113" s="86">
        <v>133046.25</v>
      </c>
      <c r="G113" s="90">
        <f t="shared" si="3"/>
        <v>3.9842266339878227E-3</v>
      </c>
    </row>
    <row r="114" spans="1:7" x14ac:dyDescent="0.45">
      <c r="A114" s="69" t="s">
        <v>98</v>
      </c>
      <c r="B114" s="86">
        <v>642289</v>
      </c>
      <c r="C114" s="86">
        <v>378526</v>
      </c>
      <c r="D114" s="86">
        <v>263763</v>
      </c>
      <c r="E114" s="86">
        <v>61162</v>
      </c>
      <c r="F114" s="86">
        <v>242183</v>
      </c>
      <c r="G114" s="90">
        <f t="shared" si="3"/>
        <v>1.1098930629182248E-2</v>
      </c>
    </row>
    <row r="115" spans="1:7" x14ac:dyDescent="0.45">
      <c r="A115" s="69" t="s">
        <v>99</v>
      </c>
      <c r="B115" s="86">
        <v>188190</v>
      </c>
      <c r="C115" s="86">
        <v>104228.66</v>
      </c>
      <c r="D115" s="86">
        <v>83961.34</v>
      </c>
      <c r="E115" s="86">
        <v>5109.42</v>
      </c>
      <c r="F115" s="86">
        <v>66802.97</v>
      </c>
      <c r="G115" s="90">
        <f t="shared" si="3"/>
        <v>3.2519749756041395E-3</v>
      </c>
    </row>
    <row r="116" spans="1:7" x14ac:dyDescent="0.45">
      <c r="A116" s="69" t="s">
        <v>100</v>
      </c>
      <c r="B116" s="86">
        <v>1261187</v>
      </c>
      <c r="C116" s="86">
        <v>681000.39</v>
      </c>
      <c r="D116" s="86">
        <v>580186.61</v>
      </c>
      <c r="E116" s="86">
        <v>87220</v>
      </c>
      <c r="F116" s="86">
        <v>667406.61</v>
      </c>
      <c r="G116" s="90">
        <f t="shared" si="3"/>
        <v>2.1793658342936704E-2</v>
      </c>
    </row>
    <row r="117" spans="1:7" x14ac:dyDescent="0.45">
      <c r="A117" s="69" t="s">
        <v>101</v>
      </c>
      <c r="B117" s="86">
        <v>18435</v>
      </c>
      <c r="C117" s="86">
        <v>18435</v>
      </c>
      <c r="D117" s="86">
        <v>24104.29</v>
      </c>
      <c r="E117" s="86">
        <v>34.96</v>
      </c>
      <c r="F117" s="86">
        <v>-5634.33</v>
      </c>
      <c r="G117" s="90">
        <f t="shared" si="3"/>
        <v>3.1856187191276007E-4</v>
      </c>
    </row>
    <row r="118" spans="1:7" x14ac:dyDescent="0.45">
      <c r="A118" s="69" t="s">
        <v>102</v>
      </c>
      <c r="B118" s="86">
        <v>41024</v>
      </c>
      <c r="C118" s="86">
        <v>24926</v>
      </c>
      <c r="D118" s="86">
        <v>16098</v>
      </c>
      <c r="E118" s="86">
        <v>0</v>
      </c>
      <c r="F118" s="86">
        <v>16098</v>
      </c>
      <c r="G118" s="90">
        <f t="shared" si="3"/>
        <v>7.0890600669102624E-4</v>
      </c>
    </row>
    <row r="119" spans="1:7" x14ac:dyDescent="0.45">
      <c r="A119" s="69" t="s">
        <v>103</v>
      </c>
      <c r="B119" s="86">
        <v>594570</v>
      </c>
      <c r="C119" s="86">
        <v>629261.51</v>
      </c>
      <c r="D119" s="86">
        <v>-34691.51</v>
      </c>
      <c r="E119" s="86">
        <v>48520.56</v>
      </c>
      <c r="F119" s="86">
        <v>13829.05</v>
      </c>
      <c r="G119" s="90">
        <f t="shared" si="3"/>
        <v>1.027433318053538E-2</v>
      </c>
    </row>
    <row r="120" spans="1:7" x14ac:dyDescent="0.45">
      <c r="A120" s="69" t="s">
        <v>104</v>
      </c>
      <c r="B120" s="86">
        <v>259812</v>
      </c>
      <c r="C120" s="86">
        <v>245708.12</v>
      </c>
      <c r="D120" s="86">
        <v>14103.88</v>
      </c>
      <c r="E120" s="86">
        <v>52298.93</v>
      </c>
      <c r="F120" s="86">
        <v>66402.81</v>
      </c>
      <c r="G120" s="90">
        <f t="shared" si="3"/>
        <v>4.4896228405423384E-3</v>
      </c>
    </row>
    <row r="121" spans="1:7" x14ac:dyDescent="0.45">
      <c r="A121" s="69" t="s">
        <v>105</v>
      </c>
      <c r="B121" s="86">
        <v>102447</v>
      </c>
      <c r="C121" s="86">
        <v>130389.25</v>
      </c>
      <c r="D121" s="86">
        <v>-27942.25</v>
      </c>
      <c r="E121" s="86">
        <v>0</v>
      </c>
      <c r="F121" s="86">
        <v>-27942.25</v>
      </c>
      <c r="G121" s="90">
        <f t="shared" si="3"/>
        <v>1.7703123456385423E-3</v>
      </c>
    </row>
    <row r="122" spans="1:7" x14ac:dyDescent="0.45">
      <c r="A122" s="69" t="s">
        <v>106</v>
      </c>
      <c r="B122" s="86">
        <v>4316247</v>
      </c>
      <c r="C122" s="86">
        <v>1173434.06</v>
      </c>
      <c r="D122" s="86">
        <v>3142812.94</v>
      </c>
      <c r="E122" s="86">
        <v>1950054.66</v>
      </c>
      <c r="F122" s="86">
        <v>3819651.02</v>
      </c>
      <c r="G122" s="90">
        <f t="shared" si="3"/>
        <v>7.4585935663565764E-2</v>
      </c>
    </row>
    <row r="123" spans="1:7" x14ac:dyDescent="0.45">
      <c r="A123" s="69" t="s">
        <v>146</v>
      </c>
      <c r="B123" s="86"/>
      <c r="C123" s="86"/>
      <c r="D123" s="86"/>
      <c r="E123" s="86"/>
      <c r="F123" s="86"/>
      <c r="G123" s="90">
        <f t="shared" si="3"/>
        <v>0</v>
      </c>
    </row>
    <row r="124" spans="1:7" x14ac:dyDescent="0.45">
      <c r="A124" s="69" t="s">
        <v>107</v>
      </c>
      <c r="B124" s="86">
        <v>3125120</v>
      </c>
      <c r="C124" s="86">
        <v>2172991.4700000002</v>
      </c>
      <c r="D124" s="86">
        <v>952128.53</v>
      </c>
      <c r="E124" s="86">
        <v>19457.23</v>
      </c>
      <c r="F124" s="86">
        <v>728689.32</v>
      </c>
      <c r="G124" s="90">
        <f t="shared" si="3"/>
        <v>5.4002933395823419E-2</v>
      </c>
    </row>
    <row r="125" spans="1:7" x14ac:dyDescent="0.45">
      <c r="A125" s="75" t="s">
        <v>147</v>
      </c>
      <c r="B125" s="101">
        <f>SUM(B6:B124)</f>
        <v>57869449</v>
      </c>
      <c r="C125" s="101">
        <f t="shared" ref="C125:G125" si="4">SUM(C6:C124)</f>
        <v>34808976.810000002</v>
      </c>
      <c r="D125" s="101">
        <f t="shared" si="4"/>
        <v>23128086.91</v>
      </c>
      <c r="E125" s="101">
        <f t="shared" si="4"/>
        <v>7245562.5800000001</v>
      </c>
      <c r="F125" s="101">
        <f t="shared" si="4"/>
        <v>24969974.940000009</v>
      </c>
      <c r="G125" s="102">
        <f t="shared" si="4"/>
        <v>1</v>
      </c>
    </row>
  </sheetData>
  <mergeCells count="1">
    <mergeCell ref="A1:G1"/>
  </mergeCells>
  <dataValidations count="1">
    <dataValidation type="list" allowBlank="1" showInputMessage="1" showErrorMessage="1" sqref="A3" xr:uid="{00000000-0002-0000-0500-000000000000}">
      <formula1>$A$6:$A$124</formula1>
    </dataValidation>
  </dataValidations>
  <pageMargins left="0.7" right="0.7" top="0.75" bottom="0.75" header="0.3" footer="0.3"/>
  <pageSetup orientation="portrait" horizontalDpi="4294967295" verticalDpi="4294967295" r:id="rId1"/>
  <customProperties>
    <customPr name="LastActive" r:id="rId2"/>
  </customProperties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27"/>
  <sheetViews>
    <sheetView workbookViewId="0">
      <selection activeCell="C14" sqref="C14"/>
    </sheetView>
  </sheetViews>
  <sheetFormatPr defaultRowHeight="12.75" x14ac:dyDescent="0.35"/>
  <cols>
    <col min="1" max="1" width="51.59765625" bestFit="1" customWidth="1"/>
    <col min="2" max="2" width="28.265625" bestFit="1" customWidth="1"/>
    <col min="3" max="3" width="37.86328125" bestFit="1" customWidth="1"/>
    <col min="4" max="4" width="27.3984375" bestFit="1" customWidth="1"/>
    <col min="5" max="5" width="35.86328125" bestFit="1" customWidth="1"/>
    <col min="6" max="6" width="31.73046875" bestFit="1" customWidth="1"/>
    <col min="7" max="7" width="18.3984375" bestFit="1" customWidth="1"/>
    <col min="8" max="8" width="11.265625" bestFit="1" customWidth="1"/>
  </cols>
  <sheetData>
    <row r="1" spans="1:8" ht="23.25" x14ac:dyDescent="0.7">
      <c r="A1" s="170" t="s">
        <v>148</v>
      </c>
      <c r="B1" s="170"/>
      <c r="C1" s="170"/>
      <c r="D1" s="170"/>
      <c r="E1" s="170"/>
      <c r="F1" s="170"/>
      <c r="G1" s="170"/>
    </row>
    <row r="2" spans="1:8" ht="32.25" customHeight="1" x14ac:dyDescent="0.6">
      <c r="A2" s="61" t="s">
        <v>1</v>
      </c>
      <c r="B2" s="62" t="s">
        <v>2</v>
      </c>
      <c r="C2" s="62" t="s">
        <v>3</v>
      </c>
      <c r="D2" s="62" t="s">
        <v>4</v>
      </c>
      <c r="E2" s="62" t="s">
        <v>5</v>
      </c>
      <c r="F2" s="62" t="s">
        <v>6</v>
      </c>
      <c r="G2" s="63" t="s">
        <v>9</v>
      </c>
    </row>
    <row r="3" spans="1:8" ht="20.65" x14ac:dyDescent="0.6">
      <c r="A3" s="64" t="s">
        <v>117</v>
      </c>
      <c r="B3" s="65">
        <f>INDEX(B6:B126,MATCH($A$3,$A$6:$A$126,0))</f>
        <v>118940</v>
      </c>
      <c r="C3" s="92">
        <f t="shared" ref="C3:G3" si="0">INDEX(C6:C126,MATCH($A$3,$A$6:$A$126,0))</f>
        <v>123086.64</v>
      </c>
      <c r="D3" s="92">
        <f t="shared" si="0"/>
        <v>-4146.6400000000003</v>
      </c>
      <c r="E3" s="92">
        <f t="shared" si="0"/>
        <v>59.62</v>
      </c>
      <c r="F3" s="92">
        <f t="shared" si="0"/>
        <v>-4087.02</v>
      </c>
      <c r="G3" s="91">
        <f t="shared" si="0"/>
        <v>1.1756340657396501E-3</v>
      </c>
    </row>
    <row r="5" spans="1:8" ht="15.4" x14ac:dyDescent="0.45">
      <c r="A5" s="82" t="s">
        <v>149</v>
      </c>
      <c r="B5" s="83" t="s">
        <v>2</v>
      </c>
      <c r="C5" s="83" t="s">
        <v>3</v>
      </c>
      <c r="D5" s="83" t="s">
        <v>4</v>
      </c>
      <c r="E5" s="83" t="s">
        <v>5</v>
      </c>
      <c r="F5" s="84" t="s">
        <v>6</v>
      </c>
      <c r="G5" s="83"/>
      <c r="H5" s="79"/>
    </row>
    <row r="6" spans="1:8" ht="15.4" x14ac:dyDescent="0.45">
      <c r="A6" s="85" t="s">
        <v>117</v>
      </c>
      <c r="B6" s="86">
        <v>118940</v>
      </c>
      <c r="C6" s="86">
        <v>123086.64</v>
      </c>
      <c r="D6" s="86">
        <v>-4146.6400000000003</v>
      </c>
      <c r="E6" s="87">
        <v>59.62</v>
      </c>
      <c r="F6" s="88">
        <v>-4087.02</v>
      </c>
      <c r="G6" s="90">
        <f>B6/$B$127</f>
        <v>1.1756340657396501E-3</v>
      </c>
      <c r="H6" s="80"/>
    </row>
    <row r="7" spans="1:8" ht="15.4" x14ac:dyDescent="0.45">
      <c r="A7" s="85" t="s">
        <v>10</v>
      </c>
      <c r="B7" s="86">
        <v>1963402</v>
      </c>
      <c r="C7" s="86">
        <v>932758</v>
      </c>
      <c r="D7" s="86">
        <v>1030644</v>
      </c>
      <c r="E7" s="87">
        <v>0</v>
      </c>
      <c r="F7" s="88">
        <v>1030644</v>
      </c>
      <c r="G7" s="90">
        <f t="shared" ref="G7:G70" si="1">B7/$B$127</f>
        <v>1.9406778845984199E-2</v>
      </c>
      <c r="H7" s="80"/>
    </row>
    <row r="8" spans="1:8" ht="15.4" x14ac:dyDescent="0.45">
      <c r="A8" s="85" t="s">
        <v>11</v>
      </c>
      <c r="B8" s="87"/>
      <c r="C8" s="87"/>
      <c r="D8" s="87"/>
      <c r="E8" s="87"/>
      <c r="F8" s="89"/>
      <c r="G8" s="90">
        <f t="shared" si="1"/>
        <v>0</v>
      </c>
      <c r="H8" s="81"/>
    </row>
    <row r="9" spans="1:8" ht="15.4" x14ac:dyDescent="0.45">
      <c r="A9" s="85" t="s">
        <v>12</v>
      </c>
      <c r="B9" s="86">
        <v>856957</v>
      </c>
      <c r="C9" s="86">
        <v>702401.66</v>
      </c>
      <c r="D9" s="86">
        <v>154555.34</v>
      </c>
      <c r="E9" s="86">
        <v>247258</v>
      </c>
      <c r="F9" s="88">
        <v>301862.34000000003</v>
      </c>
      <c r="G9" s="90">
        <f t="shared" si="1"/>
        <v>8.470387103363489E-3</v>
      </c>
      <c r="H9" s="80"/>
    </row>
    <row r="10" spans="1:8" ht="15.4" x14ac:dyDescent="0.45">
      <c r="A10" s="85" t="s">
        <v>13</v>
      </c>
      <c r="B10" s="86">
        <v>215765</v>
      </c>
      <c r="C10" s="86">
        <v>154334.26</v>
      </c>
      <c r="D10" s="86">
        <v>61430.74</v>
      </c>
      <c r="E10" s="86">
        <v>46686</v>
      </c>
      <c r="F10" s="88">
        <v>81087.56</v>
      </c>
      <c r="G10" s="90">
        <f t="shared" si="1"/>
        <v>2.1326776878620784E-3</v>
      </c>
      <c r="H10" s="80"/>
    </row>
    <row r="11" spans="1:8" ht="15.4" x14ac:dyDescent="0.45">
      <c r="A11" s="85" t="s">
        <v>14</v>
      </c>
      <c r="B11" s="86">
        <v>328126</v>
      </c>
      <c r="C11" s="86">
        <v>585860</v>
      </c>
      <c r="D11" s="86">
        <v>-257734</v>
      </c>
      <c r="E11" s="86">
        <v>5750</v>
      </c>
      <c r="F11" s="88">
        <v>-289311</v>
      </c>
      <c r="G11" s="90">
        <f t="shared" si="1"/>
        <v>3.2432831970311791E-3</v>
      </c>
      <c r="H11" s="80"/>
    </row>
    <row r="12" spans="1:8" ht="15.4" x14ac:dyDescent="0.45">
      <c r="A12" s="85" t="s">
        <v>15</v>
      </c>
      <c r="B12" s="87"/>
      <c r="C12" s="87"/>
      <c r="D12" s="87"/>
      <c r="E12" s="87"/>
      <c r="F12" s="89"/>
      <c r="G12" s="90">
        <f t="shared" si="1"/>
        <v>0</v>
      </c>
      <c r="H12" s="81"/>
    </row>
    <row r="13" spans="1:8" ht="15.4" x14ac:dyDescent="0.45">
      <c r="A13" s="85" t="s">
        <v>16</v>
      </c>
      <c r="B13" s="86">
        <v>2704265</v>
      </c>
      <c r="C13" s="86">
        <v>1612106.62</v>
      </c>
      <c r="D13" s="86">
        <v>1092158.3799999999</v>
      </c>
      <c r="E13" s="86">
        <v>676043.68</v>
      </c>
      <c r="F13" s="88">
        <v>1326151.53</v>
      </c>
      <c r="G13" s="90">
        <f t="shared" si="1"/>
        <v>2.6729662491907138E-2</v>
      </c>
      <c r="H13" s="80"/>
    </row>
    <row r="14" spans="1:8" ht="15.4" x14ac:dyDescent="0.45">
      <c r="A14" s="85" t="s">
        <v>17</v>
      </c>
      <c r="B14" s="86">
        <v>413685</v>
      </c>
      <c r="C14" s="86">
        <v>270182.45</v>
      </c>
      <c r="D14" s="86">
        <v>143502.54999999999</v>
      </c>
      <c r="E14" s="87">
        <v>0</v>
      </c>
      <c r="F14" s="88">
        <v>143502.54999999999</v>
      </c>
      <c r="G14" s="90">
        <f t="shared" si="1"/>
        <v>4.0889707288171108E-3</v>
      </c>
      <c r="H14" s="80"/>
    </row>
    <row r="15" spans="1:8" ht="15.4" x14ac:dyDescent="0.45">
      <c r="A15" s="85" t="s">
        <v>18</v>
      </c>
      <c r="B15" s="87"/>
      <c r="C15" s="87"/>
      <c r="D15" s="87"/>
      <c r="E15" s="87"/>
      <c r="F15" s="89"/>
      <c r="G15" s="90">
        <f t="shared" si="1"/>
        <v>0</v>
      </c>
      <c r="H15" s="81"/>
    </row>
    <row r="16" spans="1:8" ht="15.4" x14ac:dyDescent="0.45">
      <c r="A16" s="85" t="s">
        <v>19</v>
      </c>
      <c r="B16" s="86">
        <v>231612</v>
      </c>
      <c r="C16" s="86">
        <v>363141.63</v>
      </c>
      <c r="D16" s="86">
        <v>-131529.63</v>
      </c>
      <c r="E16" s="87">
        <v>0</v>
      </c>
      <c r="F16" s="88">
        <v>-131529.63</v>
      </c>
      <c r="G16" s="90">
        <f t="shared" si="1"/>
        <v>2.2893135802429109E-3</v>
      </c>
      <c r="H16" s="80"/>
    </row>
    <row r="17" spans="1:8" ht="15.4" x14ac:dyDescent="0.45">
      <c r="A17" s="85" t="s">
        <v>20</v>
      </c>
      <c r="B17" s="86">
        <v>449463</v>
      </c>
      <c r="C17" s="86">
        <v>252654.37</v>
      </c>
      <c r="D17" s="86">
        <v>196808.63</v>
      </c>
      <c r="E17" s="86">
        <v>27665.58</v>
      </c>
      <c r="F17" s="88">
        <v>224474.21</v>
      </c>
      <c r="G17" s="90">
        <f t="shared" si="1"/>
        <v>4.4426098376453707E-3</v>
      </c>
      <c r="H17" s="80"/>
    </row>
    <row r="18" spans="1:8" ht="15.4" x14ac:dyDescent="0.45">
      <c r="A18" s="85" t="s">
        <v>21</v>
      </c>
      <c r="B18" s="86">
        <v>666053</v>
      </c>
      <c r="C18" s="86">
        <v>523500</v>
      </c>
      <c r="D18" s="86">
        <v>142553</v>
      </c>
      <c r="E18" s="86">
        <v>58107</v>
      </c>
      <c r="F18" s="88">
        <v>97815</v>
      </c>
      <c r="G18" s="90">
        <f t="shared" si="1"/>
        <v>6.58344204126527E-3</v>
      </c>
      <c r="H18" s="80"/>
    </row>
    <row r="19" spans="1:8" ht="15.4" x14ac:dyDescent="0.45">
      <c r="A19" s="85" t="s">
        <v>134</v>
      </c>
      <c r="B19" s="86">
        <v>270783</v>
      </c>
      <c r="C19" s="86">
        <v>168330.8</v>
      </c>
      <c r="D19" s="86">
        <v>102452.2</v>
      </c>
      <c r="E19" s="87">
        <v>0</v>
      </c>
      <c r="F19" s="88">
        <v>76839.199999999997</v>
      </c>
      <c r="G19" s="90">
        <f t="shared" si="1"/>
        <v>2.676489988424245E-3</v>
      </c>
      <c r="H19" s="80"/>
    </row>
    <row r="20" spans="1:8" ht="15.4" x14ac:dyDescent="0.45">
      <c r="A20" s="85" t="s">
        <v>22</v>
      </c>
      <c r="B20" s="86">
        <v>52973</v>
      </c>
      <c r="C20" s="86">
        <v>62566.54</v>
      </c>
      <c r="D20" s="86">
        <v>-9593.5400000000009</v>
      </c>
      <c r="E20" s="86">
        <v>24649.42</v>
      </c>
      <c r="F20" s="88">
        <v>15055.88</v>
      </c>
      <c r="G20" s="90">
        <f t="shared" si="1"/>
        <v>5.2359898574429534E-4</v>
      </c>
      <c r="H20" s="80"/>
    </row>
    <row r="21" spans="1:8" ht="15.4" x14ac:dyDescent="0.45">
      <c r="A21" s="85" t="s">
        <v>135</v>
      </c>
      <c r="B21" s="86">
        <v>20070</v>
      </c>
      <c r="C21" s="86">
        <v>73732.95</v>
      </c>
      <c r="D21" s="86">
        <v>-53662.95</v>
      </c>
      <c r="E21" s="86">
        <v>25802.87</v>
      </c>
      <c r="F21" s="88">
        <v>-27860.080000000002</v>
      </c>
      <c r="G21" s="90">
        <f t="shared" si="1"/>
        <v>1.9837712879935076E-4</v>
      </c>
      <c r="H21" s="80"/>
    </row>
    <row r="22" spans="1:8" ht="15.4" x14ac:dyDescent="0.45">
      <c r="A22" s="85" t="s">
        <v>23</v>
      </c>
      <c r="B22" s="86">
        <v>602451</v>
      </c>
      <c r="C22" s="86">
        <v>601890.19999999995</v>
      </c>
      <c r="D22" s="87">
        <v>560.79999999999995</v>
      </c>
      <c r="E22" s="86">
        <v>87035</v>
      </c>
      <c r="F22" s="88">
        <v>87595.8</v>
      </c>
      <c r="G22" s="90">
        <f t="shared" si="1"/>
        <v>5.954783239775668E-3</v>
      </c>
      <c r="H22" s="80"/>
    </row>
    <row r="23" spans="1:8" ht="15.4" x14ac:dyDescent="0.45">
      <c r="A23" s="85" t="s">
        <v>24</v>
      </c>
      <c r="B23" s="86">
        <v>3720443</v>
      </c>
      <c r="C23" s="86">
        <v>3036883.98</v>
      </c>
      <c r="D23" s="86">
        <v>683559.02</v>
      </c>
      <c r="E23" s="86">
        <v>60213.59</v>
      </c>
      <c r="F23" s="88">
        <v>539176.39</v>
      </c>
      <c r="G23" s="90">
        <f t="shared" si="1"/>
        <v>3.6773831599483948E-2</v>
      </c>
      <c r="H23" s="80"/>
    </row>
    <row r="24" spans="1:8" ht="15.4" x14ac:dyDescent="0.45">
      <c r="A24" s="85" t="s">
        <v>136</v>
      </c>
      <c r="B24" s="87"/>
      <c r="C24" s="87"/>
      <c r="D24" s="87"/>
      <c r="E24" s="87"/>
      <c r="F24" s="89"/>
      <c r="G24" s="90">
        <f t="shared" si="1"/>
        <v>0</v>
      </c>
      <c r="H24" s="81"/>
    </row>
    <row r="25" spans="1:8" ht="15.4" x14ac:dyDescent="0.45">
      <c r="A25" s="85" t="s">
        <v>25</v>
      </c>
      <c r="B25" s="86">
        <v>178625</v>
      </c>
      <c r="C25" s="86">
        <v>261317</v>
      </c>
      <c r="D25" s="86">
        <v>-82692</v>
      </c>
      <c r="E25" s="86">
        <v>10895</v>
      </c>
      <c r="F25" s="88">
        <v>-71797</v>
      </c>
      <c r="G25" s="90">
        <f t="shared" si="1"/>
        <v>1.7655762148372708E-3</v>
      </c>
      <c r="H25" s="80"/>
    </row>
    <row r="26" spans="1:8" ht="15.4" x14ac:dyDescent="0.45">
      <c r="A26" s="85" t="s">
        <v>26</v>
      </c>
      <c r="B26" s="86">
        <v>17615</v>
      </c>
      <c r="C26" s="86">
        <v>34770.199999999997</v>
      </c>
      <c r="D26" s="86">
        <v>-17155.2</v>
      </c>
      <c r="E26" s="86">
        <v>11114.95</v>
      </c>
      <c r="F26" s="88">
        <v>-6040.25</v>
      </c>
      <c r="G26" s="90">
        <f t="shared" si="1"/>
        <v>1.7411126675638083E-4</v>
      </c>
      <c r="H26" s="80"/>
    </row>
    <row r="27" spans="1:8" ht="15.4" x14ac:dyDescent="0.45">
      <c r="A27" s="85" t="s">
        <v>27</v>
      </c>
      <c r="B27" s="86">
        <v>103917</v>
      </c>
      <c r="C27" s="86">
        <v>88552.48</v>
      </c>
      <c r="D27" s="86">
        <v>15364.52</v>
      </c>
      <c r="E27" s="86">
        <v>39595.730000000003</v>
      </c>
      <c r="F27" s="88">
        <v>50621.48</v>
      </c>
      <c r="G27" s="90">
        <f t="shared" si="1"/>
        <v>1.0271428048551137E-3</v>
      </c>
      <c r="H27" s="80"/>
    </row>
    <row r="28" spans="1:8" ht="15.4" x14ac:dyDescent="0.45">
      <c r="A28" s="85" t="s">
        <v>118</v>
      </c>
      <c r="B28" s="86">
        <v>66021</v>
      </c>
      <c r="C28" s="86">
        <v>73697.149999999994</v>
      </c>
      <c r="D28" s="86">
        <v>-7676.15</v>
      </c>
      <c r="E28" s="86">
        <v>15225</v>
      </c>
      <c r="F28" s="88">
        <v>7548.85</v>
      </c>
      <c r="G28" s="90">
        <f t="shared" si="1"/>
        <v>6.5256883011768484E-4</v>
      </c>
      <c r="H28" s="80"/>
    </row>
    <row r="29" spans="1:8" ht="15.4" x14ac:dyDescent="0.45">
      <c r="A29" s="85" t="s">
        <v>28</v>
      </c>
      <c r="B29" s="86">
        <v>843453</v>
      </c>
      <c r="C29" s="86">
        <v>528417</v>
      </c>
      <c r="D29" s="86">
        <v>315036</v>
      </c>
      <c r="E29" s="87">
        <v>0</v>
      </c>
      <c r="F29" s="88">
        <v>315036</v>
      </c>
      <c r="G29" s="90">
        <f t="shared" si="1"/>
        <v>8.3369100357348676E-3</v>
      </c>
      <c r="H29" s="80"/>
    </row>
    <row r="30" spans="1:8" ht="15.4" x14ac:dyDescent="0.45">
      <c r="A30" s="85" t="s">
        <v>8</v>
      </c>
      <c r="B30" s="86">
        <v>74921</v>
      </c>
      <c r="C30" s="86">
        <v>135879</v>
      </c>
      <c r="D30" s="86">
        <v>-60958</v>
      </c>
      <c r="E30" s="87">
        <v>0</v>
      </c>
      <c r="F30" s="88">
        <v>-60958</v>
      </c>
      <c r="G30" s="90">
        <f t="shared" si="1"/>
        <v>7.4053875768690367E-4</v>
      </c>
      <c r="H30" s="80"/>
    </row>
    <row r="31" spans="1:8" ht="15.4" x14ac:dyDescent="0.45">
      <c r="A31" s="85" t="s">
        <v>29</v>
      </c>
      <c r="B31" s="87"/>
      <c r="C31" s="87"/>
      <c r="D31" s="87"/>
      <c r="E31" s="87"/>
      <c r="F31" s="89"/>
      <c r="G31" s="90">
        <f t="shared" si="1"/>
        <v>0</v>
      </c>
      <c r="H31" s="81"/>
    </row>
    <row r="32" spans="1:8" ht="15.4" x14ac:dyDescent="0.45">
      <c r="A32" s="85" t="s">
        <v>30</v>
      </c>
      <c r="B32" s="86">
        <v>271081</v>
      </c>
      <c r="C32" s="86">
        <v>258954</v>
      </c>
      <c r="D32" s="86">
        <v>12127</v>
      </c>
      <c r="E32" s="87">
        <v>0</v>
      </c>
      <c r="F32" s="88">
        <v>9095</v>
      </c>
      <c r="G32" s="90">
        <f t="shared" si="1"/>
        <v>2.6794354983585848E-3</v>
      </c>
      <c r="H32" s="80"/>
    </row>
    <row r="33" spans="1:8" ht="15.4" x14ac:dyDescent="0.45">
      <c r="A33" s="85" t="s">
        <v>31</v>
      </c>
      <c r="B33" s="86">
        <v>243330</v>
      </c>
      <c r="C33" s="86">
        <v>304537.57</v>
      </c>
      <c r="D33" s="86">
        <v>-61207.57</v>
      </c>
      <c r="E33" s="87">
        <v>0</v>
      </c>
      <c r="F33" s="88">
        <v>-61207.57</v>
      </c>
      <c r="G33" s="90">
        <f t="shared" si="1"/>
        <v>2.4051373567885409E-3</v>
      </c>
      <c r="H33" s="80"/>
    </row>
    <row r="34" spans="1:8" ht="15.4" x14ac:dyDescent="0.45">
      <c r="A34" s="85" t="s">
        <v>32</v>
      </c>
      <c r="B34" s="86">
        <v>75025</v>
      </c>
      <c r="C34" s="86">
        <v>195516</v>
      </c>
      <c r="D34" s="86">
        <v>-120491</v>
      </c>
      <c r="E34" s="86">
        <v>38338</v>
      </c>
      <c r="F34" s="88">
        <v>-82153</v>
      </c>
      <c r="G34" s="90">
        <f t="shared" si="1"/>
        <v>7.415667208854654E-4</v>
      </c>
      <c r="H34" s="80"/>
    </row>
    <row r="35" spans="1:8" ht="15.4" x14ac:dyDescent="0.45">
      <c r="A35" s="85" t="s">
        <v>33</v>
      </c>
      <c r="B35" s="86">
        <v>65138</v>
      </c>
      <c r="C35" s="86">
        <v>72652.05</v>
      </c>
      <c r="D35" s="86">
        <v>-7514.05</v>
      </c>
      <c r="E35" s="87">
        <v>0</v>
      </c>
      <c r="F35" s="88">
        <v>-7514.05</v>
      </c>
      <c r="G35" s="90">
        <f t="shared" si="1"/>
        <v>6.4384102719143544E-4</v>
      </c>
      <c r="H35" s="80"/>
    </row>
    <row r="36" spans="1:8" ht="15.4" x14ac:dyDescent="0.45">
      <c r="A36" s="85" t="s">
        <v>34</v>
      </c>
      <c r="B36" s="86">
        <v>44356</v>
      </c>
      <c r="C36" s="86">
        <v>36560.22</v>
      </c>
      <c r="D36" s="86">
        <v>7795.78</v>
      </c>
      <c r="E36" s="87">
        <v>0</v>
      </c>
      <c r="F36" s="88">
        <v>7795.78</v>
      </c>
      <c r="G36" s="90">
        <f t="shared" si="1"/>
        <v>4.3842630418654716E-4</v>
      </c>
      <c r="H36" s="80"/>
    </row>
    <row r="37" spans="1:8" ht="15.4" x14ac:dyDescent="0.45">
      <c r="A37" s="85" t="s">
        <v>35</v>
      </c>
      <c r="B37" s="86">
        <v>426961</v>
      </c>
      <c r="C37" s="86">
        <v>475120</v>
      </c>
      <c r="D37" s="86">
        <v>-48159</v>
      </c>
      <c r="E37" s="86">
        <v>58281</v>
      </c>
      <c r="F37" s="88">
        <v>7591.5</v>
      </c>
      <c r="G37" s="90">
        <f t="shared" si="1"/>
        <v>4.2201941848181166E-3</v>
      </c>
      <c r="H37" s="80"/>
    </row>
    <row r="38" spans="1:8" ht="15.4" x14ac:dyDescent="0.45">
      <c r="A38" s="85" t="s">
        <v>36</v>
      </c>
      <c r="B38" s="86">
        <v>591353</v>
      </c>
      <c r="C38" s="86">
        <v>449413</v>
      </c>
      <c r="D38" s="86">
        <v>141940</v>
      </c>
      <c r="E38" s="87">
        <v>61</v>
      </c>
      <c r="F38" s="88">
        <v>106501</v>
      </c>
      <c r="G38" s="90">
        <f t="shared" si="1"/>
        <v>5.8450877053753099E-3</v>
      </c>
      <c r="H38" s="80"/>
    </row>
    <row r="39" spans="1:8" ht="15.4" x14ac:dyDescent="0.45">
      <c r="A39" s="85" t="s">
        <v>37</v>
      </c>
      <c r="B39" s="86">
        <v>213107</v>
      </c>
      <c r="C39" s="86">
        <v>138864</v>
      </c>
      <c r="D39" s="86">
        <v>74243</v>
      </c>
      <c r="E39" s="87">
        <v>0</v>
      </c>
      <c r="F39" s="88">
        <v>74243</v>
      </c>
      <c r="G39" s="90">
        <f t="shared" si="1"/>
        <v>2.1064053207296082E-3</v>
      </c>
      <c r="H39" s="80"/>
    </row>
    <row r="40" spans="1:8" ht="15.4" x14ac:dyDescent="0.45">
      <c r="A40" s="85" t="s">
        <v>119</v>
      </c>
      <c r="B40" s="87"/>
      <c r="C40" s="87"/>
      <c r="D40" s="87"/>
      <c r="E40" s="87"/>
      <c r="F40" s="89"/>
      <c r="G40" s="90">
        <f t="shared" si="1"/>
        <v>0</v>
      </c>
      <c r="H40" s="81"/>
    </row>
    <row r="41" spans="1:8" ht="15.4" x14ac:dyDescent="0.45">
      <c r="A41" s="85" t="s">
        <v>38</v>
      </c>
      <c r="B41" s="87"/>
      <c r="C41" s="87"/>
      <c r="D41" s="87"/>
      <c r="E41" s="87"/>
      <c r="F41" s="89"/>
      <c r="G41" s="90">
        <f t="shared" si="1"/>
        <v>0</v>
      </c>
      <c r="H41" s="81"/>
    </row>
    <row r="42" spans="1:8" ht="15.4" x14ac:dyDescent="0.45">
      <c r="A42" s="85" t="s">
        <v>39</v>
      </c>
      <c r="B42" s="86">
        <v>7726172</v>
      </c>
      <c r="C42" s="86">
        <v>4372332</v>
      </c>
      <c r="D42" s="86">
        <v>3353840</v>
      </c>
      <c r="E42" s="86">
        <v>1217936</v>
      </c>
      <c r="F42" s="88">
        <v>3380572</v>
      </c>
      <c r="G42" s="90">
        <f t="shared" si="1"/>
        <v>7.6367504632283881E-2</v>
      </c>
      <c r="H42" s="80"/>
    </row>
    <row r="43" spans="1:8" ht="15.4" x14ac:dyDescent="0.45">
      <c r="A43" s="85" t="s">
        <v>120</v>
      </c>
      <c r="B43" s="87"/>
      <c r="C43" s="87"/>
      <c r="D43" s="87"/>
      <c r="E43" s="87"/>
      <c r="F43" s="89"/>
      <c r="G43" s="90">
        <f t="shared" si="1"/>
        <v>0</v>
      </c>
      <c r="H43" s="81"/>
    </row>
    <row r="44" spans="1:8" ht="15.4" x14ac:dyDescent="0.45">
      <c r="A44" s="85" t="s">
        <v>40</v>
      </c>
      <c r="B44" s="86">
        <v>162863</v>
      </c>
      <c r="C44" s="86">
        <v>85243.520000000004</v>
      </c>
      <c r="D44" s="86">
        <v>77619.48</v>
      </c>
      <c r="E44" s="86">
        <v>19481.88</v>
      </c>
      <c r="F44" s="88">
        <v>97101.36</v>
      </c>
      <c r="G44" s="90">
        <f t="shared" si="1"/>
        <v>1.6097804846860319E-3</v>
      </c>
      <c r="H44" s="80"/>
    </row>
    <row r="45" spans="1:8" ht="15.4" x14ac:dyDescent="0.45">
      <c r="A45" s="85" t="s">
        <v>41</v>
      </c>
      <c r="B45" s="86">
        <v>97639</v>
      </c>
      <c r="C45" s="86">
        <v>163508.93</v>
      </c>
      <c r="D45" s="86">
        <v>-65869.929999999993</v>
      </c>
      <c r="E45" s="87">
        <v>172</v>
      </c>
      <c r="F45" s="88">
        <v>-65697.929999999993</v>
      </c>
      <c r="G45" s="90">
        <f t="shared" si="1"/>
        <v>9.6508941100347824E-4</v>
      </c>
      <c r="H45" s="80"/>
    </row>
    <row r="46" spans="1:8" ht="15.4" x14ac:dyDescent="0.45">
      <c r="A46" s="85" t="s">
        <v>121</v>
      </c>
      <c r="B46" s="86">
        <v>1592143</v>
      </c>
      <c r="C46" s="86">
        <v>1295854.01</v>
      </c>
      <c r="D46" s="86">
        <v>296288.99</v>
      </c>
      <c r="E46" s="86">
        <v>103480.32000000001</v>
      </c>
      <c r="F46" s="88">
        <v>299827.31</v>
      </c>
      <c r="G46" s="90">
        <f t="shared" si="1"/>
        <v>1.5737157796611095E-2</v>
      </c>
      <c r="H46" s="80"/>
    </row>
    <row r="47" spans="1:8" ht="15.4" x14ac:dyDescent="0.45">
      <c r="A47" s="85" t="s">
        <v>43</v>
      </c>
      <c r="B47" s="86">
        <v>1353290</v>
      </c>
      <c r="C47" s="86">
        <v>1246629.67</v>
      </c>
      <c r="D47" s="86">
        <v>106660.33</v>
      </c>
      <c r="E47" s="86">
        <v>2252.5100000000002</v>
      </c>
      <c r="F47" s="88">
        <v>81684.63</v>
      </c>
      <c r="G47" s="90">
        <f t="shared" si="1"/>
        <v>1.337627227866833E-2</v>
      </c>
      <c r="H47" s="80"/>
    </row>
    <row r="48" spans="1:8" ht="15.4" x14ac:dyDescent="0.45">
      <c r="A48" s="85" t="s">
        <v>44</v>
      </c>
      <c r="B48" s="86">
        <v>123541</v>
      </c>
      <c r="C48" s="87">
        <v>0</v>
      </c>
      <c r="D48" s="86">
        <v>123541</v>
      </c>
      <c r="E48" s="87">
        <v>0</v>
      </c>
      <c r="F48" s="88">
        <v>123541</v>
      </c>
      <c r="G48" s="90">
        <f t="shared" si="1"/>
        <v>1.2211115530144788E-3</v>
      </c>
      <c r="H48" s="80"/>
    </row>
    <row r="49" spans="1:8" ht="15.4" x14ac:dyDescent="0.45">
      <c r="A49" s="85" t="s">
        <v>45</v>
      </c>
      <c r="B49" s="87"/>
      <c r="C49" s="87"/>
      <c r="D49" s="87"/>
      <c r="E49" s="87"/>
      <c r="F49" s="89"/>
      <c r="G49" s="90">
        <f t="shared" si="1"/>
        <v>0</v>
      </c>
      <c r="H49" s="81"/>
    </row>
    <row r="50" spans="1:8" ht="15.4" x14ac:dyDescent="0.45">
      <c r="A50" s="85" t="s">
        <v>137</v>
      </c>
      <c r="B50" s="87"/>
      <c r="C50" s="87"/>
      <c r="D50" s="87"/>
      <c r="E50" s="87"/>
      <c r="F50" s="89"/>
      <c r="G50" s="90">
        <f t="shared" si="1"/>
        <v>0</v>
      </c>
      <c r="H50" s="81"/>
    </row>
    <row r="51" spans="1:8" ht="15.4" x14ac:dyDescent="0.45">
      <c r="A51" s="85" t="s">
        <v>46</v>
      </c>
      <c r="B51" s="86">
        <v>302277</v>
      </c>
      <c r="C51" s="86">
        <v>424242.33</v>
      </c>
      <c r="D51" s="86">
        <v>-121965.33</v>
      </c>
      <c r="E51" s="86">
        <v>122040.02</v>
      </c>
      <c r="F51" s="88">
        <v>-4639.3100000000004</v>
      </c>
      <c r="G51" s="90">
        <f t="shared" si="1"/>
        <v>2.9877849208809837E-3</v>
      </c>
      <c r="H51" s="80"/>
    </row>
    <row r="52" spans="1:8" ht="15.4" x14ac:dyDescent="0.45">
      <c r="A52" s="85" t="s">
        <v>47</v>
      </c>
      <c r="B52" s="87"/>
      <c r="C52" s="87"/>
      <c r="D52" s="87"/>
      <c r="E52" s="87"/>
      <c r="F52" s="89"/>
      <c r="G52" s="90">
        <f t="shared" si="1"/>
        <v>0</v>
      </c>
      <c r="H52" s="81"/>
    </row>
    <row r="53" spans="1:8" ht="15.4" x14ac:dyDescent="0.45">
      <c r="A53" s="85" t="s">
        <v>48</v>
      </c>
      <c r="B53" s="86">
        <v>111132</v>
      </c>
      <c r="C53" s="86">
        <v>94355</v>
      </c>
      <c r="D53" s="86">
        <v>16777</v>
      </c>
      <c r="E53" s="86">
        <v>95860</v>
      </c>
      <c r="F53" s="88">
        <v>112637</v>
      </c>
      <c r="G53" s="90">
        <f t="shared" si="1"/>
        <v>1.0984577517553287E-3</v>
      </c>
      <c r="H53" s="80"/>
    </row>
    <row r="54" spans="1:8" ht="15.4" x14ac:dyDescent="0.45">
      <c r="A54" s="85" t="s">
        <v>49</v>
      </c>
      <c r="B54" s="87"/>
      <c r="C54" s="87"/>
      <c r="D54" s="87"/>
      <c r="E54" s="87"/>
      <c r="F54" s="89"/>
      <c r="G54" s="90">
        <f t="shared" si="1"/>
        <v>0</v>
      </c>
      <c r="H54" s="81"/>
    </row>
    <row r="55" spans="1:8" ht="15.4" x14ac:dyDescent="0.45">
      <c r="A55" s="85" t="s">
        <v>50</v>
      </c>
      <c r="B55" s="86">
        <v>772865</v>
      </c>
      <c r="C55" s="86">
        <v>568926</v>
      </c>
      <c r="D55" s="86">
        <v>203939</v>
      </c>
      <c r="E55" s="86">
        <v>136590</v>
      </c>
      <c r="F55" s="88">
        <v>258397</v>
      </c>
      <c r="G55" s="90">
        <f t="shared" si="1"/>
        <v>7.6391997832341912E-3</v>
      </c>
      <c r="H55" s="80"/>
    </row>
    <row r="56" spans="1:8" ht="15.4" x14ac:dyDescent="0.45">
      <c r="A56" s="85" t="s">
        <v>123</v>
      </c>
      <c r="B56" s="87"/>
      <c r="C56" s="87"/>
      <c r="D56" s="87"/>
      <c r="E56" s="87"/>
      <c r="F56" s="89"/>
      <c r="G56" s="90">
        <f t="shared" si="1"/>
        <v>0</v>
      </c>
      <c r="H56" s="81"/>
    </row>
    <row r="57" spans="1:8" ht="15.4" x14ac:dyDescent="0.45">
      <c r="A57" s="85" t="s">
        <v>51</v>
      </c>
      <c r="B57" s="86">
        <v>302547</v>
      </c>
      <c r="C57" s="86">
        <v>222739</v>
      </c>
      <c r="D57" s="86">
        <v>79808</v>
      </c>
      <c r="E57" s="86">
        <v>36753</v>
      </c>
      <c r="F57" s="88">
        <v>116561</v>
      </c>
      <c r="G57" s="90">
        <f t="shared" si="1"/>
        <v>2.9904536714926342E-3</v>
      </c>
      <c r="H57" s="80"/>
    </row>
    <row r="58" spans="1:8" ht="15.4" x14ac:dyDescent="0.45">
      <c r="A58" s="85" t="s">
        <v>138</v>
      </c>
      <c r="B58" s="87"/>
      <c r="C58" s="87"/>
      <c r="D58" s="87"/>
      <c r="E58" s="87"/>
      <c r="F58" s="89"/>
      <c r="G58" s="90">
        <f t="shared" si="1"/>
        <v>0</v>
      </c>
      <c r="H58" s="81"/>
    </row>
    <row r="59" spans="1:8" ht="15.4" x14ac:dyDescent="0.45">
      <c r="A59" s="85" t="s">
        <v>52</v>
      </c>
      <c r="B59" s="86">
        <v>4686212</v>
      </c>
      <c r="C59" s="86">
        <v>3532290.81</v>
      </c>
      <c r="D59" s="86">
        <v>1153921.19</v>
      </c>
      <c r="E59" s="87">
        <v>0</v>
      </c>
      <c r="F59" s="88">
        <v>865440.89</v>
      </c>
      <c r="G59" s="90">
        <f t="shared" si="1"/>
        <v>4.6319744967865624E-2</v>
      </c>
      <c r="H59" s="80"/>
    </row>
    <row r="60" spans="1:8" ht="15.4" x14ac:dyDescent="0.45">
      <c r="A60" s="85" t="s">
        <v>53</v>
      </c>
      <c r="B60" s="87"/>
      <c r="C60" s="87"/>
      <c r="D60" s="87"/>
      <c r="E60" s="87"/>
      <c r="F60" s="89"/>
      <c r="G60" s="90">
        <f t="shared" si="1"/>
        <v>0</v>
      </c>
      <c r="H60" s="81"/>
    </row>
    <row r="61" spans="1:8" ht="15.4" x14ac:dyDescent="0.45">
      <c r="A61" s="85" t="s">
        <v>54</v>
      </c>
      <c r="B61" s="86">
        <v>1194396</v>
      </c>
      <c r="C61" s="86">
        <v>437604</v>
      </c>
      <c r="D61" s="86">
        <v>756792</v>
      </c>
      <c r="E61" s="86">
        <v>84893</v>
      </c>
      <c r="F61" s="88">
        <v>841685</v>
      </c>
      <c r="G61" s="90">
        <f t="shared" si="1"/>
        <v>1.1805722427973559E-2</v>
      </c>
      <c r="H61" s="80"/>
    </row>
    <row r="62" spans="1:8" ht="15.4" x14ac:dyDescent="0.45">
      <c r="A62" s="85" t="s">
        <v>55</v>
      </c>
      <c r="B62" s="86">
        <v>49507</v>
      </c>
      <c r="C62" s="86">
        <v>100713.06</v>
      </c>
      <c r="D62" s="86">
        <v>-51206.06</v>
      </c>
      <c r="E62" s="87">
        <v>271</v>
      </c>
      <c r="F62" s="88">
        <v>-50935.06</v>
      </c>
      <c r="G62" s="90">
        <f t="shared" si="1"/>
        <v>4.8934013529992318E-4</v>
      </c>
      <c r="H62" s="80"/>
    </row>
    <row r="63" spans="1:8" ht="15.4" x14ac:dyDescent="0.45">
      <c r="A63" s="85" t="s">
        <v>56</v>
      </c>
      <c r="B63" s="86">
        <v>297926</v>
      </c>
      <c r="C63" s="86">
        <v>268602</v>
      </c>
      <c r="D63" s="86">
        <v>29324</v>
      </c>
      <c r="E63" s="86">
        <v>1934</v>
      </c>
      <c r="F63" s="88">
        <v>23443</v>
      </c>
      <c r="G63" s="90">
        <f t="shared" si="1"/>
        <v>2.9447784989873127E-3</v>
      </c>
      <c r="H63" s="80"/>
    </row>
    <row r="64" spans="1:8" ht="15.4" x14ac:dyDescent="0.45">
      <c r="A64" s="85" t="s">
        <v>57</v>
      </c>
      <c r="B64" s="86">
        <v>1167353</v>
      </c>
      <c r="C64" s="86">
        <v>1062487.8799999999</v>
      </c>
      <c r="D64" s="86">
        <v>104865.12</v>
      </c>
      <c r="E64" s="86">
        <v>358569</v>
      </c>
      <c r="F64" s="88">
        <v>359006.12</v>
      </c>
      <c r="G64" s="90">
        <f t="shared" si="1"/>
        <v>1.1538422343562954E-2</v>
      </c>
      <c r="H64" s="80"/>
    </row>
    <row r="65" spans="1:8" ht="15.4" x14ac:dyDescent="0.45">
      <c r="A65" s="85" t="s">
        <v>58</v>
      </c>
      <c r="B65" s="87"/>
      <c r="C65" s="87"/>
      <c r="D65" s="87"/>
      <c r="E65" s="87"/>
      <c r="F65" s="89"/>
      <c r="G65" s="90">
        <f t="shared" si="1"/>
        <v>0</v>
      </c>
      <c r="H65" s="81"/>
    </row>
    <row r="66" spans="1:8" ht="15.4" x14ac:dyDescent="0.45">
      <c r="A66" s="85" t="s">
        <v>60</v>
      </c>
      <c r="B66" s="86">
        <v>4295559</v>
      </c>
      <c r="C66" s="86">
        <v>1956524.4</v>
      </c>
      <c r="D66" s="86">
        <v>2339034.6</v>
      </c>
      <c r="E66" s="86">
        <v>627297.68000000005</v>
      </c>
      <c r="F66" s="88">
        <v>2966332.28</v>
      </c>
      <c r="G66" s="90">
        <f t="shared" si="1"/>
        <v>4.2458428550483825E-2</v>
      </c>
      <c r="H66" s="80"/>
    </row>
    <row r="67" spans="1:8" ht="15.4" x14ac:dyDescent="0.45">
      <c r="A67" s="85" t="s">
        <v>61</v>
      </c>
      <c r="B67" s="86">
        <v>310122</v>
      </c>
      <c r="C67" s="86">
        <v>225800.66</v>
      </c>
      <c r="D67" s="86">
        <v>84321.34</v>
      </c>
      <c r="E67" s="86">
        <v>94195.54</v>
      </c>
      <c r="F67" s="88">
        <v>133888</v>
      </c>
      <c r="G67" s="90">
        <f t="shared" si="1"/>
        <v>3.0653269525417167E-3</v>
      </c>
      <c r="H67" s="80"/>
    </row>
    <row r="68" spans="1:8" ht="15.4" x14ac:dyDescent="0.45">
      <c r="A68" s="85" t="s">
        <v>62</v>
      </c>
      <c r="B68" s="86">
        <v>296014</v>
      </c>
      <c r="C68" s="86">
        <v>168682</v>
      </c>
      <c r="D68" s="86">
        <v>127332</v>
      </c>
      <c r="E68" s="86">
        <v>25377</v>
      </c>
      <c r="F68" s="88">
        <v>114532</v>
      </c>
      <c r="G68" s="90">
        <f t="shared" si="1"/>
        <v>2.9258797909522179E-3</v>
      </c>
      <c r="H68" s="80"/>
    </row>
    <row r="69" spans="1:8" ht="15.4" x14ac:dyDescent="0.45">
      <c r="A69" s="85" t="s">
        <v>63</v>
      </c>
      <c r="B69" s="86">
        <v>719363</v>
      </c>
      <c r="C69" s="86">
        <v>480092.07</v>
      </c>
      <c r="D69" s="86">
        <v>239270.93</v>
      </c>
      <c r="E69" s="86">
        <v>35204.550000000003</v>
      </c>
      <c r="F69" s="88">
        <v>205856.66</v>
      </c>
      <c r="G69" s="90">
        <f t="shared" si="1"/>
        <v>7.1103720231433659E-3</v>
      </c>
      <c r="H69" s="80"/>
    </row>
    <row r="70" spans="1:8" ht="15.4" x14ac:dyDescent="0.45">
      <c r="A70" s="85" t="s">
        <v>64</v>
      </c>
      <c r="B70" s="86">
        <v>263575</v>
      </c>
      <c r="C70" s="86">
        <v>93746.64</v>
      </c>
      <c r="D70" s="86">
        <v>169828.36</v>
      </c>
      <c r="E70" s="86">
        <v>64026</v>
      </c>
      <c r="F70" s="88">
        <v>178612.94</v>
      </c>
      <c r="G70" s="90">
        <f t="shared" si="1"/>
        <v>2.6052442313547024E-3</v>
      </c>
      <c r="H70" s="80"/>
    </row>
    <row r="71" spans="1:8" ht="15.4" x14ac:dyDescent="0.45">
      <c r="A71" s="85" t="s">
        <v>65</v>
      </c>
      <c r="B71" s="86">
        <v>17579687</v>
      </c>
      <c r="C71" s="86">
        <v>13006822.890000001</v>
      </c>
      <c r="D71" s="86">
        <v>4572864.1100000003</v>
      </c>
      <c r="E71" s="86">
        <v>3512639.28</v>
      </c>
      <c r="F71" s="88">
        <v>6064127.54</v>
      </c>
      <c r="G71" s="90">
        <f t="shared" ref="G71:G126" si="2">B71/$B$127</f>
        <v>0.17376222382916154</v>
      </c>
      <c r="H71" s="80"/>
    </row>
    <row r="72" spans="1:8" ht="15.4" x14ac:dyDescent="0.45">
      <c r="A72" s="85" t="s">
        <v>66</v>
      </c>
      <c r="B72" s="86">
        <v>4969400</v>
      </c>
      <c r="C72" s="86">
        <v>2472885.88</v>
      </c>
      <c r="D72" s="86">
        <v>2496514.12</v>
      </c>
      <c r="E72" s="86">
        <v>2034165</v>
      </c>
      <c r="F72" s="88">
        <v>3398009.34</v>
      </c>
      <c r="G72" s="90">
        <f t="shared" si="2"/>
        <v>4.9118849220502921E-2</v>
      </c>
      <c r="H72" s="80"/>
    </row>
    <row r="73" spans="1:8" ht="30.75" x14ac:dyDescent="0.45">
      <c r="A73" s="85" t="s">
        <v>67</v>
      </c>
      <c r="B73" s="86">
        <v>631918</v>
      </c>
      <c r="C73" s="86">
        <v>493903.04</v>
      </c>
      <c r="D73" s="86">
        <v>138014.96</v>
      </c>
      <c r="E73" s="87">
        <v>428.6</v>
      </c>
      <c r="F73" s="88">
        <v>103832.7</v>
      </c>
      <c r="G73" s="90">
        <f t="shared" si="2"/>
        <v>6.2460427741219795E-3</v>
      </c>
      <c r="H73" s="80"/>
    </row>
    <row r="74" spans="1:8" ht="15.4" x14ac:dyDescent="0.45">
      <c r="A74" s="85" t="s">
        <v>139</v>
      </c>
      <c r="B74" s="87"/>
      <c r="C74" s="87"/>
      <c r="D74" s="87"/>
      <c r="E74" s="87"/>
      <c r="F74" s="89"/>
      <c r="G74" s="90">
        <f t="shared" si="2"/>
        <v>0</v>
      </c>
      <c r="H74" s="81"/>
    </row>
    <row r="75" spans="1:8" ht="15.4" x14ac:dyDescent="0.45">
      <c r="A75" s="85" t="s">
        <v>68</v>
      </c>
      <c r="B75" s="86">
        <v>50116</v>
      </c>
      <c r="C75" s="86">
        <v>50116</v>
      </c>
      <c r="D75" s="86">
        <v>49750.91</v>
      </c>
      <c r="E75" s="87">
        <v>0</v>
      </c>
      <c r="F75" s="89">
        <v>273.82</v>
      </c>
      <c r="G75" s="90">
        <f t="shared" si="2"/>
        <v>4.9535965056842358E-4</v>
      </c>
      <c r="H75" s="81"/>
    </row>
    <row r="76" spans="1:8" ht="15.4" x14ac:dyDescent="0.45">
      <c r="A76" s="85" t="s">
        <v>69</v>
      </c>
      <c r="B76" s="86">
        <v>629598</v>
      </c>
      <c r="C76" s="86">
        <v>445270</v>
      </c>
      <c r="D76" s="86">
        <v>184328</v>
      </c>
      <c r="E76" s="86">
        <v>18500</v>
      </c>
      <c r="F76" s="88">
        <v>202828</v>
      </c>
      <c r="G76" s="90">
        <f t="shared" si="2"/>
        <v>6.2231112873848346E-3</v>
      </c>
      <c r="H76" s="80"/>
    </row>
    <row r="77" spans="1:8" ht="15.4" x14ac:dyDescent="0.45">
      <c r="A77" s="85" t="s">
        <v>141</v>
      </c>
      <c r="B77" s="87"/>
      <c r="C77" s="87"/>
      <c r="D77" s="87"/>
      <c r="E77" s="87"/>
      <c r="F77" s="89"/>
      <c r="G77" s="90">
        <f t="shared" si="2"/>
        <v>0</v>
      </c>
      <c r="H77" s="81"/>
    </row>
    <row r="78" spans="1:8" ht="15.4" x14ac:dyDescent="0.45">
      <c r="A78" s="85" t="s">
        <v>110</v>
      </c>
      <c r="B78" s="86">
        <v>77271</v>
      </c>
      <c r="C78" s="86">
        <v>138326</v>
      </c>
      <c r="D78" s="86">
        <v>-61055</v>
      </c>
      <c r="E78" s="87">
        <v>0</v>
      </c>
      <c r="F78" s="88">
        <v>-61055</v>
      </c>
      <c r="G78" s="90">
        <f t="shared" si="2"/>
        <v>7.6376677226978732E-4</v>
      </c>
      <c r="H78" s="80"/>
    </row>
    <row r="79" spans="1:8" ht="15.4" x14ac:dyDescent="0.45">
      <c r="A79" s="85" t="s">
        <v>142</v>
      </c>
      <c r="B79" s="87"/>
      <c r="C79" s="87"/>
      <c r="D79" s="87"/>
      <c r="E79" s="87"/>
      <c r="F79" s="89"/>
      <c r="G79" s="90">
        <f t="shared" si="2"/>
        <v>0</v>
      </c>
      <c r="H79" s="81"/>
    </row>
    <row r="80" spans="1:8" ht="15.4" x14ac:dyDescent="0.45">
      <c r="A80" s="85" t="s">
        <v>143</v>
      </c>
      <c r="B80" s="87"/>
      <c r="C80" s="87"/>
      <c r="D80" s="87"/>
      <c r="E80" s="87"/>
      <c r="F80" s="89"/>
      <c r="G80" s="90">
        <f t="shared" si="2"/>
        <v>0</v>
      </c>
      <c r="H80" s="81"/>
    </row>
    <row r="81" spans="1:8" ht="15.4" x14ac:dyDescent="0.45">
      <c r="A81" s="85" t="s">
        <v>125</v>
      </c>
      <c r="B81" s="86">
        <v>86701</v>
      </c>
      <c r="C81" s="86">
        <v>75470</v>
      </c>
      <c r="D81" s="86">
        <v>11231</v>
      </c>
      <c r="E81" s="87">
        <v>0</v>
      </c>
      <c r="F81" s="88">
        <v>11231</v>
      </c>
      <c r="G81" s="90">
        <f t="shared" si="2"/>
        <v>8.5697535844706072E-4</v>
      </c>
      <c r="H81" s="80"/>
    </row>
    <row r="82" spans="1:8" ht="15.4" x14ac:dyDescent="0.45">
      <c r="A82" s="85" t="s">
        <v>71</v>
      </c>
      <c r="B82" s="86">
        <v>410306</v>
      </c>
      <c r="C82" s="86">
        <v>129560.08</v>
      </c>
      <c r="D82" s="86">
        <v>280745.92</v>
      </c>
      <c r="E82" s="87">
        <v>0</v>
      </c>
      <c r="F82" s="88">
        <v>280745.92</v>
      </c>
      <c r="G82" s="90">
        <f t="shared" si="2"/>
        <v>4.0555718091253813E-3</v>
      </c>
      <c r="H82" s="80"/>
    </row>
    <row r="83" spans="1:8" ht="15.4" x14ac:dyDescent="0.45">
      <c r="A83" s="85" t="s">
        <v>72</v>
      </c>
      <c r="B83" s="87"/>
      <c r="C83" s="87"/>
      <c r="D83" s="87"/>
      <c r="E83" s="87"/>
      <c r="F83" s="89"/>
      <c r="G83" s="90">
        <f t="shared" si="2"/>
        <v>0</v>
      </c>
      <c r="H83" s="81"/>
    </row>
    <row r="84" spans="1:8" ht="15.4" x14ac:dyDescent="0.45">
      <c r="A84" s="85" t="s">
        <v>73</v>
      </c>
      <c r="B84" s="86">
        <v>381171</v>
      </c>
      <c r="C84" s="86">
        <v>166549.20000000001</v>
      </c>
      <c r="D84" s="86">
        <v>214621.8</v>
      </c>
      <c r="E84" s="87">
        <v>0</v>
      </c>
      <c r="F84" s="88">
        <v>214621.8</v>
      </c>
      <c r="G84" s="90">
        <f t="shared" si="2"/>
        <v>3.7675938496052478E-3</v>
      </c>
      <c r="H84" s="80"/>
    </row>
    <row r="85" spans="1:8" ht="15.4" x14ac:dyDescent="0.45">
      <c r="A85" s="85" t="s">
        <v>126</v>
      </c>
      <c r="B85" s="86">
        <v>169591</v>
      </c>
      <c r="C85" s="86">
        <v>147007</v>
      </c>
      <c r="D85" s="86">
        <v>22584</v>
      </c>
      <c r="E85" s="87">
        <v>0</v>
      </c>
      <c r="F85" s="88">
        <v>22584</v>
      </c>
      <c r="G85" s="90">
        <f t="shared" si="2"/>
        <v>1.6762817962237516E-3</v>
      </c>
      <c r="H85" s="80"/>
    </row>
    <row r="86" spans="1:8" ht="15.4" x14ac:dyDescent="0.45">
      <c r="A86" s="85" t="s">
        <v>75</v>
      </c>
      <c r="B86" s="86">
        <v>79651</v>
      </c>
      <c r="C86" s="86">
        <v>56251</v>
      </c>
      <c r="D86" s="86">
        <v>23400</v>
      </c>
      <c r="E86" s="87"/>
      <c r="F86" s="88">
        <v>23400</v>
      </c>
      <c r="G86" s="90">
        <f t="shared" si="2"/>
        <v>7.8729131469840988E-4</v>
      </c>
      <c r="H86" s="80"/>
    </row>
    <row r="87" spans="1:8" ht="15.4" x14ac:dyDescent="0.45">
      <c r="A87" s="85" t="s">
        <v>76</v>
      </c>
      <c r="B87" s="86">
        <v>71911</v>
      </c>
      <c r="C87" s="86">
        <v>81666.759999999995</v>
      </c>
      <c r="D87" s="86">
        <v>-9755.76</v>
      </c>
      <c r="E87" s="86">
        <v>18232.61</v>
      </c>
      <c r="F87" s="88">
        <v>6357.85</v>
      </c>
      <c r="G87" s="90">
        <f t="shared" si="2"/>
        <v>7.1078713049776336E-4</v>
      </c>
      <c r="H87" s="80"/>
    </row>
    <row r="88" spans="1:8" ht="15.4" x14ac:dyDescent="0.45">
      <c r="A88" s="85" t="s">
        <v>127</v>
      </c>
      <c r="B88" s="86">
        <v>3629</v>
      </c>
      <c r="C88" s="86">
        <v>39299</v>
      </c>
      <c r="D88" s="86">
        <v>-35670</v>
      </c>
      <c r="E88" s="87">
        <v>0</v>
      </c>
      <c r="F88" s="88">
        <v>-35670</v>
      </c>
      <c r="G88" s="90">
        <f t="shared" si="2"/>
        <v>3.586998507288709E-5</v>
      </c>
      <c r="H88" s="80"/>
    </row>
    <row r="89" spans="1:8" ht="15.4" x14ac:dyDescent="0.45">
      <c r="A89" s="85" t="s">
        <v>77</v>
      </c>
      <c r="B89" s="86">
        <v>4774980</v>
      </c>
      <c r="C89" s="86">
        <v>2207950.35</v>
      </c>
      <c r="D89" s="86">
        <v>2567029.65</v>
      </c>
      <c r="E89" s="86">
        <v>87568.52</v>
      </c>
      <c r="F89" s="88">
        <v>1964568.17</v>
      </c>
      <c r="G89" s="90">
        <f t="shared" si="2"/>
        <v>4.71971510948841E-2</v>
      </c>
      <c r="H89" s="80"/>
    </row>
    <row r="90" spans="1:8" ht="15.4" x14ac:dyDescent="0.45">
      <c r="A90" s="85" t="s">
        <v>78</v>
      </c>
      <c r="B90" s="86">
        <v>191919</v>
      </c>
      <c r="C90" s="86">
        <v>211794</v>
      </c>
      <c r="D90" s="86">
        <v>-19875</v>
      </c>
      <c r="E90" s="86">
        <v>31517</v>
      </c>
      <c r="F90" s="88">
        <v>8732</v>
      </c>
      <c r="G90" s="90">
        <f t="shared" si="2"/>
        <v>1.8969775875457198E-3</v>
      </c>
      <c r="H90" s="80"/>
    </row>
    <row r="91" spans="1:8" ht="15.4" x14ac:dyDescent="0.45">
      <c r="A91" s="85" t="s">
        <v>111</v>
      </c>
      <c r="B91" s="86">
        <v>151804</v>
      </c>
      <c r="C91" s="86">
        <v>173086.18</v>
      </c>
      <c r="D91" s="86">
        <v>-21282.18</v>
      </c>
      <c r="E91" s="86">
        <v>82324.2</v>
      </c>
      <c r="F91" s="88">
        <v>61042.02</v>
      </c>
      <c r="G91" s="90">
        <f t="shared" si="2"/>
        <v>1.5004704364851341E-3</v>
      </c>
      <c r="H91" s="80"/>
    </row>
    <row r="92" spans="1:8" ht="15.4" x14ac:dyDescent="0.45">
      <c r="A92" s="85" t="s">
        <v>79</v>
      </c>
      <c r="B92" s="87"/>
      <c r="C92" s="87"/>
      <c r="D92" s="87"/>
      <c r="E92" s="87"/>
      <c r="F92" s="89"/>
      <c r="G92" s="90">
        <f t="shared" si="2"/>
        <v>0</v>
      </c>
      <c r="H92" s="81"/>
    </row>
    <row r="93" spans="1:8" ht="15.4" x14ac:dyDescent="0.45">
      <c r="A93" s="85" t="s">
        <v>80</v>
      </c>
      <c r="B93" s="86">
        <v>588671</v>
      </c>
      <c r="C93" s="86">
        <v>499595</v>
      </c>
      <c r="D93" s="86">
        <v>89076</v>
      </c>
      <c r="E93" s="87">
        <v>0</v>
      </c>
      <c r="F93" s="88">
        <v>66807</v>
      </c>
      <c r="G93" s="90">
        <f t="shared" si="2"/>
        <v>5.8185781159662484E-3</v>
      </c>
      <c r="H93" s="80"/>
    </row>
    <row r="94" spans="1:8" ht="15.4" x14ac:dyDescent="0.45">
      <c r="A94" s="85" t="s">
        <v>81</v>
      </c>
      <c r="B94" s="87"/>
      <c r="C94" s="87"/>
      <c r="D94" s="87"/>
      <c r="E94" s="87"/>
      <c r="F94" s="89"/>
      <c r="G94" s="90">
        <f t="shared" si="2"/>
        <v>0</v>
      </c>
      <c r="H94" s="81"/>
    </row>
    <row r="95" spans="1:8" ht="15.4" x14ac:dyDescent="0.45">
      <c r="A95" s="85" t="s">
        <v>82</v>
      </c>
      <c r="B95" s="87"/>
      <c r="C95" s="87"/>
      <c r="D95" s="87"/>
      <c r="E95" s="87"/>
      <c r="F95" s="89"/>
      <c r="G95" s="90">
        <f t="shared" si="2"/>
        <v>0</v>
      </c>
      <c r="H95" s="81"/>
    </row>
    <row r="96" spans="1:8" ht="15.4" x14ac:dyDescent="0.45">
      <c r="A96" s="85" t="s">
        <v>83</v>
      </c>
      <c r="B96" s="86">
        <v>710828</v>
      </c>
      <c r="C96" s="86">
        <v>967583.3</v>
      </c>
      <c r="D96" s="86">
        <v>-256755.3</v>
      </c>
      <c r="E96" s="86">
        <v>1446478.91</v>
      </c>
      <c r="F96" s="88">
        <v>1189723.6100000001</v>
      </c>
      <c r="G96" s="90">
        <f t="shared" si="2"/>
        <v>7.0260098510306372E-3</v>
      </c>
      <c r="H96" s="80"/>
    </row>
    <row r="97" spans="1:8" ht="15.4" x14ac:dyDescent="0.45">
      <c r="A97" s="85" t="s">
        <v>112</v>
      </c>
      <c r="B97" s="86">
        <v>85936</v>
      </c>
      <c r="C97" s="86">
        <v>129312.45</v>
      </c>
      <c r="D97" s="86">
        <v>-43376.45</v>
      </c>
      <c r="E97" s="86">
        <v>42274.27</v>
      </c>
      <c r="F97" s="88">
        <v>-15316.18</v>
      </c>
      <c r="G97" s="90">
        <f t="shared" si="2"/>
        <v>8.4941389838071773E-4</v>
      </c>
      <c r="H97" s="80"/>
    </row>
    <row r="98" spans="1:8" ht="15.4" x14ac:dyDescent="0.45">
      <c r="A98" s="85" t="s">
        <v>84</v>
      </c>
      <c r="B98" s="86">
        <v>726867</v>
      </c>
      <c r="C98" s="86">
        <v>651399.85</v>
      </c>
      <c r="D98" s="86">
        <v>75467.149999999994</v>
      </c>
      <c r="E98" s="86">
        <v>13500</v>
      </c>
      <c r="F98" s="88">
        <v>66725.36</v>
      </c>
      <c r="G98" s="90">
        <f t="shared" si="2"/>
        <v>7.1845435216241994E-3</v>
      </c>
      <c r="H98" s="80"/>
    </row>
    <row r="99" spans="1:8" ht="15.4" x14ac:dyDescent="0.45">
      <c r="A99" s="85" t="s">
        <v>85</v>
      </c>
      <c r="B99" s="86">
        <v>1747221</v>
      </c>
      <c r="C99" s="86">
        <v>876750</v>
      </c>
      <c r="D99" s="86">
        <v>870471</v>
      </c>
      <c r="E99" s="86">
        <v>865073</v>
      </c>
      <c r="F99" s="88">
        <v>1301658</v>
      </c>
      <c r="G99" s="90">
        <f t="shared" si="2"/>
        <v>1.7269989305327874E-2</v>
      </c>
      <c r="H99" s="80"/>
    </row>
    <row r="100" spans="1:8" ht="15.4" x14ac:dyDescent="0.45">
      <c r="A100" s="85" t="s">
        <v>86</v>
      </c>
      <c r="B100" s="86">
        <v>2095721</v>
      </c>
      <c r="C100" s="86">
        <v>1803284.77</v>
      </c>
      <c r="D100" s="86">
        <v>292436.23</v>
      </c>
      <c r="E100" s="86">
        <v>214873.86</v>
      </c>
      <c r="F100" s="88">
        <v>380482.57</v>
      </c>
      <c r="G100" s="90">
        <f t="shared" si="2"/>
        <v>2.0714654446661891E-2</v>
      </c>
      <c r="H100" s="80"/>
    </row>
    <row r="101" spans="1:8" ht="15.4" x14ac:dyDescent="0.45">
      <c r="A101" s="85" t="s">
        <v>87</v>
      </c>
      <c r="B101" s="86">
        <v>1289005</v>
      </c>
      <c r="C101" s="86">
        <v>1037375.9</v>
      </c>
      <c r="D101" s="86">
        <v>251629.1</v>
      </c>
      <c r="E101" s="87">
        <v>0</v>
      </c>
      <c r="F101" s="88">
        <v>251629.1</v>
      </c>
      <c r="G101" s="90">
        <f t="shared" si="2"/>
        <v>1.2740862526557404E-2</v>
      </c>
      <c r="H101" s="80"/>
    </row>
    <row r="102" spans="1:8" ht="15.4" x14ac:dyDescent="0.45">
      <c r="A102" s="85" t="s">
        <v>88</v>
      </c>
      <c r="B102" s="87"/>
      <c r="C102" s="87"/>
      <c r="D102" s="87"/>
      <c r="E102" s="87"/>
      <c r="F102" s="89"/>
      <c r="G102" s="90">
        <f t="shared" si="2"/>
        <v>0</v>
      </c>
      <c r="H102" s="81"/>
    </row>
    <row r="103" spans="1:8" ht="15.4" x14ac:dyDescent="0.45">
      <c r="A103" s="85" t="s">
        <v>89</v>
      </c>
      <c r="B103" s="86">
        <v>38970</v>
      </c>
      <c r="C103" s="86">
        <v>128271.02</v>
      </c>
      <c r="D103" s="86">
        <v>-89301.02</v>
      </c>
      <c r="E103" s="87">
        <v>0</v>
      </c>
      <c r="F103" s="88">
        <v>-89301.02</v>
      </c>
      <c r="G103" s="90">
        <f t="shared" si="2"/>
        <v>3.8518967161488282E-4</v>
      </c>
      <c r="H103" s="80"/>
    </row>
    <row r="104" spans="1:8" ht="15.4" x14ac:dyDescent="0.45">
      <c r="A104" s="85" t="s">
        <v>144</v>
      </c>
      <c r="B104" s="87"/>
      <c r="C104" s="87"/>
      <c r="D104" s="87"/>
      <c r="E104" s="87"/>
      <c r="F104" s="89"/>
      <c r="G104" s="90">
        <f t="shared" si="2"/>
        <v>0</v>
      </c>
      <c r="H104" s="81"/>
    </row>
    <row r="105" spans="1:8" ht="15.4" x14ac:dyDescent="0.45">
      <c r="A105" s="85" t="s">
        <v>90</v>
      </c>
      <c r="B105" s="86">
        <v>1400601</v>
      </c>
      <c r="C105" s="86">
        <v>863219</v>
      </c>
      <c r="D105" s="86">
        <v>537382</v>
      </c>
      <c r="E105" s="87">
        <v>0</v>
      </c>
      <c r="F105" s="88">
        <v>537382</v>
      </c>
      <c r="G105" s="90">
        <f t="shared" si="2"/>
        <v>1.3843906575660161E-2</v>
      </c>
      <c r="H105" s="80"/>
    </row>
    <row r="106" spans="1:8" ht="15.4" x14ac:dyDescent="0.45">
      <c r="A106" s="85" t="s">
        <v>91</v>
      </c>
      <c r="B106" s="86">
        <v>4421946</v>
      </c>
      <c r="C106" s="86">
        <v>3133100</v>
      </c>
      <c r="D106" s="86">
        <v>1288846</v>
      </c>
      <c r="E106" s="86">
        <v>52500</v>
      </c>
      <c r="F106" s="88">
        <v>1120024</v>
      </c>
      <c r="G106" s="90">
        <f t="shared" si="2"/>
        <v>4.3707670711797403E-2</v>
      </c>
      <c r="H106" s="80"/>
    </row>
    <row r="107" spans="1:8" ht="15.4" x14ac:dyDescent="0.45">
      <c r="A107" s="85" t="s">
        <v>92</v>
      </c>
      <c r="B107" s="87"/>
      <c r="C107" s="87"/>
      <c r="D107" s="87"/>
      <c r="E107" s="87"/>
      <c r="F107" s="89"/>
      <c r="G107" s="90">
        <f t="shared" si="2"/>
        <v>0</v>
      </c>
      <c r="H107" s="81"/>
    </row>
    <row r="108" spans="1:8" ht="15.4" x14ac:dyDescent="0.45">
      <c r="A108" s="85" t="s">
        <v>93</v>
      </c>
      <c r="B108" s="86">
        <v>232547</v>
      </c>
      <c r="C108" s="86">
        <v>111735</v>
      </c>
      <c r="D108" s="86">
        <v>120812</v>
      </c>
      <c r="E108" s="86">
        <v>96816</v>
      </c>
      <c r="F108" s="88">
        <v>217628</v>
      </c>
      <c r="G108" s="90">
        <f t="shared" si="2"/>
        <v>2.2985553647684414E-3</v>
      </c>
      <c r="H108" s="80"/>
    </row>
    <row r="109" spans="1:8" ht="15.4" x14ac:dyDescent="0.45">
      <c r="A109" s="85" t="s">
        <v>113</v>
      </c>
      <c r="B109" s="86">
        <v>226502</v>
      </c>
      <c r="C109" s="86">
        <v>73066.990000000005</v>
      </c>
      <c r="D109" s="86">
        <v>153435.01</v>
      </c>
      <c r="E109" s="87">
        <v>0</v>
      </c>
      <c r="F109" s="88">
        <v>153435.01</v>
      </c>
      <c r="G109" s="90">
        <f t="shared" si="2"/>
        <v>2.2388050038520449E-3</v>
      </c>
      <c r="H109" s="80"/>
    </row>
    <row r="110" spans="1:8" ht="15.4" x14ac:dyDescent="0.45">
      <c r="A110" s="85" t="s">
        <v>94</v>
      </c>
      <c r="B110" s="86">
        <v>2673339</v>
      </c>
      <c r="C110" s="86">
        <v>1443020.26</v>
      </c>
      <c r="D110" s="86">
        <v>1230318.74</v>
      </c>
      <c r="E110" s="86">
        <v>14450</v>
      </c>
      <c r="F110" s="88">
        <v>933576.6</v>
      </c>
      <c r="G110" s="90">
        <f t="shared" si="2"/>
        <v>2.6423981819996389E-2</v>
      </c>
      <c r="H110" s="80"/>
    </row>
    <row r="111" spans="1:8" ht="15.4" x14ac:dyDescent="0.45">
      <c r="A111" s="85" t="s">
        <v>114</v>
      </c>
      <c r="B111" s="86">
        <v>858390</v>
      </c>
      <c r="C111" s="86">
        <v>445600.84</v>
      </c>
      <c r="D111" s="86">
        <v>412789.16</v>
      </c>
      <c r="E111" s="86">
        <v>1036.8699999999999</v>
      </c>
      <c r="F111" s="88">
        <v>413826.03</v>
      </c>
      <c r="G111" s="90">
        <f t="shared" si="2"/>
        <v>8.484551250128286E-3</v>
      </c>
      <c r="H111" s="80"/>
    </row>
    <row r="112" spans="1:8" ht="15.4" x14ac:dyDescent="0.45">
      <c r="A112" s="85" t="s">
        <v>95</v>
      </c>
      <c r="B112" s="86">
        <v>112088</v>
      </c>
      <c r="C112" s="86">
        <v>66058.5</v>
      </c>
      <c r="D112" s="86">
        <v>46029.5</v>
      </c>
      <c r="E112" s="87">
        <v>0</v>
      </c>
      <c r="F112" s="88">
        <v>33424.5</v>
      </c>
      <c r="G112" s="90">
        <f t="shared" si="2"/>
        <v>1.1079071057728763E-3</v>
      </c>
      <c r="H112" s="80"/>
    </row>
    <row r="113" spans="1:8" ht="15.4" x14ac:dyDescent="0.45">
      <c r="A113" s="85" t="s">
        <v>96</v>
      </c>
      <c r="B113" s="86">
        <v>119454</v>
      </c>
      <c r="C113" s="86">
        <v>100333.49</v>
      </c>
      <c r="D113" s="86">
        <v>19120.509999999998</v>
      </c>
      <c r="E113" s="86">
        <v>7200</v>
      </c>
      <c r="F113" s="88">
        <v>26320.51</v>
      </c>
      <c r="G113" s="90">
        <f t="shared" si="2"/>
        <v>1.1807145761633107E-3</v>
      </c>
      <c r="H113" s="80"/>
    </row>
    <row r="114" spans="1:8" ht="15.4" x14ac:dyDescent="0.45">
      <c r="A114" s="85" t="s">
        <v>145</v>
      </c>
      <c r="B114" s="87"/>
      <c r="C114" s="87"/>
      <c r="D114" s="87"/>
      <c r="E114" s="87"/>
      <c r="F114" s="89"/>
      <c r="G114" s="90">
        <f t="shared" si="2"/>
        <v>0</v>
      </c>
      <c r="H114" s="81"/>
    </row>
    <row r="115" spans="1:8" ht="15.4" x14ac:dyDescent="0.45">
      <c r="A115" s="85" t="s">
        <v>97</v>
      </c>
      <c r="B115" s="86">
        <v>517727</v>
      </c>
      <c r="C115" s="86">
        <v>258316.5</v>
      </c>
      <c r="D115" s="86">
        <v>259410.5</v>
      </c>
      <c r="E115" s="86">
        <v>320155</v>
      </c>
      <c r="F115" s="88">
        <v>434674.12</v>
      </c>
      <c r="G115" s="90">
        <f t="shared" si="2"/>
        <v>5.1173490663628035E-3</v>
      </c>
      <c r="H115" s="80"/>
    </row>
    <row r="116" spans="1:8" ht="15.4" x14ac:dyDescent="0.45">
      <c r="A116" s="85" t="s">
        <v>98</v>
      </c>
      <c r="B116" s="86">
        <v>991661</v>
      </c>
      <c r="C116" s="86">
        <v>860348</v>
      </c>
      <c r="D116" s="86">
        <v>131313</v>
      </c>
      <c r="E116" s="86">
        <v>17316</v>
      </c>
      <c r="F116" s="88">
        <v>112648</v>
      </c>
      <c r="G116" s="90">
        <f t="shared" si="2"/>
        <v>9.8018366677774266E-3</v>
      </c>
      <c r="H116" s="80"/>
    </row>
    <row r="117" spans="1:8" ht="15.4" x14ac:dyDescent="0.45">
      <c r="A117" s="85" t="s">
        <v>99</v>
      </c>
      <c r="B117" s="86">
        <v>294488</v>
      </c>
      <c r="C117" s="86">
        <v>214814.89</v>
      </c>
      <c r="D117" s="86">
        <v>79673.11</v>
      </c>
      <c r="E117" s="86">
        <v>29555.43</v>
      </c>
      <c r="F117" s="88">
        <v>81921.399999999994</v>
      </c>
      <c r="G117" s="90">
        <f t="shared" si="2"/>
        <v>2.9107964078656304E-3</v>
      </c>
      <c r="H117" s="80"/>
    </row>
    <row r="118" spans="1:8" ht="15.4" x14ac:dyDescent="0.45">
      <c r="A118" s="85" t="s">
        <v>100</v>
      </c>
      <c r="B118" s="86">
        <v>1761241</v>
      </c>
      <c r="C118" s="86">
        <v>1615544.44</v>
      </c>
      <c r="D118" s="86">
        <v>145696.56</v>
      </c>
      <c r="E118" s="86">
        <v>87220</v>
      </c>
      <c r="F118" s="88">
        <v>232916.56</v>
      </c>
      <c r="G118" s="90">
        <f t="shared" si="2"/>
        <v>1.7408566651903205E-2</v>
      </c>
      <c r="H118" s="80"/>
    </row>
    <row r="119" spans="1:8" ht="15.4" x14ac:dyDescent="0.45">
      <c r="A119" s="85" t="s">
        <v>101</v>
      </c>
      <c r="B119" s="86">
        <v>40378</v>
      </c>
      <c r="C119" s="86">
        <v>40378</v>
      </c>
      <c r="D119" s="86">
        <v>39679.480000000003</v>
      </c>
      <c r="E119" s="87">
        <v>0</v>
      </c>
      <c r="F119" s="89">
        <v>698.52</v>
      </c>
      <c r="G119" s="90">
        <f t="shared" si="2"/>
        <v>3.9910671184156376E-4</v>
      </c>
      <c r="H119" s="81"/>
    </row>
    <row r="120" spans="1:8" ht="15.4" x14ac:dyDescent="0.45">
      <c r="A120" s="85" t="s">
        <v>102</v>
      </c>
      <c r="B120" s="86">
        <v>15043</v>
      </c>
      <c r="C120" s="86">
        <v>66422.17</v>
      </c>
      <c r="D120" s="86">
        <v>-51379.17</v>
      </c>
      <c r="E120" s="86">
        <v>9375</v>
      </c>
      <c r="F120" s="88">
        <v>-42004.17</v>
      </c>
      <c r="G120" s="90">
        <f t="shared" si="2"/>
        <v>1.4868894611502905E-4</v>
      </c>
      <c r="H120" s="80"/>
    </row>
    <row r="121" spans="1:8" ht="15.4" x14ac:dyDescent="0.45">
      <c r="A121" s="85" t="s">
        <v>103</v>
      </c>
      <c r="B121" s="86">
        <v>1010789</v>
      </c>
      <c r="C121" s="86">
        <v>785736.87</v>
      </c>
      <c r="D121" s="86">
        <v>225052.13</v>
      </c>
      <c r="E121" s="86">
        <v>49836.71</v>
      </c>
      <c r="F121" s="88">
        <v>274888.84000000003</v>
      </c>
      <c r="G121" s="90">
        <f t="shared" si="2"/>
        <v>9.9909028222205758E-3</v>
      </c>
      <c r="H121" s="80"/>
    </row>
    <row r="122" spans="1:8" ht="15.4" x14ac:dyDescent="0.45">
      <c r="A122" s="85" t="s">
        <v>104</v>
      </c>
      <c r="B122" s="86">
        <v>395655</v>
      </c>
      <c r="C122" s="86">
        <v>396963.07</v>
      </c>
      <c r="D122" s="86">
        <v>-1308.07</v>
      </c>
      <c r="E122" s="86">
        <v>105960.49</v>
      </c>
      <c r="F122" s="88">
        <v>104652.42</v>
      </c>
      <c r="G122" s="90">
        <f t="shared" si="2"/>
        <v>3.9107574935280083E-3</v>
      </c>
      <c r="H122" s="80"/>
    </row>
    <row r="123" spans="1:8" ht="15.4" x14ac:dyDescent="0.45">
      <c r="A123" s="85" t="s">
        <v>105</v>
      </c>
      <c r="B123" s="87"/>
      <c r="C123" s="87"/>
      <c r="D123" s="87"/>
      <c r="E123" s="87"/>
      <c r="F123" s="89"/>
      <c r="G123" s="90">
        <f t="shared" si="2"/>
        <v>0</v>
      </c>
      <c r="H123" s="81"/>
    </row>
    <row r="124" spans="1:8" ht="15.4" x14ac:dyDescent="0.45">
      <c r="A124" s="85" t="s">
        <v>106</v>
      </c>
      <c r="B124" s="86">
        <v>6338389</v>
      </c>
      <c r="C124" s="86">
        <v>2741708.7</v>
      </c>
      <c r="D124" s="86">
        <v>3596680.3</v>
      </c>
      <c r="E124" s="86">
        <v>2534277.86</v>
      </c>
      <c r="F124" s="88">
        <v>4598218.62</v>
      </c>
      <c r="G124" s="90">
        <f t="shared" si="2"/>
        <v>6.2650294520846431E-2</v>
      </c>
      <c r="H124" s="80"/>
    </row>
    <row r="125" spans="1:8" ht="15.4" x14ac:dyDescent="0.45">
      <c r="A125" s="85" t="s">
        <v>146</v>
      </c>
      <c r="B125" s="86">
        <v>183306</v>
      </c>
      <c r="C125" s="86">
        <v>57226.93</v>
      </c>
      <c r="D125" s="86">
        <v>126079.07</v>
      </c>
      <c r="E125" s="87">
        <v>0</v>
      </c>
      <c r="F125" s="88">
        <v>94559.3</v>
      </c>
      <c r="G125" s="90">
        <f t="shared" si="2"/>
        <v>1.8118444430340701E-3</v>
      </c>
      <c r="H125" s="80"/>
    </row>
    <row r="126" spans="1:8" ht="15.4" x14ac:dyDescent="0.45">
      <c r="A126" s="85" t="s">
        <v>107</v>
      </c>
      <c r="B126" s="86">
        <v>380134</v>
      </c>
      <c r="C126" s="86">
        <v>402723</v>
      </c>
      <c r="D126" s="86">
        <v>-22589</v>
      </c>
      <c r="E126" s="87">
        <v>0</v>
      </c>
      <c r="F126" s="88">
        <v>-22589</v>
      </c>
      <c r="G126" s="90">
        <f t="shared" si="2"/>
        <v>3.7573438704042051E-3</v>
      </c>
      <c r="H126" s="80"/>
    </row>
    <row r="127" spans="1:8" ht="15.4" x14ac:dyDescent="0.45">
      <c r="A127" s="93" t="s">
        <v>147</v>
      </c>
      <c r="B127" s="94">
        <f>SUM(B6:B126)</f>
        <v>101170937</v>
      </c>
      <c r="C127" s="94">
        <f t="shared" ref="C127:G127" si="3">SUM(C6:C126)</f>
        <v>68983900.070000023</v>
      </c>
      <c r="D127" s="94">
        <f t="shared" si="3"/>
        <v>32276467.32</v>
      </c>
      <c r="E127" s="94">
        <f t="shared" si="3"/>
        <v>16152389.549999995</v>
      </c>
      <c r="F127" s="94">
        <f t="shared" si="3"/>
        <v>38522264.219999999</v>
      </c>
      <c r="G127" s="95">
        <f t="shared" si="3"/>
        <v>0.99999999999999989</v>
      </c>
    </row>
  </sheetData>
  <mergeCells count="1">
    <mergeCell ref="A1:G1"/>
  </mergeCells>
  <dataValidations count="1">
    <dataValidation type="list" allowBlank="1" showInputMessage="1" showErrorMessage="1" sqref="A3" xr:uid="{00000000-0002-0000-0600-000000000000}">
      <formula1>$A$6:$A$128</formula1>
    </dataValidation>
  </dataValidations>
  <pageMargins left="0.7" right="0.7" top="0.75" bottom="0.75" header="0.3" footer="0.3"/>
  <pageSetup orientation="portrait" horizontalDpi="4294967295" verticalDpi="4294967295" r:id="rId1"/>
  <customProperties>
    <customPr name="LastActive" r:id="rId2"/>
  </customProperties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7"/>
  <sheetViews>
    <sheetView zoomScale="91" zoomScaleNormal="91" workbookViewId="0">
      <selection activeCell="B2" sqref="B2"/>
    </sheetView>
  </sheetViews>
  <sheetFormatPr defaultRowHeight="12.75" x14ac:dyDescent="0.35"/>
  <cols>
    <col min="1" max="1" width="72.265625" bestFit="1" customWidth="1"/>
    <col min="2" max="2" width="26.1328125" bestFit="1" customWidth="1"/>
    <col min="3" max="3" width="34.73046875" bestFit="1" customWidth="1"/>
    <col min="4" max="4" width="24.86328125" bestFit="1" customWidth="1"/>
    <col min="5" max="5" width="33" bestFit="1" customWidth="1"/>
    <col min="6" max="6" width="29.1328125" bestFit="1" customWidth="1"/>
    <col min="7" max="7" width="17" bestFit="1" customWidth="1"/>
  </cols>
  <sheetData>
    <row r="1" spans="1:8" ht="18" x14ac:dyDescent="0.55000000000000004">
      <c r="A1" s="171" t="s">
        <v>150</v>
      </c>
      <c r="B1" s="171"/>
      <c r="C1" s="171"/>
      <c r="D1" s="171"/>
      <c r="E1" s="171"/>
      <c r="F1" s="171"/>
      <c r="G1" s="171"/>
    </row>
    <row r="2" spans="1:8" ht="32.25" customHeight="1" x14ac:dyDescent="0.55000000000000004">
      <c r="A2" s="70" t="s">
        <v>1</v>
      </c>
      <c r="B2" s="71" t="s">
        <v>2</v>
      </c>
      <c r="C2" s="71" t="s">
        <v>3</v>
      </c>
      <c r="D2" s="71" t="s">
        <v>4</v>
      </c>
      <c r="E2" s="71" t="s">
        <v>5</v>
      </c>
      <c r="F2" s="71" t="s">
        <v>6</v>
      </c>
      <c r="G2" s="72" t="s">
        <v>9</v>
      </c>
    </row>
    <row r="3" spans="1:8" ht="18" x14ac:dyDescent="0.55000000000000004">
      <c r="A3" s="73" t="s">
        <v>105</v>
      </c>
      <c r="B3" s="78">
        <f t="shared" ref="B3:G3" si="0">INDEX(B7:B126,MATCH($A$3,$A$7:$A$126,0))</f>
        <v>407949</v>
      </c>
      <c r="C3" s="76">
        <f t="shared" si="0"/>
        <v>335953</v>
      </c>
      <c r="D3" s="76">
        <f t="shared" si="0"/>
        <v>71996</v>
      </c>
      <c r="E3" s="76">
        <f t="shared" si="0"/>
        <v>0</v>
      </c>
      <c r="F3" s="76">
        <f t="shared" si="0"/>
        <v>71996</v>
      </c>
      <c r="G3" s="77">
        <f t="shared" si="0"/>
        <v>2.571115397866051E-3</v>
      </c>
    </row>
    <row r="5" spans="1:8" ht="15.4" x14ac:dyDescent="0.45">
      <c r="A5" s="82" t="s">
        <v>149</v>
      </c>
      <c r="B5" s="96" t="s">
        <v>2</v>
      </c>
      <c r="C5" s="96" t="s">
        <v>3</v>
      </c>
      <c r="D5" s="96" t="s">
        <v>4</v>
      </c>
      <c r="E5" s="96" t="s">
        <v>5</v>
      </c>
      <c r="F5" s="97" t="s">
        <v>6</v>
      </c>
      <c r="G5" s="97" t="s">
        <v>116</v>
      </c>
      <c r="H5" s="79"/>
    </row>
    <row r="6" spans="1:8" ht="15.4" x14ac:dyDescent="0.45">
      <c r="A6" s="85" t="s">
        <v>117</v>
      </c>
      <c r="B6" s="86">
        <v>105497</v>
      </c>
      <c r="C6" s="86">
        <v>114827.88</v>
      </c>
      <c r="D6" s="86">
        <v>-9330.8799999999992</v>
      </c>
      <c r="E6" s="86">
        <v>38149.379999999997</v>
      </c>
      <c r="F6" s="88">
        <v>28818.5</v>
      </c>
      <c r="G6" s="98">
        <f>B6/$B$127</f>
        <v>6.6489919359693183E-4</v>
      </c>
    </row>
    <row r="7" spans="1:8" ht="15.4" x14ac:dyDescent="0.45">
      <c r="A7" s="85" t="s">
        <v>10</v>
      </c>
      <c r="B7" s="86">
        <v>2659661</v>
      </c>
      <c r="C7" s="86">
        <v>1479664</v>
      </c>
      <c r="D7" s="86">
        <v>1179997</v>
      </c>
      <c r="E7" s="86">
        <v>78815</v>
      </c>
      <c r="F7" s="88">
        <v>1258812</v>
      </c>
      <c r="G7" s="98">
        <f t="shared" ref="G7:G70" si="1">B7/$B$127</f>
        <v>1.6762623147020383E-2</v>
      </c>
    </row>
    <row r="8" spans="1:8" ht="15.4" x14ac:dyDescent="0.45">
      <c r="A8" s="85" t="s">
        <v>11</v>
      </c>
      <c r="B8" s="87"/>
      <c r="C8" s="87"/>
      <c r="D8" s="87"/>
      <c r="E8" s="87"/>
      <c r="F8" s="89"/>
      <c r="G8" s="98">
        <f t="shared" si="1"/>
        <v>0</v>
      </c>
    </row>
    <row r="9" spans="1:8" ht="15.4" x14ac:dyDescent="0.45">
      <c r="A9" s="85" t="s">
        <v>12</v>
      </c>
      <c r="B9" s="86">
        <v>1734018</v>
      </c>
      <c r="C9" s="86">
        <v>1204216.6100000001</v>
      </c>
      <c r="D9" s="86">
        <v>529801.39</v>
      </c>
      <c r="E9" s="86">
        <v>247258</v>
      </c>
      <c r="F9" s="88">
        <v>582793.49</v>
      </c>
      <c r="G9" s="98">
        <f t="shared" si="1"/>
        <v>1.0928719962487697E-2</v>
      </c>
    </row>
    <row r="10" spans="1:8" ht="15.4" x14ac:dyDescent="0.45">
      <c r="A10" s="85" t="s">
        <v>13</v>
      </c>
      <c r="B10" s="86">
        <v>314598</v>
      </c>
      <c r="C10" s="86">
        <v>258788</v>
      </c>
      <c r="D10" s="86">
        <v>55810</v>
      </c>
      <c r="E10" s="86">
        <v>132306</v>
      </c>
      <c r="F10" s="88">
        <v>141087</v>
      </c>
      <c r="G10" s="98">
        <f t="shared" si="1"/>
        <v>1.9827668702162866E-3</v>
      </c>
    </row>
    <row r="11" spans="1:8" ht="15.4" x14ac:dyDescent="0.45">
      <c r="A11" s="85" t="s">
        <v>14</v>
      </c>
      <c r="B11" s="86">
        <v>1015605</v>
      </c>
      <c r="C11" s="86">
        <v>917443.58</v>
      </c>
      <c r="D11" s="86">
        <v>98161.42</v>
      </c>
      <c r="E11" s="86">
        <v>13918.03</v>
      </c>
      <c r="F11" s="88">
        <v>84059.45</v>
      </c>
      <c r="G11" s="98">
        <f t="shared" si="1"/>
        <v>6.4008923999072202E-3</v>
      </c>
    </row>
    <row r="12" spans="1:8" ht="15.4" x14ac:dyDescent="0.45">
      <c r="A12" s="85" t="s">
        <v>15</v>
      </c>
      <c r="B12" s="87"/>
      <c r="C12" s="87"/>
      <c r="D12" s="87"/>
      <c r="E12" s="87"/>
      <c r="F12" s="89"/>
      <c r="G12" s="98">
        <f t="shared" si="1"/>
        <v>0</v>
      </c>
    </row>
    <row r="13" spans="1:8" ht="15.4" x14ac:dyDescent="0.45">
      <c r="A13" s="85" t="s">
        <v>16</v>
      </c>
      <c r="B13" s="86">
        <v>2982643</v>
      </c>
      <c r="C13" s="86">
        <v>2025874</v>
      </c>
      <c r="D13" s="86">
        <v>956769</v>
      </c>
      <c r="E13" s="86">
        <v>1328327.1599999999</v>
      </c>
      <c r="F13" s="88">
        <v>1713822.03</v>
      </c>
      <c r="G13" s="98">
        <f t="shared" si="1"/>
        <v>1.8798230523024671E-2</v>
      </c>
    </row>
    <row r="14" spans="1:8" ht="15.4" x14ac:dyDescent="0.45">
      <c r="A14" s="85" t="s">
        <v>17</v>
      </c>
      <c r="B14" s="87"/>
      <c r="C14" s="87"/>
      <c r="D14" s="87"/>
      <c r="E14" s="87"/>
      <c r="F14" s="89"/>
      <c r="G14" s="98">
        <f t="shared" si="1"/>
        <v>0</v>
      </c>
    </row>
    <row r="15" spans="1:8" ht="15.4" x14ac:dyDescent="0.45">
      <c r="A15" s="85" t="s">
        <v>18</v>
      </c>
      <c r="B15" s="87"/>
      <c r="C15" s="87"/>
      <c r="D15" s="87"/>
      <c r="E15" s="87"/>
      <c r="F15" s="89"/>
      <c r="G15" s="98">
        <f t="shared" si="1"/>
        <v>0</v>
      </c>
    </row>
    <row r="16" spans="1:8" ht="15.4" x14ac:dyDescent="0.45">
      <c r="A16" s="85" t="s">
        <v>19</v>
      </c>
      <c r="B16" s="86">
        <v>328091</v>
      </c>
      <c r="C16" s="86">
        <v>486343.5</v>
      </c>
      <c r="D16" s="86">
        <v>-158252.5</v>
      </c>
      <c r="E16" s="86">
        <v>68630</v>
      </c>
      <c r="F16" s="88">
        <v>-89622.5</v>
      </c>
      <c r="G16" s="98">
        <f t="shared" si="1"/>
        <v>2.0678070592188495E-3</v>
      </c>
    </row>
    <row r="17" spans="1:7" ht="15.4" x14ac:dyDescent="0.45">
      <c r="A17" s="85" t="s">
        <v>20</v>
      </c>
      <c r="B17" s="86">
        <v>779674</v>
      </c>
      <c r="C17" s="86">
        <v>357867.46</v>
      </c>
      <c r="D17" s="86">
        <v>421806.54</v>
      </c>
      <c r="E17" s="86">
        <v>55169.4</v>
      </c>
      <c r="F17" s="88">
        <v>476975.94</v>
      </c>
      <c r="G17" s="98">
        <f t="shared" si="1"/>
        <v>4.9139275417167715E-3</v>
      </c>
    </row>
    <row r="18" spans="1:7" ht="15.4" x14ac:dyDescent="0.45">
      <c r="A18" s="85" t="s">
        <v>21</v>
      </c>
      <c r="B18" s="87"/>
      <c r="C18" s="87"/>
      <c r="D18" s="87"/>
      <c r="E18" s="87"/>
      <c r="F18" s="89"/>
      <c r="G18" s="98">
        <f t="shared" si="1"/>
        <v>0</v>
      </c>
    </row>
    <row r="19" spans="1:7" ht="15.4" x14ac:dyDescent="0.45">
      <c r="A19" s="85" t="s">
        <v>134</v>
      </c>
      <c r="B19" s="86">
        <v>436680</v>
      </c>
      <c r="C19" s="86">
        <v>252352.37</v>
      </c>
      <c r="D19" s="86">
        <v>184327.63</v>
      </c>
      <c r="E19" s="86">
        <v>2190</v>
      </c>
      <c r="F19" s="88">
        <v>139888.22</v>
      </c>
      <c r="G19" s="98">
        <f t="shared" si="1"/>
        <v>2.7521937103416041E-3</v>
      </c>
    </row>
    <row r="20" spans="1:7" ht="15.4" x14ac:dyDescent="0.45">
      <c r="A20" s="85" t="s">
        <v>22</v>
      </c>
      <c r="B20" s="86">
        <v>163081</v>
      </c>
      <c r="C20" s="86">
        <v>102069.97</v>
      </c>
      <c r="D20" s="86">
        <v>61011.03</v>
      </c>
      <c r="E20" s="86">
        <v>33554.11</v>
      </c>
      <c r="F20" s="88">
        <v>94565.14</v>
      </c>
      <c r="G20" s="98">
        <f t="shared" si="1"/>
        <v>1.0278247285797819E-3</v>
      </c>
    </row>
    <row r="21" spans="1:7" ht="15.4" x14ac:dyDescent="0.45">
      <c r="A21" s="85" t="s">
        <v>135</v>
      </c>
      <c r="B21" s="86">
        <v>43999</v>
      </c>
      <c r="C21" s="86">
        <v>99387.39</v>
      </c>
      <c r="D21" s="86">
        <v>-55388.39</v>
      </c>
      <c r="E21" s="86">
        <v>77695.63</v>
      </c>
      <c r="F21" s="88">
        <v>22307.24</v>
      </c>
      <c r="G21" s="98">
        <f t="shared" si="1"/>
        <v>2.7730551218585746E-4</v>
      </c>
    </row>
    <row r="22" spans="1:7" ht="15.4" x14ac:dyDescent="0.45">
      <c r="A22" s="85" t="s">
        <v>23</v>
      </c>
      <c r="B22" s="86">
        <v>681249</v>
      </c>
      <c r="C22" s="86">
        <v>785338</v>
      </c>
      <c r="D22" s="86">
        <v>-104089</v>
      </c>
      <c r="E22" s="86">
        <v>170772</v>
      </c>
      <c r="F22" s="88">
        <v>66683</v>
      </c>
      <c r="G22" s="98">
        <f t="shared" si="1"/>
        <v>4.2935999197959776E-3</v>
      </c>
    </row>
    <row r="23" spans="1:7" ht="15.4" x14ac:dyDescent="0.45">
      <c r="A23" s="85" t="s">
        <v>24</v>
      </c>
      <c r="B23" s="86">
        <v>5792573</v>
      </c>
      <c r="C23" s="86">
        <v>4957028.58</v>
      </c>
      <c r="D23" s="86">
        <v>835544.42</v>
      </c>
      <c r="E23" s="86">
        <v>93895.86</v>
      </c>
      <c r="F23" s="88">
        <v>658210.85</v>
      </c>
      <c r="G23" s="98">
        <f t="shared" si="1"/>
        <v>3.6507930240209298E-2</v>
      </c>
    </row>
    <row r="24" spans="1:7" ht="15.4" x14ac:dyDescent="0.45">
      <c r="A24" s="85" t="s">
        <v>136</v>
      </c>
      <c r="B24" s="86">
        <v>24214</v>
      </c>
      <c r="C24" s="86">
        <v>58980</v>
      </c>
      <c r="D24" s="86">
        <v>-34766</v>
      </c>
      <c r="E24" s="86">
        <v>30984.68</v>
      </c>
      <c r="F24" s="88">
        <v>-3781.32</v>
      </c>
      <c r="G24" s="98">
        <f t="shared" si="1"/>
        <v>1.5260973367731888E-4</v>
      </c>
    </row>
    <row r="25" spans="1:7" ht="15.4" x14ac:dyDescent="0.45">
      <c r="A25" s="85" t="s">
        <v>25</v>
      </c>
      <c r="B25" s="86">
        <v>203341</v>
      </c>
      <c r="C25" s="86">
        <v>218596</v>
      </c>
      <c r="D25" s="86">
        <v>-15255</v>
      </c>
      <c r="E25" s="86">
        <v>6968</v>
      </c>
      <c r="F25" s="88">
        <v>-8287</v>
      </c>
      <c r="G25" s="98">
        <f t="shared" si="1"/>
        <v>1.2815650390550796E-3</v>
      </c>
    </row>
    <row r="26" spans="1:7" ht="15.4" x14ac:dyDescent="0.45">
      <c r="A26" s="85" t="s">
        <v>26</v>
      </c>
      <c r="B26" s="86">
        <v>22630</v>
      </c>
      <c r="C26" s="86">
        <v>103402.27</v>
      </c>
      <c r="D26" s="86">
        <v>-80772.27</v>
      </c>
      <c r="E26" s="86">
        <v>11152.56</v>
      </c>
      <c r="F26" s="88">
        <v>-69619.710000000006</v>
      </c>
      <c r="G26" s="98">
        <f t="shared" si="1"/>
        <v>1.4262650834714322E-4</v>
      </c>
    </row>
    <row r="27" spans="1:7" ht="15.4" x14ac:dyDescent="0.45">
      <c r="A27" s="85" t="s">
        <v>27</v>
      </c>
      <c r="B27" s="86">
        <v>115150</v>
      </c>
      <c r="C27" s="86">
        <v>121707.61</v>
      </c>
      <c r="D27" s="86">
        <v>-6557.61</v>
      </c>
      <c r="E27" s="86">
        <v>65119.03</v>
      </c>
      <c r="F27" s="88">
        <v>50684.49</v>
      </c>
      <c r="G27" s="98">
        <f t="shared" si="1"/>
        <v>7.2573762422331167E-4</v>
      </c>
    </row>
    <row r="28" spans="1:7" ht="15.4" x14ac:dyDescent="0.45">
      <c r="A28" s="85" t="s">
        <v>118</v>
      </c>
      <c r="B28" s="86">
        <v>29312</v>
      </c>
      <c r="C28" s="86">
        <v>53261.15</v>
      </c>
      <c r="D28" s="86">
        <v>-23949.15</v>
      </c>
      <c r="E28" s="86">
        <v>15225</v>
      </c>
      <c r="F28" s="88">
        <v>-8724.15</v>
      </c>
      <c r="G28" s="98">
        <f t="shared" si="1"/>
        <v>1.8474008893819982E-4</v>
      </c>
    </row>
    <row r="29" spans="1:7" ht="15.4" x14ac:dyDescent="0.45">
      <c r="A29" s="85" t="s">
        <v>28</v>
      </c>
      <c r="B29" s="86">
        <v>1172833</v>
      </c>
      <c r="C29" s="86">
        <v>836705.64</v>
      </c>
      <c r="D29" s="86">
        <v>336127.36</v>
      </c>
      <c r="E29" s="87">
        <v>0</v>
      </c>
      <c r="F29" s="88">
        <v>336127.36</v>
      </c>
      <c r="G29" s="98">
        <f t="shared" si="1"/>
        <v>7.3918283545870538E-3</v>
      </c>
    </row>
    <row r="30" spans="1:7" ht="15.4" x14ac:dyDescent="0.45">
      <c r="A30" s="85" t="s">
        <v>8</v>
      </c>
      <c r="B30" s="86">
        <v>147147</v>
      </c>
      <c r="C30" s="86">
        <v>71129</v>
      </c>
      <c r="D30" s="86">
        <v>76018</v>
      </c>
      <c r="E30" s="87">
        <v>0</v>
      </c>
      <c r="F30" s="88">
        <v>76018</v>
      </c>
      <c r="G30" s="98">
        <f t="shared" si="1"/>
        <v>9.2740003640110846E-4</v>
      </c>
    </row>
    <row r="31" spans="1:7" ht="15.4" x14ac:dyDescent="0.45">
      <c r="A31" s="85" t="s">
        <v>29</v>
      </c>
      <c r="B31" s="87"/>
      <c r="C31" s="87"/>
      <c r="D31" s="87"/>
      <c r="E31" s="87"/>
      <c r="F31" s="89"/>
      <c r="G31" s="98">
        <f t="shared" si="1"/>
        <v>0</v>
      </c>
    </row>
    <row r="32" spans="1:7" ht="15.4" x14ac:dyDescent="0.45">
      <c r="A32" s="85" t="s">
        <v>30</v>
      </c>
      <c r="B32" s="86">
        <v>400977</v>
      </c>
      <c r="C32" s="86">
        <v>417816</v>
      </c>
      <c r="D32" s="86">
        <v>-16839</v>
      </c>
      <c r="E32" s="87">
        <v>0</v>
      </c>
      <c r="F32" s="88">
        <v>-16839</v>
      </c>
      <c r="G32" s="98">
        <f t="shared" si="1"/>
        <v>2.5271740803142926E-3</v>
      </c>
    </row>
    <row r="33" spans="1:7" ht="15.4" x14ac:dyDescent="0.45">
      <c r="A33" s="85" t="s">
        <v>31</v>
      </c>
      <c r="B33" s="86">
        <v>304506</v>
      </c>
      <c r="C33" s="86">
        <v>428074.6</v>
      </c>
      <c r="D33" s="86">
        <v>-123568.6</v>
      </c>
      <c r="E33" s="87">
        <v>0</v>
      </c>
      <c r="F33" s="88">
        <v>-123568.6</v>
      </c>
      <c r="G33" s="98">
        <f t="shared" si="1"/>
        <v>1.9191616239838795E-3</v>
      </c>
    </row>
    <row r="34" spans="1:7" ht="15.4" x14ac:dyDescent="0.45">
      <c r="A34" s="85" t="s">
        <v>32</v>
      </c>
      <c r="B34" s="86">
        <v>95714</v>
      </c>
      <c r="C34" s="86">
        <v>171098</v>
      </c>
      <c r="D34" s="86">
        <v>-75384</v>
      </c>
      <c r="E34" s="86">
        <v>7977</v>
      </c>
      <c r="F34" s="88">
        <v>-67407</v>
      </c>
      <c r="G34" s="98">
        <f t="shared" si="1"/>
        <v>6.0324143260885848E-4</v>
      </c>
    </row>
    <row r="35" spans="1:7" ht="15.4" x14ac:dyDescent="0.45">
      <c r="A35" s="85" t="s">
        <v>33</v>
      </c>
      <c r="B35" s="87"/>
      <c r="C35" s="87"/>
      <c r="D35" s="87"/>
      <c r="E35" s="87"/>
      <c r="F35" s="89"/>
      <c r="G35" s="98">
        <f t="shared" si="1"/>
        <v>0</v>
      </c>
    </row>
    <row r="36" spans="1:7" ht="15.4" x14ac:dyDescent="0.45">
      <c r="A36" s="85" t="s">
        <v>34</v>
      </c>
      <c r="B36" s="86">
        <v>19618</v>
      </c>
      <c r="C36" s="86">
        <v>16731.62</v>
      </c>
      <c r="D36" s="86">
        <v>2886.38</v>
      </c>
      <c r="E36" s="87">
        <v>0</v>
      </c>
      <c r="F36" s="88">
        <v>2886.38</v>
      </c>
      <c r="G36" s="98">
        <f t="shared" si="1"/>
        <v>1.2364325412082437E-4</v>
      </c>
    </row>
    <row r="37" spans="1:7" ht="15.4" x14ac:dyDescent="0.45">
      <c r="A37" s="85" t="s">
        <v>35</v>
      </c>
      <c r="B37" s="86">
        <v>606208</v>
      </c>
      <c r="C37" s="86">
        <v>763202</v>
      </c>
      <c r="D37" s="86">
        <v>-156994</v>
      </c>
      <c r="E37" s="86">
        <v>152412</v>
      </c>
      <c r="F37" s="88">
        <v>-4582</v>
      </c>
      <c r="G37" s="98">
        <f t="shared" si="1"/>
        <v>3.82065092232015E-3</v>
      </c>
    </row>
    <row r="38" spans="1:7" ht="15.4" x14ac:dyDescent="0.45">
      <c r="A38" s="85" t="s">
        <v>36</v>
      </c>
      <c r="B38" s="86">
        <v>1016895</v>
      </c>
      <c r="C38" s="86">
        <v>685713</v>
      </c>
      <c r="D38" s="86">
        <v>331182</v>
      </c>
      <c r="E38" s="87">
        <v>61</v>
      </c>
      <c r="F38" s="88">
        <v>248432</v>
      </c>
      <c r="G38" s="98">
        <f t="shared" si="1"/>
        <v>6.409022678111719E-3</v>
      </c>
    </row>
    <row r="39" spans="1:7" ht="15.4" x14ac:dyDescent="0.45">
      <c r="A39" s="85" t="s">
        <v>37</v>
      </c>
      <c r="B39" s="87"/>
      <c r="C39" s="87"/>
      <c r="D39" s="87"/>
      <c r="E39" s="87"/>
      <c r="F39" s="89"/>
      <c r="G39" s="98">
        <f t="shared" si="1"/>
        <v>0</v>
      </c>
    </row>
    <row r="40" spans="1:7" ht="15.4" x14ac:dyDescent="0.45">
      <c r="A40" s="85" t="s">
        <v>119</v>
      </c>
      <c r="B40" s="87"/>
      <c r="C40" s="87"/>
      <c r="D40" s="87"/>
      <c r="E40" s="87"/>
      <c r="F40" s="89"/>
      <c r="G40" s="98">
        <f t="shared" si="1"/>
        <v>0</v>
      </c>
    </row>
    <row r="41" spans="1:7" ht="15.4" x14ac:dyDescent="0.45">
      <c r="A41" s="85" t="s">
        <v>38</v>
      </c>
      <c r="B41" s="87"/>
      <c r="C41" s="87"/>
      <c r="D41" s="87"/>
      <c r="E41" s="87"/>
      <c r="F41" s="89"/>
      <c r="G41" s="98">
        <f t="shared" si="1"/>
        <v>0</v>
      </c>
    </row>
    <row r="42" spans="1:7" ht="15.4" x14ac:dyDescent="0.45">
      <c r="A42" s="85" t="s">
        <v>39</v>
      </c>
      <c r="B42" s="86">
        <v>15837845</v>
      </c>
      <c r="C42" s="86">
        <v>6685982.1600000001</v>
      </c>
      <c r="D42" s="86">
        <v>9151862.8399999999</v>
      </c>
      <c r="E42" s="86">
        <v>1961762</v>
      </c>
      <c r="F42" s="88">
        <v>8301494.8399999999</v>
      </c>
      <c r="G42" s="98">
        <f t="shared" si="1"/>
        <v>9.9818671325376071E-2</v>
      </c>
    </row>
    <row r="43" spans="1:7" ht="15.4" x14ac:dyDescent="0.45">
      <c r="A43" s="85" t="s">
        <v>40</v>
      </c>
      <c r="B43" s="86">
        <v>245304</v>
      </c>
      <c r="C43" s="86">
        <v>140330</v>
      </c>
      <c r="D43" s="86">
        <v>104974</v>
      </c>
      <c r="E43" s="86">
        <v>31456</v>
      </c>
      <c r="F43" s="88">
        <v>136430</v>
      </c>
      <c r="G43" s="98">
        <f t="shared" si="1"/>
        <v>1.5460385772685648E-3</v>
      </c>
    </row>
    <row r="44" spans="1:7" ht="15.4" x14ac:dyDescent="0.45">
      <c r="A44" s="85" t="s">
        <v>41</v>
      </c>
      <c r="B44" s="86">
        <v>190459</v>
      </c>
      <c r="C44" s="86">
        <v>235540</v>
      </c>
      <c r="D44" s="86">
        <v>-45081</v>
      </c>
      <c r="E44" s="87">
        <v>172</v>
      </c>
      <c r="F44" s="88">
        <v>-44909</v>
      </c>
      <c r="G44" s="98">
        <f t="shared" si="1"/>
        <v>1.2003757027524769E-3</v>
      </c>
    </row>
    <row r="45" spans="1:7" ht="15.4" x14ac:dyDescent="0.45">
      <c r="A45" s="85" t="s">
        <v>121</v>
      </c>
      <c r="B45" s="86">
        <v>2648519</v>
      </c>
      <c r="C45" s="86">
        <v>2019336.2</v>
      </c>
      <c r="D45" s="86">
        <v>629182.80000000005</v>
      </c>
      <c r="E45" s="86">
        <v>103480.32000000001</v>
      </c>
      <c r="F45" s="88">
        <v>549497.31999999995</v>
      </c>
      <c r="G45" s="98">
        <f t="shared" si="1"/>
        <v>1.6692400232481988E-2</v>
      </c>
    </row>
    <row r="46" spans="1:7" ht="15.4" x14ac:dyDescent="0.45">
      <c r="A46" s="85" t="s">
        <v>43</v>
      </c>
      <c r="B46" s="86">
        <v>1933252</v>
      </c>
      <c r="C46" s="86">
        <v>1805138</v>
      </c>
      <c r="D46" s="86">
        <v>128114</v>
      </c>
      <c r="E46" s="86">
        <v>1791.5</v>
      </c>
      <c r="F46" s="88">
        <v>97429.5</v>
      </c>
      <c r="G46" s="98">
        <f t="shared" si="1"/>
        <v>1.21844004646545E-2</v>
      </c>
    </row>
    <row r="47" spans="1:7" ht="15.4" x14ac:dyDescent="0.45">
      <c r="A47" s="85" t="s">
        <v>44</v>
      </c>
      <c r="B47" s="86">
        <v>748718</v>
      </c>
      <c r="C47" s="86">
        <v>325280.12</v>
      </c>
      <c r="D47" s="86">
        <v>423437.88</v>
      </c>
      <c r="E47" s="87">
        <v>0</v>
      </c>
      <c r="F47" s="88">
        <v>423437.88</v>
      </c>
      <c r="G47" s="98">
        <f t="shared" si="1"/>
        <v>4.7188260749737683E-3</v>
      </c>
    </row>
    <row r="48" spans="1:7" ht="15.4" x14ac:dyDescent="0.45">
      <c r="A48" s="85" t="s">
        <v>45</v>
      </c>
      <c r="B48" s="87"/>
      <c r="C48" s="87"/>
      <c r="D48" s="87"/>
      <c r="E48" s="87"/>
      <c r="F48" s="89"/>
      <c r="G48" s="98">
        <f t="shared" si="1"/>
        <v>0</v>
      </c>
    </row>
    <row r="49" spans="1:7" ht="15.4" x14ac:dyDescent="0.45">
      <c r="A49" s="85" t="s">
        <v>137</v>
      </c>
      <c r="B49" s="87"/>
      <c r="C49" s="87"/>
      <c r="D49" s="87"/>
      <c r="E49" s="87"/>
      <c r="F49" s="89"/>
      <c r="G49" s="98">
        <f t="shared" si="1"/>
        <v>0</v>
      </c>
    </row>
    <row r="50" spans="1:7" ht="15.4" x14ac:dyDescent="0.45">
      <c r="A50" s="85" t="s">
        <v>46</v>
      </c>
      <c r="B50" s="86">
        <v>434656</v>
      </c>
      <c r="C50" s="86">
        <v>579038.80000000005</v>
      </c>
      <c r="D50" s="86">
        <v>-144382.79999999999</v>
      </c>
      <c r="E50" s="86">
        <v>162087.82</v>
      </c>
      <c r="F50" s="88">
        <v>10634.02</v>
      </c>
      <c r="G50" s="98">
        <f t="shared" si="1"/>
        <v>2.7394373668641575E-3</v>
      </c>
    </row>
    <row r="51" spans="1:7" ht="15.4" x14ac:dyDescent="0.45">
      <c r="A51" s="85" t="s">
        <v>47</v>
      </c>
      <c r="B51" s="86">
        <v>51846</v>
      </c>
      <c r="C51" s="86">
        <v>54770</v>
      </c>
      <c r="D51" s="86">
        <v>2924</v>
      </c>
      <c r="E51" s="86">
        <v>51846</v>
      </c>
      <c r="F51" s="88">
        <v>2924</v>
      </c>
      <c r="G51" s="98">
        <f t="shared" si="1"/>
        <v>3.2676155332593846E-4</v>
      </c>
    </row>
    <row r="52" spans="1:7" ht="15.4" x14ac:dyDescent="0.45">
      <c r="A52" s="85" t="s">
        <v>48</v>
      </c>
      <c r="B52" s="86">
        <v>139073</v>
      </c>
      <c r="C52" s="86">
        <v>131841</v>
      </c>
      <c r="D52" s="86">
        <v>7232</v>
      </c>
      <c r="E52" s="86">
        <v>162488</v>
      </c>
      <c r="F52" s="88">
        <v>169720</v>
      </c>
      <c r="G52" s="98">
        <f t="shared" si="1"/>
        <v>8.7651331839868534E-4</v>
      </c>
    </row>
    <row r="53" spans="1:7" ht="15.4" x14ac:dyDescent="0.45">
      <c r="A53" s="85" t="s">
        <v>49</v>
      </c>
      <c r="B53" s="87"/>
      <c r="C53" s="87"/>
      <c r="D53" s="87"/>
      <c r="E53" s="87"/>
      <c r="F53" s="89"/>
      <c r="G53" s="98">
        <f t="shared" si="1"/>
        <v>0</v>
      </c>
    </row>
    <row r="54" spans="1:7" ht="15.4" x14ac:dyDescent="0.45">
      <c r="A54" s="85" t="s">
        <v>50</v>
      </c>
      <c r="B54" s="86">
        <v>1089389</v>
      </c>
      <c r="C54" s="86">
        <v>852746</v>
      </c>
      <c r="D54" s="86">
        <v>236643</v>
      </c>
      <c r="E54" s="86">
        <v>210380</v>
      </c>
      <c r="F54" s="88">
        <v>335267</v>
      </c>
      <c r="G54" s="98">
        <f t="shared" si="1"/>
        <v>6.8659191030395941E-3</v>
      </c>
    </row>
    <row r="55" spans="1:7" ht="15.4" x14ac:dyDescent="0.45">
      <c r="A55" s="85" t="s">
        <v>123</v>
      </c>
      <c r="B55" s="86">
        <v>239363</v>
      </c>
      <c r="C55" s="86">
        <v>212493.8</v>
      </c>
      <c r="D55" s="86">
        <v>26869.200000000001</v>
      </c>
      <c r="E55" s="86">
        <v>36388.68</v>
      </c>
      <c r="F55" s="88">
        <v>61247.88</v>
      </c>
      <c r="G55" s="98">
        <f t="shared" si="1"/>
        <v>1.5085951797391623E-3</v>
      </c>
    </row>
    <row r="56" spans="1:7" ht="15.4" x14ac:dyDescent="0.45">
      <c r="A56" s="85" t="s">
        <v>51</v>
      </c>
      <c r="B56" s="86">
        <v>120057</v>
      </c>
      <c r="C56" s="86">
        <v>180877</v>
      </c>
      <c r="D56" s="86">
        <v>-60820</v>
      </c>
      <c r="E56" s="86">
        <v>15158</v>
      </c>
      <c r="F56" s="88">
        <v>-45662</v>
      </c>
      <c r="G56" s="98">
        <f t="shared" si="1"/>
        <v>7.5666419410662725E-4</v>
      </c>
    </row>
    <row r="57" spans="1:7" ht="15.4" x14ac:dyDescent="0.45">
      <c r="A57" s="85" t="s">
        <v>138</v>
      </c>
      <c r="B57" s="87"/>
      <c r="C57" s="87"/>
      <c r="D57" s="87"/>
      <c r="E57" s="87"/>
      <c r="F57" s="89"/>
      <c r="G57" s="98">
        <f t="shared" si="1"/>
        <v>0</v>
      </c>
    </row>
    <row r="58" spans="1:7" ht="15.4" x14ac:dyDescent="0.45">
      <c r="A58" s="85" t="s">
        <v>52</v>
      </c>
      <c r="B58" s="86">
        <v>6020652</v>
      </c>
      <c r="C58" s="86">
        <v>5560548.0499999998</v>
      </c>
      <c r="D58" s="86">
        <v>460103.95</v>
      </c>
      <c r="E58" s="86">
        <v>18698</v>
      </c>
      <c r="F58" s="88">
        <v>478801.95</v>
      </c>
      <c r="G58" s="98">
        <f t="shared" si="1"/>
        <v>3.7945407544553444E-2</v>
      </c>
    </row>
    <row r="59" spans="1:7" ht="15.4" x14ac:dyDescent="0.45">
      <c r="A59" s="85" t="s">
        <v>53</v>
      </c>
      <c r="B59" s="87"/>
      <c r="C59" s="87"/>
      <c r="D59" s="87"/>
      <c r="E59" s="87"/>
      <c r="F59" s="89"/>
      <c r="G59" s="98">
        <f t="shared" si="1"/>
        <v>0</v>
      </c>
    </row>
    <row r="60" spans="1:7" ht="15.4" x14ac:dyDescent="0.45">
      <c r="A60" s="85" t="s">
        <v>54</v>
      </c>
      <c r="B60" s="86">
        <v>1235504</v>
      </c>
      <c r="C60" s="86">
        <v>526947</v>
      </c>
      <c r="D60" s="86">
        <v>708557</v>
      </c>
      <c r="E60" s="86">
        <v>140425</v>
      </c>
      <c r="F60" s="88">
        <v>848982</v>
      </c>
      <c r="G60" s="98">
        <f t="shared" si="1"/>
        <v>7.7868149168771024E-3</v>
      </c>
    </row>
    <row r="61" spans="1:7" ht="15.4" x14ac:dyDescent="0.45">
      <c r="A61" s="85" t="s">
        <v>55</v>
      </c>
      <c r="B61" s="86">
        <v>59579</v>
      </c>
      <c r="C61" s="86">
        <v>146013.13</v>
      </c>
      <c r="D61" s="86">
        <v>-86434.13</v>
      </c>
      <c r="E61" s="87">
        <v>271</v>
      </c>
      <c r="F61" s="88">
        <v>-86163.13</v>
      </c>
      <c r="G61" s="98">
        <f t="shared" si="1"/>
        <v>3.7549910476422649E-4</v>
      </c>
    </row>
    <row r="62" spans="1:7" ht="15.4" x14ac:dyDescent="0.45">
      <c r="A62" s="85" t="s">
        <v>56</v>
      </c>
      <c r="B62" s="86">
        <v>642037</v>
      </c>
      <c r="C62" s="86">
        <v>425407</v>
      </c>
      <c r="D62" s="86">
        <v>216630</v>
      </c>
      <c r="E62" s="86">
        <v>1934</v>
      </c>
      <c r="F62" s="88">
        <v>163923</v>
      </c>
      <c r="G62" s="98">
        <f t="shared" si="1"/>
        <v>4.0464646725441797E-3</v>
      </c>
    </row>
    <row r="63" spans="1:7" ht="15.4" x14ac:dyDescent="0.45">
      <c r="A63" s="85" t="s">
        <v>57</v>
      </c>
      <c r="B63" s="86">
        <v>2040395</v>
      </c>
      <c r="C63" s="86">
        <v>1728755</v>
      </c>
      <c r="D63" s="86">
        <v>311640</v>
      </c>
      <c r="E63" s="86">
        <v>855482</v>
      </c>
      <c r="F63" s="88">
        <v>875341</v>
      </c>
      <c r="G63" s="98">
        <f t="shared" si="1"/>
        <v>1.2859673641138722E-2</v>
      </c>
    </row>
    <row r="64" spans="1:7" ht="15.4" x14ac:dyDescent="0.45">
      <c r="A64" s="85" t="s">
        <v>58</v>
      </c>
      <c r="B64" s="87"/>
      <c r="C64" s="87"/>
      <c r="D64" s="87"/>
      <c r="E64" s="87"/>
      <c r="F64" s="89"/>
      <c r="G64" s="98">
        <f t="shared" si="1"/>
        <v>0</v>
      </c>
    </row>
    <row r="65" spans="1:7" ht="15.4" x14ac:dyDescent="0.45">
      <c r="A65" s="85" t="s">
        <v>60</v>
      </c>
      <c r="B65" s="86">
        <v>7571972</v>
      </c>
      <c r="C65" s="86">
        <v>3226897.38</v>
      </c>
      <c r="D65" s="86">
        <v>4345074.62</v>
      </c>
      <c r="E65" s="86">
        <v>1435226.53</v>
      </c>
      <c r="F65" s="88">
        <v>5780301.1500000004</v>
      </c>
      <c r="G65" s="98">
        <f t="shared" si="1"/>
        <v>4.7722665826881783E-2</v>
      </c>
    </row>
    <row r="66" spans="1:7" ht="15.4" x14ac:dyDescent="0.45">
      <c r="A66" s="85" t="s">
        <v>61</v>
      </c>
      <c r="B66" s="86">
        <v>550672</v>
      </c>
      <c r="C66" s="86">
        <v>347429.04</v>
      </c>
      <c r="D66" s="86">
        <v>203242.96</v>
      </c>
      <c r="E66" s="86">
        <v>350024.35</v>
      </c>
      <c r="F66" s="88">
        <v>465904.93</v>
      </c>
      <c r="G66" s="98">
        <f t="shared" si="1"/>
        <v>3.4706329918045981E-3</v>
      </c>
    </row>
    <row r="67" spans="1:7" ht="15.4" x14ac:dyDescent="0.45">
      <c r="A67" s="85" t="s">
        <v>62</v>
      </c>
      <c r="B67" s="86">
        <v>634710</v>
      </c>
      <c r="C67" s="86">
        <v>364480</v>
      </c>
      <c r="D67" s="86">
        <v>270230</v>
      </c>
      <c r="E67" s="86">
        <v>74025</v>
      </c>
      <c r="F67" s="88">
        <v>258191</v>
      </c>
      <c r="G67" s="98">
        <f t="shared" si="1"/>
        <v>4.0002859528508738E-3</v>
      </c>
    </row>
    <row r="68" spans="1:7" ht="15.4" x14ac:dyDescent="0.45">
      <c r="A68" s="85" t="s">
        <v>63</v>
      </c>
      <c r="B68" s="86">
        <v>862121</v>
      </c>
      <c r="C68" s="86">
        <v>297235.81</v>
      </c>
      <c r="D68" s="86">
        <v>564885.18999999994</v>
      </c>
      <c r="E68" s="86">
        <v>40709</v>
      </c>
      <c r="F68" s="88">
        <v>500143.19</v>
      </c>
      <c r="G68" s="98">
        <f t="shared" si="1"/>
        <v>5.4335531596441649E-3</v>
      </c>
    </row>
    <row r="69" spans="1:7" ht="15.4" x14ac:dyDescent="0.45">
      <c r="A69" s="85" t="s">
        <v>64</v>
      </c>
      <c r="B69" s="86">
        <v>263575</v>
      </c>
      <c r="C69" s="86">
        <v>177963.3</v>
      </c>
      <c r="D69" s="86">
        <v>85611.7</v>
      </c>
      <c r="E69" s="86">
        <v>128235.83</v>
      </c>
      <c r="F69" s="88">
        <v>162307.82</v>
      </c>
      <c r="G69" s="98">
        <f t="shared" si="1"/>
        <v>1.6611923083339935E-3</v>
      </c>
    </row>
    <row r="70" spans="1:7" ht="15.4" x14ac:dyDescent="0.45">
      <c r="A70" s="85" t="s">
        <v>65</v>
      </c>
      <c r="B70" s="86">
        <v>27616322</v>
      </c>
      <c r="C70" s="86">
        <v>19707745.699999999</v>
      </c>
      <c r="D70" s="86">
        <v>7908576.2999999998</v>
      </c>
      <c r="E70" s="86">
        <v>4924562.03</v>
      </c>
      <c r="F70" s="88">
        <v>9624853.75</v>
      </c>
      <c r="G70" s="98">
        <f t="shared" si="1"/>
        <v>0.17405300840699933</v>
      </c>
    </row>
    <row r="71" spans="1:7" ht="15.4" x14ac:dyDescent="0.45">
      <c r="A71" s="85" t="s">
        <v>66</v>
      </c>
      <c r="B71" s="86">
        <v>9242466</v>
      </c>
      <c r="C71" s="86">
        <v>4476421.82</v>
      </c>
      <c r="D71" s="86">
        <v>4766044.18</v>
      </c>
      <c r="E71" s="86">
        <v>2833857.89</v>
      </c>
      <c r="F71" s="88">
        <v>5699926.0700000003</v>
      </c>
      <c r="G71" s="98">
        <f t="shared" ref="G71:G127" si="2">B71/$B$127</f>
        <v>5.8251023159398473E-2</v>
      </c>
    </row>
    <row r="72" spans="1:7" ht="15.4" x14ac:dyDescent="0.45">
      <c r="A72" s="85" t="s">
        <v>67</v>
      </c>
      <c r="B72" s="86">
        <v>744577</v>
      </c>
      <c r="C72" s="86">
        <v>631551.29</v>
      </c>
      <c r="D72" s="86">
        <v>113025.71</v>
      </c>
      <c r="E72" s="87">
        <v>432.8</v>
      </c>
      <c r="F72" s="88">
        <v>85093.83</v>
      </c>
      <c r="G72" s="98">
        <f t="shared" si="2"/>
        <v>4.6927272516832019E-3</v>
      </c>
    </row>
    <row r="73" spans="1:7" ht="15.4" x14ac:dyDescent="0.45">
      <c r="A73" s="85" t="s">
        <v>139</v>
      </c>
      <c r="B73" s="86">
        <v>63425</v>
      </c>
      <c r="C73" s="86">
        <v>35565</v>
      </c>
      <c r="D73" s="86">
        <v>27860</v>
      </c>
      <c r="E73" s="87">
        <v>0</v>
      </c>
      <c r="F73" s="88">
        <v>27428</v>
      </c>
      <c r="G73" s="98">
        <f t="shared" si="2"/>
        <v>3.9973867838787269E-4</v>
      </c>
    </row>
    <row r="74" spans="1:7" ht="15.4" x14ac:dyDescent="0.45">
      <c r="A74" s="85" t="s">
        <v>68</v>
      </c>
      <c r="B74" s="87"/>
      <c r="C74" s="87"/>
      <c r="D74" s="87"/>
      <c r="E74" s="87"/>
      <c r="F74" s="89"/>
      <c r="G74" s="98">
        <f t="shared" si="2"/>
        <v>0</v>
      </c>
    </row>
    <row r="75" spans="1:7" ht="15.4" x14ac:dyDescent="0.45">
      <c r="A75" s="85" t="s">
        <v>69</v>
      </c>
      <c r="B75" s="86">
        <v>1127454</v>
      </c>
      <c r="C75" s="86">
        <v>748052</v>
      </c>
      <c r="D75" s="86">
        <v>379402</v>
      </c>
      <c r="E75" s="86">
        <v>18500</v>
      </c>
      <c r="F75" s="86">
        <v>397902</v>
      </c>
      <c r="G75" s="98">
        <f t="shared" si="2"/>
        <v>7.1058253354847551E-3</v>
      </c>
    </row>
    <row r="76" spans="1:7" ht="15.4" x14ac:dyDescent="0.45">
      <c r="A76" s="85" t="s">
        <v>141</v>
      </c>
      <c r="B76" s="87"/>
      <c r="C76" s="87"/>
      <c r="D76" s="87"/>
      <c r="E76" s="87"/>
      <c r="F76" s="89"/>
      <c r="G76" s="98">
        <f t="shared" si="2"/>
        <v>0</v>
      </c>
    </row>
    <row r="77" spans="1:7" ht="15.4" x14ac:dyDescent="0.45">
      <c r="A77" s="85" t="s">
        <v>151</v>
      </c>
      <c r="B77" s="87"/>
      <c r="C77" s="87"/>
      <c r="D77" s="87"/>
      <c r="E77" s="87"/>
      <c r="F77" s="89"/>
      <c r="G77" s="98">
        <f t="shared" si="2"/>
        <v>0</v>
      </c>
    </row>
    <row r="78" spans="1:7" ht="15.4" x14ac:dyDescent="0.45">
      <c r="A78" s="85" t="s">
        <v>110</v>
      </c>
      <c r="B78" s="86">
        <v>252787</v>
      </c>
      <c r="C78" s="86">
        <v>88138</v>
      </c>
      <c r="D78" s="86">
        <v>164649</v>
      </c>
      <c r="E78" s="87">
        <v>0</v>
      </c>
      <c r="F78" s="88">
        <v>120112</v>
      </c>
      <c r="G78" s="98">
        <f t="shared" si="2"/>
        <v>1.5932004933959035E-3</v>
      </c>
    </row>
    <row r="79" spans="1:7" ht="15.4" x14ac:dyDescent="0.45">
      <c r="A79" s="85" t="s">
        <v>142</v>
      </c>
      <c r="B79" s="87"/>
      <c r="C79" s="87"/>
      <c r="D79" s="87"/>
      <c r="E79" s="87"/>
      <c r="F79" s="89"/>
      <c r="G79" s="98">
        <f t="shared" si="2"/>
        <v>0</v>
      </c>
    </row>
    <row r="80" spans="1:7" ht="15.4" x14ac:dyDescent="0.45">
      <c r="A80" s="85" t="s">
        <v>143</v>
      </c>
      <c r="B80" s="86">
        <v>41370</v>
      </c>
      <c r="C80" s="86">
        <v>320470.5</v>
      </c>
      <c r="D80" s="86">
        <v>-279100.5</v>
      </c>
      <c r="E80" s="86">
        <v>7695</v>
      </c>
      <c r="F80" s="88">
        <v>-274450.5</v>
      </c>
      <c r="G80" s="98">
        <f t="shared" si="2"/>
        <v>2.6073613125591317E-4</v>
      </c>
    </row>
    <row r="81" spans="1:7" ht="15.4" x14ac:dyDescent="0.45">
      <c r="A81" s="85" t="s">
        <v>125</v>
      </c>
      <c r="B81" s="86">
        <v>18133</v>
      </c>
      <c r="C81" s="86">
        <v>59259.67</v>
      </c>
      <c r="D81" s="86">
        <v>-41126.67</v>
      </c>
      <c r="E81" s="87">
        <v>0</v>
      </c>
      <c r="F81" s="88">
        <v>-41126.67</v>
      </c>
      <c r="G81" s="98">
        <f t="shared" si="2"/>
        <v>1.1428398037378471E-4</v>
      </c>
    </row>
    <row r="82" spans="1:7" ht="15.4" x14ac:dyDescent="0.45">
      <c r="A82" s="85" t="s">
        <v>71</v>
      </c>
      <c r="B82" s="86">
        <v>498044</v>
      </c>
      <c r="C82" s="86">
        <v>186022.84</v>
      </c>
      <c r="D82" s="86">
        <v>312021.15999999997</v>
      </c>
      <c r="E82" s="87">
        <v>0</v>
      </c>
      <c r="F82" s="88">
        <v>312021.15999999997</v>
      </c>
      <c r="G82" s="98">
        <f t="shared" si="2"/>
        <v>3.1389428512260094E-3</v>
      </c>
    </row>
    <row r="83" spans="1:7" ht="15.4" x14ac:dyDescent="0.45">
      <c r="A83" s="85" t="s">
        <v>72</v>
      </c>
      <c r="B83" s="87"/>
      <c r="C83" s="87"/>
      <c r="D83" s="87"/>
      <c r="E83" s="87"/>
      <c r="F83" s="89"/>
      <c r="G83" s="98">
        <f t="shared" si="2"/>
        <v>0</v>
      </c>
    </row>
    <row r="84" spans="1:7" ht="15.4" x14ac:dyDescent="0.45">
      <c r="A84" s="85" t="s">
        <v>73</v>
      </c>
      <c r="B84" s="86">
        <v>320590</v>
      </c>
      <c r="C84" s="86">
        <v>243931.34</v>
      </c>
      <c r="D84" s="86">
        <v>76658.66</v>
      </c>
      <c r="E84" s="87">
        <v>0</v>
      </c>
      <c r="F84" s="88">
        <v>76658.67</v>
      </c>
      <c r="G84" s="98">
        <f t="shared" si="2"/>
        <v>2.0205316973491228E-3</v>
      </c>
    </row>
    <row r="85" spans="1:7" ht="15.4" x14ac:dyDescent="0.45">
      <c r="A85" s="85" t="s">
        <v>126</v>
      </c>
      <c r="B85" s="86">
        <v>135400</v>
      </c>
      <c r="C85" s="86">
        <v>137664</v>
      </c>
      <c r="D85" s="86">
        <v>-2264</v>
      </c>
      <c r="E85" s="87">
        <v>0</v>
      </c>
      <c r="F85" s="88">
        <v>-8668</v>
      </c>
      <c r="G85" s="98">
        <f t="shared" si="2"/>
        <v>8.5336408441021613E-4</v>
      </c>
    </row>
    <row r="86" spans="1:7" ht="15.4" x14ac:dyDescent="0.45">
      <c r="A86" s="85" t="s">
        <v>75</v>
      </c>
      <c r="B86" s="86">
        <v>25872.73</v>
      </c>
      <c r="C86" s="86">
        <v>43401.75</v>
      </c>
      <c r="D86" s="86">
        <v>17529.02</v>
      </c>
      <c r="E86" s="87"/>
      <c r="F86" s="89"/>
      <c r="G86" s="98">
        <f t="shared" si="2"/>
        <v>1.6306394791464353E-4</v>
      </c>
    </row>
    <row r="87" spans="1:7" ht="15.4" x14ac:dyDescent="0.45">
      <c r="A87" s="85" t="s">
        <v>76</v>
      </c>
      <c r="B87" s="87"/>
      <c r="C87" s="87"/>
      <c r="D87" s="87"/>
      <c r="E87" s="87"/>
      <c r="F87" s="89"/>
      <c r="G87" s="98">
        <f t="shared" si="2"/>
        <v>0</v>
      </c>
    </row>
    <row r="88" spans="1:7" ht="15.4" x14ac:dyDescent="0.45">
      <c r="A88" s="85" t="s">
        <v>127</v>
      </c>
      <c r="B88" s="87"/>
      <c r="C88" s="87"/>
      <c r="D88" s="87"/>
      <c r="E88" s="87"/>
      <c r="F88" s="89"/>
      <c r="G88" s="98">
        <f t="shared" si="2"/>
        <v>0</v>
      </c>
    </row>
    <row r="89" spans="1:7" ht="15.4" x14ac:dyDescent="0.45">
      <c r="A89" s="85" t="s">
        <v>77</v>
      </c>
      <c r="B89" s="86">
        <v>7953688</v>
      </c>
      <c r="C89" s="86">
        <v>3808151.13</v>
      </c>
      <c r="D89" s="86">
        <v>4145536.87</v>
      </c>
      <c r="E89" s="86">
        <v>161455</v>
      </c>
      <c r="F89" s="88">
        <v>3201915.87</v>
      </c>
      <c r="G89" s="98">
        <f t="shared" si="2"/>
        <v>5.0128446660299288E-2</v>
      </c>
    </row>
    <row r="90" spans="1:7" ht="15.4" x14ac:dyDescent="0.45">
      <c r="A90" s="85" t="s">
        <v>78</v>
      </c>
      <c r="B90" s="86">
        <v>303658</v>
      </c>
      <c r="C90" s="86">
        <v>337758</v>
      </c>
      <c r="D90" s="86">
        <v>-34100</v>
      </c>
      <c r="E90" s="86">
        <v>47781</v>
      </c>
      <c r="F90" s="88">
        <v>10260</v>
      </c>
      <c r="G90" s="98">
        <f t="shared" si="2"/>
        <v>1.9138170690091391E-3</v>
      </c>
    </row>
    <row r="91" spans="1:7" ht="15.4" x14ac:dyDescent="0.45">
      <c r="A91" s="85" t="s">
        <v>111</v>
      </c>
      <c r="B91" s="86">
        <v>354434</v>
      </c>
      <c r="C91" s="86">
        <v>267122.73</v>
      </c>
      <c r="D91" s="86">
        <v>87311.27</v>
      </c>
      <c r="E91" s="86">
        <v>104541.78</v>
      </c>
      <c r="F91" s="88">
        <v>191853.05</v>
      </c>
      <c r="G91" s="98">
        <f t="shared" si="2"/>
        <v>2.2338349032042138E-3</v>
      </c>
    </row>
    <row r="92" spans="1:7" ht="15.4" x14ac:dyDescent="0.45">
      <c r="A92" s="85" t="s">
        <v>79</v>
      </c>
      <c r="B92" s="87"/>
      <c r="C92" s="87"/>
      <c r="D92" s="87"/>
      <c r="E92" s="87"/>
      <c r="F92" s="89"/>
      <c r="G92" s="98">
        <f t="shared" si="2"/>
        <v>0</v>
      </c>
    </row>
    <row r="93" spans="1:7" ht="15.4" x14ac:dyDescent="0.45">
      <c r="A93" s="85" t="s">
        <v>80</v>
      </c>
      <c r="B93" s="86">
        <v>989614</v>
      </c>
      <c r="C93" s="86">
        <v>802421</v>
      </c>
      <c r="D93" s="86">
        <v>187193</v>
      </c>
      <c r="E93" s="87">
        <v>0</v>
      </c>
      <c r="F93" s="88">
        <v>140395</v>
      </c>
      <c r="G93" s="98">
        <f t="shared" si="2"/>
        <v>6.2370830504396724E-3</v>
      </c>
    </row>
    <row r="94" spans="1:7" ht="15.4" x14ac:dyDescent="0.45">
      <c r="A94" s="85" t="s">
        <v>81</v>
      </c>
      <c r="B94" s="87"/>
      <c r="C94" s="87"/>
      <c r="D94" s="87"/>
      <c r="E94" s="87"/>
      <c r="F94" s="89"/>
      <c r="G94" s="98">
        <f t="shared" si="2"/>
        <v>0</v>
      </c>
    </row>
    <row r="95" spans="1:7" ht="15.4" x14ac:dyDescent="0.45">
      <c r="A95" s="85" t="s">
        <v>82</v>
      </c>
      <c r="B95" s="86">
        <v>16867.509999999998</v>
      </c>
      <c r="C95" s="86">
        <v>25500</v>
      </c>
      <c r="D95" s="86">
        <v>-8813</v>
      </c>
      <c r="E95" s="86">
        <v>145197</v>
      </c>
      <c r="F95" s="88">
        <v>136564.51</v>
      </c>
      <c r="G95" s="98">
        <f t="shared" si="2"/>
        <v>1.0630817745517108E-4</v>
      </c>
    </row>
    <row r="96" spans="1:7" ht="15.4" x14ac:dyDescent="0.45">
      <c r="A96" s="85" t="s">
        <v>83</v>
      </c>
      <c r="B96" s="86">
        <v>1298332</v>
      </c>
      <c r="C96" s="86">
        <v>1671577.99</v>
      </c>
      <c r="D96" s="86">
        <v>-373245.99</v>
      </c>
      <c r="E96" s="86">
        <v>2635233.67</v>
      </c>
      <c r="F96" s="88">
        <v>2261987.6800000002</v>
      </c>
      <c r="G96" s="98">
        <f t="shared" si="2"/>
        <v>8.1827909781424287E-3</v>
      </c>
    </row>
    <row r="97" spans="1:7" ht="15.4" x14ac:dyDescent="0.45">
      <c r="A97" s="85" t="s">
        <v>112</v>
      </c>
      <c r="B97" s="86">
        <v>90895</v>
      </c>
      <c r="C97" s="86">
        <v>175003</v>
      </c>
      <c r="D97" s="86">
        <v>-84108</v>
      </c>
      <c r="E97" s="86">
        <v>44878.27</v>
      </c>
      <c r="F97" s="88">
        <v>-53443.73</v>
      </c>
      <c r="G97" s="98">
        <f t="shared" si="2"/>
        <v>5.7286948635499701E-4</v>
      </c>
    </row>
    <row r="98" spans="1:7" ht="15.4" x14ac:dyDescent="0.45">
      <c r="A98" s="85" t="s">
        <v>84</v>
      </c>
      <c r="B98" s="86">
        <v>874328</v>
      </c>
      <c r="C98" s="86">
        <v>702602.79</v>
      </c>
      <c r="D98" s="86">
        <v>171725.21</v>
      </c>
      <c r="E98" s="87">
        <v>0</v>
      </c>
      <c r="F98" s="88">
        <v>128793.91</v>
      </c>
      <c r="G98" s="98">
        <f t="shared" si="2"/>
        <v>5.5104882806072042E-3</v>
      </c>
    </row>
    <row r="99" spans="1:7" ht="15.4" x14ac:dyDescent="0.45">
      <c r="A99" s="85" t="s">
        <v>85</v>
      </c>
      <c r="B99" s="86">
        <v>2556713</v>
      </c>
      <c r="C99" s="86">
        <v>1255713.68</v>
      </c>
      <c r="D99" s="86">
        <v>1300999.32</v>
      </c>
      <c r="E99" s="86">
        <v>775073</v>
      </c>
      <c r="F99" s="88">
        <v>1559334.32</v>
      </c>
      <c r="G99" s="98">
        <f t="shared" si="2"/>
        <v>1.6113789131053893E-2</v>
      </c>
    </row>
    <row r="100" spans="1:7" ht="15.4" x14ac:dyDescent="0.45">
      <c r="A100" s="85" t="s">
        <v>86</v>
      </c>
      <c r="B100" s="86">
        <v>2998289</v>
      </c>
      <c r="C100" s="86">
        <v>2527887.34</v>
      </c>
      <c r="D100" s="86">
        <v>470401.66</v>
      </c>
      <c r="E100" s="86">
        <v>319295.02</v>
      </c>
      <c r="F100" s="88">
        <v>789696.68</v>
      </c>
      <c r="G100" s="98">
        <f t="shared" si="2"/>
        <v>1.889684008332513E-2</v>
      </c>
    </row>
    <row r="101" spans="1:7" ht="15.4" x14ac:dyDescent="0.45">
      <c r="A101" s="85" t="s">
        <v>87</v>
      </c>
      <c r="B101" s="86">
        <v>265743</v>
      </c>
      <c r="C101" s="86">
        <v>196650.12</v>
      </c>
      <c r="D101" s="86">
        <v>69092.88</v>
      </c>
      <c r="E101" s="87">
        <v>0</v>
      </c>
      <c r="F101" s="88">
        <v>69092.88</v>
      </c>
      <c r="G101" s="98">
        <f t="shared" si="2"/>
        <v>1.6748562177505472E-3</v>
      </c>
    </row>
    <row r="102" spans="1:7" ht="15.4" x14ac:dyDescent="0.45">
      <c r="A102" s="85" t="s">
        <v>88</v>
      </c>
      <c r="B102" s="87"/>
      <c r="C102" s="87"/>
      <c r="D102" s="87"/>
      <c r="E102" s="87"/>
      <c r="F102" s="89"/>
      <c r="G102" s="98">
        <f t="shared" si="2"/>
        <v>0</v>
      </c>
    </row>
    <row r="103" spans="1:7" ht="15.4" x14ac:dyDescent="0.45">
      <c r="A103" s="85" t="s">
        <v>89</v>
      </c>
      <c r="B103" s="86">
        <v>43887</v>
      </c>
      <c r="C103" s="86">
        <v>197038.53</v>
      </c>
      <c r="D103" s="86">
        <v>-153151.53</v>
      </c>
      <c r="E103" s="87">
        <v>0</v>
      </c>
      <c r="F103" s="88">
        <v>-153151.53</v>
      </c>
      <c r="G103" s="98">
        <f t="shared" si="2"/>
        <v>2.765996275665521E-4</v>
      </c>
    </row>
    <row r="104" spans="1:7" ht="15.4" x14ac:dyDescent="0.45">
      <c r="A104" s="85" t="s">
        <v>144</v>
      </c>
      <c r="B104" s="87"/>
      <c r="C104" s="87"/>
      <c r="D104" s="87"/>
      <c r="E104" s="87"/>
      <c r="F104" s="89"/>
      <c r="G104" s="98">
        <f t="shared" si="2"/>
        <v>0</v>
      </c>
    </row>
    <row r="105" spans="1:7" ht="15.4" x14ac:dyDescent="0.45">
      <c r="A105" s="85" t="s">
        <v>90</v>
      </c>
      <c r="B105" s="86">
        <v>1826291</v>
      </c>
      <c r="C105" s="86">
        <v>1295355</v>
      </c>
      <c r="D105" s="86">
        <v>530936</v>
      </c>
      <c r="E105" s="87">
        <v>0</v>
      </c>
      <c r="F105" s="88">
        <v>530936</v>
      </c>
      <c r="G105" s="98">
        <f t="shared" si="2"/>
        <v>1.1510274350676648E-2</v>
      </c>
    </row>
    <row r="106" spans="1:7" ht="15.4" x14ac:dyDescent="0.45">
      <c r="A106" s="85" t="s">
        <v>91</v>
      </c>
      <c r="B106" s="86">
        <v>4421946</v>
      </c>
      <c r="C106" s="86">
        <v>3133100</v>
      </c>
      <c r="D106" s="86">
        <v>1288846</v>
      </c>
      <c r="E106" s="86">
        <v>52500</v>
      </c>
      <c r="F106" s="88">
        <v>1120024</v>
      </c>
      <c r="G106" s="98">
        <f t="shared" si="2"/>
        <v>2.7869497042846511E-2</v>
      </c>
    </row>
    <row r="107" spans="1:7" ht="15.4" x14ac:dyDescent="0.45">
      <c r="A107" s="85" t="s">
        <v>92</v>
      </c>
      <c r="B107" s="87"/>
      <c r="C107" s="87"/>
      <c r="D107" s="87"/>
      <c r="E107" s="87"/>
      <c r="F107" s="89"/>
      <c r="G107" s="98">
        <f t="shared" si="2"/>
        <v>0</v>
      </c>
    </row>
    <row r="108" spans="1:7" ht="15.4" x14ac:dyDescent="0.45">
      <c r="A108" s="85" t="s">
        <v>93</v>
      </c>
      <c r="B108" s="86">
        <v>298729</v>
      </c>
      <c r="C108" s="86">
        <v>147357.49</v>
      </c>
      <c r="D108" s="86">
        <v>151371.51</v>
      </c>
      <c r="E108" s="86">
        <v>255319.46</v>
      </c>
      <c r="F108" s="88">
        <v>406690.97</v>
      </c>
      <c r="G108" s="98">
        <f t="shared" si="2"/>
        <v>1.8827518432184599E-3</v>
      </c>
    </row>
    <row r="109" spans="1:7" ht="15.4" x14ac:dyDescent="0.45">
      <c r="A109" s="85" t="s">
        <v>113</v>
      </c>
      <c r="B109" s="86">
        <v>622531</v>
      </c>
      <c r="C109" s="86">
        <v>91686</v>
      </c>
      <c r="D109" s="86">
        <v>530845</v>
      </c>
      <c r="E109" s="87">
        <v>0</v>
      </c>
      <c r="F109" s="88">
        <v>530845</v>
      </c>
      <c r="G109" s="98">
        <f t="shared" si="2"/>
        <v>3.9235273030426608E-3</v>
      </c>
    </row>
    <row r="110" spans="1:7" ht="15.4" x14ac:dyDescent="0.45">
      <c r="A110" s="85" t="s">
        <v>94</v>
      </c>
      <c r="B110" s="86">
        <v>1081402</v>
      </c>
      <c r="C110" s="86">
        <v>1064908.52</v>
      </c>
      <c r="D110" s="86">
        <v>16493.48</v>
      </c>
      <c r="E110" s="87">
        <v>0</v>
      </c>
      <c r="F110" s="88">
        <v>-80422.460000000006</v>
      </c>
      <c r="G110" s="98">
        <f t="shared" si="2"/>
        <v>6.8155807061253812E-3</v>
      </c>
    </row>
    <row r="111" spans="1:7" ht="15.4" x14ac:dyDescent="0.45">
      <c r="A111" s="85" t="s">
        <v>114</v>
      </c>
      <c r="B111" s="86">
        <v>1423407</v>
      </c>
      <c r="C111" s="86">
        <v>1020992.37</v>
      </c>
      <c r="D111" s="86">
        <v>402414.63</v>
      </c>
      <c r="E111" s="86">
        <v>260278.35</v>
      </c>
      <c r="F111" s="88">
        <v>662692.98</v>
      </c>
      <c r="G111" s="98">
        <f t="shared" si="2"/>
        <v>8.9710813242104333E-3</v>
      </c>
    </row>
    <row r="112" spans="1:7" ht="15.4" x14ac:dyDescent="0.45">
      <c r="A112" s="85" t="s">
        <v>95</v>
      </c>
      <c r="B112" s="86">
        <v>137710</v>
      </c>
      <c r="C112" s="86">
        <v>87854</v>
      </c>
      <c r="D112" s="86">
        <v>49856</v>
      </c>
      <c r="E112" s="87">
        <v>0</v>
      </c>
      <c r="F112" s="88">
        <v>49856</v>
      </c>
      <c r="G112" s="98">
        <f t="shared" si="2"/>
        <v>8.6792295468338901E-4</v>
      </c>
    </row>
    <row r="113" spans="1:7" ht="15.4" x14ac:dyDescent="0.45">
      <c r="A113" s="85" t="s">
        <v>96</v>
      </c>
      <c r="B113" s="86">
        <v>206256</v>
      </c>
      <c r="C113" s="86">
        <v>193746.69</v>
      </c>
      <c r="D113" s="86">
        <v>12509.31</v>
      </c>
      <c r="E113" s="86">
        <v>7200</v>
      </c>
      <c r="F113" s="88">
        <v>19709.310000000001</v>
      </c>
      <c r="G113" s="98">
        <f t="shared" si="2"/>
        <v>1.29993694678075E-3</v>
      </c>
    </row>
    <row r="114" spans="1:7" ht="15.4" x14ac:dyDescent="0.45">
      <c r="A114" s="85" t="s">
        <v>145</v>
      </c>
      <c r="B114" s="86">
        <v>55986</v>
      </c>
      <c r="C114" s="86">
        <v>219695</v>
      </c>
      <c r="D114" s="86">
        <v>-163709</v>
      </c>
      <c r="E114" s="86">
        <v>47040</v>
      </c>
      <c r="F114" s="88">
        <v>-116669</v>
      </c>
      <c r="G114" s="98">
        <f t="shared" si="2"/>
        <v>3.5285407407526116E-4</v>
      </c>
    </row>
    <row r="115" spans="1:7" ht="15.4" x14ac:dyDescent="0.45">
      <c r="A115" s="85" t="s">
        <v>97</v>
      </c>
      <c r="B115" s="86">
        <v>159829</v>
      </c>
      <c r="C115" s="86">
        <v>171718.02</v>
      </c>
      <c r="D115" s="86">
        <v>-11889.02</v>
      </c>
      <c r="E115" s="87">
        <v>0</v>
      </c>
      <c r="F115" s="88">
        <v>-14985.89</v>
      </c>
      <c r="G115" s="98">
        <f t="shared" si="2"/>
        <v>1.0073288644549515E-3</v>
      </c>
    </row>
    <row r="116" spans="1:7" ht="15.4" x14ac:dyDescent="0.45">
      <c r="A116" s="85" t="s">
        <v>98</v>
      </c>
      <c r="B116" s="86">
        <v>1274008</v>
      </c>
      <c r="C116" s="86">
        <v>1162277</v>
      </c>
      <c r="D116" s="86">
        <v>111731</v>
      </c>
      <c r="E116" s="86">
        <v>43638</v>
      </c>
      <c r="F116" s="88">
        <v>109227</v>
      </c>
      <c r="G116" s="98">
        <f t="shared" si="2"/>
        <v>8.0294879649282919E-3</v>
      </c>
    </row>
    <row r="117" spans="1:7" ht="15.4" x14ac:dyDescent="0.45">
      <c r="A117" s="85" t="s">
        <v>99</v>
      </c>
      <c r="B117" s="86">
        <v>413190</v>
      </c>
      <c r="C117" s="86">
        <v>321243.51</v>
      </c>
      <c r="D117" s="86">
        <v>91946.49</v>
      </c>
      <c r="E117" s="86">
        <v>56415.360000000001</v>
      </c>
      <c r="F117" s="88">
        <v>111271.32</v>
      </c>
      <c r="G117" s="98">
        <f t="shared" si="2"/>
        <v>2.6041470165247948E-3</v>
      </c>
    </row>
    <row r="118" spans="1:7" ht="15.4" x14ac:dyDescent="0.45">
      <c r="A118" s="85" t="s">
        <v>100</v>
      </c>
      <c r="B118" s="86">
        <v>2382720</v>
      </c>
      <c r="C118" s="86">
        <v>2225405</v>
      </c>
      <c r="D118" s="86">
        <v>157315</v>
      </c>
      <c r="E118" s="86">
        <v>165229</v>
      </c>
      <c r="F118" s="88">
        <v>322544</v>
      </c>
      <c r="G118" s="98">
        <f t="shared" si="2"/>
        <v>1.501719107242179E-2</v>
      </c>
    </row>
    <row r="119" spans="1:7" ht="15.4" x14ac:dyDescent="0.45">
      <c r="A119" s="85" t="s">
        <v>101</v>
      </c>
      <c r="B119" s="86">
        <v>50378</v>
      </c>
      <c r="C119" s="86">
        <v>49130.75</v>
      </c>
      <c r="D119" s="86">
        <v>1247.25</v>
      </c>
      <c r="E119" s="87">
        <v>105.97</v>
      </c>
      <c r="F119" s="88">
        <v>1353.22</v>
      </c>
      <c r="G119" s="98">
        <f t="shared" si="2"/>
        <v>3.1750942278004334E-4</v>
      </c>
    </row>
    <row r="120" spans="1:7" ht="15.4" x14ac:dyDescent="0.45">
      <c r="A120" s="85" t="s">
        <v>102</v>
      </c>
      <c r="B120" s="87"/>
      <c r="C120" s="87"/>
      <c r="D120" s="87"/>
      <c r="E120" s="87"/>
      <c r="F120" s="89"/>
      <c r="G120" s="98">
        <f t="shared" si="2"/>
        <v>0</v>
      </c>
    </row>
    <row r="121" spans="1:7" ht="15.4" x14ac:dyDescent="0.45">
      <c r="A121" s="85" t="s">
        <v>103</v>
      </c>
      <c r="B121" s="86">
        <v>2259819</v>
      </c>
      <c r="C121" s="86">
        <v>1036794.32</v>
      </c>
      <c r="D121" s="86">
        <v>1223024.68</v>
      </c>
      <c r="E121" s="86">
        <v>31338.85</v>
      </c>
      <c r="F121" s="88">
        <v>1254363.53</v>
      </c>
      <c r="G121" s="98">
        <f t="shared" si="2"/>
        <v>1.4242602451017801E-2</v>
      </c>
    </row>
    <row r="122" spans="1:7" ht="15.4" x14ac:dyDescent="0.45">
      <c r="A122" s="85" t="s">
        <v>104</v>
      </c>
      <c r="B122" s="86">
        <v>889642</v>
      </c>
      <c r="C122" s="86">
        <v>485358.76</v>
      </c>
      <c r="D122" s="86">
        <v>404283.24</v>
      </c>
      <c r="E122" s="87">
        <v>-266.97000000000003</v>
      </c>
      <c r="F122" s="88">
        <v>404016.27</v>
      </c>
      <c r="G122" s="98">
        <f t="shared" si="2"/>
        <v>5.6070053972147229E-3</v>
      </c>
    </row>
    <row r="123" spans="1:7" ht="15.4" x14ac:dyDescent="0.45">
      <c r="A123" s="85" t="s">
        <v>105</v>
      </c>
      <c r="B123" s="86">
        <v>407949</v>
      </c>
      <c r="C123" s="86">
        <v>335953</v>
      </c>
      <c r="D123" s="86">
        <v>71996</v>
      </c>
      <c r="E123" s="87">
        <v>0</v>
      </c>
      <c r="F123" s="88">
        <v>71996</v>
      </c>
      <c r="G123" s="98">
        <f t="shared" si="2"/>
        <v>2.571115397866051E-3</v>
      </c>
    </row>
    <row r="124" spans="1:7" ht="15.4" x14ac:dyDescent="0.45">
      <c r="A124" s="85" t="s">
        <v>106</v>
      </c>
      <c r="B124" s="86">
        <v>17946077</v>
      </c>
      <c r="C124" s="86">
        <v>4093313.35</v>
      </c>
      <c r="D124" s="86">
        <v>13852763.65</v>
      </c>
      <c r="E124" s="86">
        <v>6188306.46</v>
      </c>
      <c r="F124" s="88">
        <v>16688757.109999999</v>
      </c>
      <c r="G124" s="98">
        <f t="shared" si="2"/>
        <v>0.11310589045687031</v>
      </c>
    </row>
    <row r="125" spans="1:7" ht="15.4" x14ac:dyDescent="0.45">
      <c r="A125" s="85" t="s">
        <v>146</v>
      </c>
      <c r="B125" s="86">
        <v>47098</v>
      </c>
      <c r="C125" s="86">
        <v>44761.3</v>
      </c>
      <c r="D125" s="86">
        <v>2336.6999999999998</v>
      </c>
      <c r="E125" s="86">
        <v>69800.97</v>
      </c>
      <c r="F125" s="88">
        <v>54103.31</v>
      </c>
      <c r="G125" s="98">
        <f t="shared" si="2"/>
        <v>2.968370875003867E-4</v>
      </c>
    </row>
    <row r="126" spans="1:7" ht="15.4" x14ac:dyDescent="0.45">
      <c r="A126" s="85" t="s">
        <v>107</v>
      </c>
      <c r="B126" s="86">
        <v>172688</v>
      </c>
      <c r="C126" s="86">
        <v>268025</v>
      </c>
      <c r="D126" s="86">
        <v>-95337</v>
      </c>
      <c r="E126" s="86">
        <v>18784</v>
      </c>
      <c r="F126" s="88">
        <v>-76553</v>
      </c>
      <c r="G126" s="98">
        <f t="shared" si="2"/>
        <v>1.0883732423089469E-3</v>
      </c>
    </row>
    <row r="127" spans="1:7" ht="15.4" x14ac:dyDescent="0.45">
      <c r="A127" s="99" t="s">
        <v>131</v>
      </c>
      <c r="B127" s="99">
        <f>SUM(B6:B126)</f>
        <v>158666157.24000001</v>
      </c>
      <c r="C127" s="99">
        <f t="shared" ref="C127:F127" si="3">SUM(C6:C126)</f>
        <v>99106992.320000008</v>
      </c>
      <c r="D127" s="99">
        <f t="shared" si="3"/>
        <v>59599890.449999996</v>
      </c>
      <c r="E127" s="99">
        <f t="shared" si="3"/>
        <v>27626812.780000001</v>
      </c>
      <c r="F127" s="99">
        <f t="shared" si="3"/>
        <v>71387788.779999986</v>
      </c>
      <c r="G127" s="100">
        <f t="shared" si="2"/>
        <v>1</v>
      </c>
    </row>
  </sheetData>
  <mergeCells count="1">
    <mergeCell ref="A1:G1"/>
  </mergeCells>
  <dataValidations count="1">
    <dataValidation type="list" allowBlank="1" showInputMessage="1" showErrorMessage="1" sqref="A3" xr:uid="{00000000-0002-0000-0700-000000000000}">
      <formula1>$A$7:$A$126</formula1>
    </dataValidation>
  </dataValidations>
  <pageMargins left="0.7" right="0.7" top="0.75" bottom="0.75" header="0.3" footer="0.3"/>
  <pageSetup orientation="portrait" horizontalDpi="4294967295" verticalDpi="4294967295" r:id="rId1"/>
  <customProperties>
    <customPr name="LastActive" r:id="rId2"/>
  </customProperties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22"/>
  <sheetViews>
    <sheetView zoomScale="98" zoomScaleNormal="98" workbookViewId="0">
      <pane xSplit="1" ySplit="2" topLeftCell="B39" activePane="bottomRight" state="frozen"/>
      <selection pane="topRight" activeCell="B1" sqref="B1"/>
      <selection pane="bottomLeft" activeCell="A3" sqref="A3"/>
      <selection pane="bottomRight" activeCell="A124" sqref="A124"/>
    </sheetView>
  </sheetViews>
  <sheetFormatPr defaultRowHeight="12.75" x14ac:dyDescent="0.35"/>
  <cols>
    <col min="1" max="1" width="55.265625" bestFit="1" customWidth="1"/>
    <col min="2" max="2" width="17.86328125" bestFit="1" customWidth="1"/>
    <col min="3" max="3" width="20.265625" bestFit="1" customWidth="1"/>
    <col min="4" max="4" width="14.3984375" bestFit="1" customWidth="1"/>
    <col min="5" max="5" width="21.59765625" bestFit="1" customWidth="1"/>
    <col min="6" max="7" width="16" bestFit="1" customWidth="1"/>
  </cols>
  <sheetData>
    <row r="1" spans="1:7" ht="18" x14ac:dyDescent="0.55000000000000004">
      <c r="A1" s="171" t="s">
        <v>152</v>
      </c>
      <c r="B1" s="171"/>
      <c r="C1" s="171"/>
      <c r="D1" s="171"/>
      <c r="E1" s="171"/>
      <c r="F1" s="171"/>
      <c r="G1" s="171"/>
    </row>
    <row r="2" spans="1:7" ht="36" x14ac:dyDescent="0.55000000000000004">
      <c r="A2" s="70" t="s">
        <v>1</v>
      </c>
      <c r="B2" s="71" t="s">
        <v>2</v>
      </c>
      <c r="C2" s="71" t="s">
        <v>3</v>
      </c>
      <c r="D2" s="71" t="s">
        <v>4</v>
      </c>
      <c r="E2" s="71" t="s">
        <v>5</v>
      </c>
      <c r="F2" s="71" t="s">
        <v>6</v>
      </c>
      <c r="G2" s="72" t="s">
        <v>9</v>
      </c>
    </row>
    <row r="3" spans="1:7" ht="15.4" x14ac:dyDescent="0.45">
      <c r="A3" s="85" t="s">
        <v>117</v>
      </c>
      <c r="B3" s="103">
        <v>960368</v>
      </c>
      <c r="C3" s="103">
        <v>794246</v>
      </c>
      <c r="D3" s="103">
        <v>166122</v>
      </c>
      <c r="E3" s="103">
        <v>123087</v>
      </c>
      <c r="F3" s="103">
        <v>289209</v>
      </c>
      <c r="G3" s="104">
        <f t="shared" ref="G3:G34" si="0">B3/$B$122</f>
        <v>3.9667728007879884E-3</v>
      </c>
    </row>
    <row r="4" spans="1:7" ht="15.4" x14ac:dyDescent="0.45">
      <c r="A4" s="85" t="s">
        <v>10</v>
      </c>
      <c r="B4" s="103">
        <v>3464718</v>
      </c>
      <c r="C4" s="103">
        <v>2449584</v>
      </c>
      <c r="D4" s="103">
        <v>1015134</v>
      </c>
      <c r="E4" s="103">
        <v>630148</v>
      </c>
      <c r="F4" s="103">
        <v>1208267</v>
      </c>
      <c r="G4" s="104">
        <f t="shared" si="0"/>
        <v>1.4310919485864331E-2</v>
      </c>
    </row>
    <row r="5" spans="1:7" ht="15.4" x14ac:dyDescent="0.45">
      <c r="A5" s="85" t="s">
        <v>11</v>
      </c>
      <c r="B5" s="103">
        <v>513383</v>
      </c>
      <c r="C5" s="103">
        <v>193935</v>
      </c>
      <c r="D5" s="103">
        <v>319448</v>
      </c>
      <c r="E5" s="103">
        <v>0</v>
      </c>
      <c r="F5" s="103">
        <v>319448</v>
      </c>
      <c r="G5" s="104">
        <f t="shared" si="0"/>
        <v>2.1205139288136836E-3</v>
      </c>
    </row>
    <row r="6" spans="1:7" ht="15.4" x14ac:dyDescent="0.45">
      <c r="A6" s="85" t="s">
        <v>12</v>
      </c>
      <c r="B6" s="103">
        <v>2181042</v>
      </c>
      <c r="C6" s="103">
        <v>1802419.7</v>
      </c>
      <c r="D6" s="103">
        <v>378622.3</v>
      </c>
      <c r="E6" s="103">
        <v>169653</v>
      </c>
      <c r="F6" s="103">
        <v>411206.3</v>
      </c>
      <c r="G6" s="104">
        <f t="shared" si="0"/>
        <v>9.0087321557738645E-3</v>
      </c>
    </row>
    <row r="7" spans="1:7" ht="15.4" x14ac:dyDescent="0.45">
      <c r="A7" s="85" t="s">
        <v>13</v>
      </c>
      <c r="B7" s="103">
        <v>517754</v>
      </c>
      <c r="C7" s="103">
        <v>385764</v>
      </c>
      <c r="D7" s="103">
        <v>131990</v>
      </c>
      <c r="E7" s="103">
        <v>74982</v>
      </c>
      <c r="F7" s="103">
        <v>145479</v>
      </c>
      <c r="G7" s="104">
        <f t="shared" si="0"/>
        <v>2.1385682204104928E-3</v>
      </c>
    </row>
    <row r="8" spans="1:7" ht="15.4" x14ac:dyDescent="0.45">
      <c r="A8" s="85" t="s">
        <v>14</v>
      </c>
      <c r="B8" s="103">
        <v>1526008</v>
      </c>
      <c r="C8" s="103">
        <v>1555907</v>
      </c>
      <c r="D8" s="103">
        <v>-29899</v>
      </c>
      <c r="E8" s="103">
        <v>46019</v>
      </c>
      <c r="F8" s="103">
        <v>16120</v>
      </c>
      <c r="G8" s="104">
        <f t="shared" si="0"/>
        <v>6.3031327867909765E-3</v>
      </c>
    </row>
    <row r="9" spans="1:7" ht="15.4" x14ac:dyDescent="0.45">
      <c r="A9" s="85" t="s">
        <v>16</v>
      </c>
      <c r="B9" s="103">
        <v>3598175</v>
      </c>
      <c r="C9" s="103">
        <v>2636485.38</v>
      </c>
      <c r="D9" s="103">
        <v>961689.62</v>
      </c>
      <c r="E9" s="103">
        <v>750862.32</v>
      </c>
      <c r="F9" s="103">
        <v>1284413.93</v>
      </c>
      <c r="G9" s="104">
        <f t="shared" si="0"/>
        <v>1.4862159841305957E-2</v>
      </c>
    </row>
    <row r="10" spans="1:7" ht="15.4" x14ac:dyDescent="0.45">
      <c r="A10" s="85" t="s">
        <v>17</v>
      </c>
      <c r="B10" s="103">
        <v>1004177</v>
      </c>
      <c r="C10" s="103">
        <v>349935.18</v>
      </c>
      <c r="D10" s="103">
        <v>654241.81999999995</v>
      </c>
      <c r="E10" s="103">
        <v>15377.2</v>
      </c>
      <c r="F10" s="103">
        <v>669619.02</v>
      </c>
      <c r="G10" s="104">
        <f t="shared" si="0"/>
        <v>4.1477246334497607E-3</v>
      </c>
    </row>
    <row r="11" spans="1:7" ht="15.4" x14ac:dyDescent="0.45">
      <c r="A11" s="85" t="s">
        <v>18</v>
      </c>
      <c r="B11" s="103"/>
      <c r="C11" s="103"/>
      <c r="D11" s="103"/>
      <c r="E11" s="103"/>
      <c r="F11" s="103"/>
      <c r="G11" s="104">
        <f t="shared" si="0"/>
        <v>0</v>
      </c>
    </row>
    <row r="12" spans="1:7" ht="15.4" x14ac:dyDescent="0.45">
      <c r="A12" s="85" t="s">
        <v>19</v>
      </c>
      <c r="B12" s="103"/>
      <c r="C12" s="103"/>
      <c r="D12" s="103"/>
      <c r="E12" s="103"/>
      <c r="F12" s="103"/>
      <c r="G12" s="104">
        <f t="shared" si="0"/>
        <v>0</v>
      </c>
    </row>
    <row r="13" spans="1:7" ht="15.4" x14ac:dyDescent="0.45">
      <c r="A13" s="85" t="s">
        <v>20</v>
      </c>
      <c r="B13" s="103">
        <v>872616</v>
      </c>
      <c r="C13" s="103">
        <v>670964.6</v>
      </c>
      <c r="D13" s="103">
        <v>201651.4</v>
      </c>
      <c r="E13" s="103">
        <v>125558</v>
      </c>
      <c r="F13" s="103">
        <v>245407.4</v>
      </c>
      <c r="G13" s="104">
        <f t="shared" si="0"/>
        <v>3.6043156522628942E-3</v>
      </c>
    </row>
    <row r="14" spans="1:7" ht="15.4" x14ac:dyDescent="0.45">
      <c r="A14" s="85" t="s">
        <v>21</v>
      </c>
      <c r="B14" s="103">
        <v>2382837</v>
      </c>
      <c r="C14" s="103">
        <v>1802846</v>
      </c>
      <c r="D14" s="103">
        <v>579991</v>
      </c>
      <c r="E14" s="103">
        <v>267208</v>
      </c>
      <c r="F14" s="103">
        <v>594009</v>
      </c>
      <c r="G14" s="104">
        <f t="shared" si="0"/>
        <v>9.8422406830623761E-3</v>
      </c>
    </row>
    <row r="15" spans="1:7" ht="15.4" x14ac:dyDescent="0.45">
      <c r="A15" s="85" t="s">
        <v>134</v>
      </c>
      <c r="B15" s="103">
        <v>603137</v>
      </c>
      <c r="C15" s="103">
        <v>571496.54</v>
      </c>
      <c r="D15" s="103">
        <v>31640.46</v>
      </c>
      <c r="E15" s="103">
        <v>0</v>
      </c>
      <c r="F15" s="103">
        <v>23730.46</v>
      </c>
      <c r="G15" s="104">
        <f t="shared" si="0"/>
        <v>2.4912402815887918E-3</v>
      </c>
    </row>
    <row r="16" spans="1:7" ht="15.4" x14ac:dyDescent="0.45">
      <c r="A16" s="85" t="s">
        <v>22</v>
      </c>
      <c r="B16" s="103">
        <v>221849</v>
      </c>
      <c r="C16" s="103">
        <v>208031.35</v>
      </c>
      <c r="D16" s="103">
        <v>13817.65</v>
      </c>
      <c r="E16" s="103">
        <v>73439.759999999995</v>
      </c>
      <c r="F16" s="103">
        <v>65443.06</v>
      </c>
      <c r="G16" s="104">
        <f t="shared" si="0"/>
        <v>9.1634100582486543E-4</v>
      </c>
    </row>
    <row r="17" spans="1:7" ht="15.4" x14ac:dyDescent="0.45">
      <c r="A17" s="85" t="s">
        <v>135</v>
      </c>
      <c r="B17" s="103">
        <v>111157</v>
      </c>
      <c r="C17" s="103">
        <v>203199.07</v>
      </c>
      <c r="D17" s="103">
        <v>-92042.07</v>
      </c>
      <c r="E17" s="103">
        <v>107695.63</v>
      </c>
      <c r="F17" s="103">
        <v>11740.38</v>
      </c>
      <c r="G17" s="104">
        <f t="shared" si="0"/>
        <v>4.5913083757183749E-4</v>
      </c>
    </row>
    <row r="18" spans="1:7" ht="15.4" x14ac:dyDescent="0.45">
      <c r="A18" s="85" t="s">
        <v>23</v>
      </c>
      <c r="B18" s="103">
        <v>839925</v>
      </c>
      <c r="C18" s="103">
        <v>941247</v>
      </c>
      <c r="D18" s="103">
        <v>-101322</v>
      </c>
      <c r="E18" s="103">
        <v>288512</v>
      </c>
      <c r="F18" s="103">
        <v>150346</v>
      </c>
      <c r="G18" s="104">
        <f t="shared" si="0"/>
        <v>3.4692864034431082E-3</v>
      </c>
    </row>
    <row r="19" spans="1:7" ht="15.4" x14ac:dyDescent="0.45">
      <c r="A19" s="85" t="s">
        <v>24</v>
      </c>
      <c r="B19" s="103">
        <v>7923896</v>
      </c>
      <c r="C19" s="103">
        <v>12988350.16</v>
      </c>
      <c r="D19" s="103">
        <v>-5064454.16</v>
      </c>
      <c r="E19" s="103">
        <v>7090494.2199999997</v>
      </c>
      <c r="F19" s="103">
        <v>1150324.06</v>
      </c>
      <c r="G19" s="104">
        <f t="shared" si="0"/>
        <v>3.2729427812122784E-2</v>
      </c>
    </row>
    <row r="20" spans="1:7" ht="15.4" x14ac:dyDescent="0.45">
      <c r="A20" s="85" t="s">
        <v>136</v>
      </c>
      <c r="B20" s="103">
        <v>61659</v>
      </c>
      <c r="C20" s="103">
        <v>128500</v>
      </c>
      <c r="D20" s="103">
        <v>-66841</v>
      </c>
      <c r="E20" s="103">
        <v>61969</v>
      </c>
      <c r="F20" s="103">
        <v>-4872</v>
      </c>
      <c r="G20" s="104">
        <f t="shared" si="0"/>
        <v>2.5468075167413593E-4</v>
      </c>
    </row>
    <row r="21" spans="1:7" ht="15.4" x14ac:dyDescent="0.45">
      <c r="A21" s="85" t="s">
        <v>25</v>
      </c>
      <c r="B21" s="103">
        <v>412097</v>
      </c>
      <c r="C21" s="103">
        <v>419881</v>
      </c>
      <c r="D21" s="103">
        <v>-7784</v>
      </c>
      <c r="E21" s="103">
        <v>14878</v>
      </c>
      <c r="F21" s="103">
        <v>7094</v>
      </c>
      <c r="G21" s="104">
        <f t="shared" si="0"/>
        <v>1.7021549769321005E-3</v>
      </c>
    </row>
    <row r="22" spans="1:7" ht="15.4" x14ac:dyDescent="0.45">
      <c r="A22" s="85" t="s">
        <v>26</v>
      </c>
      <c r="B22" s="103">
        <v>67846</v>
      </c>
      <c r="C22" s="103">
        <v>309854.15000000002</v>
      </c>
      <c r="D22" s="103">
        <v>-242008.15</v>
      </c>
      <c r="E22" s="103">
        <v>46996.51</v>
      </c>
      <c r="F22" s="103">
        <v>-195011.64</v>
      </c>
      <c r="G22" s="104">
        <f t="shared" si="0"/>
        <v>2.8023597979343528E-4</v>
      </c>
    </row>
    <row r="23" spans="1:7" ht="15.4" x14ac:dyDescent="0.45">
      <c r="A23" s="85" t="s">
        <v>27</v>
      </c>
      <c r="B23" s="103">
        <v>210953</v>
      </c>
      <c r="C23" s="103">
        <v>182691</v>
      </c>
      <c r="D23" s="103">
        <v>28262</v>
      </c>
      <c r="E23" s="103">
        <v>97376</v>
      </c>
      <c r="F23" s="103">
        <v>110082</v>
      </c>
      <c r="G23" s="104">
        <f t="shared" si="0"/>
        <v>8.7133538668992356E-4</v>
      </c>
    </row>
    <row r="24" spans="1:7" ht="15.4" x14ac:dyDescent="0.45">
      <c r="A24" s="85" t="s">
        <v>118</v>
      </c>
      <c r="B24" s="103">
        <v>282122</v>
      </c>
      <c r="C24" s="103">
        <v>312662</v>
      </c>
      <c r="D24" s="103">
        <v>-30540</v>
      </c>
      <c r="E24" s="103">
        <v>45627</v>
      </c>
      <c r="F24" s="103">
        <v>15087</v>
      </c>
      <c r="G24" s="104">
        <f t="shared" si="0"/>
        <v>1.1652969237874531E-3</v>
      </c>
    </row>
    <row r="25" spans="1:7" ht="15.4" x14ac:dyDescent="0.45">
      <c r="A25" s="85" t="s">
        <v>28</v>
      </c>
      <c r="B25" s="103">
        <v>1906471</v>
      </c>
      <c r="C25" s="103">
        <v>1668938</v>
      </c>
      <c r="D25" s="103">
        <v>237533</v>
      </c>
      <c r="E25" s="103">
        <v>74734</v>
      </c>
      <c r="F25" s="103">
        <v>241345</v>
      </c>
      <c r="G25" s="104">
        <f t="shared" si="0"/>
        <v>7.8746244234408867E-3</v>
      </c>
    </row>
    <row r="26" spans="1:7" ht="15.4" x14ac:dyDescent="0.45">
      <c r="A26" s="85" t="s">
        <v>8</v>
      </c>
      <c r="B26" s="103">
        <v>1677032</v>
      </c>
      <c r="C26" s="103">
        <v>406462</v>
      </c>
      <c r="D26" s="103">
        <v>1270570</v>
      </c>
      <c r="E26" s="103">
        <v>0</v>
      </c>
      <c r="F26" s="103">
        <v>1270570</v>
      </c>
      <c r="G26" s="104">
        <f t="shared" si="0"/>
        <v>6.9269331377670657E-3</v>
      </c>
    </row>
    <row r="27" spans="1:7" ht="15.4" x14ac:dyDescent="0.45">
      <c r="A27" s="85" t="s">
        <v>29</v>
      </c>
      <c r="B27" s="103"/>
      <c r="C27" s="103"/>
      <c r="D27" s="103"/>
      <c r="E27" s="103"/>
      <c r="F27" s="103"/>
      <c r="G27" s="104">
        <f t="shared" si="0"/>
        <v>0</v>
      </c>
    </row>
    <row r="28" spans="1:7" ht="15.4" x14ac:dyDescent="0.45">
      <c r="A28" s="85" t="s">
        <v>30</v>
      </c>
      <c r="B28" s="103">
        <v>527713</v>
      </c>
      <c r="C28" s="103">
        <v>541780</v>
      </c>
      <c r="D28" s="103">
        <v>-14067</v>
      </c>
      <c r="E28" s="103">
        <v>0</v>
      </c>
      <c r="F28" s="103">
        <v>-14067</v>
      </c>
      <c r="G28" s="104">
        <f t="shared" si="0"/>
        <v>2.1797035876062422E-3</v>
      </c>
    </row>
    <row r="29" spans="1:7" ht="15.4" x14ac:dyDescent="0.45">
      <c r="A29" s="85" t="s">
        <v>31</v>
      </c>
      <c r="B29" s="103">
        <v>571075</v>
      </c>
      <c r="C29" s="103">
        <v>681937</v>
      </c>
      <c r="D29" s="103">
        <v>-110862</v>
      </c>
      <c r="E29" s="103">
        <v>155</v>
      </c>
      <c r="F29" s="103">
        <v>-150594</v>
      </c>
      <c r="G29" s="104">
        <f t="shared" si="0"/>
        <v>2.3588090994389656E-3</v>
      </c>
    </row>
    <row r="30" spans="1:7" ht="15.4" x14ac:dyDescent="0.45">
      <c r="A30" s="85" t="s">
        <v>32</v>
      </c>
      <c r="B30" s="103">
        <v>977369</v>
      </c>
      <c r="C30" s="103">
        <v>1012343</v>
      </c>
      <c r="D30" s="103">
        <v>-34974</v>
      </c>
      <c r="E30" s="103">
        <v>59994</v>
      </c>
      <c r="F30" s="103">
        <v>11457</v>
      </c>
      <c r="G30" s="104">
        <f t="shared" si="0"/>
        <v>4.0369949493666542E-3</v>
      </c>
    </row>
    <row r="31" spans="1:7" ht="15.4" x14ac:dyDescent="0.45">
      <c r="A31" s="85" t="s">
        <v>33</v>
      </c>
      <c r="B31" s="103">
        <v>234183</v>
      </c>
      <c r="C31" s="103">
        <v>263424</v>
      </c>
      <c r="D31" s="103">
        <v>-29241</v>
      </c>
      <c r="E31" s="103">
        <v>0</v>
      </c>
      <c r="F31" s="103">
        <v>-26941</v>
      </c>
      <c r="G31" s="104">
        <f t="shared" si="0"/>
        <v>9.6728624319733004E-4</v>
      </c>
    </row>
    <row r="32" spans="1:7" ht="15.4" x14ac:dyDescent="0.45">
      <c r="A32" s="85" t="s">
        <v>34</v>
      </c>
      <c r="B32" s="103"/>
      <c r="C32" s="103"/>
      <c r="D32" s="103"/>
      <c r="E32" s="103"/>
      <c r="F32" s="103"/>
      <c r="G32" s="104">
        <f t="shared" si="0"/>
        <v>0</v>
      </c>
    </row>
    <row r="33" spans="1:7" ht="15.4" x14ac:dyDescent="0.45">
      <c r="A33" s="85" t="s">
        <v>35</v>
      </c>
      <c r="B33" s="103">
        <v>914127</v>
      </c>
      <c r="C33" s="103">
        <v>1102846</v>
      </c>
      <c r="D33" s="103">
        <v>-188719</v>
      </c>
      <c r="E33" s="103">
        <v>153050</v>
      </c>
      <c r="F33" s="103">
        <v>-82820</v>
      </c>
      <c r="G33" s="104">
        <f t="shared" si="0"/>
        <v>3.7757756610652597E-3</v>
      </c>
    </row>
    <row r="34" spans="1:7" ht="15.4" x14ac:dyDescent="0.45">
      <c r="A34" s="85" t="s">
        <v>36</v>
      </c>
      <c r="B34" s="103">
        <v>1568592</v>
      </c>
      <c r="C34" s="103">
        <v>1218802</v>
      </c>
      <c r="D34" s="103">
        <v>349790</v>
      </c>
      <c r="E34" s="103">
        <v>61</v>
      </c>
      <c r="F34" s="103">
        <v>296804</v>
      </c>
      <c r="G34" s="104">
        <f t="shared" si="0"/>
        <v>6.4790247916773902E-3</v>
      </c>
    </row>
    <row r="35" spans="1:7" ht="15.4" x14ac:dyDescent="0.45">
      <c r="A35" s="85" t="s">
        <v>37</v>
      </c>
      <c r="B35" s="103">
        <v>330041</v>
      </c>
      <c r="C35" s="103">
        <v>290221.76</v>
      </c>
      <c r="D35" s="103">
        <v>39819.24</v>
      </c>
      <c r="E35" s="103">
        <v>0</v>
      </c>
      <c r="F35" s="103">
        <v>39819.24</v>
      </c>
      <c r="G35" s="104">
        <f t="shared" ref="G35:G66" si="1">B35/$B$122</f>
        <v>1.3632249949445093E-3</v>
      </c>
    </row>
    <row r="36" spans="1:7" ht="15.4" x14ac:dyDescent="0.45">
      <c r="A36" s="85" t="s">
        <v>38</v>
      </c>
      <c r="B36" s="103">
        <v>978349</v>
      </c>
      <c r="C36" s="103">
        <v>920699</v>
      </c>
      <c r="D36" s="103">
        <v>57650</v>
      </c>
      <c r="E36" s="103">
        <v>0</v>
      </c>
      <c r="F36" s="103">
        <v>43237</v>
      </c>
      <c r="G36" s="104">
        <f t="shared" si="1"/>
        <v>4.0410428115869408E-3</v>
      </c>
    </row>
    <row r="37" spans="1:7" ht="15.4" x14ac:dyDescent="0.45">
      <c r="A37" s="85" t="s">
        <v>39</v>
      </c>
      <c r="B37" s="103">
        <v>19313844</v>
      </c>
      <c r="C37" s="103">
        <v>12136541</v>
      </c>
      <c r="D37" s="103">
        <v>7177303</v>
      </c>
      <c r="E37" s="103">
        <v>6195400</v>
      </c>
      <c r="F37" s="103">
        <v>9987457</v>
      </c>
      <c r="G37" s="104">
        <f t="shared" si="1"/>
        <v>7.9775285159295481E-2</v>
      </c>
    </row>
    <row r="38" spans="1:7" ht="15.4" x14ac:dyDescent="0.45">
      <c r="A38" s="85" t="s">
        <v>40</v>
      </c>
      <c r="B38" s="103">
        <v>312157</v>
      </c>
      <c r="C38" s="103">
        <v>317086</v>
      </c>
      <c r="D38" s="103">
        <v>-4929</v>
      </c>
      <c r="E38" s="103">
        <v>9293</v>
      </c>
      <c r="F38" s="103">
        <v>-27163.11</v>
      </c>
      <c r="G38" s="104">
        <f t="shared" si="1"/>
        <v>1.2893556398959317E-3</v>
      </c>
    </row>
    <row r="39" spans="1:7" ht="15.4" x14ac:dyDescent="0.45">
      <c r="A39" s="85" t="s">
        <v>41</v>
      </c>
      <c r="B39" s="103">
        <v>328588</v>
      </c>
      <c r="C39" s="103">
        <v>327563.77</v>
      </c>
      <c r="D39" s="103">
        <v>1024.23</v>
      </c>
      <c r="E39" s="103">
        <v>496.37</v>
      </c>
      <c r="F39" s="103">
        <v>1520.6</v>
      </c>
      <c r="G39" s="104">
        <f t="shared" si="1"/>
        <v>1.3572234196321863E-3</v>
      </c>
    </row>
    <row r="40" spans="1:7" ht="15.4" x14ac:dyDescent="0.45">
      <c r="A40" s="85" t="s">
        <v>121</v>
      </c>
      <c r="B40" s="103">
        <v>3542007</v>
      </c>
      <c r="C40" s="103">
        <v>2897816</v>
      </c>
      <c r="D40" s="103">
        <v>644191</v>
      </c>
      <c r="E40" s="103">
        <v>177241</v>
      </c>
      <c r="F40" s="103">
        <v>616473</v>
      </c>
      <c r="G40" s="104">
        <f t="shared" si="1"/>
        <v>1.4630159509480387E-2</v>
      </c>
    </row>
    <row r="41" spans="1:7" ht="15.4" x14ac:dyDescent="0.45">
      <c r="A41" s="85" t="s">
        <v>43</v>
      </c>
      <c r="B41" s="103">
        <v>2673871</v>
      </c>
      <c r="C41" s="103">
        <v>2616705</v>
      </c>
      <c r="D41" s="103">
        <v>57166</v>
      </c>
      <c r="E41" s="103">
        <v>843</v>
      </c>
      <c r="F41" s="103">
        <v>43507</v>
      </c>
      <c r="G41" s="104">
        <f t="shared" si="1"/>
        <v>1.1044348370224517E-2</v>
      </c>
    </row>
    <row r="42" spans="1:7" ht="15.4" x14ac:dyDescent="0.45">
      <c r="A42" s="85" t="s">
        <v>44</v>
      </c>
      <c r="B42" s="103">
        <v>1433230</v>
      </c>
      <c r="C42" s="103">
        <v>1129561</v>
      </c>
      <c r="D42" s="103">
        <v>303669</v>
      </c>
      <c r="E42" s="103">
        <v>262777</v>
      </c>
      <c r="F42" s="103">
        <v>418121</v>
      </c>
      <c r="G42" s="104">
        <f t="shared" si="1"/>
        <v>5.9199158877361263E-3</v>
      </c>
    </row>
    <row r="43" spans="1:7" ht="15.4" x14ac:dyDescent="0.45">
      <c r="A43" s="85" t="s">
        <v>45</v>
      </c>
      <c r="B43" s="103">
        <v>130829</v>
      </c>
      <c r="C43" s="103">
        <v>94010</v>
      </c>
      <c r="D43" s="103">
        <v>36819</v>
      </c>
      <c r="E43" s="103">
        <v>0</v>
      </c>
      <c r="F43" s="103">
        <v>33199</v>
      </c>
      <c r="G43" s="104">
        <f t="shared" si="1"/>
        <v>5.4038547593661152E-4</v>
      </c>
    </row>
    <row r="44" spans="1:7" ht="15.4" x14ac:dyDescent="0.45">
      <c r="A44" s="85" t="s">
        <v>137</v>
      </c>
      <c r="B44" s="103"/>
      <c r="C44" s="103"/>
      <c r="D44" s="103"/>
      <c r="E44" s="103"/>
      <c r="F44" s="103"/>
      <c r="G44" s="104">
        <f t="shared" si="1"/>
        <v>0</v>
      </c>
    </row>
    <row r="45" spans="1:7" ht="15.4" x14ac:dyDescent="0.45">
      <c r="A45" s="85" t="s">
        <v>46</v>
      </c>
      <c r="B45" s="103">
        <v>737549</v>
      </c>
      <c r="C45" s="103">
        <v>861133.94</v>
      </c>
      <c r="D45" s="103">
        <v>-123584.94</v>
      </c>
      <c r="E45" s="103">
        <v>179154.77</v>
      </c>
      <c r="F45" s="103">
        <v>24183.33</v>
      </c>
      <c r="G45" s="104">
        <f t="shared" si="1"/>
        <v>3.0464252374593696E-3</v>
      </c>
    </row>
    <row r="46" spans="1:7" ht="15.4" x14ac:dyDescent="0.45">
      <c r="A46" s="85" t="s">
        <v>47</v>
      </c>
      <c r="B46" s="103">
        <v>227280</v>
      </c>
      <c r="C46" s="103">
        <v>217133.2</v>
      </c>
      <c r="D46" s="103">
        <v>10146.799999999999</v>
      </c>
      <c r="E46" s="103">
        <v>28384.98</v>
      </c>
      <c r="F46" s="103">
        <v>36645.78</v>
      </c>
      <c r="G46" s="104">
        <f t="shared" si="1"/>
        <v>9.3877359737422946E-4</v>
      </c>
    </row>
    <row r="47" spans="1:7" ht="15.4" x14ac:dyDescent="0.45">
      <c r="A47" s="85" t="s">
        <v>48</v>
      </c>
      <c r="B47" s="103">
        <v>192538</v>
      </c>
      <c r="C47" s="103">
        <v>197064</v>
      </c>
      <c r="D47" s="103">
        <v>-4526</v>
      </c>
      <c r="E47" s="103">
        <v>250933</v>
      </c>
      <c r="F47" s="103">
        <v>227641</v>
      </c>
      <c r="G47" s="104">
        <f t="shared" si="1"/>
        <v>7.9527275119341506E-4</v>
      </c>
    </row>
    <row r="48" spans="1:7" ht="15.4" x14ac:dyDescent="0.45">
      <c r="A48" s="85" t="s">
        <v>49</v>
      </c>
      <c r="B48" s="103"/>
      <c r="C48" s="103"/>
      <c r="D48" s="103"/>
      <c r="E48" s="103"/>
      <c r="F48" s="103"/>
      <c r="G48" s="104">
        <f t="shared" si="1"/>
        <v>0</v>
      </c>
    </row>
    <row r="49" spans="1:7" ht="15.4" x14ac:dyDescent="0.45">
      <c r="A49" s="85" t="s">
        <v>50</v>
      </c>
      <c r="B49" s="103">
        <v>1476471</v>
      </c>
      <c r="C49" s="103">
        <v>1376835</v>
      </c>
      <c r="D49" s="103">
        <v>99636</v>
      </c>
      <c r="E49" s="103">
        <v>319126</v>
      </c>
      <c r="F49" s="103">
        <v>284956</v>
      </c>
      <c r="G49" s="104">
        <f t="shared" si="1"/>
        <v>6.0985216124987938E-3</v>
      </c>
    </row>
    <row r="50" spans="1:7" ht="15.4" x14ac:dyDescent="0.45">
      <c r="A50" s="85" t="s">
        <v>123</v>
      </c>
      <c r="B50" s="103">
        <v>258176</v>
      </c>
      <c r="C50" s="103">
        <v>286877.5</v>
      </c>
      <c r="D50" s="103">
        <v>-28701.5</v>
      </c>
      <c r="E50" s="103">
        <v>89928</v>
      </c>
      <c r="F50" s="103">
        <v>61226.5</v>
      </c>
      <c r="G50" s="104">
        <f t="shared" si="1"/>
        <v>1.0663886495762454E-3</v>
      </c>
    </row>
    <row r="51" spans="1:7" ht="15.4" x14ac:dyDescent="0.45">
      <c r="A51" s="85" t="s">
        <v>51</v>
      </c>
      <c r="B51" s="103">
        <v>1747030</v>
      </c>
      <c r="C51" s="103">
        <v>1096334</v>
      </c>
      <c r="D51" s="103">
        <v>650696</v>
      </c>
      <c r="E51" s="103">
        <v>87352</v>
      </c>
      <c r="F51" s="103">
        <v>560946</v>
      </c>
      <c r="G51" s="104">
        <f t="shared" si="1"/>
        <v>7.2160578925585181E-3</v>
      </c>
    </row>
    <row r="52" spans="1:7" ht="15.4" x14ac:dyDescent="0.45">
      <c r="A52" s="85" t="s">
        <v>153</v>
      </c>
      <c r="B52" s="103"/>
      <c r="C52" s="103"/>
      <c r="D52" s="103"/>
      <c r="E52" s="103"/>
      <c r="F52" s="103"/>
      <c r="G52" s="104">
        <f t="shared" si="1"/>
        <v>0</v>
      </c>
    </row>
    <row r="53" spans="1:7" ht="15.4" x14ac:dyDescent="0.45">
      <c r="A53" s="85" t="s">
        <v>138</v>
      </c>
      <c r="B53" s="103"/>
      <c r="C53" s="103"/>
      <c r="D53" s="103"/>
      <c r="E53" s="103"/>
      <c r="F53" s="103"/>
      <c r="G53" s="104">
        <f t="shared" si="1"/>
        <v>0</v>
      </c>
    </row>
    <row r="54" spans="1:7" ht="15.4" x14ac:dyDescent="0.45">
      <c r="A54" s="85" t="s">
        <v>52</v>
      </c>
      <c r="B54" s="103">
        <v>7500534</v>
      </c>
      <c r="C54" s="103">
        <v>6481942</v>
      </c>
      <c r="D54" s="103">
        <v>1018592</v>
      </c>
      <c r="E54" s="103">
        <v>234947</v>
      </c>
      <c r="F54" s="103">
        <v>1092034</v>
      </c>
      <c r="G54" s="104">
        <f t="shared" si="1"/>
        <v>3.0980743072015659E-2</v>
      </c>
    </row>
    <row r="55" spans="1:7" ht="15.4" x14ac:dyDescent="0.45">
      <c r="A55" s="85" t="s">
        <v>54</v>
      </c>
      <c r="B55" s="103">
        <v>1413363</v>
      </c>
      <c r="C55" s="103">
        <v>637466</v>
      </c>
      <c r="D55" s="103">
        <v>775897</v>
      </c>
      <c r="E55" s="103">
        <v>157020</v>
      </c>
      <c r="F55" s="103">
        <v>732747</v>
      </c>
      <c r="G55" s="104">
        <f t="shared" si="1"/>
        <v>5.8378558073989483E-3</v>
      </c>
    </row>
    <row r="56" spans="1:7" ht="15.4" x14ac:dyDescent="0.45">
      <c r="A56" s="85" t="s">
        <v>55</v>
      </c>
      <c r="B56" s="103">
        <v>331381</v>
      </c>
      <c r="C56" s="103">
        <v>333418</v>
      </c>
      <c r="D56" s="103">
        <v>-2037</v>
      </c>
      <c r="E56" s="103">
        <v>3320</v>
      </c>
      <c r="F56" s="103">
        <v>5091</v>
      </c>
      <c r="G56" s="104">
        <f t="shared" si="1"/>
        <v>1.3687598269600033E-3</v>
      </c>
    </row>
    <row r="57" spans="1:7" ht="15.4" x14ac:dyDescent="0.45">
      <c r="A57" s="85" t="s">
        <v>56</v>
      </c>
      <c r="B57" s="103">
        <v>891955</v>
      </c>
      <c r="C57" s="103">
        <v>648164</v>
      </c>
      <c r="D57" s="103">
        <v>243791</v>
      </c>
      <c r="E57" s="103">
        <v>12211</v>
      </c>
      <c r="F57" s="103">
        <v>102966</v>
      </c>
      <c r="G57" s="104">
        <f t="shared" si="1"/>
        <v>3.6841948435671016E-3</v>
      </c>
    </row>
    <row r="58" spans="1:7" ht="15.4" x14ac:dyDescent="0.45">
      <c r="A58" s="85" t="s">
        <v>57</v>
      </c>
      <c r="B58" s="103">
        <v>5480383</v>
      </c>
      <c r="C58" s="103">
        <v>4199540</v>
      </c>
      <c r="D58" s="103">
        <v>1280843</v>
      </c>
      <c r="E58" s="103">
        <v>274209</v>
      </c>
      <c r="F58" s="103">
        <v>1132430</v>
      </c>
      <c r="G58" s="104">
        <f t="shared" si="1"/>
        <v>2.2636566631021524E-2</v>
      </c>
    </row>
    <row r="59" spans="1:7" ht="15.4" x14ac:dyDescent="0.45">
      <c r="A59" s="85" t="s">
        <v>58</v>
      </c>
      <c r="B59" s="103"/>
      <c r="C59" s="103"/>
      <c r="D59" s="103"/>
      <c r="E59" s="103"/>
      <c r="F59" s="103"/>
      <c r="G59" s="104">
        <f t="shared" si="1"/>
        <v>0</v>
      </c>
    </row>
    <row r="60" spans="1:7" ht="15.4" x14ac:dyDescent="0.45">
      <c r="A60" s="85" t="s">
        <v>60</v>
      </c>
      <c r="B60" s="103">
        <v>11130438</v>
      </c>
      <c r="C60" s="103">
        <v>0</v>
      </c>
      <c r="D60" s="103">
        <v>11130438</v>
      </c>
      <c r="E60" s="103">
        <v>0</v>
      </c>
      <c r="F60" s="103">
        <v>11130438</v>
      </c>
      <c r="G60" s="104">
        <f t="shared" si="1"/>
        <v>4.5973958648410876E-2</v>
      </c>
    </row>
    <row r="61" spans="1:7" ht="15.4" x14ac:dyDescent="0.45">
      <c r="A61" s="85" t="s">
        <v>61</v>
      </c>
      <c r="B61" s="103">
        <v>797142</v>
      </c>
      <c r="C61" s="103">
        <v>503272</v>
      </c>
      <c r="D61" s="103">
        <v>293870</v>
      </c>
      <c r="E61" s="103">
        <v>-1535</v>
      </c>
      <c r="F61" s="103">
        <v>165576</v>
      </c>
      <c r="G61" s="104">
        <f t="shared" si="1"/>
        <v>3.2925724346976768E-3</v>
      </c>
    </row>
    <row r="62" spans="1:7" ht="15.4" x14ac:dyDescent="0.45">
      <c r="A62" s="85" t="s">
        <v>62</v>
      </c>
      <c r="B62" s="103">
        <v>815725</v>
      </c>
      <c r="C62" s="103">
        <v>627975</v>
      </c>
      <c r="D62" s="103">
        <v>187750</v>
      </c>
      <c r="E62" s="103">
        <v>79959</v>
      </c>
      <c r="F62" s="103">
        <v>200782</v>
      </c>
      <c r="G62" s="104">
        <f t="shared" si="1"/>
        <v>3.3693289894319487E-3</v>
      </c>
    </row>
    <row r="63" spans="1:7" ht="15.4" x14ac:dyDescent="0.45">
      <c r="A63" s="85" t="s">
        <v>63</v>
      </c>
      <c r="B63" s="103"/>
      <c r="C63" s="103"/>
      <c r="D63" s="103"/>
      <c r="E63" s="103"/>
      <c r="F63" s="103"/>
      <c r="G63" s="104">
        <f t="shared" si="1"/>
        <v>0</v>
      </c>
    </row>
    <row r="64" spans="1:7" ht="15.4" x14ac:dyDescent="0.45">
      <c r="A64" s="85" t="s">
        <v>64</v>
      </c>
      <c r="B64" s="103">
        <v>313110</v>
      </c>
      <c r="C64" s="103">
        <v>210751.51</v>
      </c>
      <c r="D64" s="103">
        <v>102358.49</v>
      </c>
      <c r="E64" s="103">
        <v>166085.6</v>
      </c>
      <c r="F64" s="103">
        <v>201955.19</v>
      </c>
      <c r="G64" s="104">
        <f t="shared" si="1"/>
        <v>1.2932919793815776E-3</v>
      </c>
    </row>
    <row r="65" spans="1:7" ht="15.4" x14ac:dyDescent="0.45">
      <c r="A65" s="85" t="s">
        <v>65</v>
      </c>
      <c r="B65" s="103">
        <v>37354665</v>
      </c>
      <c r="C65" s="103">
        <v>29365735.390000001</v>
      </c>
      <c r="D65" s="103">
        <v>7988929.6100000003</v>
      </c>
      <c r="E65" s="103">
        <v>6429311.1699999999</v>
      </c>
      <c r="F65" s="103">
        <v>11127098.779999999</v>
      </c>
      <c r="G65" s="104">
        <f t="shared" si="1"/>
        <v>0.15429238490302366</v>
      </c>
    </row>
    <row r="66" spans="1:7" ht="15.4" x14ac:dyDescent="0.45">
      <c r="A66" s="85" t="s">
        <v>66</v>
      </c>
      <c r="B66" s="103">
        <v>13129058</v>
      </c>
      <c r="C66" s="103">
        <v>6897975.7800000003</v>
      </c>
      <c r="D66" s="103">
        <v>6231082.2199999997</v>
      </c>
      <c r="E66" s="103">
        <v>4837133.3099999996</v>
      </c>
      <c r="F66" s="103">
        <v>8294428.4500000002</v>
      </c>
      <c r="G66" s="104">
        <f t="shared" si="1"/>
        <v>5.4229201904236649E-2</v>
      </c>
    </row>
    <row r="67" spans="1:7" ht="15.4" x14ac:dyDescent="0.45">
      <c r="A67" s="85" t="s">
        <v>67</v>
      </c>
      <c r="B67" s="103">
        <v>1018708</v>
      </c>
      <c r="C67" s="103">
        <v>1084630.18</v>
      </c>
      <c r="D67" s="103">
        <v>-65922.179999999993</v>
      </c>
      <c r="E67" s="103">
        <v>794</v>
      </c>
      <c r="F67" s="103">
        <v>-67840.179999999993</v>
      </c>
      <c r="G67" s="104">
        <f t="shared" ref="G67:G98" si="2">B67/$B$122</f>
        <v>4.2077445170446435E-3</v>
      </c>
    </row>
    <row r="68" spans="1:7" ht="15.4" x14ac:dyDescent="0.45">
      <c r="A68" s="85" t="s">
        <v>139</v>
      </c>
      <c r="B68" s="103">
        <v>205285</v>
      </c>
      <c r="C68" s="103">
        <v>151425.72</v>
      </c>
      <c r="D68" s="103">
        <v>53859.28</v>
      </c>
      <c r="E68" s="103">
        <v>54306</v>
      </c>
      <c r="F68" s="103">
        <v>97058.28</v>
      </c>
      <c r="G68" s="104">
        <f t="shared" si="2"/>
        <v>8.4792387335871477E-4</v>
      </c>
    </row>
    <row r="69" spans="1:7" ht="15.4" x14ac:dyDescent="0.45">
      <c r="A69" s="85" t="s">
        <v>68</v>
      </c>
      <c r="B69" s="103">
        <v>269768</v>
      </c>
      <c r="C69" s="103">
        <v>237178</v>
      </c>
      <c r="D69" s="103">
        <v>32590</v>
      </c>
      <c r="E69" s="103">
        <v>-578</v>
      </c>
      <c r="F69" s="103">
        <v>23864</v>
      </c>
      <c r="G69" s="104">
        <f t="shared" si="2"/>
        <v>1.1142690769819215E-3</v>
      </c>
    </row>
    <row r="70" spans="1:7" ht="15.4" x14ac:dyDescent="0.45">
      <c r="A70" s="85" t="s">
        <v>69</v>
      </c>
      <c r="B70" s="103">
        <v>1111748</v>
      </c>
      <c r="C70" s="103">
        <v>1095675</v>
      </c>
      <c r="D70" s="103">
        <v>16073</v>
      </c>
      <c r="E70" s="103">
        <v>3253</v>
      </c>
      <c r="F70" s="103">
        <v>19326</v>
      </c>
      <c r="G70" s="104">
        <f t="shared" si="2"/>
        <v>4.5920435996726714E-3</v>
      </c>
    </row>
    <row r="71" spans="1:7" ht="15.4" x14ac:dyDescent="0.45">
      <c r="A71" s="85" t="s">
        <v>141</v>
      </c>
      <c r="B71" s="103">
        <v>79042</v>
      </c>
      <c r="C71" s="103">
        <v>361631.88</v>
      </c>
      <c r="D71" s="103">
        <v>-282589.88</v>
      </c>
      <c r="E71" s="103">
        <v>91835</v>
      </c>
      <c r="F71" s="103">
        <v>-198169.88</v>
      </c>
      <c r="G71" s="104">
        <f t="shared" si="2"/>
        <v>3.2648074042438335E-4</v>
      </c>
    </row>
    <row r="72" spans="1:7" ht="15.4" x14ac:dyDescent="0.45">
      <c r="A72" s="85" t="s">
        <v>110</v>
      </c>
      <c r="B72" s="103">
        <v>464120</v>
      </c>
      <c r="C72" s="103">
        <v>483033.44</v>
      </c>
      <c r="D72" s="103">
        <v>-18913.439999999999</v>
      </c>
      <c r="E72" s="103">
        <v>0</v>
      </c>
      <c r="F72" s="103">
        <v>-18913.439999999999</v>
      </c>
      <c r="G72" s="104">
        <f t="shared" si="2"/>
        <v>1.9170345037545203E-3</v>
      </c>
    </row>
    <row r="73" spans="1:7" ht="15.4" x14ac:dyDescent="0.45">
      <c r="A73" s="85" t="s">
        <v>143</v>
      </c>
      <c r="B73" s="103"/>
      <c r="C73" s="103"/>
      <c r="D73" s="103"/>
      <c r="E73" s="103"/>
      <c r="F73" s="103"/>
      <c r="G73" s="104">
        <f t="shared" si="2"/>
        <v>0</v>
      </c>
    </row>
    <row r="74" spans="1:7" ht="15.4" x14ac:dyDescent="0.45">
      <c r="A74" s="85" t="s">
        <v>125</v>
      </c>
      <c r="B74" s="103">
        <v>190813</v>
      </c>
      <c r="C74" s="103">
        <v>268632</v>
      </c>
      <c r="D74" s="103">
        <v>-77819</v>
      </c>
      <c r="E74" s="103">
        <v>0</v>
      </c>
      <c r="F74" s="103">
        <v>-77819</v>
      </c>
      <c r="G74" s="104">
        <f t="shared" si="2"/>
        <v>7.8814768759137999E-4</v>
      </c>
    </row>
    <row r="75" spans="1:7" ht="15.4" x14ac:dyDescent="0.45">
      <c r="A75" s="85" t="s">
        <v>71</v>
      </c>
      <c r="B75" s="103">
        <v>831261</v>
      </c>
      <c r="C75" s="103">
        <v>436363.81</v>
      </c>
      <c r="D75" s="103">
        <v>394897.19</v>
      </c>
      <c r="E75" s="103">
        <v>0</v>
      </c>
      <c r="F75" s="103">
        <v>394897.19</v>
      </c>
      <c r="G75" s="104">
        <f t="shared" si="2"/>
        <v>3.4334999970384518E-3</v>
      </c>
    </row>
    <row r="76" spans="1:7" ht="15.4" x14ac:dyDescent="0.45">
      <c r="A76" s="85" t="s">
        <v>72</v>
      </c>
      <c r="B76" s="103"/>
      <c r="C76" s="103"/>
      <c r="D76" s="103"/>
      <c r="E76" s="103"/>
      <c r="F76" s="103"/>
      <c r="G76" s="104">
        <f t="shared" si="2"/>
        <v>0</v>
      </c>
    </row>
    <row r="77" spans="1:7" ht="15.4" x14ac:dyDescent="0.45">
      <c r="A77" s="85" t="s">
        <v>73</v>
      </c>
      <c r="B77" s="103">
        <v>367415</v>
      </c>
      <c r="C77" s="103">
        <v>319055.92</v>
      </c>
      <c r="D77" s="103">
        <v>48359.08</v>
      </c>
      <c r="E77" s="103">
        <v>0</v>
      </c>
      <c r="F77" s="103">
        <v>48359.08</v>
      </c>
      <c r="G77" s="104">
        <f t="shared" si="2"/>
        <v>1.5175972425169504E-3</v>
      </c>
    </row>
    <row r="78" spans="1:7" ht="15.4" x14ac:dyDescent="0.45">
      <c r="A78" s="85" t="s">
        <v>126</v>
      </c>
      <c r="B78" s="103"/>
      <c r="C78" s="103"/>
      <c r="D78" s="103"/>
      <c r="E78" s="103"/>
      <c r="F78" s="103"/>
      <c r="G78" s="104">
        <f t="shared" si="2"/>
        <v>0</v>
      </c>
    </row>
    <row r="79" spans="1:7" ht="15.4" x14ac:dyDescent="0.45">
      <c r="A79" s="85" t="s">
        <v>75</v>
      </c>
      <c r="B79" s="103">
        <v>252311</v>
      </c>
      <c r="C79" s="103">
        <v>242226.83</v>
      </c>
      <c r="D79" s="103">
        <v>10084.17</v>
      </c>
      <c r="E79" s="103">
        <v>3820</v>
      </c>
      <c r="F79" s="103">
        <v>13904.17</v>
      </c>
      <c r="G79" s="104">
        <f t="shared" si="2"/>
        <v>1.042163433329326E-3</v>
      </c>
    </row>
    <row r="80" spans="1:7" ht="15.4" x14ac:dyDescent="0.45">
      <c r="A80" s="85" t="s">
        <v>76</v>
      </c>
      <c r="B80" s="103">
        <v>99513</v>
      </c>
      <c r="C80" s="103">
        <v>168717.7</v>
      </c>
      <c r="D80" s="103">
        <v>-69204.7</v>
      </c>
      <c r="E80" s="103">
        <v>27348.92</v>
      </c>
      <c r="F80" s="103">
        <v>-41855.78</v>
      </c>
      <c r="G80" s="104">
        <f t="shared" si="2"/>
        <v>4.1103562564018698E-4</v>
      </c>
    </row>
    <row r="81" spans="1:7" ht="15.4" x14ac:dyDescent="0.45">
      <c r="A81" s="85" t="s">
        <v>127</v>
      </c>
      <c r="B81" s="103"/>
      <c r="C81" s="103"/>
      <c r="D81" s="103"/>
      <c r="E81" s="103"/>
      <c r="F81" s="103"/>
      <c r="G81" s="104">
        <f t="shared" si="2"/>
        <v>0</v>
      </c>
    </row>
    <row r="82" spans="1:7" ht="15.4" x14ac:dyDescent="0.45">
      <c r="A82" s="85" t="s">
        <v>77</v>
      </c>
      <c r="B82" s="103">
        <v>9018610</v>
      </c>
      <c r="C82" s="103">
        <v>5544649</v>
      </c>
      <c r="D82" s="103">
        <v>3473961</v>
      </c>
      <c r="E82" s="103">
        <v>713878</v>
      </c>
      <c r="F82" s="103">
        <v>3216702</v>
      </c>
      <c r="G82" s="104">
        <f t="shared" si="2"/>
        <v>3.7251112957652231E-2</v>
      </c>
    </row>
    <row r="83" spans="1:7" ht="15.4" x14ac:dyDescent="0.45">
      <c r="A83" s="85" t="s">
        <v>78</v>
      </c>
      <c r="B83" s="103">
        <v>697947</v>
      </c>
      <c r="C83" s="103">
        <v>583156</v>
      </c>
      <c r="D83" s="103">
        <v>114791</v>
      </c>
      <c r="E83" s="103">
        <v>50770</v>
      </c>
      <c r="F83" s="103">
        <v>164897</v>
      </c>
      <c r="G83" s="104">
        <f t="shared" si="2"/>
        <v>2.8828502990432565E-3</v>
      </c>
    </row>
    <row r="84" spans="1:7" ht="15.4" x14ac:dyDescent="0.45">
      <c r="A84" s="85" t="s">
        <v>154</v>
      </c>
      <c r="B84" s="103"/>
      <c r="C84" s="103"/>
      <c r="D84" s="103"/>
      <c r="E84" s="103"/>
      <c r="F84" s="103"/>
      <c r="G84" s="104">
        <f t="shared" si="2"/>
        <v>0</v>
      </c>
    </row>
    <row r="85" spans="1:7" ht="15.4" x14ac:dyDescent="0.45">
      <c r="A85" s="85" t="s">
        <v>111</v>
      </c>
      <c r="B85" s="103">
        <v>480702</v>
      </c>
      <c r="C85" s="103">
        <v>473563.04</v>
      </c>
      <c r="D85" s="103">
        <v>7138.96</v>
      </c>
      <c r="E85" s="103">
        <v>139741.88</v>
      </c>
      <c r="F85" s="103">
        <v>110160.83</v>
      </c>
      <c r="G85" s="104">
        <f t="shared" si="2"/>
        <v>1.9855259847104314E-3</v>
      </c>
    </row>
    <row r="86" spans="1:7" ht="15.4" x14ac:dyDescent="0.45">
      <c r="A86" s="85" t="s">
        <v>80</v>
      </c>
      <c r="B86" s="103">
        <v>2363266</v>
      </c>
      <c r="C86" s="103">
        <v>1877315</v>
      </c>
      <c r="D86" s="103">
        <v>485951</v>
      </c>
      <c r="E86" s="103">
        <v>0</v>
      </c>
      <c r="F86" s="103">
        <v>325748</v>
      </c>
      <c r="G86" s="104">
        <f t="shared" si="2"/>
        <v>9.7614032223345901E-3</v>
      </c>
    </row>
    <row r="87" spans="1:7" ht="15.4" x14ac:dyDescent="0.45">
      <c r="A87" s="85" t="s">
        <v>81</v>
      </c>
      <c r="B87" s="103">
        <v>571036</v>
      </c>
      <c r="C87" s="103">
        <v>509722</v>
      </c>
      <c r="D87" s="103">
        <v>61314</v>
      </c>
      <c r="E87" s="103">
        <v>22066</v>
      </c>
      <c r="F87" s="103">
        <v>61877</v>
      </c>
      <c r="G87" s="104">
        <f t="shared" si="2"/>
        <v>2.3586480110444849E-3</v>
      </c>
    </row>
    <row r="88" spans="1:7" ht="15.4" x14ac:dyDescent="0.45">
      <c r="A88" s="85" t="s">
        <v>82</v>
      </c>
      <c r="B88" s="103"/>
      <c r="C88" s="103">
        <v>84124</v>
      </c>
      <c r="D88" s="103">
        <v>-84124</v>
      </c>
      <c r="E88" s="103">
        <v>65997</v>
      </c>
      <c r="F88" s="103">
        <v>44966</v>
      </c>
      <c r="G88" s="104">
        <f t="shared" si="2"/>
        <v>0</v>
      </c>
    </row>
    <row r="89" spans="1:7" ht="15.4" x14ac:dyDescent="0.45">
      <c r="A89" s="85" t="s">
        <v>83</v>
      </c>
      <c r="B89" s="103">
        <v>1860848</v>
      </c>
      <c r="C89" s="103">
        <v>2900054</v>
      </c>
      <c r="D89" s="103">
        <v>-1039206</v>
      </c>
      <c r="E89" s="103">
        <v>883840</v>
      </c>
      <c r="F89" s="103">
        <v>-155366</v>
      </c>
      <c r="G89" s="104">
        <f t="shared" si="2"/>
        <v>7.6861799151999302E-3</v>
      </c>
    </row>
    <row r="90" spans="1:7" ht="15.4" x14ac:dyDescent="0.45">
      <c r="A90" s="85" t="s">
        <v>112</v>
      </c>
      <c r="B90" s="103"/>
      <c r="C90" s="103"/>
      <c r="D90" s="103"/>
      <c r="E90" s="103"/>
      <c r="F90" s="103"/>
      <c r="G90" s="104">
        <f t="shared" si="2"/>
        <v>0</v>
      </c>
    </row>
    <row r="91" spans="1:7" ht="15.4" x14ac:dyDescent="0.45">
      <c r="A91" s="85" t="s">
        <v>84</v>
      </c>
      <c r="B91" s="103">
        <v>2910292</v>
      </c>
      <c r="C91" s="103">
        <v>2234083.0299999998</v>
      </c>
      <c r="D91" s="103">
        <v>676208.97</v>
      </c>
      <c r="E91" s="103">
        <v>103542</v>
      </c>
      <c r="F91" s="103">
        <v>705662.97</v>
      </c>
      <c r="G91" s="104">
        <f t="shared" si="2"/>
        <v>1.2020878608982053E-2</v>
      </c>
    </row>
    <row r="92" spans="1:7" ht="15.4" x14ac:dyDescent="0.45">
      <c r="A92" s="85" t="s">
        <v>85</v>
      </c>
      <c r="B92" s="103">
        <v>3858063</v>
      </c>
      <c r="C92" s="103">
        <v>3457021</v>
      </c>
      <c r="D92" s="103">
        <v>401042</v>
      </c>
      <c r="E92" s="103">
        <v>785522</v>
      </c>
      <c r="F92" s="103">
        <v>1084113</v>
      </c>
      <c r="G92" s="104">
        <f t="shared" si="2"/>
        <v>1.5935619858352745E-2</v>
      </c>
    </row>
    <row r="93" spans="1:7" ht="15.4" x14ac:dyDescent="0.45">
      <c r="A93" s="85" t="s">
        <v>86</v>
      </c>
      <c r="B93" s="103">
        <v>4040934</v>
      </c>
      <c r="C93" s="103">
        <v>3404924.49</v>
      </c>
      <c r="D93" s="103">
        <v>636009.51</v>
      </c>
      <c r="E93" s="103">
        <v>547105.43000000005</v>
      </c>
      <c r="F93" s="103">
        <v>1183114.94</v>
      </c>
      <c r="G93" s="104">
        <f t="shared" si="2"/>
        <v>1.6690963340073188E-2</v>
      </c>
    </row>
    <row r="94" spans="1:7" ht="15.4" x14ac:dyDescent="0.45">
      <c r="A94" s="85" t="s">
        <v>87</v>
      </c>
      <c r="B94" s="103">
        <v>1907768</v>
      </c>
      <c r="C94" s="103">
        <v>1050380.6200000001</v>
      </c>
      <c r="D94" s="103">
        <v>857387.38</v>
      </c>
      <c r="E94" s="103">
        <v>7893.17</v>
      </c>
      <c r="F94" s="103">
        <v>865280.55</v>
      </c>
      <c r="G94" s="104">
        <f t="shared" si="2"/>
        <v>7.8799816451752859E-3</v>
      </c>
    </row>
    <row r="95" spans="1:7" ht="15.4" x14ac:dyDescent="0.45">
      <c r="A95" s="85" t="s">
        <v>89</v>
      </c>
      <c r="B95" s="103">
        <v>146724</v>
      </c>
      <c r="C95" s="103">
        <v>275402.71999999997</v>
      </c>
      <c r="D95" s="103">
        <v>-128678.72</v>
      </c>
      <c r="E95" s="103">
        <v>112003.08</v>
      </c>
      <c r="F95" s="103">
        <v>-16675.64</v>
      </c>
      <c r="G95" s="104">
        <f t="shared" si="2"/>
        <v>6.0603932286666857E-4</v>
      </c>
    </row>
    <row r="96" spans="1:7" ht="15.4" x14ac:dyDescent="0.45">
      <c r="A96" s="85" t="s">
        <v>144</v>
      </c>
      <c r="B96" s="103"/>
      <c r="C96" s="103"/>
      <c r="D96" s="103"/>
      <c r="E96" s="103"/>
      <c r="F96" s="103"/>
      <c r="G96" s="104">
        <f t="shared" si="2"/>
        <v>0</v>
      </c>
    </row>
    <row r="97" spans="1:7" ht="15.4" x14ac:dyDescent="0.45">
      <c r="A97" s="85" t="s">
        <v>90</v>
      </c>
      <c r="B97" s="103">
        <v>2546456</v>
      </c>
      <c r="C97" s="103">
        <v>1464892</v>
      </c>
      <c r="D97" s="103">
        <v>1081564</v>
      </c>
      <c r="E97" s="103">
        <v>0</v>
      </c>
      <c r="F97" s="103">
        <v>812218.6</v>
      </c>
      <c r="G97" s="104">
        <f t="shared" si="2"/>
        <v>1.0518064324512456E-2</v>
      </c>
    </row>
    <row r="98" spans="1:7" ht="15.4" x14ac:dyDescent="0.45">
      <c r="A98" s="85" t="s">
        <v>91</v>
      </c>
      <c r="B98" s="103">
        <v>10511388</v>
      </c>
      <c r="C98" s="103">
        <v>7520119</v>
      </c>
      <c r="D98" s="103">
        <v>2991269</v>
      </c>
      <c r="E98" s="103">
        <v>138295</v>
      </c>
      <c r="F98" s="103">
        <v>2617261</v>
      </c>
      <c r="G98" s="104">
        <f t="shared" si="2"/>
        <v>4.3416990171402263E-2</v>
      </c>
    </row>
    <row r="99" spans="1:7" ht="15.4" x14ac:dyDescent="0.45">
      <c r="A99" s="85" t="s">
        <v>92</v>
      </c>
      <c r="B99" s="103">
        <v>114277</v>
      </c>
      <c r="C99" s="103">
        <v>105832</v>
      </c>
      <c r="D99" s="103">
        <v>8445</v>
      </c>
      <c r="E99" s="103">
        <v>0</v>
      </c>
      <c r="F99" s="103">
        <v>7567</v>
      </c>
      <c r="G99" s="104">
        <f t="shared" ref="G99:G109" si="3">B99/$B$122</f>
        <v>4.7201790913030102E-4</v>
      </c>
    </row>
    <row r="100" spans="1:7" ht="15.4" x14ac:dyDescent="0.45">
      <c r="A100" s="85" t="s">
        <v>93</v>
      </c>
      <c r="B100" s="103">
        <v>530808</v>
      </c>
      <c r="C100" s="103">
        <v>269592</v>
      </c>
      <c r="D100" s="103">
        <v>261216</v>
      </c>
      <c r="E100" s="103">
        <v>264001</v>
      </c>
      <c r="F100" s="103">
        <v>531678</v>
      </c>
      <c r="G100" s="104">
        <f t="shared" si="3"/>
        <v>2.192487397373372E-3</v>
      </c>
    </row>
    <row r="101" spans="1:7" ht="15.4" x14ac:dyDescent="0.45">
      <c r="A101" s="85" t="s">
        <v>113</v>
      </c>
      <c r="B101" s="103">
        <v>692559</v>
      </c>
      <c r="C101" s="103">
        <v>531865</v>
      </c>
      <c r="D101" s="103">
        <v>160694</v>
      </c>
      <c r="E101" s="103">
        <v>0</v>
      </c>
      <c r="F101" s="103">
        <v>126089</v>
      </c>
      <c r="G101" s="104">
        <f t="shared" si="3"/>
        <v>2.8605953177749865E-3</v>
      </c>
    </row>
    <row r="102" spans="1:7" ht="15.4" x14ac:dyDescent="0.45">
      <c r="A102" s="85" t="s">
        <v>94</v>
      </c>
      <c r="B102" s="103">
        <v>7877757</v>
      </c>
      <c r="C102" s="103">
        <v>5944538</v>
      </c>
      <c r="D102" s="103">
        <v>1933219</v>
      </c>
      <c r="E102" s="103">
        <v>68465</v>
      </c>
      <c r="F102" s="103">
        <v>1497782</v>
      </c>
      <c r="G102" s="104">
        <f t="shared" si="3"/>
        <v>3.2538851980508703E-2</v>
      </c>
    </row>
    <row r="103" spans="1:7" ht="15.4" x14ac:dyDescent="0.45">
      <c r="A103" s="85" t="s">
        <v>155</v>
      </c>
      <c r="B103" s="103"/>
      <c r="C103" s="103"/>
      <c r="D103" s="103"/>
      <c r="E103" s="103"/>
      <c r="F103" s="103"/>
      <c r="G103" s="104">
        <f t="shared" si="3"/>
        <v>0</v>
      </c>
    </row>
    <row r="104" spans="1:7" ht="15.4" x14ac:dyDescent="0.45">
      <c r="A104" s="85" t="s">
        <v>114</v>
      </c>
      <c r="B104" s="103">
        <v>2010620</v>
      </c>
      <c r="C104" s="103">
        <v>1327728.75</v>
      </c>
      <c r="D104" s="103">
        <v>682891.25</v>
      </c>
      <c r="E104" s="103">
        <v>30901</v>
      </c>
      <c r="F104" s="103">
        <v>539701.13</v>
      </c>
      <c r="G104" s="104">
        <f t="shared" si="3"/>
        <v>8.3048089156660208E-3</v>
      </c>
    </row>
    <row r="105" spans="1:7" ht="15.4" x14ac:dyDescent="0.45">
      <c r="A105" s="85" t="s">
        <v>95</v>
      </c>
      <c r="B105" s="103">
        <v>175323</v>
      </c>
      <c r="C105" s="103">
        <v>139930</v>
      </c>
      <c r="D105" s="103">
        <v>35393</v>
      </c>
      <c r="E105" s="103">
        <v>0</v>
      </c>
      <c r="F105" s="103">
        <v>26495</v>
      </c>
      <c r="G105" s="104">
        <f t="shared" si="3"/>
        <v>7.2416668168093115E-4</v>
      </c>
    </row>
    <row r="106" spans="1:7" ht="15.4" x14ac:dyDescent="0.45">
      <c r="A106" s="85" t="s">
        <v>96</v>
      </c>
      <c r="B106" s="103"/>
      <c r="C106" s="103"/>
      <c r="D106" s="103"/>
      <c r="E106" s="103"/>
      <c r="F106" s="103"/>
      <c r="G106" s="104">
        <f t="shared" si="3"/>
        <v>0</v>
      </c>
    </row>
    <row r="107" spans="1:7" ht="15.4" x14ac:dyDescent="0.45">
      <c r="A107" s="85" t="s">
        <v>145</v>
      </c>
      <c r="B107" s="103">
        <v>81887</v>
      </c>
      <c r="C107" s="103">
        <v>326368</v>
      </c>
      <c r="D107" s="103">
        <v>-244481</v>
      </c>
      <c r="E107" s="103">
        <v>47039</v>
      </c>
      <c r="F107" s="103">
        <v>-200921</v>
      </c>
      <c r="G107" s="104">
        <f t="shared" si="3"/>
        <v>3.3823193227817462E-4</v>
      </c>
    </row>
    <row r="108" spans="1:7" ht="15.4" x14ac:dyDescent="0.45">
      <c r="A108" s="85" t="s">
        <v>97</v>
      </c>
      <c r="B108" s="103"/>
      <c r="C108" s="103"/>
      <c r="D108" s="103"/>
      <c r="E108" s="103"/>
      <c r="F108" s="103"/>
      <c r="G108" s="104">
        <f t="shared" si="3"/>
        <v>0</v>
      </c>
    </row>
    <row r="109" spans="1:7" ht="15.4" x14ac:dyDescent="0.45">
      <c r="A109" s="85" t="s">
        <v>98</v>
      </c>
      <c r="B109" s="103">
        <v>1826551</v>
      </c>
      <c r="C109" s="103">
        <v>1663132</v>
      </c>
      <c r="D109" s="103">
        <v>163419</v>
      </c>
      <c r="E109" s="103">
        <v>24369</v>
      </c>
      <c r="F109" s="103">
        <v>130416</v>
      </c>
      <c r="G109" s="104">
        <f t="shared" si="3"/>
        <v>7.5445171289048579E-3</v>
      </c>
    </row>
    <row r="110" spans="1:7" ht="15.4" x14ac:dyDescent="0.45">
      <c r="A110" s="85" t="s">
        <v>99</v>
      </c>
      <c r="B110" s="103"/>
      <c r="C110" s="103"/>
      <c r="D110" s="103"/>
      <c r="E110" s="103"/>
      <c r="F110" s="103"/>
      <c r="G110" s="104">
        <f t="shared" ref="G110:G121" si="4">B110/$B$122</f>
        <v>0</v>
      </c>
    </row>
    <row r="111" spans="1:7" ht="15.4" x14ac:dyDescent="0.45">
      <c r="A111" s="85" t="s">
        <v>100</v>
      </c>
      <c r="B111" s="103">
        <v>3584212</v>
      </c>
      <c r="C111" s="103">
        <v>3408876</v>
      </c>
      <c r="D111" s="103">
        <v>175336</v>
      </c>
      <c r="E111" s="103">
        <v>557903</v>
      </c>
      <c r="F111" s="103">
        <v>586029</v>
      </c>
      <c r="G111" s="104">
        <f t="shared" si="4"/>
        <v>1.4804486065610179E-2</v>
      </c>
    </row>
    <row r="112" spans="1:7" ht="15.4" x14ac:dyDescent="0.45">
      <c r="A112" s="85" t="s">
        <v>101</v>
      </c>
      <c r="B112" s="103">
        <v>73640</v>
      </c>
      <c r="C112" s="103">
        <v>73240.77</v>
      </c>
      <c r="D112" s="103">
        <v>399.23</v>
      </c>
      <c r="E112" s="103">
        <v>105.97</v>
      </c>
      <c r="F112" s="103">
        <v>505.2</v>
      </c>
      <c r="G112" s="104">
        <f t="shared" si="4"/>
        <v>3.0416793255296664E-4</v>
      </c>
    </row>
    <row r="113" spans="1:7" ht="15.4" x14ac:dyDescent="0.45">
      <c r="A113" s="85" t="s">
        <v>102</v>
      </c>
      <c r="B113" s="103"/>
      <c r="C113" s="103"/>
      <c r="D113" s="103"/>
      <c r="E113" s="103"/>
      <c r="F113" s="103"/>
      <c r="G113" s="104">
        <f t="shared" si="4"/>
        <v>0</v>
      </c>
    </row>
    <row r="114" spans="1:7" ht="15.4" x14ac:dyDescent="0.45">
      <c r="A114" s="85" t="s">
        <v>156</v>
      </c>
      <c r="B114" s="103"/>
      <c r="C114" s="103"/>
      <c r="D114" s="103"/>
      <c r="E114" s="103"/>
      <c r="F114" s="103"/>
      <c r="G114" s="104">
        <f t="shared" si="4"/>
        <v>0</v>
      </c>
    </row>
    <row r="115" spans="1:7" ht="15.4" x14ac:dyDescent="0.45">
      <c r="A115" s="85" t="s">
        <v>157</v>
      </c>
      <c r="B115" s="103"/>
      <c r="C115" s="103"/>
      <c r="D115" s="103"/>
      <c r="E115" s="103"/>
      <c r="F115" s="103"/>
      <c r="G115" s="104">
        <f t="shared" si="4"/>
        <v>0</v>
      </c>
    </row>
    <row r="116" spans="1:7" ht="15.4" x14ac:dyDescent="0.45">
      <c r="A116" s="85" t="s">
        <v>103</v>
      </c>
      <c r="B116" s="103">
        <v>5286224</v>
      </c>
      <c r="C116" s="103">
        <v>4432866.32</v>
      </c>
      <c r="D116" s="103">
        <v>853357.68</v>
      </c>
      <c r="E116" s="103">
        <v>5315.85</v>
      </c>
      <c r="F116" s="103">
        <v>669927</v>
      </c>
      <c r="G116" s="104">
        <f t="shared" si="4"/>
        <v>2.1834598385278021E-2</v>
      </c>
    </row>
    <row r="117" spans="1:7" ht="15.4" x14ac:dyDescent="0.45">
      <c r="A117" s="85" t="s">
        <v>104</v>
      </c>
      <c r="B117" s="103">
        <v>2010591</v>
      </c>
      <c r="C117" s="103">
        <v>2003874</v>
      </c>
      <c r="D117" s="103">
        <v>6717</v>
      </c>
      <c r="E117" s="103">
        <v>5987</v>
      </c>
      <c r="F117" s="103">
        <v>9146</v>
      </c>
      <c r="G117" s="104">
        <f t="shared" si="4"/>
        <v>8.3046891319880738E-3</v>
      </c>
    </row>
    <row r="118" spans="1:7" ht="15.4" x14ac:dyDescent="0.45">
      <c r="A118" s="85" t="s">
        <v>105</v>
      </c>
      <c r="B118" s="103">
        <v>621609</v>
      </c>
      <c r="C118" s="103">
        <v>651902.4</v>
      </c>
      <c r="D118" s="103">
        <v>-30293.4</v>
      </c>
      <c r="E118" s="103">
        <v>93781</v>
      </c>
      <c r="F118" s="103">
        <v>47615.6</v>
      </c>
      <c r="G118" s="104">
        <f t="shared" si="4"/>
        <v>2.5675383539695415E-3</v>
      </c>
    </row>
    <row r="119" spans="1:7" ht="15.4" x14ac:dyDescent="0.45">
      <c r="A119" s="85" t="s">
        <v>106</v>
      </c>
      <c r="B119" s="103">
        <v>22142418</v>
      </c>
      <c r="C119" s="103">
        <v>7278458.4799999995</v>
      </c>
      <c r="D119" s="103">
        <v>14863959.52</v>
      </c>
      <c r="E119" s="103">
        <v>10409761.809999999</v>
      </c>
      <c r="F119" s="103">
        <v>19092407.329999998</v>
      </c>
      <c r="G119" s="104">
        <f t="shared" si="4"/>
        <v>9.145862988570877E-2</v>
      </c>
    </row>
    <row r="120" spans="1:7" ht="15.4" x14ac:dyDescent="0.45">
      <c r="A120" s="85" t="s">
        <v>146</v>
      </c>
      <c r="B120" s="103">
        <v>298613</v>
      </c>
      <c r="C120" s="103">
        <v>243545.69</v>
      </c>
      <c r="D120" s="103">
        <v>55067.31</v>
      </c>
      <c r="E120" s="103">
        <v>51216.9</v>
      </c>
      <c r="F120" s="103">
        <v>79821</v>
      </c>
      <c r="G120" s="104">
        <f t="shared" si="4"/>
        <v>1.233412531822909E-3</v>
      </c>
    </row>
    <row r="121" spans="1:7" ht="15.4" x14ac:dyDescent="0.45">
      <c r="A121" s="85" t="s">
        <v>107</v>
      </c>
      <c r="B121" s="103"/>
      <c r="C121" s="103"/>
      <c r="D121" s="103"/>
      <c r="E121" s="103"/>
      <c r="F121" s="103"/>
      <c r="G121" s="104">
        <f t="shared" si="4"/>
        <v>0</v>
      </c>
    </row>
    <row r="122" spans="1:7" s="110" customFormat="1" ht="14.25" x14ac:dyDescent="0.45">
      <c r="A122" s="107" t="s">
        <v>108</v>
      </c>
      <c r="B122" s="108">
        <f t="shared" ref="B122:G122" si="5">SUM(B3:B121)</f>
        <v>242103102</v>
      </c>
      <c r="C122" s="108">
        <f t="shared" si="5"/>
        <v>175106077.77000001</v>
      </c>
      <c r="D122" s="108">
        <f t="shared" si="5"/>
        <v>66997024.230000004</v>
      </c>
      <c r="E122" s="108">
        <f t="shared" si="5"/>
        <v>45421745.850000001</v>
      </c>
      <c r="F122" s="108">
        <f t="shared" si="5"/>
        <v>88957240.679999977</v>
      </c>
      <c r="G122" s="109">
        <f t="shared" si="5"/>
        <v>0.99999999999999944</v>
      </c>
    </row>
  </sheetData>
  <sortState xmlns:xlrd2="http://schemas.microsoft.com/office/spreadsheetml/2017/richdata2" ref="A3:G142">
    <sortCondition ref="A3:A142"/>
  </sortState>
  <mergeCells count="1">
    <mergeCell ref="A1:G1"/>
  </mergeCells>
  <pageMargins left="0.7" right="0.7" top="0.75" bottom="0.75" header="0.3" footer="0.3"/>
  <pageSetup orientation="portrait" r:id="rId1"/>
  <customProperties>
    <customPr name="LastActive" r:id="rId2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4"/>
  <sheetViews>
    <sheetView zoomScale="98" zoomScaleNormal="98" workbookViewId="0">
      <pane xSplit="1" ySplit="2" topLeftCell="B117" activePane="bottomRight" state="frozen"/>
      <selection pane="topRight" activeCell="B1" sqref="B1"/>
      <selection pane="bottomLeft" activeCell="A3" sqref="A3"/>
      <selection pane="bottomRight" activeCell="B21" sqref="B21"/>
    </sheetView>
  </sheetViews>
  <sheetFormatPr defaultRowHeight="12.75" x14ac:dyDescent="0.35"/>
  <cols>
    <col min="1" max="1" width="57.265625" customWidth="1"/>
    <col min="2" max="2" width="17.73046875" customWidth="1"/>
    <col min="3" max="3" width="20.1328125" customWidth="1"/>
    <col min="4" max="4" width="18" customWidth="1"/>
    <col min="5" max="5" width="21.59765625" bestFit="1" customWidth="1"/>
    <col min="6" max="6" width="20.86328125" customWidth="1"/>
    <col min="7" max="7" width="16" style="106" bestFit="1" customWidth="1"/>
  </cols>
  <sheetData>
    <row r="1" spans="1:7" ht="18" x14ac:dyDescent="0.55000000000000004">
      <c r="A1" s="171" t="s">
        <v>158</v>
      </c>
      <c r="B1" s="171"/>
      <c r="C1" s="171"/>
      <c r="D1" s="171"/>
      <c r="E1" s="171"/>
      <c r="F1" s="171"/>
      <c r="G1" s="171"/>
    </row>
    <row r="2" spans="1:7" ht="36" x14ac:dyDescent="0.55000000000000004">
      <c r="A2" s="70" t="s">
        <v>1</v>
      </c>
      <c r="B2" s="71" t="s">
        <v>2</v>
      </c>
      <c r="C2" s="71" t="s">
        <v>3</v>
      </c>
      <c r="D2" s="71" t="s">
        <v>4</v>
      </c>
      <c r="E2" s="71" t="s">
        <v>5</v>
      </c>
      <c r="F2" s="71" t="s">
        <v>6</v>
      </c>
      <c r="G2" s="105" t="s">
        <v>9</v>
      </c>
    </row>
    <row r="3" spans="1:7" ht="15.4" x14ac:dyDescent="0.45">
      <c r="A3" s="85" t="s">
        <v>117</v>
      </c>
      <c r="B3" s="103">
        <v>1000931</v>
      </c>
      <c r="C3" s="103">
        <v>516373.91</v>
      </c>
      <c r="D3" s="103">
        <v>484557.09</v>
      </c>
      <c r="E3" s="103">
        <v>102425.39</v>
      </c>
      <c r="F3" s="103">
        <v>586982.48</v>
      </c>
      <c r="G3" s="104">
        <f t="shared" ref="G3:G34" si="0">B3/$B$124</f>
        <v>1.1948346304708443E-2</v>
      </c>
    </row>
    <row r="4" spans="1:7" ht="15.4" x14ac:dyDescent="0.45">
      <c r="A4" s="85" t="s">
        <v>10</v>
      </c>
      <c r="B4" s="103">
        <v>1842620</v>
      </c>
      <c r="C4" s="103">
        <v>614426</v>
      </c>
      <c r="D4" s="103">
        <v>1228194</v>
      </c>
      <c r="E4" s="103">
        <v>0</v>
      </c>
      <c r="F4" s="103">
        <v>1228194</v>
      </c>
      <c r="G4" s="104">
        <f t="shared" si="0"/>
        <v>2.1995783793270336E-2</v>
      </c>
    </row>
    <row r="5" spans="1:7" ht="15.4" x14ac:dyDescent="0.45">
      <c r="A5" s="85" t="s">
        <v>11</v>
      </c>
      <c r="B5" s="103">
        <v>4237</v>
      </c>
      <c r="C5" s="103">
        <v>17654.32</v>
      </c>
      <c r="D5" s="103">
        <v>-13417.32</v>
      </c>
      <c r="E5" s="103">
        <v>0</v>
      </c>
      <c r="F5" s="103">
        <v>-13417.32</v>
      </c>
      <c r="G5" s="104">
        <f t="shared" si="0"/>
        <v>5.0578055123729477E-5</v>
      </c>
    </row>
    <row r="6" spans="1:7" ht="15.4" x14ac:dyDescent="0.45">
      <c r="A6" s="85" t="s">
        <v>12</v>
      </c>
      <c r="B6" s="103">
        <v>486899</v>
      </c>
      <c r="C6" s="103">
        <v>426406</v>
      </c>
      <c r="D6" s="103">
        <v>60493</v>
      </c>
      <c r="E6" s="103">
        <v>0</v>
      </c>
      <c r="F6" s="103">
        <v>44796</v>
      </c>
      <c r="G6" s="104">
        <f t="shared" si="0"/>
        <v>5.8122266843730844E-3</v>
      </c>
    </row>
    <row r="7" spans="1:7" ht="15.4" x14ac:dyDescent="0.45">
      <c r="A7" s="85" t="s">
        <v>13</v>
      </c>
      <c r="B7" s="103">
        <v>306536</v>
      </c>
      <c r="C7" s="103">
        <v>225749</v>
      </c>
      <c r="D7" s="103">
        <v>80787</v>
      </c>
      <c r="E7" s="103">
        <v>181508</v>
      </c>
      <c r="F7" s="103">
        <v>196721</v>
      </c>
      <c r="G7" s="104">
        <f t="shared" si="0"/>
        <v>3.6591915755033134E-3</v>
      </c>
    </row>
    <row r="8" spans="1:7" ht="15.4" x14ac:dyDescent="0.45">
      <c r="A8" s="85" t="s">
        <v>14</v>
      </c>
      <c r="B8" s="103">
        <v>879298</v>
      </c>
      <c r="C8" s="103">
        <v>443968</v>
      </c>
      <c r="D8" s="103">
        <v>435330</v>
      </c>
      <c r="E8" s="103">
        <v>0</v>
      </c>
      <c r="F8" s="103">
        <v>326497</v>
      </c>
      <c r="G8" s="104">
        <f t="shared" si="0"/>
        <v>1.0496384874719161E-2</v>
      </c>
    </row>
    <row r="9" spans="1:7" ht="15.4" x14ac:dyDescent="0.45">
      <c r="A9" s="85" t="s">
        <v>16</v>
      </c>
      <c r="B9" s="103">
        <v>889602</v>
      </c>
      <c r="C9" s="103">
        <v>856033.63</v>
      </c>
      <c r="D9" s="103">
        <v>33568.370000000003</v>
      </c>
      <c r="E9" s="103">
        <v>890041.6</v>
      </c>
      <c r="F9" s="103">
        <v>692707.97</v>
      </c>
      <c r="G9" s="104">
        <f t="shared" si="0"/>
        <v>1.0619386120882698E-2</v>
      </c>
    </row>
    <row r="10" spans="1:7" ht="15.4" x14ac:dyDescent="0.45">
      <c r="A10" s="85" t="s">
        <v>17</v>
      </c>
      <c r="B10" s="103">
        <v>681617</v>
      </c>
      <c r="C10" s="103">
        <v>170820.22</v>
      </c>
      <c r="D10" s="103">
        <v>510796.78</v>
      </c>
      <c r="E10" s="103">
        <v>0</v>
      </c>
      <c r="F10" s="103">
        <v>510796.78</v>
      </c>
      <c r="G10" s="104">
        <f t="shared" si="0"/>
        <v>8.1366207692402919E-3</v>
      </c>
    </row>
    <row r="11" spans="1:7" ht="15.4" x14ac:dyDescent="0.45">
      <c r="A11" s="85" t="s">
        <v>18</v>
      </c>
      <c r="B11" s="103"/>
      <c r="C11" s="103"/>
      <c r="D11" s="103"/>
      <c r="E11" s="103"/>
      <c r="F11" s="103"/>
      <c r="G11" s="104">
        <f t="shared" si="0"/>
        <v>0</v>
      </c>
    </row>
    <row r="12" spans="1:7" ht="15.4" x14ac:dyDescent="0.45">
      <c r="A12" s="85" t="s">
        <v>19</v>
      </c>
      <c r="B12" s="103">
        <v>238119</v>
      </c>
      <c r="C12" s="103">
        <v>212259.77</v>
      </c>
      <c r="D12" s="103">
        <v>25859.23</v>
      </c>
      <c r="E12" s="103">
        <v>64140</v>
      </c>
      <c r="F12" s="103">
        <v>89999.23</v>
      </c>
      <c r="G12" s="104">
        <f t="shared" si="0"/>
        <v>2.8424819230605E-3</v>
      </c>
    </row>
    <row r="13" spans="1:7" ht="15.4" x14ac:dyDescent="0.45">
      <c r="A13" s="85" t="s">
        <v>20</v>
      </c>
      <c r="B13" s="103">
        <v>510881</v>
      </c>
      <c r="C13" s="103">
        <v>255943.07</v>
      </c>
      <c r="D13" s="103">
        <v>254937.93</v>
      </c>
      <c r="E13" s="103">
        <v>48258.879999999997</v>
      </c>
      <c r="F13" s="103">
        <v>303196.81</v>
      </c>
      <c r="G13" s="104">
        <f t="shared" si="0"/>
        <v>6.0985053999683828E-3</v>
      </c>
    </row>
    <row r="14" spans="1:7" ht="15.4" x14ac:dyDescent="0.45">
      <c r="A14" s="85" t="s">
        <v>21</v>
      </c>
      <c r="B14" s="103">
        <v>1239545</v>
      </c>
      <c r="C14" s="103">
        <v>807753</v>
      </c>
      <c r="D14" s="103">
        <v>431792</v>
      </c>
      <c r="E14" s="103">
        <v>67161</v>
      </c>
      <c r="F14" s="103">
        <v>342725</v>
      </c>
      <c r="G14" s="104">
        <f t="shared" si="0"/>
        <v>1.479673715797575E-2</v>
      </c>
    </row>
    <row r="15" spans="1:7" ht="15.4" x14ac:dyDescent="0.45">
      <c r="A15" s="85" t="s">
        <v>134</v>
      </c>
      <c r="B15" s="103">
        <v>972106</v>
      </c>
      <c r="C15" s="103">
        <v>826412.93</v>
      </c>
      <c r="D15" s="103">
        <v>145693.07</v>
      </c>
      <c r="E15" s="103">
        <v>54893.5</v>
      </c>
      <c r="F15" s="103">
        <v>147932.48000000001</v>
      </c>
      <c r="G15" s="104">
        <f t="shared" si="0"/>
        <v>1.1604255570948352E-2</v>
      </c>
    </row>
    <row r="16" spans="1:7" ht="15.4" x14ac:dyDescent="0.45">
      <c r="A16" s="85" t="s">
        <v>22</v>
      </c>
      <c r="B16" s="103">
        <v>12012</v>
      </c>
      <c r="C16" s="103">
        <v>53226.19</v>
      </c>
      <c r="D16" s="103">
        <v>-41214.19</v>
      </c>
      <c r="E16" s="103">
        <v>32580.74</v>
      </c>
      <c r="F16" s="103">
        <v>-8633.4500000000007</v>
      </c>
      <c r="G16" s="104">
        <f t="shared" si="0"/>
        <v>1.4339003968521087E-4</v>
      </c>
    </row>
    <row r="17" spans="1:7" ht="15.4" x14ac:dyDescent="0.45">
      <c r="A17" s="85" t="s">
        <v>135</v>
      </c>
      <c r="B17" s="103">
        <v>116710</v>
      </c>
      <c r="C17" s="103">
        <v>29623.39</v>
      </c>
      <c r="D17" s="103">
        <v>87086.61</v>
      </c>
      <c r="E17" s="103">
        <v>0</v>
      </c>
      <c r="F17" s="103">
        <v>87086.61</v>
      </c>
      <c r="G17" s="104">
        <f t="shared" si="0"/>
        <v>1.3931944332052082E-3</v>
      </c>
    </row>
    <row r="18" spans="1:7" ht="15.4" x14ac:dyDescent="0.45">
      <c r="A18" s="85" t="s">
        <v>23</v>
      </c>
      <c r="B18" s="103">
        <v>638693</v>
      </c>
      <c r="C18" s="103">
        <v>324058.81</v>
      </c>
      <c r="D18" s="103">
        <v>314634.19</v>
      </c>
      <c r="E18" s="103">
        <v>131287</v>
      </c>
      <c r="F18" s="103">
        <v>445921.19</v>
      </c>
      <c r="G18" s="104">
        <f t="shared" si="0"/>
        <v>7.6242269910644679E-3</v>
      </c>
    </row>
    <row r="19" spans="1:7" ht="15.4" x14ac:dyDescent="0.45">
      <c r="A19" s="85" t="s">
        <v>24</v>
      </c>
      <c r="B19" s="103">
        <v>3253020</v>
      </c>
      <c r="C19" s="103">
        <v>31555882.5</v>
      </c>
      <c r="D19" s="103">
        <v>-28302862.5</v>
      </c>
      <c r="E19" s="103">
        <v>29127994.960000001</v>
      </c>
      <c r="F19" s="103">
        <v>630849.92000000004</v>
      </c>
      <c r="G19" s="104">
        <f t="shared" si="0"/>
        <v>3.8832056851214179E-2</v>
      </c>
    </row>
    <row r="20" spans="1:7" ht="15.4" x14ac:dyDescent="0.45">
      <c r="A20" s="85" t="s">
        <v>136</v>
      </c>
      <c r="B20" s="103"/>
      <c r="C20" s="103"/>
      <c r="D20" s="103"/>
      <c r="E20" s="103"/>
      <c r="F20" s="103"/>
      <c r="G20" s="104">
        <f t="shared" si="0"/>
        <v>0</v>
      </c>
    </row>
    <row r="21" spans="1:7" ht="15.4" x14ac:dyDescent="0.45">
      <c r="A21" s="85" t="s">
        <v>25</v>
      </c>
      <c r="B21" s="103"/>
      <c r="C21" s="103"/>
      <c r="D21" s="103"/>
      <c r="E21" s="103"/>
      <c r="F21" s="103"/>
      <c r="G21" s="104">
        <f t="shared" si="0"/>
        <v>0</v>
      </c>
    </row>
    <row r="22" spans="1:7" ht="15.4" x14ac:dyDescent="0.45">
      <c r="A22" s="85" t="s">
        <v>26</v>
      </c>
      <c r="B22" s="103">
        <v>236149</v>
      </c>
      <c r="C22" s="103">
        <v>248933.69</v>
      </c>
      <c r="D22" s="103">
        <v>-12784.69</v>
      </c>
      <c r="E22" s="103">
        <v>10275.26</v>
      </c>
      <c r="F22" s="103">
        <v>-2509.4299999999998</v>
      </c>
      <c r="G22" s="104">
        <f t="shared" si="0"/>
        <v>2.8189655745606778E-3</v>
      </c>
    </row>
    <row r="23" spans="1:7" ht="15.4" x14ac:dyDescent="0.45">
      <c r="A23" s="85" t="s">
        <v>27</v>
      </c>
      <c r="B23" s="103">
        <v>57767</v>
      </c>
      <c r="C23" s="103">
        <v>71445.009999999995</v>
      </c>
      <c r="D23" s="103">
        <v>-13678.01</v>
      </c>
      <c r="E23" s="103">
        <v>22565.360000000001</v>
      </c>
      <c r="F23" s="103">
        <v>8887.35</v>
      </c>
      <c r="G23" s="104">
        <f t="shared" si="0"/>
        <v>6.8957812375088046E-4</v>
      </c>
    </row>
    <row r="24" spans="1:7" ht="15.4" x14ac:dyDescent="0.45">
      <c r="A24" s="85" t="s">
        <v>118</v>
      </c>
      <c r="B24" s="103">
        <v>60242</v>
      </c>
      <c r="C24" s="103">
        <v>56744.22</v>
      </c>
      <c r="D24" s="103">
        <v>3497.78</v>
      </c>
      <c r="E24" s="103">
        <v>15225</v>
      </c>
      <c r="F24" s="103">
        <v>18722.78</v>
      </c>
      <c r="G24" s="104">
        <f t="shared" si="0"/>
        <v>7.1912277478492122E-4</v>
      </c>
    </row>
    <row r="25" spans="1:7" ht="15.4" x14ac:dyDescent="0.45">
      <c r="A25" s="85" t="s">
        <v>28</v>
      </c>
      <c r="B25" s="103">
        <v>299763</v>
      </c>
      <c r="C25" s="103">
        <v>302180.75</v>
      </c>
      <c r="D25" s="103">
        <v>-2417.75</v>
      </c>
      <c r="E25" s="103">
        <v>0</v>
      </c>
      <c r="F25" s="103">
        <v>-2417.75</v>
      </c>
      <c r="G25" s="104">
        <f t="shared" si="0"/>
        <v>3.5783406981483405E-3</v>
      </c>
    </row>
    <row r="26" spans="1:7" ht="15.4" x14ac:dyDescent="0.45">
      <c r="A26" s="85" t="s">
        <v>8</v>
      </c>
      <c r="B26" s="103">
        <v>267693</v>
      </c>
      <c r="C26" s="103">
        <v>117952</v>
      </c>
      <c r="D26" s="103">
        <v>149741</v>
      </c>
      <c r="E26" s="103">
        <v>0</v>
      </c>
      <c r="F26" s="103">
        <v>149741</v>
      </c>
      <c r="G26" s="104">
        <f t="shared" si="0"/>
        <v>3.1955136441436192E-3</v>
      </c>
    </row>
    <row r="27" spans="1:7" ht="15.4" x14ac:dyDescent="0.45">
      <c r="A27" s="85" t="s">
        <v>29</v>
      </c>
      <c r="B27" s="103"/>
      <c r="C27" s="103"/>
      <c r="D27" s="103"/>
      <c r="E27" s="103"/>
      <c r="F27" s="103"/>
      <c r="G27" s="104">
        <f t="shared" si="0"/>
        <v>0</v>
      </c>
    </row>
    <row r="28" spans="1:7" ht="15.4" x14ac:dyDescent="0.45">
      <c r="A28" s="85" t="s">
        <v>30</v>
      </c>
      <c r="B28" s="103">
        <v>122585</v>
      </c>
      <c r="C28" s="103">
        <v>122492</v>
      </c>
      <c r="D28" s="103">
        <v>93</v>
      </c>
      <c r="E28" s="103">
        <v>0</v>
      </c>
      <c r="F28" s="103">
        <v>93</v>
      </c>
      <c r="G28" s="104">
        <f t="shared" si="0"/>
        <v>1.4633256755587393E-3</v>
      </c>
    </row>
    <row r="29" spans="1:7" ht="15.4" x14ac:dyDescent="0.45">
      <c r="A29" s="85" t="s">
        <v>31</v>
      </c>
      <c r="B29" s="103">
        <v>181828</v>
      </c>
      <c r="C29" s="103">
        <v>135586.76</v>
      </c>
      <c r="D29" s="103">
        <v>46241.24</v>
      </c>
      <c r="E29" s="103">
        <v>0</v>
      </c>
      <c r="F29" s="103">
        <v>46241.24</v>
      </c>
      <c r="G29" s="104">
        <f t="shared" si="0"/>
        <v>2.1705231548353747E-3</v>
      </c>
    </row>
    <row r="30" spans="1:7" ht="15.4" x14ac:dyDescent="0.45">
      <c r="A30" s="85" t="s">
        <v>32</v>
      </c>
      <c r="B30" s="103">
        <v>104912</v>
      </c>
      <c r="C30" s="103">
        <v>241894</v>
      </c>
      <c r="D30" s="103">
        <v>-136982</v>
      </c>
      <c r="E30" s="103">
        <v>68474</v>
      </c>
      <c r="F30" s="103">
        <v>-68508</v>
      </c>
      <c r="G30" s="104">
        <f t="shared" si="0"/>
        <v>1.252358961326577E-3</v>
      </c>
    </row>
    <row r="31" spans="1:7" ht="15.4" x14ac:dyDescent="0.45">
      <c r="A31" s="85" t="s">
        <v>33</v>
      </c>
      <c r="B31" s="103">
        <v>57045</v>
      </c>
      <c r="C31" s="103">
        <v>62213.45</v>
      </c>
      <c r="D31" s="103">
        <v>-5168.45</v>
      </c>
      <c r="E31" s="103">
        <v>0</v>
      </c>
      <c r="F31" s="103">
        <v>-5168.45</v>
      </c>
      <c r="G31" s="104">
        <f t="shared" si="0"/>
        <v>6.8095944171185933E-4</v>
      </c>
    </row>
    <row r="32" spans="1:7" ht="15.4" x14ac:dyDescent="0.45">
      <c r="A32" s="85" t="s">
        <v>34</v>
      </c>
      <c r="B32" s="103">
        <v>39548</v>
      </c>
      <c r="C32" s="103">
        <v>60168.99</v>
      </c>
      <c r="D32" s="103">
        <v>-20620.990000000002</v>
      </c>
      <c r="E32" s="103">
        <v>15951</v>
      </c>
      <c r="F32" s="103">
        <v>-4669.99</v>
      </c>
      <c r="G32" s="104">
        <f t="shared" si="0"/>
        <v>4.7209368044211783E-4</v>
      </c>
    </row>
    <row r="33" spans="1:7" ht="15.4" x14ac:dyDescent="0.45">
      <c r="A33" s="85" t="s">
        <v>35</v>
      </c>
      <c r="B33" s="103">
        <v>130999</v>
      </c>
      <c r="C33" s="103">
        <v>217432</v>
      </c>
      <c r="D33" s="103">
        <v>-86433</v>
      </c>
      <c r="E33" s="103">
        <v>94538</v>
      </c>
      <c r="F33" s="103">
        <v>6078.75</v>
      </c>
      <c r="G33" s="104">
        <f t="shared" si="0"/>
        <v>1.5637655518417365E-3</v>
      </c>
    </row>
    <row r="34" spans="1:7" ht="15.4" x14ac:dyDescent="0.45">
      <c r="A34" s="85" t="s">
        <v>36</v>
      </c>
      <c r="B34" s="103">
        <v>209162</v>
      </c>
      <c r="C34" s="103">
        <v>314745.33</v>
      </c>
      <c r="D34" s="103">
        <v>-105583.33</v>
      </c>
      <c r="E34" s="103">
        <v>225303</v>
      </c>
      <c r="F34" s="103">
        <v>95390.67</v>
      </c>
      <c r="G34" s="104">
        <f t="shared" si="0"/>
        <v>2.4968154745785946E-3</v>
      </c>
    </row>
    <row r="35" spans="1:7" ht="15.4" x14ac:dyDescent="0.45">
      <c r="A35" s="85" t="s">
        <v>37</v>
      </c>
      <c r="B35" s="103">
        <v>183786</v>
      </c>
      <c r="C35" s="103">
        <v>170192</v>
      </c>
      <c r="D35" s="103">
        <v>13594</v>
      </c>
      <c r="E35" s="103">
        <v>0</v>
      </c>
      <c r="F35" s="103">
        <v>13594</v>
      </c>
      <c r="G35" s="104">
        <f t="shared" ref="G35:G66" si="1">B35/$B$124</f>
        <v>2.1938962565423051E-3</v>
      </c>
    </row>
    <row r="36" spans="1:7" ht="15.4" x14ac:dyDescent="0.45">
      <c r="A36" s="85" t="s">
        <v>38</v>
      </c>
      <c r="B36" s="103">
        <v>324283</v>
      </c>
      <c r="C36" s="103">
        <v>281573</v>
      </c>
      <c r="D36" s="103">
        <v>42710</v>
      </c>
      <c r="E36" s="103">
        <v>0</v>
      </c>
      <c r="F36" s="103">
        <v>42710</v>
      </c>
      <c r="G36" s="104">
        <f t="shared" si="1"/>
        <v>3.8710416449583116E-3</v>
      </c>
    </row>
    <row r="37" spans="1:7" ht="15.4" x14ac:dyDescent="0.45">
      <c r="A37" s="85" t="s">
        <v>39</v>
      </c>
      <c r="B37" s="103">
        <v>6893977</v>
      </c>
      <c r="C37" s="103">
        <v>2883576</v>
      </c>
      <c r="D37" s="103">
        <v>4010401</v>
      </c>
      <c r="E37" s="103">
        <v>155556</v>
      </c>
      <c r="F37" s="103">
        <v>3124468</v>
      </c>
      <c r="G37" s="104">
        <f t="shared" si="1"/>
        <v>8.2295007960283967E-2</v>
      </c>
    </row>
    <row r="38" spans="1:7" ht="15.4" x14ac:dyDescent="0.45">
      <c r="A38" s="85" t="s">
        <v>40</v>
      </c>
      <c r="B38" s="103">
        <v>85338</v>
      </c>
      <c r="C38" s="103">
        <v>71502.820000000007</v>
      </c>
      <c r="D38" s="103">
        <v>13835.18</v>
      </c>
      <c r="E38" s="103">
        <v>44961</v>
      </c>
      <c r="F38" s="103">
        <v>58796.18</v>
      </c>
      <c r="G38" s="104">
        <f t="shared" si="1"/>
        <v>1.0186995676537234E-3</v>
      </c>
    </row>
    <row r="39" spans="1:7" ht="15.4" x14ac:dyDescent="0.45">
      <c r="A39" s="85" t="s">
        <v>41</v>
      </c>
      <c r="B39" s="103">
        <v>109921</v>
      </c>
      <c r="C39" s="103">
        <v>100807</v>
      </c>
      <c r="D39" s="103">
        <v>9114</v>
      </c>
      <c r="E39" s="103">
        <v>221</v>
      </c>
      <c r="F39" s="103">
        <v>9335</v>
      </c>
      <c r="G39" s="104">
        <f t="shared" si="1"/>
        <v>1.3121525601263791E-3</v>
      </c>
    </row>
    <row r="40" spans="1:7" ht="15.4" x14ac:dyDescent="0.45">
      <c r="A40" s="85" t="s">
        <v>121</v>
      </c>
      <c r="B40" s="103">
        <v>1345640</v>
      </c>
      <c r="C40" s="103">
        <v>938331.22</v>
      </c>
      <c r="D40" s="103">
        <v>407308.78</v>
      </c>
      <c r="E40" s="103">
        <v>104451</v>
      </c>
      <c r="F40" s="103">
        <v>383819.6</v>
      </c>
      <c r="G40" s="104">
        <f t="shared" si="1"/>
        <v>1.6063217865634961E-2</v>
      </c>
    </row>
    <row r="41" spans="1:7" ht="15.4" x14ac:dyDescent="0.45">
      <c r="A41" s="85" t="s">
        <v>43</v>
      </c>
      <c r="B41" s="103">
        <v>1267115</v>
      </c>
      <c r="C41" s="103">
        <v>915498</v>
      </c>
      <c r="D41" s="103">
        <v>351617</v>
      </c>
      <c r="E41" s="103">
        <v>1841</v>
      </c>
      <c r="F41" s="103">
        <v>265093.5</v>
      </c>
      <c r="G41" s="104">
        <f t="shared" si="1"/>
        <v>1.5125846664645852E-2</v>
      </c>
    </row>
    <row r="42" spans="1:7" ht="15.4" x14ac:dyDescent="0.45">
      <c r="A42" s="85" t="s">
        <v>44</v>
      </c>
      <c r="B42" s="103"/>
      <c r="C42" s="103"/>
      <c r="D42" s="103"/>
      <c r="E42" s="103"/>
      <c r="F42" s="103"/>
      <c r="G42" s="104">
        <f t="shared" si="1"/>
        <v>0</v>
      </c>
    </row>
    <row r="43" spans="1:7" ht="15.4" x14ac:dyDescent="0.45">
      <c r="A43" s="85" t="s">
        <v>45</v>
      </c>
      <c r="B43" s="103">
        <v>122460</v>
      </c>
      <c r="C43" s="103">
        <v>38220</v>
      </c>
      <c r="D43" s="103">
        <v>84240</v>
      </c>
      <c r="E43" s="103">
        <v>0</v>
      </c>
      <c r="F43" s="103">
        <v>84240</v>
      </c>
      <c r="G43" s="104">
        <f t="shared" si="1"/>
        <v>1.4618335214661108E-3</v>
      </c>
    </row>
    <row r="44" spans="1:7" ht="15.4" x14ac:dyDescent="0.45">
      <c r="A44" s="85" t="s">
        <v>137</v>
      </c>
      <c r="B44" s="103">
        <v>64643</v>
      </c>
      <c r="C44" s="103">
        <v>54864.13</v>
      </c>
      <c r="D44" s="103">
        <v>9778.8700000000008</v>
      </c>
      <c r="E44" s="103">
        <v>0</v>
      </c>
      <c r="F44" s="103">
        <v>9778.8700000000008</v>
      </c>
      <c r="G44" s="104">
        <f t="shared" si="1"/>
        <v>7.7165853607817907E-4</v>
      </c>
    </row>
    <row r="45" spans="1:7" ht="15.4" x14ac:dyDescent="0.45">
      <c r="A45" s="85" t="s">
        <v>46</v>
      </c>
      <c r="B45" s="103">
        <v>458357</v>
      </c>
      <c r="C45" s="103">
        <v>256367.99</v>
      </c>
      <c r="D45" s="103">
        <v>201989.01</v>
      </c>
      <c r="E45" s="103">
        <v>0</v>
      </c>
      <c r="F45" s="103">
        <v>173632.35</v>
      </c>
      <c r="G45" s="104">
        <f t="shared" si="1"/>
        <v>5.4715141874787047E-3</v>
      </c>
    </row>
    <row r="46" spans="1:7" ht="15.4" x14ac:dyDescent="0.45">
      <c r="A46" s="85" t="s">
        <v>47</v>
      </c>
      <c r="B46" s="103">
        <v>107275</v>
      </c>
      <c r="C46" s="103">
        <v>68644.55</v>
      </c>
      <c r="D46" s="103">
        <v>38630.449999999997</v>
      </c>
      <c r="E46" s="103">
        <v>5749.98</v>
      </c>
      <c r="F46" s="103">
        <v>33285.360000000001</v>
      </c>
      <c r="G46" s="104">
        <f t="shared" si="1"/>
        <v>1.2805666422936227E-3</v>
      </c>
    </row>
    <row r="47" spans="1:7" ht="15.4" x14ac:dyDescent="0.45">
      <c r="A47" s="85" t="s">
        <v>48</v>
      </c>
      <c r="B47" s="103">
        <v>38654</v>
      </c>
      <c r="C47" s="103">
        <v>43794</v>
      </c>
      <c r="D47" s="103">
        <v>-5140</v>
      </c>
      <c r="E47" s="103">
        <v>141089</v>
      </c>
      <c r="F47" s="103">
        <v>135949</v>
      </c>
      <c r="G47" s="104">
        <f t="shared" si="1"/>
        <v>4.6142179437164014E-4</v>
      </c>
    </row>
    <row r="48" spans="1:7" ht="15.4" x14ac:dyDescent="0.45">
      <c r="A48" s="85" t="s">
        <v>49</v>
      </c>
      <c r="B48" s="103"/>
      <c r="C48" s="103"/>
      <c r="D48" s="103"/>
      <c r="E48" s="103"/>
      <c r="F48" s="103"/>
      <c r="G48" s="104">
        <f t="shared" si="1"/>
        <v>0</v>
      </c>
    </row>
    <row r="49" spans="1:7" ht="15.4" x14ac:dyDescent="0.45">
      <c r="A49" s="85" t="s">
        <v>50</v>
      </c>
      <c r="B49" s="103">
        <v>196588</v>
      </c>
      <c r="C49" s="103">
        <v>391351</v>
      </c>
      <c r="D49" s="103">
        <v>-194763</v>
      </c>
      <c r="E49" s="103">
        <v>72191</v>
      </c>
      <c r="F49" s="103">
        <v>-122572</v>
      </c>
      <c r="G49" s="104">
        <f t="shared" si="1"/>
        <v>2.3467167100929267E-3</v>
      </c>
    </row>
    <row r="50" spans="1:7" ht="15.4" x14ac:dyDescent="0.45">
      <c r="A50" s="85" t="s">
        <v>123</v>
      </c>
      <c r="B50" s="103">
        <v>98255</v>
      </c>
      <c r="C50" s="103">
        <v>48111.1</v>
      </c>
      <c r="D50" s="103">
        <v>50143.9</v>
      </c>
      <c r="E50" s="103">
        <v>12063.94</v>
      </c>
      <c r="F50" s="103">
        <v>62207.839999999997</v>
      </c>
      <c r="G50" s="104">
        <f t="shared" si="1"/>
        <v>1.1728928029695633E-3</v>
      </c>
    </row>
    <row r="51" spans="1:7" ht="15.4" x14ac:dyDescent="0.45">
      <c r="A51" s="85" t="s">
        <v>51</v>
      </c>
      <c r="B51" s="103">
        <v>1081240</v>
      </c>
      <c r="C51" s="103">
        <v>390956</v>
      </c>
      <c r="D51" s="103">
        <v>690284</v>
      </c>
      <c r="E51" s="103">
        <v>0</v>
      </c>
      <c r="F51" s="103">
        <v>690284</v>
      </c>
      <c r="G51" s="104">
        <f t="shared" si="1"/>
        <v>1.2907013528907543E-2</v>
      </c>
    </row>
    <row r="52" spans="1:7" ht="15.4" x14ac:dyDescent="0.45">
      <c r="A52" s="85" t="s">
        <v>153</v>
      </c>
      <c r="B52" s="103">
        <v>208603</v>
      </c>
      <c r="C52" s="103">
        <v>262061</v>
      </c>
      <c r="D52" s="103">
        <v>-53458</v>
      </c>
      <c r="E52" s="103">
        <v>80950</v>
      </c>
      <c r="F52" s="103">
        <v>27492</v>
      </c>
      <c r="G52" s="104">
        <f t="shared" si="1"/>
        <v>2.4901425614763605E-3</v>
      </c>
    </row>
    <row r="53" spans="1:7" ht="15.4" x14ac:dyDescent="0.45">
      <c r="A53" s="85" t="s">
        <v>138</v>
      </c>
      <c r="B53" s="103">
        <v>275213</v>
      </c>
      <c r="C53" s="103">
        <v>201269.76000000001</v>
      </c>
      <c r="D53" s="103">
        <v>73943.240000000005</v>
      </c>
      <c r="E53" s="103">
        <v>7500</v>
      </c>
      <c r="F53" s="103">
        <v>81443.240000000005</v>
      </c>
      <c r="G53" s="104">
        <f t="shared" si="1"/>
        <v>3.2852816343561389E-3</v>
      </c>
    </row>
    <row r="54" spans="1:7" ht="15.4" x14ac:dyDescent="0.45">
      <c r="A54" s="85" t="s">
        <v>52</v>
      </c>
      <c r="B54" s="103">
        <v>3401501</v>
      </c>
      <c r="C54" s="103">
        <v>1257573.8</v>
      </c>
      <c r="D54" s="103">
        <v>2143927.2000000002</v>
      </c>
      <c r="E54" s="103">
        <v>880346.91</v>
      </c>
      <c r="F54" s="103">
        <v>2268205.58</v>
      </c>
      <c r="G54" s="104">
        <f t="shared" si="1"/>
        <v>4.0604509105834539E-2</v>
      </c>
    </row>
    <row r="55" spans="1:7" ht="15.4" x14ac:dyDescent="0.45">
      <c r="A55" s="85" t="s">
        <v>54</v>
      </c>
      <c r="B55" s="103">
        <v>517692</v>
      </c>
      <c r="C55" s="103">
        <v>170011.58</v>
      </c>
      <c r="D55" s="103">
        <v>347680.42</v>
      </c>
      <c r="E55" s="103">
        <v>204411</v>
      </c>
      <c r="F55" s="103">
        <v>552091.42000000004</v>
      </c>
      <c r="G55" s="104">
        <f t="shared" si="1"/>
        <v>6.1798098921675149E-3</v>
      </c>
    </row>
    <row r="56" spans="1:7" ht="15.4" x14ac:dyDescent="0.45">
      <c r="A56" s="85" t="s">
        <v>55</v>
      </c>
      <c r="B56" s="103">
        <v>9960</v>
      </c>
      <c r="C56" s="103">
        <v>29260.38</v>
      </c>
      <c r="D56" s="103">
        <v>-19300.38</v>
      </c>
      <c r="E56" s="103">
        <v>0</v>
      </c>
      <c r="F56" s="103">
        <v>-19300.38</v>
      </c>
      <c r="G56" s="104">
        <f t="shared" si="1"/>
        <v>1.188948381006244E-4</v>
      </c>
    </row>
    <row r="57" spans="1:7" ht="15.4" x14ac:dyDescent="0.45">
      <c r="A57" s="85" t="s">
        <v>56</v>
      </c>
      <c r="B57" s="103">
        <v>345488</v>
      </c>
      <c r="C57" s="103">
        <v>193390</v>
      </c>
      <c r="D57" s="103">
        <v>152098</v>
      </c>
      <c r="E57" s="103">
        <v>0</v>
      </c>
      <c r="F57" s="103">
        <v>152098</v>
      </c>
      <c r="G57" s="104">
        <f t="shared" si="1"/>
        <v>4.1241706652317793E-3</v>
      </c>
    </row>
    <row r="58" spans="1:7" ht="15.4" x14ac:dyDescent="0.45">
      <c r="A58" s="85" t="s">
        <v>57</v>
      </c>
      <c r="B58" s="103">
        <v>1214496</v>
      </c>
      <c r="C58" s="103">
        <v>738321.7</v>
      </c>
      <c r="D58" s="103">
        <v>476174.3</v>
      </c>
      <c r="E58" s="103">
        <v>57006</v>
      </c>
      <c r="F58" s="103">
        <v>399559.3</v>
      </c>
      <c r="G58" s="104">
        <f t="shared" si="1"/>
        <v>1.4497721415045777E-2</v>
      </c>
    </row>
    <row r="59" spans="1:7" ht="15.4" x14ac:dyDescent="0.45">
      <c r="A59" s="85" t="s">
        <v>58</v>
      </c>
      <c r="B59" s="103"/>
      <c r="C59" s="103"/>
      <c r="D59" s="103"/>
      <c r="E59" s="103"/>
      <c r="F59" s="103"/>
      <c r="G59" s="104">
        <f t="shared" si="1"/>
        <v>0</v>
      </c>
    </row>
    <row r="60" spans="1:7" ht="15.4" x14ac:dyDescent="0.45">
      <c r="A60" s="85" t="s">
        <v>60</v>
      </c>
      <c r="B60" s="103">
        <v>2162927</v>
      </c>
      <c r="C60" s="103">
        <v>998086.24</v>
      </c>
      <c r="D60" s="103">
        <v>1164840.76</v>
      </c>
      <c r="E60" s="103">
        <v>940154.7</v>
      </c>
      <c r="F60" s="103">
        <v>2104995.46</v>
      </c>
      <c r="G60" s="104">
        <f t="shared" si="1"/>
        <v>2.5819363000850325E-2</v>
      </c>
    </row>
    <row r="61" spans="1:7" ht="15.4" x14ac:dyDescent="0.45">
      <c r="A61" s="85" t="s">
        <v>61</v>
      </c>
      <c r="B61" s="103">
        <v>389048</v>
      </c>
      <c r="C61" s="103">
        <v>223624.53</v>
      </c>
      <c r="D61" s="103">
        <v>165423.47</v>
      </c>
      <c r="E61" s="103">
        <v>70132.98</v>
      </c>
      <c r="F61" s="103">
        <v>235556.45</v>
      </c>
      <c r="G61" s="104">
        <f t="shared" si="1"/>
        <v>4.6441565234308958E-3</v>
      </c>
    </row>
    <row r="62" spans="1:7" ht="15.4" x14ac:dyDescent="0.45">
      <c r="A62" s="85" t="s">
        <v>62</v>
      </c>
      <c r="B62" s="103">
        <v>225237</v>
      </c>
      <c r="C62" s="103">
        <v>147860</v>
      </c>
      <c r="D62" s="103">
        <v>77377</v>
      </c>
      <c r="E62" s="103">
        <v>0</v>
      </c>
      <c r="F62" s="103">
        <v>77377</v>
      </c>
      <c r="G62" s="104">
        <f t="shared" si="1"/>
        <v>2.6887064908905963E-3</v>
      </c>
    </row>
    <row r="63" spans="1:7" ht="15.4" x14ac:dyDescent="0.45">
      <c r="A63" s="85" t="s">
        <v>63</v>
      </c>
      <c r="B63" s="103"/>
      <c r="C63" s="103"/>
      <c r="D63" s="103"/>
      <c r="E63" s="103"/>
      <c r="F63" s="103"/>
      <c r="G63" s="104">
        <f t="shared" si="1"/>
        <v>0</v>
      </c>
    </row>
    <row r="64" spans="1:7" ht="15.4" x14ac:dyDescent="0.45">
      <c r="A64" s="85" t="s">
        <v>64</v>
      </c>
      <c r="B64" s="103">
        <v>182552</v>
      </c>
      <c r="C64" s="103">
        <v>101135.52</v>
      </c>
      <c r="D64" s="103">
        <v>81416.479999999996</v>
      </c>
      <c r="E64" s="103">
        <v>66091.23</v>
      </c>
      <c r="F64" s="103">
        <v>110301.84</v>
      </c>
      <c r="G64" s="104">
        <f t="shared" si="1"/>
        <v>2.1791657113398779E-3</v>
      </c>
    </row>
    <row r="65" spans="1:7" ht="15.4" x14ac:dyDescent="0.45">
      <c r="A65" s="85" t="s">
        <v>65</v>
      </c>
      <c r="B65" s="103">
        <v>14454612</v>
      </c>
      <c r="C65" s="103">
        <v>8349675.6699999999</v>
      </c>
      <c r="D65" s="103">
        <v>6104936.3300000001</v>
      </c>
      <c r="E65" s="103">
        <v>1057008.6299999999</v>
      </c>
      <c r="F65" s="103">
        <v>5371458.7199999997</v>
      </c>
      <c r="G65" s="104">
        <f t="shared" si="1"/>
        <v>0.1725480676252352</v>
      </c>
    </row>
    <row r="66" spans="1:7" ht="15.4" x14ac:dyDescent="0.45">
      <c r="A66" s="85" t="s">
        <v>66</v>
      </c>
      <c r="B66" s="103">
        <v>3837952</v>
      </c>
      <c r="C66" s="103">
        <v>1915869.99</v>
      </c>
      <c r="D66" s="103">
        <v>1922082.01</v>
      </c>
      <c r="E66" s="103">
        <v>1537821.84</v>
      </c>
      <c r="F66" s="103">
        <v>2594927.85</v>
      </c>
      <c r="G66" s="104">
        <f t="shared" si="1"/>
        <v>4.5814526272888317E-2</v>
      </c>
    </row>
    <row r="67" spans="1:7" ht="15.4" x14ac:dyDescent="0.45">
      <c r="A67" s="85" t="s">
        <v>67</v>
      </c>
      <c r="B67" s="103">
        <v>267649</v>
      </c>
      <c r="C67" s="103">
        <v>184240.57</v>
      </c>
      <c r="D67" s="103">
        <v>83408.429999999993</v>
      </c>
      <c r="E67" s="103">
        <v>150.09</v>
      </c>
      <c r="F67" s="103">
        <v>62668.9</v>
      </c>
      <c r="G67" s="104">
        <f t="shared" ref="G67:G98" si="2">B67/$B$124</f>
        <v>3.1949884059030141E-3</v>
      </c>
    </row>
    <row r="68" spans="1:7" ht="15.4" x14ac:dyDescent="0.45">
      <c r="A68" s="85" t="s">
        <v>139</v>
      </c>
      <c r="B68" s="103">
        <v>171810</v>
      </c>
      <c r="C68" s="103">
        <v>84151</v>
      </c>
      <c r="D68" s="103">
        <v>87659</v>
      </c>
      <c r="E68" s="103">
        <v>37832</v>
      </c>
      <c r="F68" s="103">
        <v>109617</v>
      </c>
      <c r="G68" s="104">
        <f t="shared" si="2"/>
        <v>2.0509359572357709E-3</v>
      </c>
    </row>
    <row r="69" spans="1:7" ht="15.4" x14ac:dyDescent="0.45">
      <c r="A69" s="85" t="s">
        <v>68</v>
      </c>
      <c r="B69" s="103"/>
      <c r="C69" s="103"/>
      <c r="D69" s="103"/>
      <c r="E69" s="103"/>
      <c r="F69" s="103"/>
      <c r="G69" s="104">
        <f t="shared" si="2"/>
        <v>0</v>
      </c>
    </row>
    <row r="70" spans="1:7" ht="15.4" x14ac:dyDescent="0.45">
      <c r="A70" s="85" t="s">
        <v>69</v>
      </c>
      <c r="B70" s="103"/>
      <c r="C70" s="103"/>
      <c r="D70" s="103"/>
      <c r="E70" s="103"/>
      <c r="F70" s="103"/>
      <c r="G70" s="104">
        <f t="shared" si="2"/>
        <v>0</v>
      </c>
    </row>
    <row r="71" spans="1:7" ht="15.4" x14ac:dyDescent="0.45">
      <c r="A71" s="85" t="s">
        <v>141</v>
      </c>
      <c r="B71" s="103">
        <v>105530</v>
      </c>
      <c r="C71" s="103">
        <v>150598.57</v>
      </c>
      <c r="D71" s="103">
        <v>-45068.57</v>
      </c>
      <c r="E71" s="103">
        <v>8484.57</v>
      </c>
      <c r="F71" s="103">
        <v>-36584</v>
      </c>
      <c r="G71" s="104">
        <f t="shared" si="2"/>
        <v>1.2597361711605315E-3</v>
      </c>
    </row>
    <row r="72" spans="1:7" ht="15.4" x14ac:dyDescent="0.45">
      <c r="A72" s="85" t="s">
        <v>110</v>
      </c>
      <c r="B72" s="103">
        <v>55802</v>
      </c>
      <c r="C72" s="103">
        <v>139282</v>
      </c>
      <c r="D72" s="103">
        <v>-83480</v>
      </c>
      <c r="E72" s="103">
        <v>0</v>
      </c>
      <c r="F72" s="103">
        <v>-83480</v>
      </c>
      <c r="G72" s="104">
        <f t="shared" si="2"/>
        <v>6.6612146141476337E-4</v>
      </c>
    </row>
    <row r="73" spans="1:7" ht="15.4" x14ac:dyDescent="0.45">
      <c r="A73" s="85" t="s">
        <v>143</v>
      </c>
      <c r="B73" s="103"/>
      <c r="C73" s="103"/>
      <c r="D73" s="103"/>
      <c r="E73" s="103"/>
      <c r="F73" s="103"/>
      <c r="G73" s="104">
        <f t="shared" si="2"/>
        <v>0</v>
      </c>
    </row>
    <row r="74" spans="1:7" ht="15.4" x14ac:dyDescent="0.45">
      <c r="A74" s="85" t="s">
        <v>125</v>
      </c>
      <c r="B74" s="103">
        <v>90808</v>
      </c>
      <c r="C74" s="103">
        <v>60633</v>
      </c>
      <c r="D74" s="103">
        <v>30175</v>
      </c>
      <c r="E74" s="103">
        <v>0</v>
      </c>
      <c r="F74" s="103">
        <v>30175</v>
      </c>
      <c r="G74" s="104">
        <f t="shared" si="2"/>
        <v>1.0839962307471387E-3</v>
      </c>
    </row>
    <row r="75" spans="1:7" ht="15.4" x14ac:dyDescent="0.45">
      <c r="A75" s="85" t="s">
        <v>71</v>
      </c>
      <c r="B75" s="103">
        <v>226698</v>
      </c>
      <c r="C75" s="103">
        <v>101837.62</v>
      </c>
      <c r="D75" s="103">
        <v>124860.38</v>
      </c>
      <c r="E75" s="103">
        <v>0</v>
      </c>
      <c r="F75" s="103">
        <v>124860.38</v>
      </c>
      <c r="G75" s="104">
        <f t="shared" si="2"/>
        <v>2.7061467879252359E-3</v>
      </c>
    </row>
    <row r="76" spans="1:7" ht="15.4" x14ac:dyDescent="0.45">
      <c r="A76" s="85" t="s">
        <v>72</v>
      </c>
      <c r="B76" s="103"/>
      <c r="C76" s="103"/>
      <c r="D76" s="103"/>
      <c r="E76" s="103"/>
      <c r="F76" s="103"/>
      <c r="G76" s="104">
        <f t="shared" si="2"/>
        <v>0</v>
      </c>
    </row>
    <row r="77" spans="1:7" ht="15.4" x14ac:dyDescent="0.45">
      <c r="A77" s="85" t="s">
        <v>73</v>
      </c>
      <c r="B77" s="103">
        <v>132144</v>
      </c>
      <c r="C77" s="103">
        <v>89103.6</v>
      </c>
      <c r="D77" s="103">
        <v>43040.4</v>
      </c>
      <c r="E77" s="103">
        <v>0</v>
      </c>
      <c r="F77" s="103">
        <v>43040.4</v>
      </c>
      <c r="G77" s="104">
        <f t="shared" si="2"/>
        <v>1.5774336833302119E-3</v>
      </c>
    </row>
    <row r="78" spans="1:7" ht="15.4" x14ac:dyDescent="0.45">
      <c r="A78" s="85" t="s">
        <v>126</v>
      </c>
      <c r="B78" s="103">
        <v>334969</v>
      </c>
      <c r="C78" s="103">
        <v>210393</v>
      </c>
      <c r="D78" s="103">
        <v>124576</v>
      </c>
      <c r="E78" s="103">
        <v>0</v>
      </c>
      <c r="F78" s="103">
        <v>124576</v>
      </c>
      <c r="G78" s="104">
        <f t="shared" si="2"/>
        <v>3.9986029140289215E-3</v>
      </c>
    </row>
    <row r="79" spans="1:7" ht="15.4" x14ac:dyDescent="0.45">
      <c r="A79" s="85" t="s">
        <v>75</v>
      </c>
      <c r="B79" s="103"/>
      <c r="C79" s="103"/>
      <c r="D79" s="103"/>
      <c r="E79" s="103"/>
      <c r="F79" s="103"/>
      <c r="G79" s="104">
        <f t="shared" si="2"/>
        <v>0</v>
      </c>
    </row>
    <row r="80" spans="1:7" ht="15.4" x14ac:dyDescent="0.45">
      <c r="A80" s="85" t="s">
        <v>76</v>
      </c>
      <c r="B80" s="103"/>
      <c r="C80" s="103"/>
      <c r="D80" s="103"/>
      <c r="E80" s="103"/>
      <c r="F80" s="103"/>
      <c r="G80" s="104">
        <f t="shared" si="2"/>
        <v>0</v>
      </c>
    </row>
    <row r="81" spans="1:7" ht="15.4" x14ac:dyDescent="0.45">
      <c r="A81" s="85" t="s">
        <v>127</v>
      </c>
      <c r="B81" s="103"/>
      <c r="C81" s="103"/>
      <c r="D81" s="103"/>
      <c r="E81" s="103"/>
      <c r="F81" s="103"/>
      <c r="G81" s="104">
        <f t="shared" si="2"/>
        <v>0</v>
      </c>
    </row>
    <row r="82" spans="1:7" ht="15.4" x14ac:dyDescent="0.45">
      <c r="A82" s="85" t="s">
        <v>77</v>
      </c>
      <c r="B82" s="103">
        <v>2609046</v>
      </c>
      <c r="C82" s="103">
        <v>1690688.16</v>
      </c>
      <c r="D82" s="103">
        <v>918357.84</v>
      </c>
      <c r="E82" s="103">
        <v>112812.43</v>
      </c>
      <c r="F82" s="103">
        <v>778795.27</v>
      </c>
      <c r="G82" s="104">
        <f t="shared" si="2"/>
        <v>3.1144789334044347E-2</v>
      </c>
    </row>
    <row r="83" spans="1:7" ht="15.4" x14ac:dyDescent="0.45">
      <c r="A83" s="85" t="s">
        <v>78</v>
      </c>
      <c r="B83" s="103">
        <v>98112</v>
      </c>
      <c r="C83" s="103">
        <v>108575</v>
      </c>
      <c r="D83" s="103">
        <v>-10463</v>
      </c>
      <c r="E83" s="103">
        <v>14659</v>
      </c>
      <c r="F83" s="103">
        <v>3147</v>
      </c>
      <c r="G83" s="104">
        <f t="shared" si="2"/>
        <v>1.1711857786875965E-3</v>
      </c>
    </row>
    <row r="84" spans="1:7" ht="15.4" x14ac:dyDescent="0.45">
      <c r="A84" s="85" t="s">
        <v>154</v>
      </c>
      <c r="B84" s="103">
        <v>18314</v>
      </c>
      <c r="C84" s="103">
        <v>54574.74</v>
      </c>
      <c r="D84" s="103">
        <v>-36260.74</v>
      </c>
      <c r="E84" s="103">
        <v>33160.06</v>
      </c>
      <c r="F84" s="103">
        <v>-3100.68</v>
      </c>
      <c r="G84" s="104">
        <f t="shared" si="2"/>
        <v>2.1861848041916017E-4</v>
      </c>
    </row>
    <row r="85" spans="1:7" ht="15.4" x14ac:dyDescent="0.45">
      <c r="A85" s="85" t="s">
        <v>111</v>
      </c>
      <c r="B85" s="103">
        <v>55555</v>
      </c>
      <c r="C85" s="103">
        <v>91538.71</v>
      </c>
      <c r="D85" s="103">
        <v>-35983.71</v>
      </c>
      <c r="E85" s="103">
        <v>21638</v>
      </c>
      <c r="F85" s="103">
        <v>-14345.71</v>
      </c>
      <c r="G85" s="104">
        <f t="shared" si="2"/>
        <v>6.631729649277298E-4</v>
      </c>
    </row>
    <row r="86" spans="1:7" ht="15.4" x14ac:dyDescent="0.45">
      <c r="A86" s="85" t="s">
        <v>80</v>
      </c>
      <c r="B86" s="103">
        <v>560391</v>
      </c>
      <c r="C86" s="103">
        <v>378349</v>
      </c>
      <c r="D86" s="103">
        <v>182042</v>
      </c>
      <c r="E86" s="103">
        <v>0</v>
      </c>
      <c r="F86" s="103">
        <v>136531</v>
      </c>
      <c r="G86" s="104">
        <f t="shared" si="2"/>
        <v>6.689517792976607E-3</v>
      </c>
    </row>
    <row r="87" spans="1:7" ht="15.4" x14ac:dyDescent="0.45">
      <c r="A87" s="85" t="s">
        <v>81</v>
      </c>
      <c r="B87" s="103">
        <v>152822</v>
      </c>
      <c r="C87" s="103">
        <v>190543</v>
      </c>
      <c r="D87" s="103">
        <v>-37721</v>
      </c>
      <c r="E87" s="103">
        <v>84133</v>
      </c>
      <c r="F87" s="103">
        <v>46412</v>
      </c>
      <c r="G87" s="104">
        <f t="shared" si="2"/>
        <v>1.8242717819491588E-3</v>
      </c>
    </row>
    <row r="88" spans="1:7" ht="15.4" x14ac:dyDescent="0.45">
      <c r="A88" s="85" t="s">
        <v>82</v>
      </c>
      <c r="B88" s="103"/>
      <c r="C88" s="103"/>
      <c r="D88" s="103"/>
      <c r="E88" s="103"/>
      <c r="F88" s="103"/>
      <c r="G88" s="104">
        <f t="shared" si="2"/>
        <v>0</v>
      </c>
    </row>
    <row r="89" spans="1:7" ht="15.4" x14ac:dyDescent="0.45">
      <c r="A89" s="85" t="s">
        <v>83</v>
      </c>
      <c r="B89" s="103">
        <v>1347041</v>
      </c>
      <c r="C89" s="103">
        <v>1504469.3</v>
      </c>
      <c r="D89" s="103">
        <v>-157428.29999999999</v>
      </c>
      <c r="E89" s="103">
        <v>1399469.39</v>
      </c>
      <c r="F89" s="103">
        <v>1242041.0900000001</v>
      </c>
      <c r="G89" s="104">
        <f t="shared" si="2"/>
        <v>1.6079941928705141E-2</v>
      </c>
    </row>
    <row r="90" spans="1:7" ht="15.4" x14ac:dyDescent="0.45">
      <c r="A90" s="85" t="s">
        <v>112</v>
      </c>
      <c r="B90" s="103">
        <v>41890</v>
      </c>
      <c r="C90" s="103">
        <v>70318</v>
      </c>
      <c r="D90" s="103">
        <v>-28428</v>
      </c>
      <c r="E90" s="103">
        <v>21293.42</v>
      </c>
      <c r="F90" s="103">
        <v>-7134.58</v>
      </c>
      <c r="G90" s="104">
        <f t="shared" si="2"/>
        <v>5.00050679521602E-4</v>
      </c>
    </row>
    <row r="91" spans="1:7" ht="15.4" x14ac:dyDescent="0.45">
      <c r="A91" s="85" t="s">
        <v>84</v>
      </c>
      <c r="B91" s="103">
        <v>817478</v>
      </c>
      <c r="C91" s="103">
        <v>753877.28</v>
      </c>
      <c r="D91" s="103">
        <v>63600.72</v>
      </c>
      <c r="E91" s="103">
        <v>23273.29</v>
      </c>
      <c r="F91" s="103">
        <v>65155.51</v>
      </c>
      <c r="G91" s="104">
        <f t="shared" si="2"/>
        <v>9.7584251466688986E-3</v>
      </c>
    </row>
    <row r="92" spans="1:7" ht="15.4" x14ac:dyDescent="0.45">
      <c r="A92" s="85" t="s">
        <v>85</v>
      </c>
      <c r="B92" s="103">
        <v>1002523</v>
      </c>
      <c r="C92" s="103">
        <v>446066</v>
      </c>
      <c r="D92" s="103">
        <v>556457</v>
      </c>
      <c r="E92" s="103">
        <v>432512</v>
      </c>
      <c r="F92" s="103">
        <v>988969</v>
      </c>
      <c r="G92" s="104">
        <f t="shared" si="2"/>
        <v>1.1967350379232156E-2</v>
      </c>
    </row>
    <row r="93" spans="1:7" ht="15.4" x14ac:dyDescent="0.45">
      <c r="A93" s="85" t="s">
        <v>86</v>
      </c>
      <c r="B93" s="103">
        <v>1907702</v>
      </c>
      <c r="C93" s="103">
        <v>1578193.47</v>
      </c>
      <c r="D93" s="103">
        <v>329508.53000000003</v>
      </c>
      <c r="E93" s="103">
        <v>306404.42</v>
      </c>
      <c r="F93" s="103">
        <v>635912.94999999995</v>
      </c>
      <c r="G93" s="104">
        <f t="shared" si="2"/>
        <v>2.2772682774521824E-2</v>
      </c>
    </row>
    <row r="94" spans="1:7" ht="15.4" x14ac:dyDescent="0.45">
      <c r="A94" s="85" t="s">
        <v>87</v>
      </c>
      <c r="B94" s="103">
        <v>614251</v>
      </c>
      <c r="C94" s="103">
        <v>185287.27</v>
      </c>
      <c r="D94" s="103">
        <v>428963.73</v>
      </c>
      <c r="E94" s="103">
        <v>0</v>
      </c>
      <c r="F94" s="103">
        <v>428963.73</v>
      </c>
      <c r="G94" s="104">
        <f t="shared" si="2"/>
        <v>7.3324571484082975E-3</v>
      </c>
    </row>
    <row r="95" spans="1:7" ht="15.4" x14ac:dyDescent="0.45">
      <c r="A95" s="85" t="s">
        <v>89</v>
      </c>
      <c r="B95" s="103"/>
      <c r="C95" s="103"/>
      <c r="D95" s="103"/>
      <c r="E95" s="103"/>
      <c r="F95" s="103"/>
      <c r="G95" s="104">
        <f t="shared" si="2"/>
        <v>0</v>
      </c>
    </row>
    <row r="96" spans="1:7" ht="15.4" x14ac:dyDescent="0.45">
      <c r="A96" s="85" t="s">
        <v>144</v>
      </c>
      <c r="B96" s="103"/>
      <c r="C96" s="103"/>
      <c r="D96" s="103"/>
      <c r="E96" s="103"/>
      <c r="F96" s="103"/>
      <c r="G96" s="104">
        <f t="shared" si="2"/>
        <v>0</v>
      </c>
    </row>
    <row r="97" spans="1:7" ht="15.4" x14ac:dyDescent="0.45">
      <c r="A97" s="85" t="s">
        <v>90</v>
      </c>
      <c r="B97" s="103"/>
      <c r="C97" s="103"/>
      <c r="D97" s="103"/>
      <c r="E97" s="103"/>
      <c r="F97" s="103"/>
      <c r="G97" s="104">
        <f t="shared" si="2"/>
        <v>0</v>
      </c>
    </row>
    <row r="98" spans="1:7" ht="15.4" x14ac:dyDescent="0.45">
      <c r="A98" s="85" t="s">
        <v>91</v>
      </c>
      <c r="B98" s="103">
        <v>2700745</v>
      </c>
      <c r="C98" s="103">
        <v>2033720</v>
      </c>
      <c r="D98" s="103">
        <v>667025</v>
      </c>
      <c r="E98" s="103">
        <v>12500</v>
      </c>
      <c r="F98" s="103">
        <v>567404</v>
      </c>
      <c r="G98" s="104">
        <f t="shared" si="2"/>
        <v>3.223942163916374E-2</v>
      </c>
    </row>
    <row r="99" spans="1:7" ht="15.4" x14ac:dyDescent="0.45">
      <c r="A99" s="85" t="s">
        <v>92</v>
      </c>
      <c r="B99" s="103"/>
      <c r="C99" s="103"/>
      <c r="D99" s="103"/>
      <c r="E99" s="103"/>
      <c r="F99" s="103"/>
      <c r="G99" s="104">
        <f t="shared" ref="G99:G123" si="3">B99/$B$124</f>
        <v>0</v>
      </c>
    </row>
    <row r="100" spans="1:7" ht="15.4" x14ac:dyDescent="0.45">
      <c r="A100" s="85" t="s">
        <v>93</v>
      </c>
      <c r="B100" s="103">
        <v>913985</v>
      </c>
      <c r="C100" s="103">
        <v>259356</v>
      </c>
      <c r="D100" s="103">
        <v>654629</v>
      </c>
      <c r="E100" s="103">
        <v>68319</v>
      </c>
      <c r="F100" s="103">
        <v>722948</v>
      </c>
      <c r="G100" s="104">
        <f t="shared" si="3"/>
        <v>1.0910451666807148E-2</v>
      </c>
    </row>
    <row r="101" spans="1:7" ht="15.4" x14ac:dyDescent="0.45">
      <c r="A101" s="85" t="s">
        <v>113</v>
      </c>
      <c r="B101" s="103">
        <v>471592</v>
      </c>
      <c r="C101" s="103">
        <v>91766.56</v>
      </c>
      <c r="D101" s="103">
        <v>379825.44</v>
      </c>
      <c r="E101" s="103">
        <v>0</v>
      </c>
      <c r="F101" s="103">
        <v>284869.08</v>
      </c>
      <c r="G101" s="104">
        <f t="shared" si="3"/>
        <v>5.6295034628061911E-3</v>
      </c>
    </row>
    <row r="102" spans="1:7" ht="15.4" x14ac:dyDescent="0.45">
      <c r="A102" s="85" t="s">
        <v>94</v>
      </c>
      <c r="B102" s="103">
        <v>1653617</v>
      </c>
      <c r="C102" s="103">
        <v>1168550</v>
      </c>
      <c r="D102" s="103">
        <v>485067</v>
      </c>
      <c r="E102" s="103">
        <v>30000</v>
      </c>
      <c r="F102" s="103">
        <v>386775</v>
      </c>
      <c r="G102" s="104">
        <f t="shared" si="3"/>
        <v>1.9739610993518095E-2</v>
      </c>
    </row>
    <row r="103" spans="1:7" ht="15.4" x14ac:dyDescent="0.45">
      <c r="A103" s="85" t="s">
        <v>155</v>
      </c>
      <c r="B103" s="103">
        <v>4273</v>
      </c>
      <c r="C103" s="103">
        <v>103251</v>
      </c>
      <c r="D103" s="103">
        <v>-98978</v>
      </c>
      <c r="E103" s="103">
        <v>0</v>
      </c>
      <c r="F103" s="103">
        <v>-98978</v>
      </c>
      <c r="G103" s="104">
        <f t="shared" si="3"/>
        <v>5.1007795502406435E-5</v>
      </c>
    </row>
    <row r="104" spans="1:7" ht="15.4" x14ac:dyDescent="0.45">
      <c r="A104" s="85" t="s">
        <v>114</v>
      </c>
      <c r="B104" s="103">
        <v>707606</v>
      </c>
      <c r="C104" s="103">
        <v>253361.83</v>
      </c>
      <c r="D104" s="103">
        <v>454244.17</v>
      </c>
      <c r="E104" s="103">
        <v>44888</v>
      </c>
      <c r="F104" s="103">
        <v>499132.17</v>
      </c>
      <c r="G104" s="104">
        <f t="shared" si="3"/>
        <v>8.4468575109468303E-3</v>
      </c>
    </row>
    <row r="105" spans="1:7" ht="15.4" x14ac:dyDescent="0.45">
      <c r="A105" s="85" t="s">
        <v>95</v>
      </c>
      <c r="B105" s="103">
        <v>36428</v>
      </c>
      <c r="C105" s="103">
        <v>30975.22</v>
      </c>
      <c r="D105" s="103">
        <v>5452.78</v>
      </c>
      <c r="E105" s="103">
        <v>0</v>
      </c>
      <c r="F105" s="103">
        <v>5452.78</v>
      </c>
      <c r="G105" s="104">
        <f t="shared" si="3"/>
        <v>4.3484951429011501E-4</v>
      </c>
    </row>
    <row r="106" spans="1:7" ht="15.4" x14ac:dyDescent="0.45">
      <c r="A106" s="85" t="s">
        <v>96</v>
      </c>
      <c r="B106" s="103">
        <v>138578</v>
      </c>
      <c r="C106" s="103">
        <v>105918.85</v>
      </c>
      <c r="D106" s="103">
        <v>32659.15</v>
      </c>
      <c r="E106" s="103">
        <v>0</v>
      </c>
      <c r="F106" s="103">
        <v>32659.15</v>
      </c>
      <c r="G106" s="104">
        <f t="shared" si="3"/>
        <v>1.6542378387859767E-3</v>
      </c>
    </row>
    <row r="107" spans="1:7" ht="15.4" x14ac:dyDescent="0.45">
      <c r="A107" s="85" t="s">
        <v>145</v>
      </c>
      <c r="B107" s="103">
        <v>59701</v>
      </c>
      <c r="C107" s="103">
        <v>104867.87</v>
      </c>
      <c r="D107" s="103">
        <v>-45166.87</v>
      </c>
      <c r="E107" s="103">
        <v>3399.03</v>
      </c>
      <c r="F107" s="103">
        <v>-41767.839999999997</v>
      </c>
      <c r="G107" s="104">
        <f t="shared" si="3"/>
        <v>7.1266473187202588E-4</v>
      </c>
    </row>
    <row r="108" spans="1:7" ht="15.4" x14ac:dyDescent="0.45">
      <c r="A108" s="85" t="s">
        <v>97</v>
      </c>
      <c r="B108" s="103"/>
      <c r="C108" s="103"/>
      <c r="D108" s="103"/>
      <c r="E108" s="103"/>
      <c r="F108" s="103"/>
      <c r="G108" s="104">
        <f t="shared" si="3"/>
        <v>0</v>
      </c>
    </row>
    <row r="109" spans="1:7" ht="15.4" x14ac:dyDescent="0.45">
      <c r="A109" s="85" t="s">
        <v>98</v>
      </c>
      <c r="B109" s="103">
        <v>1224986</v>
      </c>
      <c r="C109" s="103">
        <v>550963</v>
      </c>
      <c r="D109" s="103">
        <v>674023</v>
      </c>
      <c r="E109" s="103">
        <v>25841</v>
      </c>
      <c r="F109" s="103">
        <v>522915</v>
      </c>
      <c r="G109" s="104">
        <f t="shared" si="3"/>
        <v>1.4622942986499144E-2</v>
      </c>
    </row>
    <row r="110" spans="1:7" ht="15.4" x14ac:dyDescent="0.45">
      <c r="A110" s="85" t="s">
        <v>99</v>
      </c>
      <c r="B110" s="103">
        <v>186217</v>
      </c>
      <c r="C110" s="103">
        <v>170584.74</v>
      </c>
      <c r="D110" s="103">
        <v>15632.26</v>
      </c>
      <c r="E110" s="103">
        <v>34895.089999999997</v>
      </c>
      <c r="F110" s="103">
        <v>37895.519999999997</v>
      </c>
      <c r="G110" s="104">
        <f t="shared" si="3"/>
        <v>2.2229156693357403E-3</v>
      </c>
    </row>
    <row r="111" spans="1:7" ht="15.4" x14ac:dyDescent="0.45">
      <c r="A111" s="85" t="s">
        <v>100</v>
      </c>
      <c r="B111" s="103">
        <v>1318847</v>
      </c>
      <c r="C111" s="103">
        <v>825065.92</v>
      </c>
      <c r="D111" s="103">
        <v>493781.08</v>
      </c>
      <c r="E111" s="103">
        <v>77220</v>
      </c>
      <c r="F111" s="103">
        <v>571001.07999999996</v>
      </c>
      <c r="G111" s="104">
        <f t="shared" si="3"/>
        <v>1.5743383588804637E-2</v>
      </c>
    </row>
    <row r="112" spans="1:7" ht="15.4" x14ac:dyDescent="0.45">
      <c r="A112" s="85" t="s">
        <v>101</v>
      </c>
      <c r="B112" s="103">
        <v>19482</v>
      </c>
      <c r="C112" s="103">
        <v>21232.22</v>
      </c>
      <c r="D112" s="103">
        <v>-1750.22</v>
      </c>
      <c r="E112" s="103">
        <v>0</v>
      </c>
      <c r="F112" s="103">
        <v>-1750.22</v>
      </c>
      <c r="G112" s="104">
        <f t="shared" si="3"/>
        <v>2.3256116826067918E-4</v>
      </c>
    </row>
    <row r="113" spans="1:7" ht="15.4" x14ac:dyDescent="0.45">
      <c r="A113" s="85" t="s">
        <v>102</v>
      </c>
      <c r="B113" s="103"/>
      <c r="C113" s="103"/>
      <c r="D113" s="103"/>
      <c r="E113" s="103"/>
      <c r="F113" s="103"/>
      <c r="G113" s="104">
        <f t="shared" si="3"/>
        <v>0</v>
      </c>
    </row>
    <row r="114" spans="1:7" ht="15.4" x14ac:dyDescent="0.45">
      <c r="A114" s="85" t="s">
        <v>156</v>
      </c>
      <c r="B114" s="103"/>
      <c r="C114" s="103"/>
      <c r="D114" s="103"/>
      <c r="E114" s="103"/>
      <c r="F114" s="103"/>
      <c r="G114" s="104">
        <f t="shared" si="3"/>
        <v>0</v>
      </c>
    </row>
    <row r="115" spans="1:7" ht="15.4" x14ac:dyDescent="0.45">
      <c r="A115" s="85" t="s">
        <v>157</v>
      </c>
      <c r="B115" s="103">
        <v>39233</v>
      </c>
      <c r="C115" s="103">
        <v>26533.67</v>
      </c>
      <c r="D115" s="103">
        <v>12699.33</v>
      </c>
      <c r="E115" s="103">
        <v>24534.080000000002</v>
      </c>
      <c r="F115" s="103">
        <v>37233.410000000003</v>
      </c>
      <c r="G115" s="104">
        <f t="shared" si="3"/>
        <v>4.6833345212869449E-4</v>
      </c>
    </row>
    <row r="116" spans="1:7" ht="15.4" x14ac:dyDescent="0.45">
      <c r="A116" s="85" t="s">
        <v>103</v>
      </c>
      <c r="B116" s="103">
        <v>844559</v>
      </c>
      <c r="C116" s="103">
        <v>845954.99</v>
      </c>
      <c r="D116" s="103">
        <v>-1395.99</v>
      </c>
      <c r="E116" s="103">
        <v>23803.26</v>
      </c>
      <c r="F116" s="103">
        <v>22407.27</v>
      </c>
      <c r="G116" s="104">
        <f t="shared" si="3"/>
        <v>1.008169734652864E-2</v>
      </c>
    </row>
    <row r="117" spans="1:7" ht="15.4" x14ac:dyDescent="0.45">
      <c r="A117" s="85" t="s">
        <v>104</v>
      </c>
      <c r="B117" s="103">
        <v>432004</v>
      </c>
      <c r="C117" s="103">
        <v>500800.37</v>
      </c>
      <c r="D117" s="103">
        <v>-68796.37</v>
      </c>
      <c r="E117" s="103">
        <v>70941.119999999995</v>
      </c>
      <c r="F117" s="103">
        <v>2144.75</v>
      </c>
      <c r="G117" s="104">
        <f t="shared" si="3"/>
        <v>5.1569322930544318E-3</v>
      </c>
    </row>
    <row r="118" spans="1:7" ht="15.4" x14ac:dyDescent="0.45">
      <c r="A118" s="85" t="s">
        <v>105</v>
      </c>
      <c r="B118" s="103">
        <v>115417</v>
      </c>
      <c r="C118" s="103">
        <v>99187.23</v>
      </c>
      <c r="D118" s="103">
        <v>16229.77</v>
      </c>
      <c r="E118" s="103">
        <v>0</v>
      </c>
      <c r="F118" s="103">
        <v>16229.77</v>
      </c>
      <c r="G118" s="104">
        <f t="shared" si="3"/>
        <v>1.3777595912710609E-3</v>
      </c>
    </row>
    <row r="119" spans="1:7" ht="15.4" x14ac:dyDescent="0.45">
      <c r="A119" s="85" t="s">
        <v>106</v>
      </c>
      <c r="B119" s="103">
        <v>5133313</v>
      </c>
      <c r="C119" s="103">
        <v>4015041.24</v>
      </c>
      <c r="D119" s="103">
        <v>1118271.7599999998</v>
      </c>
      <c r="E119" s="103">
        <v>3475778.89</v>
      </c>
      <c r="F119" s="103">
        <v>3445539.6500000004</v>
      </c>
      <c r="G119" s="104">
        <f t="shared" si="3"/>
        <v>6.1277552013537205E-2</v>
      </c>
    </row>
    <row r="120" spans="1:7" ht="15.4" x14ac:dyDescent="0.45">
      <c r="A120" s="85" t="s">
        <v>146</v>
      </c>
      <c r="B120" s="103">
        <v>147881</v>
      </c>
      <c r="C120" s="103">
        <v>76864.84</v>
      </c>
      <c r="D120" s="103">
        <v>71016.160000000003</v>
      </c>
      <c r="E120" s="103">
        <v>93370.95</v>
      </c>
      <c r="F120" s="103">
        <v>139240.84</v>
      </c>
      <c r="G120" s="104">
        <f t="shared" si="3"/>
        <v>1.7652899149757466E-3</v>
      </c>
    </row>
    <row r="121" spans="1:7" ht="15.4" x14ac:dyDescent="0.45">
      <c r="A121" s="85" t="s">
        <v>107</v>
      </c>
      <c r="B121" s="103">
        <v>2270565</v>
      </c>
      <c r="C121" s="103">
        <v>1533539.78</v>
      </c>
      <c r="D121" s="103">
        <v>737025.22</v>
      </c>
      <c r="E121" s="103">
        <v>32348.5</v>
      </c>
      <c r="F121" s="103">
        <v>577030.29</v>
      </c>
      <c r="G121" s="104">
        <f t="shared" si="3"/>
        <v>2.7104262858628939E-2</v>
      </c>
    </row>
    <row r="122" spans="1:7" ht="15.4" x14ac:dyDescent="0.45">
      <c r="A122" s="85" t="s">
        <v>146</v>
      </c>
      <c r="B122" s="103">
        <v>298613</v>
      </c>
      <c r="C122" s="103">
        <v>243545.69</v>
      </c>
      <c r="D122" s="103">
        <v>55067.31</v>
      </c>
      <c r="E122" s="103">
        <v>51216.9</v>
      </c>
      <c r="F122" s="103">
        <v>79821</v>
      </c>
      <c r="G122" s="104">
        <f t="shared" si="3"/>
        <v>3.5646128804961599E-3</v>
      </c>
    </row>
    <row r="123" spans="1:7" ht="15.4" x14ac:dyDescent="0.45">
      <c r="A123" s="85" t="s">
        <v>107</v>
      </c>
      <c r="B123" s="103"/>
      <c r="C123" s="103"/>
      <c r="D123" s="103"/>
      <c r="E123" s="103"/>
      <c r="F123" s="103"/>
      <c r="G123" s="104">
        <f t="shared" si="3"/>
        <v>0</v>
      </c>
    </row>
    <row r="124" spans="1:7" ht="14.25" x14ac:dyDescent="0.45">
      <c r="A124" s="111" t="s">
        <v>108</v>
      </c>
      <c r="B124" s="108">
        <f t="shared" ref="B124:G124" si="4">SUM(B3:B123)</f>
        <v>83771509</v>
      </c>
      <c r="C124" s="108">
        <f t="shared" si="4"/>
        <v>81664108.230000004</v>
      </c>
      <c r="D124" s="108">
        <f t="shared" si="4"/>
        <v>2107400.7699999972</v>
      </c>
      <c r="E124" s="108">
        <f t="shared" si="4"/>
        <v>43157047.390000015</v>
      </c>
      <c r="F124" s="108">
        <f t="shared" si="4"/>
        <v>37259488.009999998</v>
      </c>
      <c r="G124" s="112">
        <f t="shared" si="4"/>
        <v>0.99999999999999967</v>
      </c>
    </row>
  </sheetData>
  <sortState xmlns:xlrd2="http://schemas.microsoft.com/office/spreadsheetml/2017/richdata2" ref="A3:F140">
    <sortCondition ref="A3:A140"/>
  </sortState>
  <mergeCells count="1">
    <mergeCell ref="A1:G1"/>
  </mergeCells>
  <pageMargins left="0.7" right="0.7" top="0.75" bottom="0.75" header="0.3" footer="0.3"/>
  <customProperties>
    <customPr name="LastActive" r:id="rId1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24"/>
  <sheetViews>
    <sheetView topLeftCell="D104" workbookViewId="0">
      <selection activeCell="G3" sqref="G3:G123"/>
    </sheetView>
  </sheetViews>
  <sheetFormatPr defaultRowHeight="12.75" x14ac:dyDescent="0.35"/>
  <cols>
    <col min="1" max="1" width="57.265625" customWidth="1"/>
    <col min="2" max="2" width="17.73046875" customWidth="1"/>
    <col min="3" max="3" width="20.1328125" customWidth="1"/>
    <col min="4" max="4" width="18" customWidth="1"/>
    <col min="5" max="5" width="21.59765625" bestFit="1" customWidth="1"/>
    <col min="6" max="6" width="20.86328125" customWidth="1"/>
    <col min="7" max="7" width="16" style="106" bestFit="1" customWidth="1"/>
  </cols>
  <sheetData>
    <row r="1" spans="1:7" ht="18" x14ac:dyDescent="0.55000000000000004">
      <c r="A1" s="171" t="s">
        <v>159</v>
      </c>
      <c r="B1" s="171"/>
      <c r="C1" s="171"/>
      <c r="D1" s="171"/>
      <c r="E1" s="171"/>
      <c r="F1" s="171"/>
      <c r="G1" s="171"/>
    </row>
    <row r="2" spans="1:7" ht="36" x14ac:dyDescent="0.55000000000000004">
      <c r="A2" s="70" t="s">
        <v>1</v>
      </c>
      <c r="B2" s="71" t="s">
        <v>2</v>
      </c>
      <c r="C2" s="71" t="s">
        <v>3</v>
      </c>
      <c r="D2" s="71" t="s">
        <v>4</v>
      </c>
      <c r="E2" s="71" t="s">
        <v>5</v>
      </c>
      <c r="F2" s="71" t="s">
        <v>6</v>
      </c>
      <c r="G2" s="105" t="s">
        <v>9</v>
      </c>
    </row>
    <row r="3" spans="1:7" ht="15.4" x14ac:dyDescent="0.45">
      <c r="A3" s="85" t="s">
        <v>117</v>
      </c>
      <c r="B3" s="103">
        <v>120385</v>
      </c>
      <c r="C3" s="103">
        <v>277369.56</v>
      </c>
      <c r="D3" s="103">
        <v>-156984.56</v>
      </c>
      <c r="E3" s="103">
        <v>42795</v>
      </c>
      <c r="F3" s="103">
        <v>-114189.56</v>
      </c>
      <c r="G3" s="104">
        <f t="shared" ref="G3:G34" si="0">B3/$B$124</f>
        <v>8.4674016396141911E-4</v>
      </c>
    </row>
    <row r="4" spans="1:7" ht="15.4" x14ac:dyDescent="0.45">
      <c r="A4" s="85" t="s">
        <v>10</v>
      </c>
      <c r="B4" s="103">
        <v>3276337</v>
      </c>
      <c r="C4" s="103">
        <v>1542887</v>
      </c>
      <c r="D4" s="103">
        <v>1733450</v>
      </c>
      <c r="E4" s="103">
        <v>0</v>
      </c>
      <c r="F4" s="103">
        <v>1265448</v>
      </c>
      <c r="G4" s="104">
        <f t="shared" si="0"/>
        <v>2.3044450127282168E-2</v>
      </c>
    </row>
    <row r="5" spans="1:7" ht="15.4" x14ac:dyDescent="0.45">
      <c r="A5" s="85" t="s">
        <v>11</v>
      </c>
      <c r="B5" s="103">
        <v>116265</v>
      </c>
      <c r="C5" s="103">
        <v>49151.19</v>
      </c>
      <c r="D5" s="103">
        <v>67113.81</v>
      </c>
      <c r="E5" s="103">
        <v>0</v>
      </c>
      <c r="F5" s="103">
        <v>67113.81</v>
      </c>
      <c r="G5" s="104">
        <f t="shared" si="0"/>
        <v>8.1776172415977399E-4</v>
      </c>
    </row>
    <row r="6" spans="1:7" ht="15.4" x14ac:dyDescent="0.45">
      <c r="A6" s="85" t="s">
        <v>12</v>
      </c>
      <c r="B6" s="103"/>
      <c r="C6" s="103"/>
      <c r="D6" s="103"/>
      <c r="E6" s="103"/>
      <c r="F6" s="103"/>
      <c r="G6" s="104">
        <f t="shared" si="0"/>
        <v>0</v>
      </c>
    </row>
    <row r="7" spans="1:7" ht="15.4" x14ac:dyDescent="0.45">
      <c r="A7" s="85" t="s">
        <v>13</v>
      </c>
      <c r="B7" s="103">
        <v>587171</v>
      </c>
      <c r="C7" s="103">
        <v>411944</v>
      </c>
      <c r="D7" s="103">
        <v>175227</v>
      </c>
      <c r="E7" s="103">
        <v>195498</v>
      </c>
      <c r="F7" s="103">
        <v>278044</v>
      </c>
      <c r="G7" s="104">
        <f t="shared" si="0"/>
        <v>4.1299270574688745E-3</v>
      </c>
    </row>
    <row r="8" spans="1:7" ht="15.4" x14ac:dyDescent="0.45">
      <c r="A8" s="85" t="s">
        <v>14</v>
      </c>
      <c r="B8" s="103">
        <v>1113582</v>
      </c>
      <c r="C8" s="103">
        <v>828475.07</v>
      </c>
      <c r="D8" s="103">
        <v>285106.93</v>
      </c>
      <c r="E8" s="103">
        <v>0</v>
      </c>
      <c r="F8" s="103">
        <v>213829.93</v>
      </c>
      <c r="G8" s="104">
        <f t="shared" si="0"/>
        <v>7.8324924638824185E-3</v>
      </c>
    </row>
    <row r="9" spans="1:7" ht="15.4" x14ac:dyDescent="0.45">
      <c r="A9" s="85" t="s">
        <v>16</v>
      </c>
      <c r="B9" s="103">
        <v>2527755</v>
      </c>
      <c r="C9" s="103">
        <v>1897247.8</v>
      </c>
      <c r="D9" s="103">
        <v>630507.19999999995</v>
      </c>
      <c r="E9" s="103">
        <v>929054.57</v>
      </c>
      <c r="F9" s="103">
        <v>1320148.77</v>
      </c>
      <c r="G9" s="104">
        <f t="shared" si="0"/>
        <v>1.7779222354564913E-2</v>
      </c>
    </row>
    <row r="10" spans="1:7" ht="15.4" x14ac:dyDescent="0.45">
      <c r="A10" s="85" t="s">
        <v>17</v>
      </c>
      <c r="B10" s="103">
        <v>734494</v>
      </c>
      <c r="C10" s="103">
        <v>219208.22</v>
      </c>
      <c r="D10" s="103">
        <v>515285.78</v>
      </c>
      <c r="E10" s="103">
        <v>0</v>
      </c>
      <c r="F10" s="103">
        <v>515285.78</v>
      </c>
      <c r="G10" s="104">
        <f t="shared" si="0"/>
        <v>5.1661383892401755E-3</v>
      </c>
    </row>
    <row r="11" spans="1:7" ht="15.4" x14ac:dyDescent="0.45">
      <c r="A11" s="85" t="s">
        <v>18</v>
      </c>
      <c r="B11" s="103"/>
      <c r="C11" s="103"/>
      <c r="D11" s="103"/>
      <c r="E11" s="103"/>
      <c r="F11" s="103"/>
      <c r="G11" s="104">
        <f t="shared" si="0"/>
        <v>0</v>
      </c>
    </row>
    <row r="12" spans="1:7" ht="15.4" x14ac:dyDescent="0.45">
      <c r="A12" s="85" t="s">
        <v>19</v>
      </c>
      <c r="B12" s="103">
        <v>283308</v>
      </c>
      <c r="C12" s="103">
        <v>411687.61</v>
      </c>
      <c r="D12" s="103">
        <v>-128379.61</v>
      </c>
      <c r="E12" s="103">
        <v>64140</v>
      </c>
      <c r="F12" s="103">
        <v>-64239.61</v>
      </c>
      <c r="G12" s="104">
        <f t="shared" si="0"/>
        <v>1.9926756852729306E-3</v>
      </c>
    </row>
    <row r="13" spans="1:7" ht="15.4" x14ac:dyDescent="0.45">
      <c r="A13" s="85" t="s">
        <v>20</v>
      </c>
      <c r="B13" s="103">
        <v>589338</v>
      </c>
      <c r="C13" s="103">
        <v>461629.1</v>
      </c>
      <c r="D13" s="103">
        <v>127708.9</v>
      </c>
      <c r="E13" s="103">
        <v>49375.85</v>
      </c>
      <c r="F13" s="103">
        <v>177084.75</v>
      </c>
      <c r="G13" s="104">
        <f t="shared" si="0"/>
        <v>4.1451688727723122E-3</v>
      </c>
    </row>
    <row r="14" spans="1:7" ht="15.4" x14ac:dyDescent="0.45">
      <c r="A14" s="85" t="s">
        <v>21</v>
      </c>
      <c r="B14" s="103">
        <v>1099521</v>
      </c>
      <c r="C14" s="103">
        <v>538764.01</v>
      </c>
      <c r="D14" s="103">
        <v>560756.99</v>
      </c>
      <c r="E14" s="103">
        <v>167806.54</v>
      </c>
      <c r="F14" s="103">
        <v>585169.31000000006</v>
      </c>
      <c r="G14" s="104">
        <f t="shared" si="0"/>
        <v>7.7335929876564645E-3</v>
      </c>
    </row>
    <row r="15" spans="1:7" ht="15.4" x14ac:dyDescent="0.45">
      <c r="A15" s="85" t="s">
        <v>134</v>
      </c>
      <c r="B15" s="103">
        <v>1560578</v>
      </c>
      <c r="C15" s="103">
        <v>308649.31</v>
      </c>
      <c r="D15" s="103">
        <v>1251928.69</v>
      </c>
      <c r="E15" s="103">
        <v>-12838.77</v>
      </c>
      <c r="F15" s="103">
        <v>929317.45</v>
      </c>
      <c r="G15" s="104">
        <f t="shared" si="0"/>
        <v>1.0976484375915467E-2</v>
      </c>
    </row>
    <row r="16" spans="1:7" ht="15.4" x14ac:dyDescent="0.45">
      <c r="A16" s="85" t="s">
        <v>22</v>
      </c>
      <c r="B16" s="103">
        <v>159073</v>
      </c>
      <c r="C16" s="103">
        <v>105981.93</v>
      </c>
      <c r="D16" s="103">
        <v>53091.07</v>
      </c>
      <c r="E16" s="103">
        <v>39557.769999999997</v>
      </c>
      <c r="F16" s="103">
        <v>92648.84</v>
      </c>
      <c r="G16" s="104">
        <f t="shared" si="0"/>
        <v>1.118856154021139E-3</v>
      </c>
    </row>
    <row r="17" spans="1:7" ht="15.4" x14ac:dyDescent="0.45">
      <c r="A17" s="85" t="s">
        <v>135</v>
      </c>
      <c r="B17" s="103">
        <v>186520</v>
      </c>
      <c r="C17" s="103">
        <v>65603.77</v>
      </c>
      <c r="D17" s="103">
        <v>120916.23</v>
      </c>
      <c r="E17" s="103">
        <v>4128.66</v>
      </c>
      <c r="F17" s="103">
        <v>125044.89</v>
      </c>
      <c r="G17" s="104">
        <f t="shared" si="0"/>
        <v>1.3119074251948656E-3</v>
      </c>
    </row>
    <row r="18" spans="1:7" ht="15.4" x14ac:dyDescent="0.45">
      <c r="A18" s="85" t="s">
        <v>23</v>
      </c>
      <c r="B18" s="103">
        <v>789715</v>
      </c>
      <c r="C18" s="103">
        <v>505009</v>
      </c>
      <c r="D18" s="103">
        <v>284706</v>
      </c>
      <c r="E18" s="103">
        <v>211346</v>
      </c>
      <c r="F18" s="103">
        <v>496052</v>
      </c>
      <c r="G18" s="104">
        <f t="shared" si="0"/>
        <v>5.5545409194068373E-3</v>
      </c>
    </row>
    <row r="19" spans="1:7" ht="15.4" x14ac:dyDescent="0.45">
      <c r="A19" s="85" t="s">
        <v>24</v>
      </c>
      <c r="B19" s="103">
        <v>6199305</v>
      </c>
      <c r="C19" s="103">
        <v>5400980.21</v>
      </c>
      <c r="D19" s="103">
        <v>798324.79</v>
      </c>
      <c r="E19" s="103">
        <v>10539.01</v>
      </c>
      <c r="F19" s="103">
        <v>379826.83</v>
      </c>
      <c r="G19" s="104">
        <f t="shared" si="0"/>
        <v>4.3603443387023676E-2</v>
      </c>
    </row>
    <row r="20" spans="1:7" ht="15.4" x14ac:dyDescent="0.45">
      <c r="A20" s="85" t="s">
        <v>136</v>
      </c>
      <c r="B20" s="103">
        <v>91181</v>
      </c>
      <c r="C20" s="103">
        <v>74415</v>
      </c>
      <c r="D20" s="103">
        <v>16766</v>
      </c>
      <c r="E20" s="103">
        <v>0</v>
      </c>
      <c r="F20" s="103">
        <v>16766</v>
      </c>
      <c r="G20" s="104">
        <f t="shared" si="0"/>
        <v>6.4133085426063181E-4</v>
      </c>
    </row>
    <row r="21" spans="1:7" ht="15.4" x14ac:dyDescent="0.45">
      <c r="A21" s="85" t="s">
        <v>25</v>
      </c>
      <c r="B21" s="103">
        <v>404515</v>
      </c>
      <c r="C21" s="103">
        <v>475223.09</v>
      </c>
      <c r="D21" s="103">
        <v>-70708.09</v>
      </c>
      <c r="E21" s="103">
        <v>1285.67</v>
      </c>
      <c r="F21" s="103">
        <v>-69422.42</v>
      </c>
      <c r="G21" s="104">
        <f t="shared" si="0"/>
        <v>2.8451974699908915E-3</v>
      </c>
    </row>
    <row r="22" spans="1:7" ht="15.4" x14ac:dyDescent="0.45">
      <c r="A22" s="85" t="s">
        <v>26</v>
      </c>
      <c r="B22" s="103">
        <v>82422</v>
      </c>
      <c r="C22" s="103">
        <v>288500.96000000002</v>
      </c>
      <c r="D22" s="103">
        <v>-206078.96</v>
      </c>
      <c r="E22" s="103">
        <v>8401.08</v>
      </c>
      <c r="F22" s="103">
        <v>-197677.88</v>
      </c>
      <c r="G22" s="104">
        <f t="shared" si="0"/>
        <v>5.7972353527456152E-4</v>
      </c>
    </row>
    <row r="23" spans="1:7" ht="15.4" x14ac:dyDescent="0.45">
      <c r="A23" s="85" t="s">
        <v>27</v>
      </c>
      <c r="B23" s="103">
        <v>131724</v>
      </c>
      <c r="C23" s="103">
        <v>121264.06</v>
      </c>
      <c r="D23" s="103">
        <v>10459.94</v>
      </c>
      <c r="E23" s="103">
        <v>41544.03</v>
      </c>
      <c r="F23" s="103">
        <v>51833.43</v>
      </c>
      <c r="G23" s="104">
        <f t="shared" si="0"/>
        <v>9.2649417583298558E-4</v>
      </c>
    </row>
    <row r="24" spans="1:7" ht="15.4" x14ac:dyDescent="0.45">
      <c r="A24" s="85" t="s">
        <v>118</v>
      </c>
      <c r="B24" s="103">
        <v>103809</v>
      </c>
      <c r="C24" s="103">
        <v>77434.740000000005</v>
      </c>
      <c r="D24" s="103">
        <v>26374.26</v>
      </c>
      <c r="E24" s="103">
        <v>76125</v>
      </c>
      <c r="F24" s="103">
        <v>102499.26</v>
      </c>
      <c r="G24" s="104">
        <f t="shared" si="0"/>
        <v>7.301511789730528E-4</v>
      </c>
    </row>
    <row r="25" spans="1:7" ht="15.4" x14ac:dyDescent="0.45">
      <c r="A25" s="85" t="s">
        <v>28</v>
      </c>
      <c r="B25" s="103">
        <v>3461642</v>
      </c>
      <c r="C25" s="103">
        <v>848159.32</v>
      </c>
      <c r="D25" s="103">
        <v>2613482.6800000002</v>
      </c>
      <c r="E25" s="103">
        <v>0</v>
      </c>
      <c r="F25" s="103">
        <v>2613482.6800000002</v>
      </c>
      <c r="G25" s="104">
        <f t="shared" si="0"/>
        <v>2.4347811726176307E-2</v>
      </c>
    </row>
    <row r="26" spans="1:7" ht="15.4" x14ac:dyDescent="0.45">
      <c r="A26" s="85" t="s">
        <v>8</v>
      </c>
      <c r="B26" s="103">
        <v>125815</v>
      </c>
      <c r="C26" s="103">
        <v>113133</v>
      </c>
      <c r="D26" s="103">
        <v>12682</v>
      </c>
      <c r="E26" s="103">
        <v>0</v>
      </c>
      <c r="F26" s="103">
        <v>12682</v>
      </c>
      <c r="G26" s="104">
        <f t="shared" si="0"/>
        <v>8.8493262224368437E-4</v>
      </c>
    </row>
    <row r="27" spans="1:7" ht="15.4" x14ac:dyDescent="0.45">
      <c r="A27" s="85" t="s">
        <v>29</v>
      </c>
      <c r="B27" s="103"/>
      <c r="C27" s="103"/>
      <c r="D27" s="103"/>
      <c r="E27" s="103"/>
      <c r="F27" s="103"/>
      <c r="G27" s="104">
        <f t="shared" si="0"/>
        <v>0</v>
      </c>
    </row>
    <row r="28" spans="1:7" ht="15.4" x14ac:dyDescent="0.45">
      <c r="A28" s="85" t="s">
        <v>30</v>
      </c>
      <c r="B28" s="103">
        <v>314731</v>
      </c>
      <c r="C28" s="103">
        <v>297963</v>
      </c>
      <c r="D28" s="103">
        <v>16768</v>
      </c>
      <c r="E28" s="103">
        <v>0</v>
      </c>
      <c r="F28" s="103">
        <v>12576</v>
      </c>
      <c r="G28" s="104">
        <f t="shared" si="0"/>
        <v>2.213692557575623E-3</v>
      </c>
    </row>
    <row r="29" spans="1:7" ht="15.4" x14ac:dyDescent="0.45">
      <c r="A29" s="85" t="s">
        <v>31</v>
      </c>
      <c r="B29" s="103">
        <v>271051</v>
      </c>
      <c r="C29" s="103">
        <v>311863.7</v>
      </c>
      <c r="D29" s="103">
        <v>-40812.699999999997</v>
      </c>
      <c r="E29" s="103">
        <v>0</v>
      </c>
      <c r="F29" s="103">
        <v>-40812.699999999997</v>
      </c>
      <c r="G29" s="104">
        <f t="shared" si="0"/>
        <v>1.9064648268630362E-3</v>
      </c>
    </row>
    <row r="30" spans="1:7" ht="15.4" x14ac:dyDescent="0.45">
      <c r="A30" s="85" t="s">
        <v>32</v>
      </c>
      <c r="B30" s="103">
        <v>85126</v>
      </c>
      <c r="C30" s="103">
        <v>191558</v>
      </c>
      <c r="D30" s="103">
        <v>-106432</v>
      </c>
      <c r="E30" s="103">
        <v>36228</v>
      </c>
      <c r="F30" s="103">
        <v>-70204</v>
      </c>
      <c r="G30" s="104">
        <f t="shared" si="0"/>
        <v>5.9874239479486453E-4</v>
      </c>
    </row>
    <row r="31" spans="1:7" ht="15.4" x14ac:dyDescent="0.45">
      <c r="A31" s="85" t="s">
        <v>33</v>
      </c>
      <c r="B31" s="103">
        <v>72958</v>
      </c>
      <c r="C31" s="103">
        <v>84953.97</v>
      </c>
      <c r="D31" s="103">
        <v>-11995.97</v>
      </c>
      <c r="E31" s="103">
        <v>0</v>
      </c>
      <c r="F31" s="103">
        <v>-11995.97</v>
      </c>
      <c r="G31" s="104">
        <f t="shared" si="0"/>
        <v>5.13157526953501E-4</v>
      </c>
    </row>
    <row r="32" spans="1:7" ht="15.4" x14ac:dyDescent="0.45">
      <c r="A32" s="85" t="s">
        <v>34</v>
      </c>
      <c r="B32" s="103">
        <v>176941</v>
      </c>
      <c r="C32" s="103">
        <v>102407.25</v>
      </c>
      <c r="D32" s="103">
        <v>74533.75</v>
      </c>
      <c r="E32" s="103">
        <v>0</v>
      </c>
      <c r="F32" s="103">
        <v>74533.75</v>
      </c>
      <c r="G32" s="104">
        <f t="shared" si="0"/>
        <v>1.2445325526560407E-3</v>
      </c>
    </row>
    <row r="33" spans="1:7" ht="15.4" x14ac:dyDescent="0.45">
      <c r="A33" s="85" t="s">
        <v>35</v>
      </c>
      <c r="B33" s="103">
        <v>276237</v>
      </c>
      <c r="C33" s="103">
        <v>382209</v>
      </c>
      <c r="D33" s="103">
        <v>-105972</v>
      </c>
      <c r="E33" s="103">
        <v>103187.75</v>
      </c>
      <c r="F33" s="103">
        <v>-2784.25</v>
      </c>
      <c r="G33" s="104">
        <f t="shared" si="0"/>
        <v>1.9429410862832623E-3</v>
      </c>
    </row>
    <row r="34" spans="1:7" ht="15.4" x14ac:dyDescent="0.45">
      <c r="A34" s="85" t="s">
        <v>36</v>
      </c>
      <c r="B34" s="103">
        <v>750333</v>
      </c>
      <c r="C34" s="103">
        <v>744964</v>
      </c>
      <c r="D34" s="103">
        <v>5369</v>
      </c>
      <c r="E34" s="103">
        <v>20566</v>
      </c>
      <c r="F34" s="103">
        <v>25935</v>
      </c>
      <c r="G34" s="104">
        <f t="shared" si="0"/>
        <v>5.277543609632957E-3</v>
      </c>
    </row>
    <row r="35" spans="1:7" ht="15.4" x14ac:dyDescent="0.45">
      <c r="A35" s="85" t="s">
        <v>37</v>
      </c>
      <c r="B35" s="103">
        <v>268116</v>
      </c>
      <c r="C35" s="103">
        <v>251318</v>
      </c>
      <c r="D35" s="103">
        <v>16798</v>
      </c>
      <c r="E35" s="103">
        <v>0</v>
      </c>
      <c r="F35" s="103">
        <v>16798</v>
      </c>
      <c r="G35" s="104">
        <f t="shared" ref="G35:G66" si="1">B35/$B$124</f>
        <v>1.8858212053053109E-3</v>
      </c>
    </row>
    <row r="36" spans="1:7" ht="15.4" x14ac:dyDescent="0.45">
      <c r="A36" s="85" t="s">
        <v>38</v>
      </c>
      <c r="B36" s="103">
        <v>197992</v>
      </c>
      <c r="C36" s="103">
        <v>224333.4</v>
      </c>
      <c r="D36" s="103">
        <v>-26341.4</v>
      </c>
      <c r="E36" s="103">
        <v>0</v>
      </c>
      <c r="F36" s="103">
        <v>-26341.4</v>
      </c>
      <c r="G36" s="104">
        <f t="shared" si="1"/>
        <v>1.3925969061182814E-3</v>
      </c>
    </row>
    <row r="37" spans="1:7" ht="15.4" x14ac:dyDescent="0.45">
      <c r="A37" s="85" t="s">
        <v>39</v>
      </c>
      <c r="B37" s="103">
        <v>13579579</v>
      </c>
      <c r="C37" s="103">
        <v>7913494.0199999996</v>
      </c>
      <c r="D37" s="103">
        <v>5666084.9800000004</v>
      </c>
      <c r="E37" s="103">
        <v>724268</v>
      </c>
      <c r="F37" s="103">
        <v>4741265.9800000004</v>
      </c>
      <c r="G37" s="104">
        <f t="shared" si="1"/>
        <v>9.5513352568734014E-2</v>
      </c>
    </row>
    <row r="38" spans="1:7" ht="15.4" x14ac:dyDescent="0.45">
      <c r="A38" s="85" t="s">
        <v>40</v>
      </c>
      <c r="B38" s="103">
        <v>228524</v>
      </c>
      <c r="C38" s="103">
        <v>132741</v>
      </c>
      <c r="D38" s="103">
        <v>95783</v>
      </c>
      <c r="E38" s="103">
        <v>-9649</v>
      </c>
      <c r="F38" s="103">
        <v>86134</v>
      </c>
      <c r="G38" s="104">
        <f t="shared" si="1"/>
        <v>1.6073468391337737E-3</v>
      </c>
    </row>
    <row r="39" spans="1:7" ht="15.4" x14ac:dyDescent="0.45">
      <c r="A39" s="85" t="s">
        <v>41</v>
      </c>
      <c r="B39" s="103"/>
      <c r="C39" s="103"/>
      <c r="D39" s="103"/>
      <c r="E39" s="103"/>
      <c r="F39" s="103"/>
      <c r="G39" s="104">
        <f t="shared" si="1"/>
        <v>0</v>
      </c>
    </row>
    <row r="40" spans="1:7" ht="15.4" x14ac:dyDescent="0.45">
      <c r="A40" s="85" t="s">
        <v>121</v>
      </c>
      <c r="B40" s="103">
        <v>2336136</v>
      </c>
      <c r="C40" s="103">
        <v>1729718.89</v>
      </c>
      <c r="D40" s="103">
        <v>606417.11</v>
      </c>
      <c r="E40" s="103">
        <v>103251</v>
      </c>
      <c r="F40" s="103">
        <v>532251.17000000004</v>
      </c>
      <c r="G40" s="104">
        <f t="shared" si="1"/>
        <v>1.6431450593314564E-2</v>
      </c>
    </row>
    <row r="41" spans="1:7" ht="15.4" x14ac:dyDescent="0.45">
      <c r="A41" s="85" t="s">
        <v>43</v>
      </c>
      <c r="B41" s="103">
        <v>2160308</v>
      </c>
      <c r="C41" s="103">
        <v>1799101.24</v>
      </c>
      <c r="D41" s="103">
        <v>361206.76</v>
      </c>
      <c r="E41" s="103">
        <v>5110</v>
      </c>
      <c r="F41" s="103">
        <v>274737.76</v>
      </c>
      <c r="G41" s="104">
        <f t="shared" si="1"/>
        <v>1.5194746439566104E-2</v>
      </c>
    </row>
    <row r="42" spans="1:7" ht="15.4" x14ac:dyDescent="0.45">
      <c r="A42" s="85" t="s">
        <v>44</v>
      </c>
      <c r="B42" s="103">
        <v>236545</v>
      </c>
      <c r="C42" s="103">
        <v>270688.18</v>
      </c>
      <c r="D42" s="103">
        <v>-34143.18</v>
      </c>
      <c r="E42" s="103">
        <v>0</v>
      </c>
      <c r="F42" s="103">
        <v>-64934.26</v>
      </c>
      <c r="G42" s="104">
        <f t="shared" si="1"/>
        <v>1.6637633599223649E-3</v>
      </c>
    </row>
    <row r="43" spans="1:7" ht="15.4" x14ac:dyDescent="0.45">
      <c r="A43" s="85" t="s">
        <v>45</v>
      </c>
      <c r="B43" s="103">
        <v>130000</v>
      </c>
      <c r="C43" s="103">
        <v>60870</v>
      </c>
      <c r="D43" s="103">
        <v>69130</v>
      </c>
      <c r="E43" s="103">
        <v>0</v>
      </c>
      <c r="F43" s="103">
        <v>66250</v>
      </c>
      <c r="G43" s="104">
        <f t="shared" si="1"/>
        <v>9.1436824616841371E-4</v>
      </c>
    </row>
    <row r="44" spans="1:7" ht="15.4" x14ac:dyDescent="0.45">
      <c r="A44" s="85" t="s">
        <v>137</v>
      </c>
      <c r="B44" s="103">
        <v>134073</v>
      </c>
      <c r="C44" s="103">
        <v>90500.88</v>
      </c>
      <c r="D44" s="103">
        <v>43572.12</v>
      </c>
      <c r="E44" s="103">
        <v>0</v>
      </c>
      <c r="F44" s="103">
        <v>32679.09</v>
      </c>
      <c r="G44" s="104">
        <f t="shared" si="1"/>
        <v>9.4301610668105947E-4</v>
      </c>
    </row>
    <row r="45" spans="1:7" ht="15.4" x14ac:dyDescent="0.45">
      <c r="A45" s="85" t="s">
        <v>46</v>
      </c>
      <c r="B45" s="103">
        <v>1218952</v>
      </c>
      <c r="C45" s="103">
        <v>669679.19999999995</v>
      </c>
      <c r="D45" s="103">
        <v>549272.80000000005</v>
      </c>
      <c r="E45" s="103">
        <v>7102.46</v>
      </c>
      <c r="F45" s="103">
        <v>526603.86</v>
      </c>
      <c r="G45" s="104">
        <f t="shared" si="1"/>
        <v>8.5736230954113861E-3</v>
      </c>
    </row>
    <row r="46" spans="1:7" ht="15.4" x14ac:dyDescent="0.45">
      <c r="A46" s="85" t="s">
        <v>47</v>
      </c>
      <c r="B46" s="103">
        <v>11638</v>
      </c>
      <c r="C46" s="103">
        <v>55239</v>
      </c>
      <c r="D46" s="103">
        <v>-43601</v>
      </c>
      <c r="E46" s="103">
        <v>5367</v>
      </c>
      <c r="F46" s="103">
        <v>-38234</v>
      </c>
      <c r="G46" s="104">
        <f t="shared" si="1"/>
        <v>8.1857058837753841E-5</v>
      </c>
    </row>
    <row r="47" spans="1:7" ht="15.4" x14ac:dyDescent="0.45">
      <c r="A47" s="85" t="s">
        <v>48</v>
      </c>
      <c r="B47" s="103">
        <v>145997</v>
      </c>
      <c r="C47" s="103">
        <v>97491</v>
      </c>
      <c r="D47" s="103">
        <v>48506</v>
      </c>
      <c r="E47" s="103">
        <v>284923</v>
      </c>
      <c r="F47" s="103">
        <v>333429</v>
      </c>
      <c r="G47" s="104">
        <f t="shared" si="1"/>
        <v>1.0268847756603838E-3</v>
      </c>
    </row>
    <row r="48" spans="1:7" ht="15.4" x14ac:dyDescent="0.45">
      <c r="A48" s="85" t="s">
        <v>49</v>
      </c>
      <c r="B48" s="103"/>
      <c r="C48" s="103"/>
      <c r="D48" s="103"/>
      <c r="E48" s="103"/>
      <c r="F48" s="103"/>
      <c r="G48" s="104">
        <f t="shared" si="1"/>
        <v>0</v>
      </c>
    </row>
    <row r="49" spans="1:7" ht="15.4" x14ac:dyDescent="0.45">
      <c r="A49" s="85" t="s">
        <v>50</v>
      </c>
      <c r="B49" s="103">
        <v>648508</v>
      </c>
      <c r="C49" s="103">
        <v>728272</v>
      </c>
      <c r="D49" s="103">
        <v>-79764</v>
      </c>
      <c r="E49" s="103">
        <v>187688</v>
      </c>
      <c r="F49" s="103">
        <v>91369</v>
      </c>
      <c r="G49" s="104">
        <f t="shared" si="1"/>
        <v>4.5613470968168127E-3</v>
      </c>
    </row>
    <row r="50" spans="1:7" ht="15.4" x14ac:dyDescent="0.45">
      <c r="A50" s="85" t="s">
        <v>123</v>
      </c>
      <c r="B50" s="103">
        <v>176961</v>
      </c>
      <c r="C50" s="103">
        <v>116035.37</v>
      </c>
      <c r="D50" s="103">
        <v>60925.63</v>
      </c>
      <c r="E50" s="103">
        <v>19875.490000000002</v>
      </c>
      <c r="F50" s="103">
        <v>70138.73</v>
      </c>
      <c r="G50" s="104">
        <f t="shared" si="1"/>
        <v>1.2446732246939127E-3</v>
      </c>
    </row>
    <row r="51" spans="1:7" ht="15.4" x14ac:dyDescent="0.45">
      <c r="A51" s="85" t="s">
        <v>51</v>
      </c>
      <c r="B51" s="103"/>
      <c r="C51" s="103"/>
      <c r="D51" s="103"/>
      <c r="E51" s="103"/>
      <c r="F51" s="103"/>
      <c r="G51" s="104">
        <f t="shared" si="1"/>
        <v>0</v>
      </c>
    </row>
    <row r="52" spans="1:7" ht="15.4" x14ac:dyDescent="0.45">
      <c r="A52" s="85" t="s">
        <v>153</v>
      </c>
      <c r="B52" s="103">
        <v>363635</v>
      </c>
      <c r="C52" s="103">
        <v>529984.46</v>
      </c>
      <c r="D52" s="103">
        <v>-166349.46</v>
      </c>
      <c r="E52" s="103">
        <v>158925</v>
      </c>
      <c r="F52" s="103">
        <v>-7424.46</v>
      </c>
      <c r="G52" s="104">
        <f t="shared" si="1"/>
        <v>2.5576638245803931E-3</v>
      </c>
    </row>
    <row r="53" spans="1:7" ht="15.4" x14ac:dyDescent="0.45">
      <c r="A53" s="85" t="s">
        <v>138</v>
      </c>
      <c r="B53" s="103">
        <v>494144</v>
      </c>
      <c r="C53" s="103">
        <v>374811.01</v>
      </c>
      <c r="D53" s="103">
        <v>119332.99</v>
      </c>
      <c r="E53" s="103">
        <v>0</v>
      </c>
      <c r="F53" s="103">
        <v>119332.99</v>
      </c>
      <c r="G53" s="104">
        <f t="shared" si="1"/>
        <v>3.4756121741126508E-3</v>
      </c>
    </row>
    <row r="54" spans="1:7" ht="15.4" x14ac:dyDescent="0.45">
      <c r="A54" s="85" t="s">
        <v>52</v>
      </c>
      <c r="B54" s="103">
        <v>4722094</v>
      </c>
      <c r="C54" s="103">
        <v>3570190</v>
      </c>
      <c r="D54" s="103">
        <v>1151904</v>
      </c>
      <c r="E54" s="103">
        <v>0</v>
      </c>
      <c r="F54" s="103">
        <v>1151904</v>
      </c>
      <c r="G54" s="104">
        <f t="shared" si="1"/>
        <v>3.3213329300172227E-2</v>
      </c>
    </row>
    <row r="55" spans="1:7" ht="15.4" x14ac:dyDescent="0.45">
      <c r="A55" s="85" t="s">
        <v>54</v>
      </c>
      <c r="B55" s="103">
        <v>583915</v>
      </c>
      <c r="C55" s="103">
        <v>318045</v>
      </c>
      <c r="D55" s="103">
        <v>265870</v>
      </c>
      <c r="E55" s="103">
        <v>215976</v>
      </c>
      <c r="F55" s="103">
        <v>481846</v>
      </c>
      <c r="G55" s="104">
        <f t="shared" si="1"/>
        <v>4.1070256497033027E-3</v>
      </c>
    </row>
    <row r="56" spans="1:7" ht="15.4" x14ac:dyDescent="0.45">
      <c r="A56" s="85" t="s">
        <v>55</v>
      </c>
      <c r="B56" s="103">
        <v>93177</v>
      </c>
      <c r="C56" s="103">
        <v>151764.07</v>
      </c>
      <c r="D56" s="103">
        <v>-58587.07</v>
      </c>
      <c r="E56" s="103">
        <v>0</v>
      </c>
      <c r="F56" s="103">
        <v>-58587.07</v>
      </c>
      <c r="G56" s="104">
        <f t="shared" si="1"/>
        <v>6.5536992364026371E-4</v>
      </c>
    </row>
    <row r="57" spans="1:7" ht="15.4" x14ac:dyDescent="0.45">
      <c r="A57" s="85" t="s">
        <v>56</v>
      </c>
      <c r="B57" s="103">
        <v>545019</v>
      </c>
      <c r="C57" s="103">
        <v>396439</v>
      </c>
      <c r="D57" s="103">
        <v>148580</v>
      </c>
      <c r="E57" s="103">
        <v>0</v>
      </c>
      <c r="F57" s="103">
        <v>148580</v>
      </c>
      <c r="G57" s="104">
        <f t="shared" si="1"/>
        <v>3.833446670449713E-3</v>
      </c>
    </row>
    <row r="58" spans="1:7" ht="15.4" x14ac:dyDescent="0.45">
      <c r="A58" s="85" t="s">
        <v>57</v>
      </c>
      <c r="B58" s="103">
        <v>1986056</v>
      </c>
      <c r="C58" s="103">
        <v>1410449.1</v>
      </c>
      <c r="D58" s="103">
        <v>575606.9</v>
      </c>
      <c r="E58" s="103">
        <v>1365382.66</v>
      </c>
      <c r="F58" s="103">
        <v>1457837.56</v>
      </c>
      <c r="G58" s="104">
        <f t="shared" si="1"/>
        <v>1.3969127242401963E-2</v>
      </c>
    </row>
    <row r="59" spans="1:7" ht="15.4" x14ac:dyDescent="0.45">
      <c r="A59" s="85" t="s">
        <v>58</v>
      </c>
      <c r="B59" s="103"/>
      <c r="C59" s="103"/>
      <c r="D59" s="103"/>
      <c r="E59" s="103"/>
      <c r="F59" s="103"/>
      <c r="G59" s="104">
        <f t="shared" si="1"/>
        <v>0</v>
      </c>
    </row>
    <row r="60" spans="1:7" ht="15.4" x14ac:dyDescent="0.45">
      <c r="A60" s="85" t="s">
        <v>60</v>
      </c>
      <c r="B60" s="103">
        <v>5012359</v>
      </c>
      <c r="C60" s="103">
        <v>1934748.67</v>
      </c>
      <c r="D60" s="103">
        <v>3077610.33</v>
      </c>
      <c r="E60" s="103">
        <v>945612.63</v>
      </c>
      <c r="F60" s="103">
        <v>4023222.96</v>
      </c>
      <c r="G60" s="104">
        <f t="shared" si="1"/>
        <v>3.5254937753818952E-2</v>
      </c>
    </row>
    <row r="61" spans="1:7" ht="15.4" x14ac:dyDescent="0.45">
      <c r="A61" s="85" t="s">
        <v>61</v>
      </c>
      <c r="B61" s="103">
        <v>874321</v>
      </c>
      <c r="C61" s="103">
        <v>410323.9</v>
      </c>
      <c r="D61" s="103">
        <v>463997.1</v>
      </c>
      <c r="E61" s="103">
        <v>49244.11</v>
      </c>
      <c r="F61" s="103">
        <v>513241.21</v>
      </c>
      <c r="G61" s="104">
        <f t="shared" si="1"/>
        <v>6.149625841217028E-3</v>
      </c>
    </row>
    <row r="62" spans="1:7" ht="15.4" x14ac:dyDescent="0.45">
      <c r="A62" s="85" t="s">
        <v>62</v>
      </c>
      <c r="B62" s="103">
        <v>356557</v>
      </c>
      <c r="C62" s="103">
        <v>224855</v>
      </c>
      <c r="D62" s="103">
        <v>131702</v>
      </c>
      <c r="E62" s="103">
        <v>0</v>
      </c>
      <c r="F62" s="103">
        <v>98776</v>
      </c>
      <c r="G62" s="104">
        <f t="shared" si="1"/>
        <v>2.5078799903774699E-3</v>
      </c>
    </row>
    <row r="63" spans="1:7" ht="15.4" x14ac:dyDescent="0.45">
      <c r="A63" s="85" t="s">
        <v>63</v>
      </c>
      <c r="B63" s="103">
        <v>144370</v>
      </c>
      <c r="C63" s="103">
        <v>219494.97</v>
      </c>
      <c r="D63" s="103">
        <v>-75124.97</v>
      </c>
      <c r="E63" s="103">
        <v>62484.65</v>
      </c>
      <c r="F63" s="103">
        <v>-9480.18</v>
      </c>
      <c r="G63" s="104">
        <f t="shared" si="1"/>
        <v>1.0154411053794915E-3</v>
      </c>
    </row>
    <row r="64" spans="1:7" ht="15.4" x14ac:dyDescent="0.45">
      <c r="A64" s="85" t="s">
        <v>64</v>
      </c>
      <c r="B64" s="103">
        <v>294680</v>
      </c>
      <c r="C64" s="103">
        <v>197253.06</v>
      </c>
      <c r="D64" s="103">
        <v>97426.94</v>
      </c>
      <c r="E64" s="103">
        <v>67888.11</v>
      </c>
      <c r="F64" s="103">
        <v>123657.29</v>
      </c>
      <c r="G64" s="104">
        <f t="shared" si="1"/>
        <v>2.0726618060069859E-3</v>
      </c>
    </row>
    <row r="65" spans="1:7" ht="15.4" x14ac:dyDescent="0.45">
      <c r="A65" s="85" t="s">
        <v>65</v>
      </c>
      <c r="B65" s="103">
        <v>26662436</v>
      </c>
      <c r="C65" s="103">
        <v>18163164.469999999</v>
      </c>
      <c r="D65" s="103">
        <v>8499271.5299999993</v>
      </c>
      <c r="E65" s="103">
        <v>3593713.51</v>
      </c>
      <c r="F65" s="103">
        <v>9069738.7799999993</v>
      </c>
      <c r="G65" s="104">
        <f t="shared" si="1"/>
        <v>0.18753296033767367</v>
      </c>
    </row>
    <row r="66" spans="1:7" ht="15.4" x14ac:dyDescent="0.45">
      <c r="A66" s="85" t="s">
        <v>66</v>
      </c>
      <c r="B66" s="103">
        <v>9025438</v>
      </c>
      <c r="C66" s="103">
        <v>4330629</v>
      </c>
      <c r="D66" s="103">
        <v>4694809</v>
      </c>
      <c r="E66" s="103">
        <v>2218981.7400000002</v>
      </c>
      <c r="F66" s="103">
        <v>5185341.82</v>
      </c>
      <c r="G66" s="104">
        <f t="shared" si="1"/>
        <v>6.3481337807398119E-2</v>
      </c>
    </row>
    <row r="67" spans="1:7" ht="15.4" x14ac:dyDescent="0.45">
      <c r="A67" s="85" t="s">
        <v>67</v>
      </c>
      <c r="B67" s="103">
        <v>577402</v>
      </c>
      <c r="C67" s="103">
        <v>463168.82</v>
      </c>
      <c r="D67" s="103">
        <v>114233.18</v>
      </c>
      <c r="E67" s="103">
        <v>188.43</v>
      </c>
      <c r="F67" s="103">
        <v>85816.28</v>
      </c>
      <c r="G67" s="104">
        <f t="shared" ref="G67:G98" si="2">B67/$B$124</f>
        <v>4.0612158005702646E-3</v>
      </c>
    </row>
    <row r="68" spans="1:7" ht="15.4" x14ac:dyDescent="0.45">
      <c r="A68" s="85" t="s">
        <v>139</v>
      </c>
      <c r="B68" s="103">
        <v>385418</v>
      </c>
      <c r="C68" s="103">
        <v>136113.70000000001</v>
      </c>
      <c r="D68" s="103">
        <v>249304.3</v>
      </c>
      <c r="E68" s="103">
        <v>67794.039999999994</v>
      </c>
      <c r="F68" s="103">
        <v>258758.34</v>
      </c>
      <c r="G68" s="104">
        <f t="shared" si="2"/>
        <v>2.7108767746287514E-3</v>
      </c>
    </row>
    <row r="69" spans="1:7" ht="15.4" x14ac:dyDescent="0.45">
      <c r="A69" s="85" t="s">
        <v>68</v>
      </c>
      <c r="B69" s="103">
        <v>179701</v>
      </c>
      <c r="C69" s="103">
        <v>111684.78</v>
      </c>
      <c r="D69" s="103">
        <v>68016.22</v>
      </c>
      <c r="E69" s="103">
        <v>0</v>
      </c>
      <c r="F69" s="103">
        <v>62292.07</v>
      </c>
      <c r="G69" s="104">
        <f t="shared" si="2"/>
        <v>1.2639452938823855E-3</v>
      </c>
    </row>
    <row r="70" spans="1:7" ht="15.4" x14ac:dyDescent="0.45">
      <c r="A70" s="85" t="s">
        <v>69</v>
      </c>
      <c r="B70" s="103">
        <v>1376605</v>
      </c>
      <c r="C70" s="103">
        <v>1408004</v>
      </c>
      <c r="D70" s="103">
        <v>-31399</v>
      </c>
      <c r="E70" s="103">
        <v>0</v>
      </c>
      <c r="F70" s="103">
        <v>-31399</v>
      </c>
      <c r="G70" s="104">
        <f t="shared" si="2"/>
        <v>9.6824915347436084E-3</v>
      </c>
    </row>
    <row r="71" spans="1:7" ht="15.4" x14ac:dyDescent="0.45">
      <c r="A71" s="85" t="s">
        <v>141</v>
      </c>
      <c r="B71" s="103">
        <v>21455</v>
      </c>
      <c r="C71" s="103">
        <v>106557.38</v>
      </c>
      <c r="D71" s="103">
        <v>-85102.38</v>
      </c>
      <c r="E71" s="103">
        <v>16431.310000000001</v>
      </c>
      <c r="F71" s="103">
        <v>-68671.070000000007</v>
      </c>
      <c r="G71" s="104">
        <f t="shared" si="2"/>
        <v>1.5090592862725629E-4</v>
      </c>
    </row>
    <row r="72" spans="1:7" ht="15.4" x14ac:dyDescent="0.45">
      <c r="A72" s="85" t="s">
        <v>110</v>
      </c>
      <c r="B72" s="103">
        <v>0</v>
      </c>
      <c r="C72" s="103">
        <v>142724.14000000001</v>
      </c>
      <c r="D72" s="103">
        <v>-142724.14000000001</v>
      </c>
      <c r="E72" s="103">
        <v>0</v>
      </c>
      <c r="F72" s="103">
        <v>-142724.14000000001</v>
      </c>
      <c r="G72" s="104">
        <f t="shared" si="2"/>
        <v>0</v>
      </c>
    </row>
    <row r="73" spans="1:7" ht="15.4" x14ac:dyDescent="0.45">
      <c r="A73" s="85" t="s">
        <v>143</v>
      </c>
      <c r="B73" s="103"/>
      <c r="C73" s="103"/>
      <c r="D73" s="103"/>
      <c r="E73" s="103"/>
      <c r="F73" s="103"/>
      <c r="G73" s="104">
        <f t="shared" si="2"/>
        <v>0</v>
      </c>
    </row>
    <row r="74" spans="1:7" ht="15.4" x14ac:dyDescent="0.45">
      <c r="A74" s="85" t="s">
        <v>125</v>
      </c>
      <c r="B74" s="103">
        <v>44100</v>
      </c>
      <c r="C74" s="103">
        <v>65091</v>
      </c>
      <c r="D74" s="103">
        <v>-20991</v>
      </c>
      <c r="E74" s="103">
        <v>0</v>
      </c>
      <c r="F74" s="103">
        <v>-20991</v>
      </c>
      <c r="G74" s="104">
        <f t="shared" si="2"/>
        <v>3.1018184350790033E-4</v>
      </c>
    </row>
    <row r="75" spans="1:7" ht="15.4" x14ac:dyDescent="0.45">
      <c r="A75" s="85" t="s">
        <v>71</v>
      </c>
      <c r="B75" s="103">
        <v>349908</v>
      </c>
      <c r="C75" s="103">
        <v>142421.57999999999</v>
      </c>
      <c r="D75" s="103">
        <v>207486.42</v>
      </c>
      <c r="E75" s="103">
        <v>0</v>
      </c>
      <c r="F75" s="103">
        <v>207486.42</v>
      </c>
      <c r="G75" s="104">
        <f t="shared" si="2"/>
        <v>2.4611135713869022E-3</v>
      </c>
    </row>
    <row r="76" spans="1:7" ht="15.4" x14ac:dyDescent="0.45">
      <c r="A76" s="85" t="s">
        <v>72</v>
      </c>
      <c r="B76" s="103"/>
      <c r="C76" s="103"/>
      <c r="D76" s="103"/>
      <c r="E76" s="103"/>
      <c r="F76" s="103"/>
      <c r="G76" s="104">
        <f t="shared" si="2"/>
        <v>0</v>
      </c>
    </row>
    <row r="77" spans="1:7" ht="15.4" x14ac:dyDescent="0.45">
      <c r="A77" s="85" t="s">
        <v>73</v>
      </c>
      <c r="B77" s="103">
        <v>132030</v>
      </c>
      <c r="C77" s="103">
        <v>181062.82</v>
      </c>
      <c r="D77" s="103">
        <v>-49032.82</v>
      </c>
      <c r="E77" s="103">
        <v>0</v>
      </c>
      <c r="F77" s="103">
        <v>-49032.83</v>
      </c>
      <c r="G77" s="104">
        <f t="shared" si="2"/>
        <v>9.2864645801242821E-4</v>
      </c>
    </row>
    <row r="78" spans="1:7" ht="15.4" x14ac:dyDescent="0.45">
      <c r="A78" s="85" t="s">
        <v>126</v>
      </c>
      <c r="B78" s="103">
        <v>175237</v>
      </c>
      <c r="C78" s="103">
        <v>198975</v>
      </c>
      <c r="D78" s="103">
        <v>-23738</v>
      </c>
      <c r="E78" s="103">
        <v>0</v>
      </c>
      <c r="F78" s="103">
        <v>-37019</v>
      </c>
      <c r="G78" s="104">
        <f t="shared" si="2"/>
        <v>1.2325472950293409E-3</v>
      </c>
    </row>
    <row r="79" spans="1:7" ht="15.4" x14ac:dyDescent="0.45">
      <c r="A79" s="85" t="s">
        <v>75</v>
      </c>
      <c r="B79" s="103"/>
      <c r="C79" s="103"/>
      <c r="D79" s="103"/>
      <c r="E79" s="103"/>
      <c r="F79" s="103"/>
      <c r="G79" s="104">
        <f t="shared" si="2"/>
        <v>0</v>
      </c>
    </row>
    <row r="80" spans="1:7" ht="15.4" x14ac:dyDescent="0.45">
      <c r="A80" s="85" t="s">
        <v>76</v>
      </c>
      <c r="B80" s="103">
        <v>221351</v>
      </c>
      <c r="C80" s="103">
        <v>177117.6</v>
      </c>
      <c r="D80" s="103">
        <v>44233.4</v>
      </c>
      <c r="E80" s="103">
        <v>0</v>
      </c>
      <c r="F80" s="103">
        <v>44233.4</v>
      </c>
      <c r="G80" s="104">
        <f t="shared" si="2"/>
        <v>1.556894812750958E-3</v>
      </c>
    </row>
    <row r="81" spans="1:7" ht="15.4" x14ac:dyDescent="0.45">
      <c r="A81" s="85" t="s">
        <v>127</v>
      </c>
      <c r="B81" s="103"/>
      <c r="C81" s="103"/>
      <c r="D81" s="103"/>
      <c r="E81" s="103"/>
      <c r="F81" s="103"/>
      <c r="G81" s="104">
        <f t="shared" si="2"/>
        <v>0</v>
      </c>
    </row>
    <row r="82" spans="1:7" ht="15.4" x14ac:dyDescent="0.45">
      <c r="A82" s="85" t="s">
        <v>77</v>
      </c>
      <c r="B82" s="103">
        <v>8510407</v>
      </c>
      <c r="C82" s="103">
        <v>4284942.9800000004</v>
      </c>
      <c r="D82" s="103">
        <v>4225464.0199999996</v>
      </c>
      <c r="E82" s="103">
        <v>157342.79</v>
      </c>
      <c r="F82" s="103">
        <v>3236133.81</v>
      </c>
      <c r="G82" s="104">
        <f t="shared" si="2"/>
        <v>5.9858814790533781E-2</v>
      </c>
    </row>
    <row r="83" spans="1:7" ht="15.4" x14ac:dyDescent="0.45">
      <c r="A83" s="85" t="s">
        <v>78</v>
      </c>
      <c r="B83" s="103">
        <v>232409</v>
      </c>
      <c r="C83" s="103">
        <v>241992</v>
      </c>
      <c r="D83" s="103">
        <v>-9583</v>
      </c>
      <c r="E83" s="103">
        <v>27451</v>
      </c>
      <c r="F83" s="103">
        <v>13401</v>
      </c>
      <c r="G83" s="104">
        <f t="shared" si="2"/>
        <v>1.6346723824904219E-3</v>
      </c>
    </row>
    <row r="84" spans="1:7" ht="15.4" x14ac:dyDescent="0.45">
      <c r="A84" s="85" t="s">
        <v>154</v>
      </c>
      <c r="B84" s="103">
        <v>19612</v>
      </c>
      <c r="C84" s="103">
        <v>103949.39</v>
      </c>
      <c r="D84" s="103">
        <v>-84337.39</v>
      </c>
      <c r="E84" s="103">
        <v>66320.12</v>
      </c>
      <c r="F84" s="103">
        <v>-18017.27</v>
      </c>
      <c r="G84" s="104">
        <f t="shared" si="2"/>
        <v>1.3794300033734562E-4</v>
      </c>
    </row>
    <row r="85" spans="1:7" ht="15.4" x14ac:dyDescent="0.45">
      <c r="A85" s="85" t="s">
        <v>111</v>
      </c>
      <c r="B85" s="103"/>
      <c r="C85" s="103"/>
      <c r="D85" s="103"/>
      <c r="E85" s="103"/>
      <c r="F85" s="103"/>
      <c r="G85" s="104">
        <f t="shared" si="2"/>
        <v>0</v>
      </c>
    </row>
    <row r="86" spans="1:7" ht="15.4" x14ac:dyDescent="0.45">
      <c r="A86" s="85" t="s">
        <v>79</v>
      </c>
      <c r="B86" s="103"/>
      <c r="C86" s="103"/>
      <c r="D86" s="103"/>
      <c r="E86" s="103"/>
      <c r="F86" s="103"/>
      <c r="G86" s="104">
        <f t="shared" si="2"/>
        <v>0</v>
      </c>
    </row>
    <row r="87" spans="1:7" ht="15.4" x14ac:dyDescent="0.45">
      <c r="A87" s="85" t="s">
        <v>80</v>
      </c>
      <c r="B87" s="103">
        <v>988263</v>
      </c>
      <c r="C87" s="103">
        <v>844273</v>
      </c>
      <c r="D87" s="103">
        <v>143990</v>
      </c>
      <c r="E87" s="103">
        <v>0</v>
      </c>
      <c r="F87" s="103">
        <v>107992</v>
      </c>
      <c r="G87" s="104">
        <f t="shared" si="2"/>
        <v>6.951048508177962E-3</v>
      </c>
    </row>
    <row r="88" spans="1:7" ht="15.4" x14ac:dyDescent="0.45">
      <c r="A88" s="85" t="s">
        <v>81</v>
      </c>
      <c r="B88" s="103"/>
      <c r="C88" s="103"/>
      <c r="D88" s="103"/>
      <c r="E88" s="103"/>
      <c r="F88" s="103"/>
      <c r="G88" s="104">
        <f t="shared" si="2"/>
        <v>0</v>
      </c>
    </row>
    <row r="89" spans="1:7" ht="15.4" x14ac:dyDescent="0.45">
      <c r="A89" s="85" t="s">
        <v>82</v>
      </c>
      <c r="B89" s="103"/>
      <c r="C89" s="103"/>
      <c r="D89" s="103"/>
      <c r="E89" s="103"/>
      <c r="F89" s="103"/>
      <c r="G89" s="104">
        <f t="shared" si="2"/>
        <v>0</v>
      </c>
    </row>
    <row r="90" spans="1:7" ht="15.4" x14ac:dyDescent="0.45">
      <c r="A90" s="85" t="s">
        <v>83</v>
      </c>
      <c r="B90" s="103">
        <v>1772168</v>
      </c>
      <c r="C90" s="103">
        <v>2080705.04</v>
      </c>
      <c r="D90" s="103">
        <v>-308537.03999999998</v>
      </c>
      <c r="E90" s="103">
        <v>2459239</v>
      </c>
      <c r="F90" s="103">
        <v>2150701.96</v>
      </c>
      <c r="G90" s="104">
        <f t="shared" si="2"/>
        <v>1.2464724200582965E-2</v>
      </c>
    </row>
    <row r="91" spans="1:7" ht="15.4" x14ac:dyDescent="0.45">
      <c r="A91" s="85" t="s">
        <v>112</v>
      </c>
      <c r="B91" s="103">
        <v>52965</v>
      </c>
      <c r="C91" s="103">
        <v>119765</v>
      </c>
      <c r="D91" s="103">
        <v>-66800</v>
      </c>
      <c r="E91" s="103">
        <v>28302.42</v>
      </c>
      <c r="F91" s="103">
        <v>-38497.58</v>
      </c>
      <c r="G91" s="104">
        <f t="shared" si="2"/>
        <v>3.7253472429469258E-4</v>
      </c>
    </row>
    <row r="92" spans="1:7" ht="15.4" x14ac:dyDescent="0.45">
      <c r="A92" s="85" t="s">
        <v>84</v>
      </c>
      <c r="B92" s="103">
        <v>805671</v>
      </c>
      <c r="C92" s="103">
        <v>617599</v>
      </c>
      <c r="D92" s="103">
        <v>188072</v>
      </c>
      <c r="E92" s="103">
        <v>20600</v>
      </c>
      <c r="F92" s="103">
        <v>156504</v>
      </c>
      <c r="G92" s="104">
        <f t="shared" si="2"/>
        <v>5.6667690712211699E-3</v>
      </c>
    </row>
    <row r="93" spans="1:7" ht="15.4" x14ac:dyDescent="0.45">
      <c r="A93" s="85" t="s">
        <v>85</v>
      </c>
      <c r="B93" s="103">
        <v>2349580</v>
      </c>
      <c r="C93" s="103">
        <v>1237515</v>
      </c>
      <c r="D93" s="103">
        <v>1112065</v>
      </c>
      <c r="E93" s="103">
        <v>967120</v>
      </c>
      <c r="F93" s="103">
        <v>1559389</v>
      </c>
      <c r="G93" s="104">
        <f t="shared" si="2"/>
        <v>1.6526010337172166E-2</v>
      </c>
    </row>
    <row r="94" spans="1:7" ht="15.4" x14ac:dyDescent="0.45">
      <c r="A94" s="85" t="s">
        <v>86</v>
      </c>
      <c r="B94" s="103">
        <v>2805485</v>
      </c>
      <c r="C94" s="103">
        <v>2693912.83</v>
      </c>
      <c r="D94" s="103">
        <v>111572.17</v>
      </c>
      <c r="E94" s="103">
        <v>639565.96</v>
      </c>
      <c r="F94" s="103">
        <v>751138.13</v>
      </c>
      <c r="G94" s="104">
        <f t="shared" si="2"/>
        <v>1.9732664608475323E-2</v>
      </c>
    </row>
    <row r="95" spans="1:7" ht="15.4" x14ac:dyDescent="0.45">
      <c r="A95" s="85" t="s">
        <v>87</v>
      </c>
      <c r="B95" s="103">
        <v>1864748</v>
      </c>
      <c r="C95" s="103">
        <v>561656.94999999995</v>
      </c>
      <c r="D95" s="103">
        <v>1303091.05</v>
      </c>
      <c r="E95" s="103">
        <v>0</v>
      </c>
      <c r="F95" s="103">
        <v>1303091.05</v>
      </c>
      <c r="G95" s="104">
        <f t="shared" si="2"/>
        <v>1.3115895063892748E-2</v>
      </c>
    </row>
    <row r="96" spans="1:7" ht="15.4" x14ac:dyDescent="0.45">
      <c r="A96" s="85" t="s">
        <v>88</v>
      </c>
      <c r="B96" s="103"/>
      <c r="C96" s="103"/>
      <c r="D96" s="103"/>
      <c r="E96" s="103"/>
      <c r="F96" s="103"/>
      <c r="G96" s="104">
        <f t="shared" si="2"/>
        <v>0</v>
      </c>
    </row>
    <row r="97" spans="1:7" ht="15.4" x14ac:dyDescent="0.45">
      <c r="A97" s="85" t="s">
        <v>89</v>
      </c>
      <c r="B97" s="103">
        <v>75781</v>
      </c>
      <c r="C97" s="103">
        <v>95582</v>
      </c>
      <c r="D97" s="103">
        <v>-19801</v>
      </c>
      <c r="E97" s="103">
        <v>13982.8</v>
      </c>
      <c r="F97" s="103">
        <v>-5818.2</v>
      </c>
      <c r="G97" s="104">
        <f t="shared" si="2"/>
        <v>5.3301338509914272E-4</v>
      </c>
    </row>
    <row r="98" spans="1:7" ht="15.4" x14ac:dyDescent="0.45">
      <c r="A98" s="85" t="s">
        <v>144</v>
      </c>
      <c r="B98" s="103"/>
      <c r="C98" s="103"/>
      <c r="D98" s="103"/>
      <c r="E98" s="103"/>
      <c r="F98" s="103"/>
      <c r="G98" s="104">
        <f t="shared" si="2"/>
        <v>0</v>
      </c>
    </row>
    <row r="99" spans="1:7" ht="15.4" x14ac:dyDescent="0.45">
      <c r="A99" s="85" t="s">
        <v>90</v>
      </c>
      <c r="B99" s="103">
        <v>1273014</v>
      </c>
      <c r="C99" s="103">
        <v>852023</v>
      </c>
      <c r="D99" s="103">
        <v>420991</v>
      </c>
      <c r="E99" s="103">
        <v>0</v>
      </c>
      <c r="F99" s="103">
        <v>420991</v>
      </c>
      <c r="G99" s="104">
        <f t="shared" ref="G99:G123" si="3">B99/$B$124</f>
        <v>8.9538736809833611E-3</v>
      </c>
    </row>
    <row r="100" spans="1:7" ht="15.4" x14ac:dyDescent="0.45">
      <c r="A100" s="85" t="s">
        <v>91</v>
      </c>
      <c r="B100" s="103">
        <v>5386185</v>
      </c>
      <c r="C100" s="103">
        <v>3881303</v>
      </c>
      <c r="D100" s="103">
        <v>1504882</v>
      </c>
      <c r="E100" s="103">
        <v>23300</v>
      </c>
      <c r="F100" s="103">
        <v>1276032</v>
      </c>
      <c r="G100" s="104">
        <f t="shared" si="3"/>
        <v>3.7884281015297054E-2</v>
      </c>
    </row>
    <row r="101" spans="1:7" ht="15.4" x14ac:dyDescent="0.45">
      <c r="A101" s="85" t="s">
        <v>92</v>
      </c>
      <c r="B101" s="103"/>
      <c r="C101" s="103"/>
      <c r="D101" s="103"/>
      <c r="E101" s="103"/>
      <c r="F101" s="103"/>
      <c r="G101" s="104">
        <f t="shared" si="3"/>
        <v>0</v>
      </c>
    </row>
    <row r="102" spans="1:7" ht="15.4" x14ac:dyDescent="0.45">
      <c r="A102" s="85" t="s">
        <v>93</v>
      </c>
      <c r="B102" s="103">
        <v>953072</v>
      </c>
      <c r="C102" s="103">
        <v>338767</v>
      </c>
      <c r="D102" s="103">
        <v>614305</v>
      </c>
      <c r="E102" s="103">
        <v>83860</v>
      </c>
      <c r="F102" s="103">
        <v>698165</v>
      </c>
      <c r="G102" s="104">
        <f t="shared" si="3"/>
        <v>6.7035290239401725E-3</v>
      </c>
    </row>
    <row r="103" spans="1:7" ht="15.4" x14ac:dyDescent="0.45">
      <c r="A103" s="85" t="s">
        <v>113</v>
      </c>
      <c r="B103" s="103">
        <v>788687</v>
      </c>
      <c r="C103" s="103">
        <v>156052</v>
      </c>
      <c r="D103" s="103">
        <v>632635</v>
      </c>
      <c r="E103" s="103">
        <v>0</v>
      </c>
      <c r="F103" s="103">
        <v>474476.25</v>
      </c>
      <c r="G103" s="104">
        <f t="shared" si="3"/>
        <v>5.5473103766602132E-3</v>
      </c>
    </row>
    <row r="104" spans="1:7" ht="15.4" x14ac:dyDescent="0.45">
      <c r="A104" s="85" t="s">
        <v>94</v>
      </c>
      <c r="B104" s="103">
        <v>3238527</v>
      </c>
      <c r="C104" s="103">
        <v>2927045.98</v>
      </c>
      <c r="D104" s="103">
        <v>311481.02</v>
      </c>
      <c r="E104" s="103">
        <v>75892.399999999994</v>
      </c>
      <c r="F104" s="103">
        <v>322911.42</v>
      </c>
      <c r="G104" s="104">
        <f t="shared" si="3"/>
        <v>2.2778509639685033E-2</v>
      </c>
    </row>
    <row r="105" spans="1:7" ht="15.4" x14ac:dyDescent="0.45">
      <c r="A105" s="85" t="s">
        <v>155</v>
      </c>
      <c r="B105" s="103">
        <v>7904</v>
      </c>
      <c r="C105" s="103">
        <v>235131</v>
      </c>
      <c r="D105" s="103">
        <v>-227227</v>
      </c>
      <c r="E105" s="103">
        <v>85193</v>
      </c>
      <c r="F105" s="103">
        <v>-142034</v>
      </c>
      <c r="G105" s="104">
        <f t="shared" si="3"/>
        <v>5.5593589367039555E-5</v>
      </c>
    </row>
    <row r="106" spans="1:7" ht="15.4" x14ac:dyDescent="0.45">
      <c r="A106" s="85" t="s">
        <v>114</v>
      </c>
      <c r="B106" s="103">
        <v>1940507</v>
      </c>
      <c r="C106" s="103">
        <v>1053372.57</v>
      </c>
      <c r="D106" s="103">
        <v>887134.43</v>
      </c>
      <c r="E106" s="103">
        <v>44888</v>
      </c>
      <c r="F106" s="103">
        <v>699017.43</v>
      </c>
      <c r="G106" s="104">
        <f t="shared" si="3"/>
        <v>1.364875370975023E-2</v>
      </c>
    </row>
    <row r="107" spans="1:7" ht="15.4" x14ac:dyDescent="0.45">
      <c r="A107" s="85" t="s">
        <v>95</v>
      </c>
      <c r="B107" s="103">
        <v>154804</v>
      </c>
      <c r="C107" s="103">
        <v>78089.5</v>
      </c>
      <c r="D107" s="103">
        <v>76714.5</v>
      </c>
      <c r="E107" s="103">
        <v>0</v>
      </c>
      <c r="F107" s="103">
        <v>76714.5</v>
      </c>
      <c r="G107" s="104">
        <f t="shared" si="3"/>
        <v>1.088829707537347E-3</v>
      </c>
    </row>
    <row r="108" spans="1:7" ht="15.4" x14ac:dyDescent="0.45">
      <c r="A108" s="85" t="s">
        <v>96</v>
      </c>
      <c r="B108" s="103">
        <v>255240</v>
      </c>
      <c r="C108" s="103">
        <v>215266</v>
      </c>
      <c r="D108" s="103">
        <v>39974</v>
      </c>
      <c r="E108" s="103">
        <v>0</v>
      </c>
      <c r="F108" s="103">
        <v>39974</v>
      </c>
      <c r="G108" s="104">
        <f t="shared" si="3"/>
        <v>1.7952565473232764E-3</v>
      </c>
    </row>
    <row r="109" spans="1:7" ht="15.4" x14ac:dyDescent="0.45">
      <c r="A109" s="85" t="s">
        <v>145</v>
      </c>
      <c r="B109" s="103">
        <v>91836</v>
      </c>
      <c r="C109" s="103">
        <v>226300.25</v>
      </c>
      <c r="D109" s="103">
        <v>-134464.25</v>
      </c>
      <c r="E109" s="103">
        <v>84788.43</v>
      </c>
      <c r="F109" s="103">
        <v>-49675.82</v>
      </c>
      <c r="G109" s="104">
        <f t="shared" si="3"/>
        <v>6.4593786350094183E-4</v>
      </c>
    </row>
    <row r="110" spans="1:7" ht="15.4" x14ac:dyDescent="0.45">
      <c r="A110" s="85" t="s">
        <v>97</v>
      </c>
      <c r="B110" s="103"/>
      <c r="C110" s="103"/>
      <c r="D110" s="103"/>
      <c r="E110" s="103"/>
      <c r="F110" s="103"/>
      <c r="G110" s="104">
        <f t="shared" si="3"/>
        <v>0</v>
      </c>
    </row>
    <row r="111" spans="1:7" ht="15.4" x14ac:dyDescent="0.45">
      <c r="A111" s="85" t="s">
        <v>98</v>
      </c>
      <c r="B111" s="103">
        <v>1622215</v>
      </c>
      <c r="C111" s="103">
        <v>1056341</v>
      </c>
      <c r="D111" s="103">
        <v>565874</v>
      </c>
      <c r="E111" s="103">
        <v>13279</v>
      </c>
      <c r="F111" s="103">
        <v>430562</v>
      </c>
      <c r="G111" s="104">
        <f t="shared" si="3"/>
        <v>1.1410014495831487E-2</v>
      </c>
    </row>
    <row r="112" spans="1:7" ht="15.4" x14ac:dyDescent="0.45">
      <c r="A112" s="85" t="s">
        <v>99</v>
      </c>
      <c r="B112" s="103">
        <v>291160</v>
      </c>
      <c r="C112" s="103">
        <v>309624.88</v>
      </c>
      <c r="D112" s="103">
        <v>-18464.88</v>
      </c>
      <c r="E112" s="103">
        <v>60093.67</v>
      </c>
      <c r="F112" s="103">
        <v>31221.67</v>
      </c>
      <c r="G112" s="104">
        <f t="shared" si="3"/>
        <v>2.0479035273415027E-3</v>
      </c>
    </row>
    <row r="113" spans="1:7" ht="15.4" x14ac:dyDescent="0.45">
      <c r="A113" s="85" t="s">
        <v>100</v>
      </c>
      <c r="B113" s="103">
        <v>2446406</v>
      </c>
      <c r="C113" s="103">
        <v>1271331.75</v>
      </c>
      <c r="D113" s="103">
        <v>1175074.25</v>
      </c>
      <c r="E113" s="103">
        <v>112220</v>
      </c>
      <c r="F113" s="103">
        <v>1287294.25</v>
      </c>
      <c r="G113" s="104">
        <f t="shared" si="3"/>
        <v>1.7207045874122189E-2</v>
      </c>
    </row>
    <row r="114" spans="1:7" ht="15.4" x14ac:dyDescent="0.45">
      <c r="A114" s="85" t="s">
        <v>101</v>
      </c>
      <c r="B114" s="103">
        <v>38430</v>
      </c>
      <c r="C114" s="103">
        <v>37267.050000000003</v>
      </c>
      <c r="D114" s="103">
        <v>1162.95</v>
      </c>
      <c r="E114" s="103">
        <v>0</v>
      </c>
      <c r="F114" s="103">
        <v>1162.95</v>
      </c>
      <c r="G114" s="104">
        <f t="shared" si="3"/>
        <v>2.7030132077117029E-4</v>
      </c>
    </row>
    <row r="115" spans="1:7" ht="15.4" x14ac:dyDescent="0.45">
      <c r="A115" s="85" t="s">
        <v>102</v>
      </c>
      <c r="B115" s="103"/>
      <c r="C115" s="103"/>
      <c r="D115" s="103"/>
      <c r="E115" s="103"/>
      <c r="F115" s="103"/>
      <c r="G115" s="104">
        <f t="shared" si="3"/>
        <v>0</v>
      </c>
    </row>
    <row r="116" spans="1:7" ht="15.4" x14ac:dyDescent="0.45">
      <c r="A116" s="85" t="s">
        <v>156</v>
      </c>
      <c r="B116" s="103">
        <v>0</v>
      </c>
      <c r="C116" s="103">
        <v>0</v>
      </c>
      <c r="D116" s="103">
        <v>0</v>
      </c>
      <c r="E116" s="103">
        <v>0</v>
      </c>
      <c r="F116" s="103">
        <v>0</v>
      </c>
      <c r="G116" s="104">
        <f t="shared" si="3"/>
        <v>0</v>
      </c>
    </row>
    <row r="117" spans="1:7" ht="15.4" x14ac:dyDescent="0.45">
      <c r="A117" s="85" t="s">
        <v>157</v>
      </c>
      <c r="B117" s="103">
        <v>37684</v>
      </c>
      <c r="C117" s="103">
        <v>32133.15</v>
      </c>
      <c r="D117" s="103">
        <v>5550.85</v>
      </c>
      <c r="E117" s="103">
        <v>149</v>
      </c>
      <c r="F117" s="103">
        <v>5699.85</v>
      </c>
      <c r="G117" s="104">
        <f t="shared" si="3"/>
        <v>2.6505425375854231E-4</v>
      </c>
    </row>
    <row r="118" spans="1:7" ht="15.4" x14ac:dyDescent="0.45">
      <c r="A118" s="85" t="s">
        <v>103</v>
      </c>
      <c r="B118" s="103">
        <v>908651</v>
      </c>
      <c r="C118" s="103">
        <v>826564.01</v>
      </c>
      <c r="D118" s="103">
        <v>82086.990000000005</v>
      </c>
      <c r="E118" s="103">
        <v>211191.59</v>
      </c>
      <c r="F118" s="103">
        <v>293278.58</v>
      </c>
      <c r="G118" s="104">
        <f t="shared" si="3"/>
        <v>6.3910893942244256E-3</v>
      </c>
    </row>
    <row r="119" spans="1:7" ht="15.4" x14ac:dyDescent="0.45">
      <c r="A119" s="85" t="s">
        <v>104</v>
      </c>
      <c r="B119" s="103">
        <v>725691</v>
      </c>
      <c r="C119" s="103">
        <v>1511453.16</v>
      </c>
      <c r="D119" s="103">
        <v>-785762.16</v>
      </c>
      <c r="E119" s="103">
        <v>2908.79</v>
      </c>
      <c r="F119" s="103">
        <v>-782853.37</v>
      </c>
      <c r="G119" s="104">
        <f t="shared" si="3"/>
        <v>5.1042215917707868E-3</v>
      </c>
    </row>
    <row r="120" spans="1:7" ht="15.4" x14ac:dyDescent="0.45">
      <c r="A120" s="85" t="s">
        <v>105</v>
      </c>
      <c r="B120" s="103">
        <v>313194</v>
      </c>
      <c r="C120" s="103">
        <v>269373</v>
      </c>
      <c r="D120" s="103">
        <v>43821</v>
      </c>
      <c r="E120" s="103">
        <v>0</v>
      </c>
      <c r="F120" s="103">
        <v>43821</v>
      </c>
      <c r="G120" s="104">
        <f t="shared" si="3"/>
        <v>2.2028819114651549E-3</v>
      </c>
    </row>
    <row r="121" spans="1:7" ht="15.4" x14ac:dyDescent="0.45">
      <c r="A121" s="85" t="s">
        <v>106</v>
      </c>
      <c r="B121" s="103"/>
      <c r="C121" s="103"/>
      <c r="D121" s="103"/>
      <c r="E121" s="103"/>
      <c r="F121" s="103"/>
      <c r="G121" s="104">
        <f t="shared" si="3"/>
        <v>0</v>
      </c>
    </row>
    <row r="122" spans="1:7" ht="15.4" x14ac:dyDescent="0.45">
      <c r="A122" s="85" t="s">
        <v>146</v>
      </c>
      <c r="B122" s="103">
        <v>198627</v>
      </c>
      <c r="C122" s="103">
        <v>83819.37</v>
      </c>
      <c r="D122" s="103">
        <v>114807.63</v>
      </c>
      <c r="E122" s="103">
        <v>33164.33</v>
      </c>
      <c r="F122" s="103">
        <v>110979.07</v>
      </c>
      <c r="G122" s="104">
        <f t="shared" si="3"/>
        <v>1.3970632433207193E-3</v>
      </c>
    </row>
    <row r="123" spans="1:7" ht="15.4" x14ac:dyDescent="0.45">
      <c r="A123" s="85" t="s">
        <v>107</v>
      </c>
      <c r="B123" s="103">
        <v>239174</v>
      </c>
      <c r="C123" s="103">
        <v>586661.78</v>
      </c>
      <c r="D123" s="103">
        <v>-347487.78</v>
      </c>
      <c r="E123" s="103">
        <v>0</v>
      </c>
      <c r="F123" s="103">
        <v>-347487.78</v>
      </c>
      <c r="G123" s="104">
        <f t="shared" si="3"/>
        <v>1.6822546993006476E-3</v>
      </c>
    </row>
    <row r="124" spans="1:7" ht="14.25" x14ac:dyDescent="0.45">
      <c r="A124" s="111" t="s">
        <v>108</v>
      </c>
      <c r="B124" s="108">
        <f t="shared" ref="B124:G124" si="4">SUM(B3:B123)</f>
        <v>142174666</v>
      </c>
      <c r="C124" s="108">
        <f t="shared" si="4"/>
        <v>95473004.220000014</v>
      </c>
      <c r="D124" s="108">
        <f t="shared" si="4"/>
        <v>46701661.780000009</v>
      </c>
      <c r="E124" s="108">
        <f t="shared" si="4"/>
        <v>17290150.600000001</v>
      </c>
      <c r="F124" s="108">
        <f t="shared" si="4"/>
        <v>52139147.290000007</v>
      </c>
      <c r="G124" s="112">
        <f t="shared" si="4"/>
        <v>0.99999999999999989</v>
      </c>
    </row>
  </sheetData>
  <mergeCells count="1">
    <mergeCell ref="A1:G1"/>
  </mergeCells>
  <pageMargins left="0.7" right="0.7" top="0.75" bottom="0.75" header="0.3" footer="0.3"/>
  <customProperties>
    <customPr name="LastActive" r:id="rId1"/>
  </customProperties>
  <ignoredErrors>
    <ignoredError sqref="G3:G123" evalError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25"/>
  <sheetViews>
    <sheetView workbookViewId="0">
      <selection activeCell="G3" sqref="G3"/>
    </sheetView>
  </sheetViews>
  <sheetFormatPr defaultRowHeight="12.75" x14ac:dyDescent="0.35"/>
  <cols>
    <col min="1" max="1" width="57.265625" customWidth="1"/>
    <col min="2" max="2" width="17.73046875" customWidth="1"/>
    <col min="3" max="3" width="20.1328125" customWidth="1"/>
    <col min="4" max="4" width="18" customWidth="1"/>
    <col min="5" max="5" width="21.59765625" bestFit="1" customWidth="1"/>
    <col min="6" max="6" width="20.86328125" customWidth="1"/>
    <col min="7" max="7" width="16" style="106" bestFit="1" customWidth="1"/>
  </cols>
  <sheetData>
    <row r="1" spans="1:7" ht="18" x14ac:dyDescent="0.55000000000000004">
      <c r="A1" s="171" t="s">
        <v>160</v>
      </c>
      <c r="B1" s="171"/>
      <c r="C1" s="171"/>
      <c r="D1" s="171"/>
      <c r="E1" s="171"/>
      <c r="F1" s="171"/>
      <c r="G1" s="171"/>
    </row>
    <row r="2" spans="1:7" ht="36" x14ac:dyDescent="0.55000000000000004">
      <c r="A2" s="70" t="s">
        <v>1</v>
      </c>
      <c r="B2" s="71" t="s">
        <v>2</v>
      </c>
      <c r="C2" s="71" t="s">
        <v>3</v>
      </c>
      <c r="D2" s="71" t="s">
        <v>4</v>
      </c>
      <c r="E2" s="71" t="s">
        <v>5</v>
      </c>
      <c r="F2" s="71" t="s">
        <v>6</v>
      </c>
      <c r="G2" s="105" t="s">
        <v>9</v>
      </c>
    </row>
    <row r="3" spans="1:7" ht="15.4" x14ac:dyDescent="0.45">
      <c r="A3" s="85" t="s">
        <v>117</v>
      </c>
      <c r="B3" s="103">
        <v>393875</v>
      </c>
      <c r="C3" s="103">
        <v>478308.32</v>
      </c>
      <c r="D3" s="103">
        <v>-84433.32</v>
      </c>
      <c r="E3" s="103">
        <v>477097</v>
      </c>
      <c r="F3" s="103">
        <v>392663.68</v>
      </c>
      <c r="G3" s="104">
        <f t="shared" ref="G3:G34" si="0">B3/$B$125</f>
        <v>1.7636200847426895E-3</v>
      </c>
    </row>
    <row r="4" spans="1:7" ht="15.4" x14ac:dyDescent="0.45">
      <c r="A4" s="85" t="s">
        <v>10</v>
      </c>
      <c r="B4" s="103">
        <v>4519589</v>
      </c>
      <c r="C4" s="103">
        <v>2315030</v>
      </c>
      <c r="D4" s="103">
        <v>2204559</v>
      </c>
      <c r="E4" s="103">
        <v>0</v>
      </c>
      <c r="F4" s="103">
        <v>2204559</v>
      </c>
      <c r="G4" s="104">
        <f t="shared" si="0"/>
        <v>2.0236973494591245E-2</v>
      </c>
    </row>
    <row r="5" spans="1:7" ht="15.4" x14ac:dyDescent="0.45">
      <c r="A5" s="85" t="s">
        <v>11</v>
      </c>
      <c r="B5" s="103"/>
      <c r="C5" s="103"/>
      <c r="D5" s="103"/>
      <c r="E5" s="103"/>
      <c r="F5" s="103"/>
      <c r="G5" s="104">
        <f t="shared" si="0"/>
        <v>0</v>
      </c>
    </row>
    <row r="6" spans="1:7" ht="15.4" x14ac:dyDescent="0.45">
      <c r="A6" s="85" t="s">
        <v>12</v>
      </c>
      <c r="B6" s="103">
        <v>1448966</v>
      </c>
      <c r="C6" s="103">
        <v>1398817.8</v>
      </c>
      <c r="D6" s="103">
        <v>50148.2</v>
      </c>
      <c r="E6" s="103">
        <v>189440</v>
      </c>
      <c r="F6" s="103">
        <v>179691.34</v>
      </c>
      <c r="G6" s="104">
        <f t="shared" si="0"/>
        <v>6.487909970699526E-3</v>
      </c>
    </row>
    <row r="7" spans="1:7" ht="15.4" x14ac:dyDescent="0.45">
      <c r="A7" s="85" t="s">
        <v>13</v>
      </c>
      <c r="B7" s="103">
        <v>715767</v>
      </c>
      <c r="C7" s="103">
        <v>606474</v>
      </c>
      <c r="D7" s="103">
        <v>109293</v>
      </c>
      <c r="E7" s="103">
        <v>207112</v>
      </c>
      <c r="F7" s="103">
        <v>237304</v>
      </c>
      <c r="G7" s="104">
        <f t="shared" si="0"/>
        <v>3.2049281045916107E-3</v>
      </c>
    </row>
    <row r="8" spans="1:7" ht="15.4" x14ac:dyDescent="0.45">
      <c r="A8" s="85" t="s">
        <v>14</v>
      </c>
      <c r="B8" s="103">
        <v>1526008</v>
      </c>
      <c r="C8" s="103">
        <v>1555907</v>
      </c>
      <c r="D8" s="103">
        <v>-29899</v>
      </c>
      <c r="E8" s="103">
        <v>46019</v>
      </c>
      <c r="F8" s="103">
        <v>16120</v>
      </c>
      <c r="G8" s="104">
        <f t="shared" si="0"/>
        <v>6.8328742831558799E-3</v>
      </c>
    </row>
    <row r="9" spans="1:7" ht="15.4" x14ac:dyDescent="0.45">
      <c r="A9" s="85" t="s">
        <v>16</v>
      </c>
      <c r="B9" s="103">
        <v>3052688</v>
      </c>
      <c r="C9" s="103">
        <v>2595071.7400000002</v>
      </c>
      <c r="D9" s="103">
        <v>457616.26</v>
      </c>
      <c r="E9" s="103">
        <v>975043.47</v>
      </c>
      <c r="F9" s="103">
        <v>1233252</v>
      </c>
      <c r="G9" s="104">
        <f t="shared" si="0"/>
        <v>1.3668757522698803E-2</v>
      </c>
    </row>
    <row r="10" spans="1:7" ht="15.4" x14ac:dyDescent="0.45">
      <c r="A10" s="85" t="s">
        <v>17</v>
      </c>
      <c r="B10" s="103">
        <v>851297</v>
      </c>
      <c r="C10" s="103">
        <v>257797.85</v>
      </c>
      <c r="D10" s="103">
        <v>593499.15</v>
      </c>
      <c r="E10" s="103">
        <v>7398.09</v>
      </c>
      <c r="F10" s="103">
        <v>537501.82999999996</v>
      </c>
      <c r="G10" s="104">
        <f t="shared" si="0"/>
        <v>3.81177908544893E-3</v>
      </c>
    </row>
    <row r="11" spans="1:7" ht="15.4" x14ac:dyDescent="0.45">
      <c r="A11" s="85" t="s">
        <v>18</v>
      </c>
      <c r="B11" s="103"/>
      <c r="C11" s="103"/>
      <c r="D11" s="103"/>
      <c r="E11" s="103"/>
      <c r="F11" s="103"/>
      <c r="G11" s="104">
        <f t="shared" si="0"/>
        <v>0</v>
      </c>
    </row>
    <row r="12" spans="1:7" ht="15.4" x14ac:dyDescent="0.45">
      <c r="A12" s="85" t="s">
        <v>19</v>
      </c>
      <c r="B12" s="103">
        <v>455262</v>
      </c>
      <c r="C12" s="103">
        <v>585891.31999999995</v>
      </c>
      <c r="D12" s="103">
        <v>-130629.32</v>
      </c>
      <c r="E12" s="103">
        <v>86140</v>
      </c>
      <c r="F12" s="103">
        <v>-44489.32</v>
      </c>
      <c r="G12" s="104">
        <f t="shared" si="0"/>
        <v>2.0384873551764554E-3</v>
      </c>
    </row>
    <row r="13" spans="1:7" ht="15.4" x14ac:dyDescent="0.45">
      <c r="A13" s="85" t="s">
        <v>20</v>
      </c>
      <c r="B13" s="103">
        <v>1038070</v>
      </c>
      <c r="C13" s="103">
        <v>657082.92000000004</v>
      </c>
      <c r="D13" s="103">
        <v>380987.08</v>
      </c>
      <c r="E13" s="103">
        <v>50522.02</v>
      </c>
      <c r="F13" s="103">
        <v>431509.1</v>
      </c>
      <c r="G13" s="104">
        <f t="shared" si="0"/>
        <v>4.6480764236593933E-3</v>
      </c>
    </row>
    <row r="14" spans="1:7" ht="15.4" x14ac:dyDescent="0.45">
      <c r="A14" s="85" t="s">
        <v>21</v>
      </c>
      <c r="B14" s="103"/>
      <c r="C14" s="103"/>
      <c r="D14" s="103"/>
      <c r="E14" s="103"/>
      <c r="F14" s="103"/>
      <c r="G14" s="104">
        <f t="shared" si="0"/>
        <v>0</v>
      </c>
    </row>
    <row r="15" spans="1:7" ht="15.4" x14ac:dyDescent="0.45">
      <c r="A15" s="85" t="s">
        <v>134</v>
      </c>
      <c r="B15" s="103">
        <v>1875414</v>
      </c>
      <c r="C15" s="103">
        <v>681051.35</v>
      </c>
      <c r="D15" s="103">
        <v>1194362.6499999999</v>
      </c>
      <c r="E15" s="103">
        <v>-15873.12</v>
      </c>
      <c r="F15" s="103">
        <v>883867.15</v>
      </c>
      <c r="G15" s="104">
        <f t="shared" si="0"/>
        <v>8.397379365554113E-3</v>
      </c>
    </row>
    <row r="16" spans="1:7" ht="15.4" x14ac:dyDescent="0.45">
      <c r="A16" s="85" t="s">
        <v>22</v>
      </c>
      <c r="B16" s="103"/>
      <c r="C16" s="103"/>
      <c r="D16" s="103"/>
      <c r="E16" s="103"/>
      <c r="F16" s="103"/>
      <c r="G16" s="104">
        <f t="shared" si="0"/>
        <v>0</v>
      </c>
    </row>
    <row r="17" spans="1:7" ht="15.4" x14ac:dyDescent="0.45">
      <c r="A17" s="85" t="s">
        <v>135</v>
      </c>
      <c r="B17" s="103">
        <v>47896</v>
      </c>
      <c r="C17" s="103">
        <v>41492.68</v>
      </c>
      <c r="D17" s="103">
        <v>6403.32</v>
      </c>
      <c r="E17" s="103">
        <v>0</v>
      </c>
      <c r="F17" s="103">
        <v>6403.32</v>
      </c>
      <c r="G17" s="104">
        <f t="shared" si="0"/>
        <v>2.14459784395648E-4</v>
      </c>
    </row>
    <row r="18" spans="1:7" ht="15.4" x14ac:dyDescent="0.45">
      <c r="A18" s="85" t="s">
        <v>23</v>
      </c>
      <c r="B18" s="103">
        <v>891302</v>
      </c>
      <c r="C18" s="103">
        <v>698787</v>
      </c>
      <c r="D18" s="103">
        <v>192515</v>
      </c>
      <c r="E18" s="103">
        <v>341630</v>
      </c>
      <c r="F18" s="103">
        <v>534145</v>
      </c>
      <c r="G18" s="104">
        <f t="shared" si="0"/>
        <v>3.9909060203651633E-3</v>
      </c>
    </row>
    <row r="19" spans="1:7" ht="15.4" x14ac:dyDescent="0.45">
      <c r="A19" s="85" t="s">
        <v>24</v>
      </c>
      <c r="B19" s="103">
        <v>9819371</v>
      </c>
      <c r="C19" s="103">
        <v>8321380.4400000004</v>
      </c>
      <c r="D19" s="103">
        <v>1497990.56</v>
      </c>
      <c r="E19" s="103">
        <v>258355.86</v>
      </c>
      <c r="F19" s="103">
        <v>997038.77</v>
      </c>
      <c r="G19" s="104">
        <f t="shared" si="0"/>
        <v>4.396734983215464E-2</v>
      </c>
    </row>
    <row r="20" spans="1:7" ht="15.4" x14ac:dyDescent="0.45">
      <c r="A20" s="85" t="s">
        <v>136</v>
      </c>
      <c r="B20" s="103"/>
      <c r="C20" s="103"/>
      <c r="D20" s="103"/>
      <c r="E20" s="103"/>
      <c r="F20" s="103"/>
      <c r="G20" s="104">
        <f t="shared" si="0"/>
        <v>0</v>
      </c>
    </row>
    <row r="21" spans="1:7" ht="15.4" x14ac:dyDescent="0.45">
      <c r="A21" s="85" t="s">
        <v>25</v>
      </c>
      <c r="B21" s="103">
        <v>424575</v>
      </c>
      <c r="C21" s="103">
        <v>574549.88</v>
      </c>
      <c r="D21" s="103">
        <v>-149974.88</v>
      </c>
      <c r="E21" s="103">
        <v>41.95</v>
      </c>
      <c r="F21" s="103">
        <v>-149932.93</v>
      </c>
      <c r="G21" s="104">
        <f t="shared" si="0"/>
        <v>1.9010828244484352E-3</v>
      </c>
    </row>
    <row r="22" spans="1:7" ht="15.4" x14ac:dyDescent="0.45">
      <c r="A22" s="85" t="s">
        <v>26</v>
      </c>
      <c r="B22" s="103">
        <v>138285</v>
      </c>
      <c r="C22" s="103">
        <v>237087.72</v>
      </c>
      <c r="D22" s="103">
        <v>-98802.72</v>
      </c>
      <c r="E22" s="103">
        <v>7591.47</v>
      </c>
      <c r="F22" s="103">
        <v>-91211.25</v>
      </c>
      <c r="G22" s="104">
        <f t="shared" si="0"/>
        <v>6.1918680652146699E-4</v>
      </c>
    </row>
    <row r="23" spans="1:7" ht="15.4" x14ac:dyDescent="0.45">
      <c r="A23" s="85" t="s">
        <v>27</v>
      </c>
      <c r="B23" s="103">
        <v>143801</v>
      </c>
      <c r="C23" s="103">
        <v>163645.39000000001</v>
      </c>
      <c r="D23" s="103">
        <v>-19844.39</v>
      </c>
      <c r="E23" s="103">
        <v>57044.63</v>
      </c>
      <c r="F23" s="103">
        <v>34245.980000000003</v>
      </c>
      <c r="G23" s="104">
        <f t="shared" si="0"/>
        <v>6.4388532353178921E-4</v>
      </c>
    </row>
    <row r="24" spans="1:7" ht="15.4" x14ac:dyDescent="0.45">
      <c r="A24" s="85" t="s">
        <v>118</v>
      </c>
      <c r="B24" s="103">
        <v>260296</v>
      </c>
      <c r="C24" s="103">
        <v>197508.2</v>
      </c>
      <c r="D24" s="103">
        <v>62787.8</v>
      </c>
      <c r="E24" s="103">
        <v>76125</v>
      </c>
      <c r="F24" s="103">
        <v>138912.79999999999</v>
      </c>
      <c r="G24" s="104">
        <f t="shared" si="0"/>
        <v>1.1655049281578751E-3</v>
      </c>
    </row>
    <row r="25" spans="1:7" ht="15.4" x14ac:dyDescent="0.45">
      <c r="A25" s="85" t="s">
        <v>28</v>
      </c>
      <c r="B25" s="103">
        <v>3762498</v>
      </c>
      <c r="C25" s="103">
        <v>1338347.3500000001</v>
      </c>
      <c r="D25" s="103">
        <v>2424150.65</v>
      </c>
      <c r="E25" s="103">
        <v>0</v>
      </c>
      <c r="F25" s="103">
        <v>2424150.65</v>
      </c>
      <c r="G25" s="104">
        <f t="shared" si="0"/>
        <v>1.6847012482651094E-2</v>
      </c>
    </row>
    <row r="26" spans="1:7" ht="15.4" x14ac:dyDescent="0.45">
      <c r="A26" s="85" t="s">
        <v>8</v>
      </c>
      <c r="B26" s="103">
        <v>125815</v>
      </c>
      <c r="C26" s="103">
        <v>113133</v>
      </c>
      <c r="D26" s="103">
        <v>12682</v>
      </c>
      <c r="E26" s="103">
        <v>0</v>
      </c>
      <c r="F26" s="103">
        <v>12682</v>
      </c>
      <c r="G26" s="104">
        <f t="shared" si="0"/>
        <v>5.6335096404164133E-4</v>
      </c>
    </row>
    <row r="27" spans="1:7" ht="15.4" x14ac:dyDescent="0.45">
      <c r="A27" s="85" t="s">
        <v>29</v>
      </c>
      <c r="B27" s="103"/>
      <c r="C27" s="103"/>
      <c r="D27" s="103"/>
      <c r="E27" s="103"/>
      <c r="F27" s="103"/>
      <c r="G27" s="104">
        <f t="shared" si="0"/>
        <v>0</v>
      </c>
    </row>
    <row r="28" spans="1:7" ht="15.4" x14ac:dyDescent="0.45">
      <c r="A28" s="85" t="s">
        <v>30</v>
      </c>
      <c r="B28" s="103">
        <v>475980</v>
      </c>
      <c r="C28" s="103">
        <v>461494</v>
      </c>
      <c r="D28" s="103">
        <v>14486</v>
      </c>
      <c r="E28" s="103">
        <v>0</v>
      </c>
      <c r="F28" s="103">
        <v>10864</v>
      </c>
      <c r="G28" s="104">
        <f t="shared" si="0"/>
        <v>2.131254555216313E-3</v>
      </c>
    </row>
    <row r="29" spans="1:7" ht="15.4" x14ac:dyDescent="0.45">
      <c r="A29" s="85" t="s">
        <v>31</v>
      </c>
      <c r="B29" s="103">
        <v>345500</v>
      </c>
      <c r="C29" s="103">
        <v>464009.32</v>
      </c>
      <c r="D29" s="103">
        <v>-118509.32</v>
      </c>
      <c r="E29" s="103">
        <v>0</v>
      </c>
      <c r="F29" s="103">
        <v>-118509.32</v>
      </c>
      <c r="G29" s="104">
        <f t="shared" si="0"/>
        <v>1.5470155233985382E-3</v>
      </c>
    </row>
    <row r="30" spans="1:7" ht="15.4" x14ac:dyDescent="0.45">
      <c r="A30" s="85" t="s">
        <v>32</v>
      </c>
      <c r="B30" s="103">
        <v>41960</v>
      </c>
      <c r="C30" s="103">
        <v>106629</v>
      </c>
      <c r="D30" s="103">
        <v>-64669</v>
      </c>
      <c r="E30" s="103">
        <v>1635</v>
      </c>
      <c r="F30" s="103">
        <v>-63034</v>
      </c>
      <c r="G30" s="104">
        <f t="shared" si="0"/>
        <v>1.8788066964342304E-4</v>
      </c>
    </row>
    <row r="31" spans="1:7" ht="15.4" x14ac:dyDescent="0.45">
      <c r="A31" s="85" t="s">
        <v>33</v>
      </c>
      <c r="B31" s="103">
        <v>77065</v>
      </c>
      <c r="C31" s="103">
        <v>100075.95</v>
      </c>
      <c r="D31" s="103">
        <v>-23010.95</v>
      </c>
      <c r="E31" s="103">
        <v>0</v>
      </c>
      <c r="F31" s="103">
        <v>-23010.95</v>
      </c>
      <c r="G31" s="104">
        <f t="shared" si="0"/>
        <v>3.4506729757079115E-4</v>
      </c>
    </row>
    <row r="32" spans="1:7" ht="15.4" x14ac:dyDescent="0.45">
      <c r="A32" s="85" t="s">
        <v>34</v>
      </c>
      <c r="B32" s="103">
        <v>30936</v>
      </c>
      <c r="C32" s="103">
        <v>30854.85</v>
      </c>
      <c r="D32" s="103">
        <v>81.150000000000006</v>
      </c>
      <c r="E32" s="103">
        <v>0</v>
      </c>
      <c r="F32" s="103">
        <v>81.150000000000006</v>
      </c>
      <c r="G32" s="104">
        <f t="shared" si="0"/>
        <v>1.3851945653214811E-4</v>
      </c>
    </row>
    <row r="33" spans="1:7" ht="15.4" x14ac:dyDescent="0.45">
      <c r="A33" s="85" t="s">
        <v>35</v>
      </c>
      <c r="B33" s="103"/>
      <c r="C33" s="103"/>
      <c r="D33" s="103"/>
      <c r="E33" s="103"/>
      <c r="F33" s="103"/>
      <c r="G33" s="104">
        <f t="shared" si="0"/>
        <v>0</v>
      </c>
    </row>
    <row r="34" spans="1:7" ht="15.4" x14ac:dyDescent="0.45">
      <c r="A34" s="85" t="s">
        <v>36</v>
      </c>
      <c r="B34" s="103">
        <v>1158183</v>
      </c>
      <c r="C34" s="103">
        <v>1245781</v>
      </c>
      <c r="D34" s="103">
        <v>-87598</v>
      </c>
      <c r="E34" s="103">
        <v>199072</v>
      </c>
      <c r="F34" s="103">
        <v>111474</v>
      </c>
      <c r="G34" s="104">
        <f t="shared" si="0"/>
        <v>5.1858960345478704E-3</v>
      </c>
    </row>
    <row r="35" spans="1:7" ht="15.4" x14ac:dyDescent="0.45">
      <c r="A35" s="85" t="s">
        <v>37</v>
      </c>
      <c r="B35" s="103">
        <v>300109</v>
      </c>
      <c r="C35" s="103">
        <v>306039.5</v>
      </c>
      <c r="D35" s="103">
        <v>-5930.5</v>
      </c>
      <c r="E35" s="103">
        <v>0</v>
      </c>
      <c r="F35" s="103">
        <v>-5930.5</v>
      </c>
      <c r="G35" s="104">
        <f t="shared" ref="G35:G66" si="1">B35/$B$125</f>
        <v>1.3437721612492384E-3</v>
      </c>
    </row>
    <row r="36" spans="1:7" ht="15.4" x14ac:dyDescent="0.45">
      <c r="A36" s="85" t="s">
        <v>119</v>
      </c>
      <c r="B36" s="103"/>
      <c r="C36" s="103"/>
      <c r="D36" s="103"/>
      <c r="E36" s="103"/>
      <c r="F36" s="103"/>
      <c r="G36" s="104">
        <f t="shared" si="1"/>
        <v>0</v>
      </c>
    </row>
    <row r="37" spans="1:7" ht="15.4" x14ac:dyDescent="0.45">
      <c r="A37" s="85" t="s">
        <v>38</v>
      </c>
      <c r="B37" s="103"/>
      <c r="C37" s="103"/>
      <c r="D37" s="103"/>
      <c r="E37" s="103"/>
      <c r="F37" s="103"/>
      <c r="G37" s="104">
        <f t="shared" si="1"/>
        <v>0</v>
      </c>
    </row>
    <row r="38" spans="1:7" ht="15.4" x14ac:dyDescent="0.45">
      <c r="A38" s="85" t="s">
        <v>39</v>
      </c>
      <c r="B38" s="103">
        <v>20358879</v>
      </c>
      <c r="C38" s="103">
        <v>11078679</v>
      </c>
      <c r="D38" s="103">
        <v>9280200</v>
      </c>
      <c r="E38" s="103">
        <v>1174335</v>
      </c>
      <c r="F38" s="103">
        <v>7225499</v>
      </c>
      <c r="G38" s="104">
        <f t="shared" si="1"/>
        <v>9.115919494064402E-2</v>
      </c>
    </row>
    <row r="39" spans="1:7" ht="15.4" x14ac:dyDescent="0.45">
      <c r="A39" s="85" t="s">
        <v>40</v>
      </c>
      <c r="B39" s="103">
        <v>0</v>
      </c>
      <c r="C39" s="103">
        <v>0</v>
      </c>
      <c r="D39" s="103">
        <v>0</v>
      </c>
      <c r="E39" s="103">
        <v>0</v>
      </c>
      <c r="F39" s="103">
        <v>0</v>
      </c>
      <c r="G39" s="104">
        <f t="shared" si="1"/>
        <v>0</v>
      </c>
    </row>
    <row r="40" spans="1:7" ht="15.4" x14ac:dyDescent="0.45">
      <c r="A40" s="85" t="s">
        <v>41</v>
      </c>
      <c r="B40" s="103"/>
      <c r="C40" s="103"/>
      <c r="D40" s="103"/>
      <c r="E40" s="103"/>
      <c r="F40" s="103"/>
      <c r="G40" s="104">
        <f t="shared" si="1"/>
        <v>0</v>
      </c>
    </row>
    <row r="41" spans="1:7" ht="15.4" x14ac:dyDescent="0.45">
      <c r="A41" s="85" t="s">
        <v>121</v>
      </c>
      <c r="B41" s="103">
        <v>3128464</v>
      </c>
      <c r="C41" s="103">
        <v>2497263.5299999998</v>
      </c>
      <c r="D41" s="103">
        <v>631200.47</v>
      </c>
      <c r="E41" s="103">
        <v>155398.65</v>
      </c>
      <c r="F41" s="103">
        <v>570284.44999999995</v>
      </c>
      <c r="G41" s="104">
        <f t="shared" si="1"/>
        <v>1.4008053176247422E-2</v>
      </c>
    </row>
    <row r="42" spans="1:7" ht="15.4" x14ac:dyDescent="0.45">
      <c r="A42" s="85" t="s">
        <v>43</v>
      </c>
      <c r="B42" s="103">
        <v>3675578</v>
      </c>
      <c r="C42" s="103">
        <v>2404087</v>
      </c>
      <c r="D42" s="103">
        <v>1271491</v>
      </c>
      <c r="E42" s="103">
        <v>9494.41</v>
      </c>
      <c r="F42" s="103">
        <v>963112.66</v>
      </c>
      <c r="G42" s="104">
        <f t="shared" si="1"/>
        <v>1.6457818302350657E-2</v>
      </c>
    </row>
    <row r="43" spans="1:7" ht="15.4" x14ac:dyDescent="0.45">
      <c r="A43" s="85" t="s">
        <v>122</v>
      </c>
      <c r="B43" s="103"/>
      <c r="C43" s="103"/>
      <c r="D43" s="103"/>
      <c r="E43" s="103"/>
      <c r="F43" s="103"/>
      <c r="G43" s="104">
        <f t="shared" si="1"/>
        <v>0</v>
      </c>
    </row>
    <row r="44" spans="1:7" ht="15.4" x14ac:dyDescent="0.45">
      <c r="A44" s="85" t="s">
        <v>44</v>
      </c>
      <c r="B44" s="103">
        <v>518638</v>
      </c>
      <c r="C44" s="103">
        <v>260899.43</v>
      </c>
      <c r="D44" s="103">
        <v>257738.57</v>
      </c>
      <c r="E44" s="103">
        <v>0</v>
      </c>
      <c r="F44" s="103">
        <v>257738.57</v>
      </c>
      <c r="G44" s="104">
        <f t="shared" si="1"/>
        <v>2.3222605992022317E-3</v>
      </c>
    </row>
    <row r="45" spans="1:7" ht="15.4" x14ac:dyDescent="0.45">
      <c r="A45" s="85" t="s">
        <v>45</v>
      </c>
      <c r="B45" s="103">
        <v>140620</v>
      </c>
      <c r="C45" s="103">
        <v>88170</v>
      </c>
      <c r="D45" s="103">
        <v>52450</v>
      </c>
      <c r="E45" s="103">
        <v>0</v>
      </c>
      <c r="F45" s="103">
        <v>49570</v>
      </c>
      <c r="G45" s="104">
        <f t="shared" si="1"/>
        <v>6.296420344437118E-4</v>
      </c>
    </row>
    <row r="46" spans="1:7" ht="15.4" x14ac:dyDescent="0.45">
      <c r="A46" s="85" t="s">
        <v>137</v>
      </c>
      <c r="B46" s="103">
        <v>217939</v>
      </c>
      <c r="C46" s="103">
        <v>149151</v>
      </c>
      <c r="D46" s="103">
        <v>68788</v>
      </c>
      <c r="E46" s="103">
        <v>0</v>
      </c>
      <c r="F46" s="103">
        <v>51591</v>
      </c>
      <c r="G46" s="104">
        <f t="shared" si="1"/>
        <v>9.7584664588698695E-4</v>
      </c>
    </row>
    <row r="47" spans="1:7" ht="15.4" x14ac:dyDescent="0.45">
      <c r="A47" s="85" t="s">
        <v>46</v>
      </c>
      <c r="B47" s="103">
        <v>1621415</v>
      </c>
      <c r="C47" s="103">
        <v>1164133.98</v>
      </c>
      <c r="D47" s="103">
        <v>457281.02</v>
      </c>
      <c r="E47" s="103">
        <v>9558.5</v>
      </c>
      <c r="F47" s="103">
        <v>434963.58</v>
      </c>
      <c r="G47" s="104">
        <f t="shared" si="1"/>
        <v>7.2600699706837652E-3</v>
      </c>
    </row>
    <row r="48" spans="1:7" ht="15.4" x14ac:dyDescent="0.45">
      <c r="A48" s="85" t="s">
        <v>47</v>
      </c>
      <c r="B48" s="103">
        <v>105126</v>
      </c>
      <c r="C48" s="103">
        <v>71052.679999999993</v>
      </c>
      <c r="D48" s="103">
        <v>34073.32</v>
      </c>
      <c r="E48" s="103">
        <v>4600</v>
      </c>
      <c r="F48" s="103">
        <v>29005.05</v>
      </c>
      <c r="G48" s="104">
        <f t="shared" si="1"/>
        <v>4.7071361479824811E-4</v>
      </c>
    </row>
    <row r="49" spans="1:7" ht="15.4" x14ac:dyDescent="0.45">
      <c r="A49" s="85" t="s">
        <v>48</v>
      </c>
      <c r="B49" s="103"/>
      <c r="C49" s="103"/>
      <c r="D49" s="103"/>
      <c r="E49" s="103"/>
      <c r="F49" s="103"/>
      <c r="G49" s="104">
        <f t="shared" si="1"/>
        <v>0</v>
      </c>
    </row>
    <row r="50" spans="1:7" ht="15.4" x14ac:dyDescent="0.45">
      <c r="A50" s="85" t="s">
        <v>49</v>
      </c>
      <c r="B50" s="103"/>
      <c r="C50" s="103"/>
      <c r="D50" s="103"/>
      <c r="E50" s="103"/>
      <c r="F50" s="103"/>
      <c r="G50" s="104">
        <f t="shared" si="1"/>
        <v>0</v>
      </c>
    </row>
    <row r="51" spans="1:7" ht="15.4" x14ac:dyDescent="0.45">
      <c r="A51" s="85" t="s">
        <v>50</v>
      </c>
      <c r="B51" s="103">
        <v>1111974</v>
      </c>
      <c r="C51" s="103">
        <v>986319</v>
      </c>
      <c r="D51" s="103">
        <v>125655</v>
      </c>
      <c r="E51" s="103">
        <v>193833</v>
      </c>
      <c r="F51" s="103">
        <v>243088</v>
      </c>
      <c r="G51" s="104">
        <f t="shared" si="1"/>
        <v>4.9789899844155314E-3</v>
      </c>
    </row>
    <row r="52" spans="1:7" ht="15.4" x14ac:dyDescent="0.45">
      <c r="A52" s="85" t="s">
        <v>123</v>
      </c>
      <c r="B52" s="103">
        <v>297689</v>
      </c>
      <c r="C52" s="103">
        <v>150832.41</v>
      </c>
      <c r="D52" s="103">
        <v>146856.59</v>
      </c>
      <c r="E52" s="103">
        <v>21078.15</v>
      </c>
      <c r="F52" s="103">
        <v>153418.35</v>
      </c>
      <c r="G52" s="104">
        <f t="shared" si="1"/>
        <v>1.3329363361649419E-3</v>
      </c>
    </row>
    <row r="53" spans="1:7" ht="15.4" x14ac:dyDescent="0.45">
      <c r="A53" s="85" t="s">
        <v>51</v>
      </c>
      <c r="B53" s="103"/>
      <c r="C53" s="103"/>
      <c r="D53" s="103"/>
      <c r="E53" s="103"/>
      <c r="F53" s="103"/>
      <c r="G53" s="104">
        <f t="shared" si="1"/>
        <v>0</v>
      </c>
    </row>
    <row r="54" spans="1:7" ht="15.4" x14ac:dyDescent="0.45">
      <c r="A54" s="85" t="s">
        <v>153</v>
      </c>
      <c r="B54" s="103">
        <v>734315</v>
      </c>
      <c r="C54" s="103">
        <v>907792.11</v>
      </c>
      <c r="D54" s="103">
        <v>-173477.11</v>
      </c>
      <c r="E54" s="103">
        <v>158925</v>
      </c>
      <c r="F54" s="103">
        <v>-14552.11</v>
      </c>
      <c r="G54" s="104">
        <f t="shared" si="1"/>
        <v>3.2879788829649711E-3</v>
      </c>
    </row>
    <row r="55" spans="1:7" ht="15.4" x14ac:dyDescent="0.45">
      <c r="A55" s="85" t="s">
        <v>138</v>
      </c>
      <c r="B55" s="103">
        <v>441033</v>
      </c>
      <c r="C55" s="103">
        <v>147399.44</v>
      </c>
      <c r="D55" s="103">
        <v>293633.56</v>
      </c>
      <c r="E55" s="103">
        <v>24148.17</v>
      </c>
      <c r="F55" s="103">
        <v>317781.74</v>
      </c>
      <c r="G55" s="104">
        <f t="shared" si="1"/>
        <v>1.9747753902489939E-3</v>
      </c>
    </row>
    <row r="56" spans="1:7" ht="15.4" x14ac:dyDescent="0.45">
      <c r="A56" s="85" t="s">
        <v>52</v>
      </c>
      <c r="B56" s="103">
        <v>6706582</v>
      </c>
      <c r="C56" s="103">
        <v>4978266</v>
      </c>
      <c r="D56" s="103">
        <v>1728316</v>
      </c>
      <c r="E56" s="103">
        <v>92883</v>
      </c>
      <c r="F56" s="103">
        <v>1365899</v>
      </c>
      <c r="G56" s="104">
        <f t="shared" si="1"/>
        <v>3.0029483250203225E-2</v>
      </c>
    </row>
    <row r="57" spans="1:7" ht="15.4" x14ac:dyDescent="0.45">
      <c r="A57" s="85" t="s">
        <v>54</v>
      </c>
      <c r="B57" s="103">
        <v>724007</v>
      </c>
      <c r="C57" s="103">
        <v>416922</v>
      </c>
      <c r="D57" s="103">
        <v>307085</v>
      </c>
      <c r="E57" s="103">
        <v>217492</v>
      </c>
      <c r="F57" s="103">
        <v>524577</v>
      </c>
      <c r="G57" s="104">
        <f t="shared" si="1"/>
        <v>3.2418236412422733E-3</v>
      </c>
    </row>
    <row r="58" spans="1:7" ht="15.4" x14ac:dyDescent="0.45">
      <c r="A58" s="85" t="s">
        <v>55</v>
      </c>
      <c r="B58" s="103">
        <v>393844</v>
      </c>
      <c r="C58" s="103">
        <v>215425.96</v>
      </c>
      <c r="D58" s="103">
        <v>178418.04</v>
      </c>
      <c r="E58" s="103">
        <v>0</v>
      </c>
      <c r="F58" s="103">
        <v>178418.04</v>
      </c>
      <c r="G58" s="104">
        <f t="shared" si="1"/>
        <v>1.7634812787188823E-3</v>
      </c>
    </row>
    <row r="59" spans="1:7" ht="15.4" x14ac:dyDescent="0.45">
      <c r="A59" s="85" t="s">
        <v>56</v>
      </c>
      <c r="B59" s="103">
        <v>834121</v>
      </c>
      <c r="C59" s="103">
        <v>913617</v>
      </c>
      <c r="D59" s="103">
        <v>-79496</v>
      </c>
      <c r="E59" s="103">
        <v>887</v>
      </c>
      <c r="F59" s="103">
        <v>-78609</v>
      </c>
      <c r="G59" s="104">
        <f t="shared" si="1"/>
        <v>3.7348715930324516E-3</v>
      </c>
    </row>
    <row r="60" spans="1:7" ht="15.4" x14ac:dyDescent="0.45">
      <c r="A60" s="85" t="s">
        <v>57</v>
      </c>
      <c r="B60" s="103">
        <v>1986056</v>
      </c>
      <c r="C60" s="103">
        <v>1410449.1</v>
      </c>
      <c r="D60" s="103">
        <v>575606.9</v>
      </c>
      <c r="E60" s="103">
        <v>1365382.66</v>
      </c>
      <c r="F60" s="103">
        <v>1457837.56</v>
      </c>
      <c r="G60" s="104">
        <f t="shared" si="1"/>
        <v>8.8927914973626829E-3</v>
      </c>
    </row>
    <row r="61" spans="1:7" ht="15.4" x14ac:dyDescent="0.45">
      <c r="A61" s="85" t="s">
        <v>58</v>
      </c>
      <c r="B61" s="103"/>
      <c r="C61" s="103"/>
      <c r="D61" s="103"/>
      <c r="E61" s="103"/>
      <c r="F61" s="103"/>
      <c r="G61" s="104">
        <f t="shared" si="1"/>
        <v>0</v>
      </c>
    </row>
    <row r="62" spans="1:7" ht="15.4" x14ac:dyDescent="0.45">
      <c r="A62" s="85" t="s">
        <v>60</v>
      </c>
      <c r="B62" s="103">
        <v>6380702</v>
      </c>
      <c r="C62" s="103">
        <v>2911349.06</v>
      </c>
      <c r="D62" s="103">
        <v>3469352.94</v>
      </c>
      <c r="E62" s="103">
        <v>1855655.26</v>
      </c>
      <c r="F62" s="103">
        <v>5325008.2</v>
      </c>
      <c r="G62" s="104">
        <f t="shared" si="1"/>
        <v>2.8570318507033572E-2</v>
      </c>
    </row>
    <row r="63" spans="1:7" ht="15.4" x14ac:dyDescent="0.45">
      <c r="A63" s="85" t="s">
        <v>61</v>
      </c>
      <c r="B63" s="103">
        <v>1190272</v>
      </c>
      <c r="C63" s="103">
        <v>607765.09</v>
      </c>
      <c r="D63" s="103">
        <v>582506.91</v>
      </c>
      <c r="E63" s="103">
        <v>217443.15</v>
      </c>
      <c r="F63" s="103">
        <v>678845.06</v>
      </c>
      <c r="G63" s="104">
        <f t="shared" si="1"/>
        <v>5.3295781796429079E-3</v>
      </c>
    </row>
    <row r="64" spans="1:7" ht="15.4" x14ac:dyDescent="0.45">
      <c r="A64" s="85" t="s">
        <v>62</v>
      </c>
      <c r="B64" s="103">
        <v>388088</v>
      </c>
      <c r="C64" s="103">
        <v>311100</v>
      </c>
      <c r="D64" s="103">
        <v>76988</v>
      </c>
      <c r="E64" s="103">
        <v>0</v>
      </c>
      <c r="F64" s="103">
        <v>57741</v>
      </c>
      <c r="G64" s="104">
        <f t="shared" si="1"/>
        <v>1.7377081344274728E-3</v>
      </c>
    </row>
    <row r="65" spans="1:7" ht="15.4" x14ac:dyDescent="0.45">
      <c r="A65" s="85" t="s">
        <v>63</v>
      </c>
      <c r="B65" s="103"/>
      <c r="C65" s="103"/>
      <c r="D65" s="103"/>
      <c r="E65" s="103"/>
      <c r="F65" s="103"/>
      <c r="G65" s="104">
        <f t="shared" si="1"/>
        <v>0</v>
      </c>
    </row>
    <row r="66" spans="1:7" ht="15.4" x14ac:dyDescent="0.45">
      <c r="A66" s="85" t="s">
        <v>64</v>
      </c>
      <c r="B66" s="103"/>
      <c r="C66" s="103"/>
      <c r="D66" s="103"/>
      <c r="E66" s="103"/>
      <c r="F66" s="103"/>
      <c r="G66" s="104">
        <f t="shared" si="1"/>
        <v>0</v>
      </c>
    </row>
    <row r="67" spans="1:7" ht="15.4" x14ac:dyDescent="0.45">
      <c r="A67" s="85" t="s">
        <v>65</v>
      </c>
      <c r="B67" s="103">
        <v>40405361</v>
      </c>
      <c r="C67" s="103">
        <v>27770307.77</v>
      </c>
      <c r="D67" s="103">
        <v>12635053.23</v>
      </c>
      <c r="E67" s="103">
        <v>4420700.2300000004</v>
      </c>
      <c r="F67" s="103">
        <v>12791815.1</v>
      </c>
      <c r="G67" s="104">
        <f t="shared" ref="G67:G98" si="2">B67/$B$125</f>
        <v>0.18091959680324712</v>
      </c>
    </row>
    <row r="68" spans="1:7" ht="15.4" x14ac:dyDescent="0.45">
      <c r="A68" s="85" t="s">
        <v>66</v>
      </c>
      <c r="B68" s="103">
        <v>13888063</v>
      </c>
      <c r="C68" s="103">
        <v>6636708.6399999997</v>
      </c>
      <c r="D68" s="103">
        <v>7251354.3600000003</v>
      </c>
      <c r="E68" s="103">
        <v>2601161.2400000002</v>
      </c>
      <c r="F68" s="103">
        <v>7389386.5999999996</v>
      </c>
      <c r="G68" s="104">
        <f t="shared" si="2"/>
        <v>6.2185380755244199E-2</v>
      </c>
    </row>
    <row r="69" spans="1:7" ht="15.4" x14ac:dyDescent="0.45">
      <c r="A69" s="85" t="s">
        <v>67</v>
      </c>
      <c r="B69" s="103"/>
      <c r="C69" s="103"/>
      <c r="D69" s="103"/>
      <c r="E69" s="103"/>
      <c r="F69" s="103"/>
      <c r="G69" s="104">
        <f t="shared" si="2"/>
        <v>0</v>
      </c>
    </row>
    <row r="70" spans="1:7" ht="15.4" x14ac:dyDescent="0.45">
      <c r="A70" s="85" t="s">
        <v>139</v>
      </c>
      <c r="B70" s="103">
        <v>505222</v>
      </c>
      <c r="C70" s="103">
        <v>203550.41</v>
      </c>
      <c r="D70" s="103">
        <v>301671.59000000003</v>
      </c>
      <c r="E70" s="103">
        <v>172396.72</v>
      </c>
      <c r="F70" s="103">
        <v>474068.31</v>
      </c>
      <c r="G70" s="104">
        <f t="shared" si="2"/>
        <v>2.2621889341894537E-3</v>
      </c>
    </row>
    <row r="71" spans="1:7" ht="15.4" x14ac:dyDescent="0.45">
      <c r="A71" s="85" t="s">
        <v>68</v>
      </c>
      <c r="B71" s="103"/>
      <c r="C71" s="103"/>
      <c r="D71" s="103"/>
      <c r="E71" s="103"/>
      <c r="F71" s="103"/>
      <c r="G71" s="104">
        <f t="shared" si="2"/>
        <v>0</v>
      </c>
    </row>
    <row r="72" spans="1:7" ht="15.4" x14ac:dyDescent="0.45">
      <c r="A72" s="85" t="s">
        <v>69</v>
      </c>
      <c r="B72" s="103"/>
      <c r="C72" s="103"/>
      <c r="D72" s="103"/>
      <c r="E72" s="103"/>
      <c r="F72" s="103"/>
      <c r="G72" s="104">
        <f t="shared" si="2"/>
        <v>0</v>
      </c>
    </row>
    <row r="73" spans="1:7" ht="15.4" x14ac:dyDescent="0.45">
      <c r="A73" s="85" t="s">
        <v>141</v>
      </c>
      <c r="B73" s="103">
        <v>111240</v>
      </c>
      <c r="C73" s="103">
        <v>100734.92</v>
      </c>
      <c r="D73" s="103">
        <v>10505.08</v>
      </c>
      <c r="E73" s="103">
        <v>3708</v>
      </c>
      <c r="F73" s="103">
        <v>14213.08</v>
      </c>
      <c r="G73" s="104">
        <f t="shared" si="2"/>
        <v>4.9808974478394617E-4</v>
      </c>
    </row>
    <row r="74" spans="1:7" ht="15.4" x14ac:dyDescent="0.45">
      <c r="A74" s="85" t="s">
        <v>110</v>
      </c>
      <c r="B74" s="103">
        <v>316554</v>
      </c>
      <c r="C74" s="103">
        <v>192131.63</v>
      </c>
      <c r="D74" s="103">
        <v>124422.37</v>
      </c>
      <c r="E74" s="103">
        <v>0</v>
      </c>
      <c r="F74" s="103">
        <v>124422.37</v>
      </c>
      <c r="G74" s="104">
        <f t="shared" si="2"/>
        <v>1.417406518072072E-3</v>
      </c>
    </row>
    <row r="75" spans="1:7" ht="15.4" x14ac:dyDescent="0.45">
      <c r="A75" s="85" t="s">
        <v>143</v>
      </c>
      <c r="B75" s="103">
        <v>5584470</v>
      </c>
      <c r="C75" s="103">
        <v>3065931.16</v>
      </c>
      <c r="D75" s="103">
        <v>2518538.84</v>
      </c>
      <c r="E75" s="103">
        <v>0</v>
      </c>
      <c r="F75" s="103">
        <v>1878246.84</v>
      </c>
      <c r="G75" s="104">
        <f t="shared" si="2"/>
        <v>2.5005099218389101E-2</v>
      </c>
    </row>
    <row r="76" spans="1:7" ht="15.4" x14ac:dyDescent="0.45">
      <c r="A76" s="85" t="s">
        <v>125</v>
      </c>
      <c r="B76" s="103">
        <v>32108</v>
      </c>
      <c r="C76" s="103">
        <v>52837</v>
      </c>
      <c r="D76" s="103">
        <v>-20729</v>
      </c>
      <c r="E76" s="103">
        <v>0</v>
      </c>
      <c r="F76" s="103">
        <v>-20729</v>
      </c>
      <c r="G76" s="104">
        <f t="shared" si="2"/>
        <v>1.4376721975479091E-4</v>
      </c>
    </row>
    <row r="77" spans="1:7" ht="15.4" x14ac:dyDescent="0.45">
      <c r="A77" s="85" t="s">
        <v>71</v>
      </c>
      <c r="B77" s="103">
        <v>555446</v>
      </c>
      <c r="C77" s="103">
        <v>258009.82</v>
      </c>
      <c r="D77" s="103">
        <v>297436.18</v>
      </c>
      <c r="E77" s="103">
        <v>0</v>
      </c>
      <c r="F77" s="103">
        <v>297436.18</v>
      </c>
      <c r="G77" s="104">
        <f t="shared" si="2"/>
        <v>2.4870726032116481E-3</v>
      </c>
    </row>
    <row r="78" spans="1:7" ht="15.4" x14ac:dyDescent="0.45">
      <c r="A78" s="85" t="s">
        <v>72</v>
      </c>
      <c r="B78" s="103"/>
      <c r="C78" s="103"/>
      <c r="D78" s="103"/>
      <c r="E78" s="103"/>
      <c r="F78" s="103"/>
      <c r="G78" s="104">
        <f t="shared" si="2"/>
        <v>0</v>
      </c>
    </row>
    <row r="79" spans="1:7" ht="15.4" x14ac:dyDescent="0.45">
      <c r="A79" s="85" t="s">
        <v>73</v>
      </c>
      <c r="B79" s="103"/>
      <c r="C79" s="103"/>
      <c r="D79" s="103"/>
      <c r="E79" s="103"/>
      <c r="F79" s="103"/>
      <c r="G79" s="104">
        <f t="shared" si="2"/>
        <v>0</v>
      </c>
    </row>
    <row r="80" spans="1:7" ht="15.4" x14ac:dyDescent="0.45">
      <c r="A80" s="85" t="s">
        <v>126</v>
      </c>
      <c r="B80" s="103">
        <v>192729</v>
      </c>
      <c r="C80" s="103">
        <v>182308.23</v>
      </c>
      <c r="D80" s="103">
        <v>10420.77</v>
      </c>
      <c r="E80" s="103">
        <v>-20531</v>
      </c>
      <c r="F80" s="103">
        <v>-19506.23</v>
      </c>
      <c r="G80" s="104">
        <f t="shared" si="2"/>
        <v>8.6296600523611249E-4</v>
      </c>
    </row>
    <row r="81" spans="1:7" ht="15.4" x14ac:dyDescent="0.45">
      <c r="A81" s="85" t="s">
        <v>75</v>
      </c>
      <c r="B81" s="103">
        <v>56432</v>
      </c>
      <c r="C81" s="103">
        <v>58561.29</v>
      </c>
      <c r="D81" s="103">
        <v>-2129.29</v>
      </c>
      <c r="E81" s="103">
        <v>7255</v>
      </c>
      <c r="F81" s="103">
        <v>-556.29</v>
      </c>
      <c r="G81" s="104">
        <f t="shared" si="2"/>
        <v>2.5268069469298497E-4</v>
      </c>
    </row>
    <row r="82" spans="1:7" ht="15.4" x14ac:dyDescent="0.45">
      <c r="A82" s="85" t="s">
        <v>76</v>
      </c>
      <c r="B82" s="103">
        <v>276515</v>
      </c>
      <c r="C82" s="103">
        <v>245273.38</v>
      </c>
      <c r="D82" s="103">
        <v>31241.62</v>
      </c>
      <c r="E82" s="103">
        <v>0</v>
      </c>
      <c r="F82" s="103">
        <v>29534.43</v>
      </c>
      <c r="G82" s="104">
        <f t="shared" si="2"/>
        <v>1.2381273442910181E-3</v>
      </c>
    </row>
    <row r="83" spans="1:7" ht="15.4" x14ac:dyDescent="0.45">
      <c r="A83" s="85" t="s">
        <v>127</v>
      </c>
      <c r="B83" s="103"/>
      <c r="C83" s="103"/>
      <c r="D83" s="103"/>
      <c r="E83" s="103"/>
      <c r="F83" s="103"/>
      <c r="G83" s="104">
        <f t="shared" si="2"/>
        <v>0</v>
      </c>
    </row>
    <row r="84" spans="1:7" ht="15.4" x14ac:dyDescent="0.45">
      <c r="A84" s="85" t="s">
        <v>77</v>
      </c>
      <c r="B84" s="103">
        <v>10473303</v>
      </c>
      <c r="C84" s="103">
        <v>6121068.5</v>
      </c>
      <c r="D84" s="103">
        <v>4352234.5</v>
      </c>
      <c r="E84" s="103">
        <v>204562.85</v>
      </c>
      <c r="F84" s="103">
        <v>3420124.35</v>
      </c>
      <c r="G84" s="104">
        <f t="shared" si="2"/>
        <v>4.6895404695387784E-2</v>
      </c>
    </row>
    <row r="85" spans="1:7" ht="15.4" x14ac:dyDescent="0.45">
      <c r="A85" s="85" t="s">
        <v>78</v>
      </c>
      <c r="B85" s="103"/>
      <c r="C85" s="103"/>
      <c r="D85" s="103"/>
      <c r="E85" s="103"/>
      <c r="F85" s="103"/>
      <c r="G85" s="104">
        <f t="shared" si="2"/>
        <v>0</v>
      </c>
    </row>
    <row r="86" spans="1:7" ht="15.4" x14ac:dyDescent="0.45">
      <c r="A86" s="85" t="s">
        <v>154</v>
      </c>
      <c r="B86" s="103">
        <v>26884</v>
      </c>
      <c r="C86" s="103">
        <v>161364.66</v>
      </c>
      <c r="D86" s="103">
        <v>-134480.66</v>
      </c>
      <c r="E86" s="103">
        <v>99480.18</v>
      </c>
      <c r="F86" s="103">
        <v>-35000.480000000003</v>
      </c>
      <c r="G86" s="104">
        <f t="shared" si="2"/>
        <v>1.2037616593645818E-4</v>
      </c>
    </row>
    <row r="87" spans="1:7" ht="15.4" x14ac:dyDescent="0.45">
      <c r="A87" s="85" t="s">
        <v>111</v>
      </c>
      <c r="B87" s="103">
        <v>509661</v>
      </c>
      <c r="C87" s="103">
        <v>303613.76</v>
      </c>
      <c r="D87" s="103">
        <v>206047.24</v>
      </c>
      <c r="E87" s="103">
        <v>46065.89</v>
      </c>
      <c r="F87" s="103">
        <v>252113.13</v>
      </c>
      <c r="G87" s="104">
        <f t="shared" si="2"/>
        <v>2.2820650612758969E-3</v>
      </c>
    </row>
    <row r="88" spans="1:7" ht="15.4" x14ac:dyDescent="0.45">
      <c r="A88" s="85" t="s">
        <v>80</v>
      </c>
      <c r="B88" s="103">
        <v>1414400</v>
      </c>
      <c r="C88" s="103">
        <v>1182062</v>
      </c>
      <c r="D88" s="103">
        <v>232338</v>
      </c>
      <c r="E88" s="103">
        <v>0</v>
      </c>
      <c r="F88" s="103">
        <v>174253</v>
      </c>
      <c r="G88" s="104">
        <f t="shared" si="2"/>
        <v>6.3331367765409327E-3</v>
      </c>
    </row>
    <row r="89" spans="1:7" ht="15.4" x14ac:dyDescent="0.45">
      <c r="A89" s="85" t="s">
        <v>81</v>
      </c>
      <c r="B89" s="103">
        <v>204634</v>
      </c>
      <c r="C89" s="103">
        <v>153746</v>
      </c>
      <c r="D89" s="103">
        <v>50888</v>
      </c>
      <c r="E89" s="103">
        <v>13167</v>
      </c>
      <c r="F89" s="103">
        <v>48041</v>
      </c>
      <c r="G89" s="104">
        <f t="shared" si="2"/>
        <v>9.1627199599171193E-4</v>
      </c>
    </row>
    <row r="90" spans="1:7" ht="15.4" x14ac:dyDescent="0.45">
      <c r="A90" s="85" t="s">
        <v>82</v>
      </c>
      <c r="B90" s="103"/>
      <c r="C90" s="103"/>
      <c r="D90" s="103"/>
      <c r="E90" s="103"/>
      <c r="F90" s="103"/>
      <c r="G90" s="104">
        <f t="shared" si="2"/>
        <v>0</v>
      </c>
    </row>
    <row r="91" spans="1:7" ht="15.4" x14ac:dyDescent="0.45">
      <c r="A91" s="85" t="s">
        <v>83</v>
      </c>
      <c r="B91" s="103">
        <v>2900868</v>
      </c>
      <c r="C91" s="103">
        <v>4008192.05</v>
      </c>
      <c r="D91" s="103">
        <v>-1107324.05</v>
      </c>
      <c r="E91" s="103">
        <v>3129619.29</v>
      </c>
      <c r="F91" s="103">
        <v>2022295.24</v>
      </c>
      <c r="G91" s="104">
        <f t="shared" si="2"/>
        <v>1.2988966215137687E-2</v>
      </c>
    </row>
    <row r="92" spans="1:7" ht="15.4" x14ac:dyDescent="0.45">
      <c r="A92" s="85" t="s">
        <v>112</v>
      </c>
      <c r="B92" s="103">
        <v>56498</v>
      </c>
      <c r="C92" s="103">
        <v>160634</v>
      </c>
      <c r="D92" s="103">
        <v>-104136</v>
      </c>
      <c r="E92" s="103">
        <v>44764.42</v>
      </c>
      <c r="F92" s="103">
        <v>-59371.58</v>
      </c>
      <c r="G92" s="104">
        <f t="shared" si="2"/>
        <v>2.5297621719528397E-4</v>
      </c>
    </row>
    <row r="93" spans="1:7" ht="15.4" x14ac:dyDescent="0.45">
      <c r="A93" s="85" t="s">
        <v>84</v>
      </c>
      <c r="B93" s="103">
        <v>805671</v>
      </c>
      <c r="C93" s="103">
        <v>617599</v>
      </c>
      <c r="D93" s="103">
        <v>188072</v>
      </c>
      <c r="E93" s="103">
        <v>20600</v>
      </c>
      <c r="F93" s="103">
        <v>156504</v>
      </c>
      <c r="G93" s="104">
        <f t="shared" si="2"/>
        <v>3.6074834840868989E-3</v>
      </c>
    </row>
    <row r="94" spans="1:7" ht="15.4" x14ac:dyDescent="0.45">
      <c r="A94" s="85" t="s">
        <v>85</v>
      </c>
      <c r="B94" s="103"/>
      <c r="C94" s="103"/>
      <c r="D94" s="103"/>
      <c r="E94" s="103"/>
      <c r="F94" s="103"/>
      <c r="G94" s="104">
        <f t="shared" si="2"/>
        <v>0</v>
      </c>
    </row>
    <row r="95" spans="1:7" ht="15.4" x14ac:dyDescent="0.45">
      <c r="A95" s="85" t="s">
        <v>86</v>
      </c>
      <c r="B95" s="103">
        <v>3996410</v>
      </c>
      <c r="C95" s="103">
        <v>4228293.7</v>
      </c>
      <c r="D95" s="103">
        <v>-231883.7</v>
      </c>
      <c r="E95" s="103">
        <v>1219276.3999999999</v>
      </c>
      <c r="F95" s="103">
        <v>987392.7</v>
      </c>
      <c r="G95" s="104">
        <f t="shared" si="2"/>
        <v>1.7894380051708108E-2</v>
      </c>
    </row>
    <row r="96" spans="1:7" ht="15.4" x14ac:dyDescent="0.45">
      <c r="A96" s="85" t="s">
        <v>87</v>
      </c>
      <c r="B96" s="103">
        <v>1535923</v>
      </c>
      <c r="C96" s="103">
        <v>470187.25</v>
      </c>
      <c r="D96" s="103">
        <v>1065735.75</v>
      </c>
      <c r="E96" s="103">
        <v>0</v>
      </c>
      <c r="F96" s="103">
        <v>1065735.75</v>
      </c>
      <c r="G96" s="104">
        <f t="shared" si="2"/>
        <v>6.8772698227057968E-3</v>
      </c>
    </row>
    <row r="97" spans="1:7" ht="15.4" x14ac:dyDescent="0.45">
      <c r="A97" s="85" t="s">
        <v>88</v>
      </c>
      <c r="B97" s="103"/>
      <c r="C97" s="103"/>
      <c r="D97" s="103"/>
      <c r="E97" s="103"/>
      <c r="F97" s="103"/>
      <c r="G97" s="104">
        <f t="shared" si="2"/>
        <v>0</v>
      </c>
    </row>
    <row r="98" spans="1:7" ht="15.4" x14ac:dyDescent="0.45">
      <c r="A98" s="85" t="s">
        <v>89</v>
      </c>
      <c r="B98" s="103">
        <v>83057</v>
      </c>
      <c r="C98" s="103">
        <v>139207</v>
      </c>
      <c r="D98" s="103">
        <v>-56150</v>
      </c>
      <c r="E98" s="103">
        <v>13338.36</v>
      </c>
      <c r="F98" s="103">
        <v>-42811.64</v>
      </c>
      <c r="G98" s="104">
        <f t="shared" si="2"/>
        <v>3.7189715868860316E-4</v>
      </c>
    </row>
    <row r="99" spans="1:7" ht="15.4" x14ac:dyDescent="0.45">
      <c r="A99" s="85" t="s">
        <v>144</v>
      </c>
      <c r="B99" s="103"/>
      <c r="C99" s="103"/>
      <c r="D99" s="103"/>
      <c r="E99" s="103"/>
      <c r="F99" s="103"/>
      <c r="G99" s="104">
        <f t="shared" ref="G99:G124" si="3">B99/$B$125</f>
        <v>0</v>
      </c>
    </row>
    <row r="100" spans="1:7" ht="15.4" x14ac:dyDescent="0.45">
      <c r="A100" s="85" t="s">
        <v>90</v>
      </c>
      <c r="B100" s="103">
        <v>2696133</v>
      </c>
      <c r="C100" s="103">
        <v>1769428</v>
      </c>
      <c r="D100" s="103">
        <v>926705</v>
      </c>
      <c r="E100" s="103">
        <v>0</v>
      </c>
      <c r="F100" s="103">
        <v>926705</v>
      </c>
      <c r="G100" s="104">
        <f t="shared" si="3"/>
        <v>1.2072241980165183E-2</v>
      </c>
    </row>
    <row r="101" spans="1:7" ht="15.4" x14ac:dyDescent="0.45">
      <c r="A101" s="85" t="s">
        <v>91</v>
      </c>
      <c r="B101" s="103">
        <v>8592833</v>
      </c>
      <c r="C101" s="103">
        <v>5917474</v>
      </c>
      <c r="D101" s="103">
        <v>2675359</v>
      </c>
      <c r="E101" s="103">
        <v>42800</v>
      </c>
      <c r="F101" s="103">
        <v>2168515</v>
      </c>
      <c r="G101" s="104">
        <f t="shared" si="3"/>
        <v>3.8475386515112099E-2</v>
      </c>
    </row>
    <row r="102" spans="1:7" ht="15.4" x14ac:dyDescent="0.45">
      <c r="A102" s="85" t="s">
        <v>92</v>
      </c>
      <c r="B102" s="103"/>
      <c r="C102" s="103"/>
      <c r="D102" s="103"/>
      <c r="E102" s="103"/>
      <c r="F102" s="103"/>
      <c r="G102" s="104">
        <f t="shared" si="3"/>
        <v>0</v>
      </c>
    </row>
    <row r="103" spans="1:7" ht="15.4" x14ac:dyDescent="0.45">
      <c r="A103" s="85" t="s">
        <v>93</v>
      </c>
      <c r="B103" s="103">
        <v>990217</v>
      </c>
      <c r="C103" s="103">
        <v>380092</v>
      </c>
      <c r="D103" s="103">
        <v>610125</v>
      </c>
      <c r="E103" s="103">
        <v>107251</v>
      </c>
      <c r="F103" s="103">
        <v>717376</v>
      </c>
      <c r="G103" s="104">
        <f t="shared" si="3"/>
        <v>4.4338091766516069E-3</v>
      </c>
    </row>
    <row r="104" spans="1:7" ht="15.4" x14ac:dyDescent="0.45">
      <c r="A104" s="85" t="s">
        <v>113</v>
      </c>
      <c r="B104" s="103">
        <v>1025501</v>
      </c>
      <c r="C104" s="103">
        <v>260436.87</v>
      </c>
      <c r="D104" s="103">
        <v>765064.13</v>
      </c>
      <c r="E104" s="103">
        <v>0</v>
      </c>
      <c r="F104" s="103">
        <v>573798.1</v>
      </c>
      <c r="G104" s="104">
        <f t="shared" si="3"/>
        <v>4.5917972974261192E-3</v>
      </c>
    </row>
    <row r="105" spans="1:7" ht="15.4" x14ac:dyDescent="0.45">
      <c r="A105" s="85" t="s">
        <v>94</v>
      </c>
      <c r="B105" s="103">
        <v>4720214</v>
      </c>
      <c r="C105" s="103">
        <v>3642895.52</v>
      </c>
      <c r="D105" s="103">
        <v>1077318.48</v>
      </c>
      <c r="E105" s="103">
        <v>117382.67</v>
      </c>
      <c r="F105" s="103">
        <v>1010373.28</v>
      </c>
      <c r="G105" s="104">
        <f t="shared" si="3"/>
        <v>2.1135294737375129E-2</v>
      </c>
    </row>
    <row r="106" spans="1:7" ht="15.4" x14ac:dyDescent="0.45">
      <c r="A106" s="85" t="s">
        <v>155</v>
      </c>
      <c r="B106" s="103"/>
      <c r="C106" s="103"/>
      <c r="D106" s="103"/>
      <c r="E106" s="103"/>
      <c r="F106" s="103"/>
      <c r="G106" s="104">
        <f t="shared" si="3"/>
        <v>0</v>
      </c>
    </row>
    <row r="107" spans="1:7" ht="15.4" x14ac:dyDescent="0.45">
      <c r="A107" s="85" t="s">
        <v>114</v>
      </c>
      <c r="B107" s="103">
        <v>2495811</v>
      </c>
      <c r="C107" s="103">
        <v>1618327.23</v>
      </c>
      <c r="D107" s="103">
        <v>877483.77</v>
      </c>
      <c r="E107" s="103">
        <v>44888</v>
      </c>
      <c r="F107" s="103">
        <v>691778.77</v>
      </c>
      <c r="G107" s="104">
        <f t="shared" si="3"/>
        <v>1.1175277454323673E-2</v>
      </c>
    </row>
    <row r="108" spans="1:7" ht="15.4" x14ac:dyDescent="0.45">
      <c r="A108" s="85" t="s">
        <v>95</v>
      </c>
      <c r="B108" s="103">
        <v>187386</v>
      </c>
      <c r="C108" s="103">
        <v>106255.72</v>
      </c>
      <c r="D108" s="103">
        <v>81130.28</v>
      </c>
      <c r="E108" s="103">
        <v>0</v>
      </c>
      <c r="F108" s="103">
        <v>81130.28</v>
      </c>
      <c r="G108" s="104">
        <f t="shared" si="3"/>
        <v>8.3904211539090725E-4</v>
      </c>
    </row>
    <row r="109" spans="1:7" ht="15.4" x14ac:dyDescent="0.45">
      <c r="A109" s="85" t="s">
        <v>96</v>
      </c>
      <c r="B109" s="103">
        <v>332316</v>
      </c>
      <c r="C109" s="103">
        <v>311779</v>
      </c>
      <c r="D109" s="103">
        <v>20537</v>
      </c>
      <c r="E109" s="103">
        <v>0</v>
      </c>
      <c r="F109" s="103">
        <v>20537</v>
      </c>
      <c r="G109" s="104">
        <f t="shared" si="3"/>
        <v>1.4879826647574779E-3</v>
      </c>
    </row>
    <row r="110" spans="1:7" ht="15.4" x14ac:dyDescent="0.45">
      <c r="A110" s="85" t="s">
        <v>145</v>
      </c>
      <c r="B110" s="103">
        <v>140123</v>
      </c>
      <c r="C110" s="103">
        <v>343594.85</v>
      </c>
      <c r="D110" s="103">
        <v>-203471.85</v>
      </c>
      <c r="E110" s="103">
        <v>84788.43</v>
      </c>
      <c r="F110" s="103">
        <v>-118683.42</v>
      </c>
      <c r="G110" s="104">
        <f t="shared" si="3"/>
        <v>6.2741666044912692E-4</v>
      </c>
    </row>
    <row r="111" spans="1:7" ht="15.4" x14ac:dyDescent="0.45">
      <c r="A111" s="85" t="s">
        <v>97</v>
      </c>
      <c r="B111" s="103">
        <v>299265</v>
      </c>
      <c r="C111" s="103">
        <v>191897</v>
      </c>
      <c r="D111" s="103">
        <v>107368</v>
      </c>
      <c r="E111" s="103">
        <v>0</v>
      </c>
      <c r="F111" s="103">
        <v>107368</v>
      </c>
      <c r="G111" s="104">
        <f t="shared" si="3"/>
        <v>1.3399930553107482E-3</v>
      </c>
    </row>
    <row r="112" spans="1:7" ht="15.4" x14ac:dyDescent="0.45">
      <c r="A112" s="85" t="s">
        <v>98</v>
      </c>
      <c r="B112" s="103">
        <v>1977086</v>
      </c>
      <c r="C112" s="103">
        <v>1543066</v>
      </c>
      <c r="D112" s="103">
        <v>434020</v>
      </c>
      <c r="E112" s="103">
        <v>14381</v>
      </c>
      <c r="F112" s="103">
        <v>330296</v>
      </c>
      <c r="G112" s="104">
        <f t="shared" si="3"/>
        <v>8.8526273027320461E-3</v>
      </c>
    </row>
    <row r="113" spans="1:7" ht="15.4" x14ac:dyDescent="0.45">
      <c r="A113" s="85" t="s">
        <v>99</v>
      </c>
      <c r="B113" s="103">
        <v>432310</v>
      </c>
      <c r="C113" s="103">
        <v>433967.33</v>
      </c>
      <c r="D113" s="103">
        <v>-1657.33</v>
      </c>
      <c r="E113" s="103">
        <v>66378.62</v>
      </c>
      <c r="F113" s="103">
        <v>48541.09</v>
      </c>
      <c r="G113" s="104">
        <f t="shared" si="3"/>
        <v>1.9357171661951434E-3</v>
      </c>
    </row>
    <row r="114" spans="1:7" ht="15.4" x14ac:dyDescent="0.45">
      <c r="A114" s="85" t="s">
        <v>100</v>
      </c>
      <c r="B114" s="103">
        <v>3681073</v>
      </c>
      <c r="C114" s="103">
        <v>2837982.17</v>
      </c>
      <c r="D114" s="103">
        <v>843090.83</v>
      </c>
      <c r="E114" s="103">
        <v>137630</v>
      </c>
      <c r="F114" s="103">
        <v>980720.83</v>
      </c>
      <c r="G114" s="104">
        <f t="shared" si="3"/>
        <v>1.6482422789473886E-2</v>
      </c>
    </row>
    <row r="115" spans="1:7" ht="15.4" x14ac:dyDescent="0.45">
      <c r="A115" s="85" t="s">
        <v>101</v>
      </c>
      <c r="B115" s="103">
        <v>59782</v>
      </c>
      <c r="C115" s="103">
        <v>52958.49</v>
      </c>
      <c r="D115" s="103">
        <v>6823.51</v>
      </c>
      <c r="E115" s="103">
        <v>0</v>
      </c>
      <c r="F115" s="103">
        <v>6823.51</v>
      </c>
      <c r="G115" s="104">
        <f t="shared" si="3"/>
        <v>2.6768070049149468E-4</v>
      </c>
    </row>
    <row r="116" spans="1:7" ht="15.4" x14ac:dyDescent="0.45">
      <c r="A116" s="85" t="s">
        <v>102</v>
      </c>
      <c r="B116" s="103"/>
      <c r="C116" s="103"/>
      <c r="D116" s="103"/>
      <c r="E116" s="103"/>
      <c r="F116" s="103"/>
      <c r="G116" s="104">
        <f t="shared" si="3"/>
        <v>0</v>
      </c>
    </row>
    <row r="117" spans="1:7" ht="15.4" x14ac:dyDescent="0.45">
      <c r="A117" s="85" t="s">
        <v>156</v>
      </c>
      <c r="B117" s="103"/>
      <c r="C117" s="103"/>
      <c r="D117" s="103"/>
      <c r="E117" s="103"/>
      <c r="F117" s="103"/>
      <c r="G117" s="104">
        <f t="shared" si="3"/>
        <v>0</v>
      </c>
    </row>
    <row r="118" spans="1:7" ht="15.4" x14ac:dyDescent="0.45">
      <c r="A118" s="85" t="s">
        <v>157</v>
      </c>
      <c r="B118" s="103">
        <v>201263</v>
      </c>
      <c r="C118" s="103">
        <v>64001.2</v>
      </c>
      <c r="D118" s="103">
        <v>137261.79999999999</v>
      </c>
      <c r="E118" s="103">
        <v>24683.08</v>
      </c>
      <c r="F118" s="103">
        <v>161944.88</v>
      </c>
      <c r="G118" s="104">
        <f t="shared" si="3"/>
        <v>9.0117796030610706E-4</v>
      </c>
    </row>
    <row r="119" spans="1:7" ht="15.4" x14ac:dyDescent="0.45">
      <c r="A119" s="85" t="s">
        <v>103</v>
      </c>
      <c r="B119" s="103">
        <v>2563665</v>
      </c>
      <c r="C119" s="103">
        <v>1299201.19</v>
      </c>
      <c r="D119" s="103">
        <v>1264463.81</v>
      </c>
      <c r="E119" s="103">
        <v>23901.02</v>
      </c>
      <c r="F119" s="103">
        <v>1288364.83</v>
      </c>
      <c r="G119" s="104">
        <f t="shared" si="3"/>
        <v>1.147910145236907E-2</v>
      </c>
    </row>
    <row r="120" spans="1:7" ht="15.4" x14ac:dyDescent="0.45">
      <c r="A120" s="85" t="s">
        <v>104</v>
      </c>
      <c r="B120" s="103">
        <v>1172157</v>
      </c>
      <c r="C120" s="103">
        <v>1175092.73</v>
      </c>
      <c r="D120" s="103">
        <v>-2935.73</v>
      </c>
      <c r="E120" s="103">
        <v>62219.839999999997</v>
      </c>
      <c r="F120" s="103">
        <v>59284.11</v>
      </c>
      <c r="G120" s="104">
        <f t="shared" si="3"/>
        <v>5.2484662079891756E-3</v>
      </c>
    </row>
    <row r="121" spans="1:7" ht="15.4" x14ac:dyDescent="0.45">
      <c r="A121" s="85" t="s">
        <v>105</v>
      </c>
      <c r="B121" s="103"/>
      <c r="C121" s="103"/>
      <c r="D121" s="103"/>
      <c r="E121" s="103"/>
      <c r="F121" s="103"/>
      <c r="G121" s="104">
        <f t="shared" si="3"/>
        <v>0</v>
      </c>
    </row>
    <row r="122" spans="1:7" ht="15.4" x14ac:dyDescent="0.45">
      <c r="A122" s="85" t="s">
        <v>106</v>
      </c>
      <c r="B122" s="103">
        <v>22924872</v>
      </c>
      <c r="C122" s="103">
        <v>5612277.4800000004</v>
      </c>
      <c r="D122" s="103">
        <v>17312594.52</v>
      </c>
      <c r="E122" s="103">
        <v>2242506.59</v>
      </c>
      <c r="F122" s="103">
        <v>14004435.109999999</v>
      </c>
      <c r="G122" s="104">
        <f t="shared" si="3"/>
        <v>0.10264872027763963</v>
      </c>
    </row>
    <row r="123" spans="1:7" ht="15.4" x14ac:dyDescent="0.45">
      <c r="A123" s="85" t="s">
        <v>146</v>
      </c>
      <c r="B123" s="103">
        <v>33941</v>
      </c>
      <c r="C123" s="103">
        <v>119606.28</v>
      </c>
      <c r="D123" s="103">
        <v>-85665.279999999999</v>
      </c>
      <c r="E123" s="103">
        <v>23269.97</v>
      </c>
      <c r="F123" s="103">
        <v>-62395.31</v>
      </c>
      <c r="G123" s="104">
        <f t="shared" si="3"/>
        <v>1.5197468561409488E-4</v>
      </c>
    </row>
    <row r="124" spans="1:7" ht="15.4" x14ac:dyDescent="0.45">
      <c r="A124" s="85" t="s">
        <v>107</v>
      </c>
      <c r="B124" s="103"/>
      <c r="C124" s="103"/>
      <c r="D124" s="103"/>
      <c r="E124" s="103"/>
      <c r="F124" s="103"/>
      <c r="G124" s="104">
        <f t="shared" si="3"/>
        <v>0</v>
      </c>
    </row>
    <row r="125" spans="1:7" ht="14.25" x14ac:dyDescent="0.45">
      <c r="A125" s="111" t="s">
        <v>108</v>
      </c>
      <c r="B125" s="108">
        <f t="shared" ref="B125:G125" si="4">SUM(B3:B124)</f>
        <v>223333247</v>
      </c>
      <c r="C125" s="108">
        <f t="shared" si="4"/>
        <v>141195576.59999996</v>
      </c>
      <c r="D125" s="108">
        <f t="shared" si="4"/>
        <v>82137670.400000006</v>
      </c>
      <c r="E125" s="108">
        <f t="shared" si="4"/>
        <v>23433153.120000001</v>
      </c>
      <c r="F125" s="108">
        <f t="shared" si="4"/>
        <v>83626084.570000008</v>
      </c>
      <c r="G125" s="112">
        <f t="shared" si="4"/>
        <v>0.99999999999999978</v>
      </c>
    </row>
  </sheetData>
  <mergeCells count="1">
    <mergeCell ref="A1:G1"/>
  </mergeCells>
  <pageMargins left="0.7" right="0.7" top="0.75" bottom="0.75" header="0.3" footer="0.3"/>
  <customProperties>
    <customPr name="LastActive" r:id="rId1"/>
  </customProperties>
  <ignoredErrors>
    <ignoredError sqref="G3:G124" evalError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30"/>
  <sheetViews>
    <sheetView topLeftCell="D1" zoomScale="106" zoomScaleNormal="106" workbookViewId="0">
      <selection activeCell="G4" sqref="G4"/>
    </sheetView>
  </sheetViews>
  <sheetFormatPr defaultRowHeight="12.75" x14ac:dyDescent="0.35"/>
  <cols>
    <col min="1" max="1" width="62.1328125" customWidth="1"/>
    <col min="2" max="2" width="17.73046875" customWidth="1"/>
    <col min="3" max="3" width="20.1328125" customWidth="1"/>
    <col min="4" max="4" width="18" customWidth="1"/>
    <col min="5" max="5" width="21.59765625" bestFit="1" customWidth="1"/>
    <col min="6" max="6" width="20.86328125" customWidth="1"/>
    <col min="7" max="7" width="16" style="106" bestFit="1" customWidth="1"/>
    <col min="8" max="8" width="10.59765625" bestFit="1" customWidth="1"/>
  </cols>
  <sheetData>
    <row r="1" spans="1:8" ht="18" x14ac:dyDescent="0.55000000000000004">
      <c r="A1" s="171" t="s">
        <v>161</v>
      </c>
      <c r="B1" s="171"/>
      <c r="C1" s="171"/>
      <c r="D1" s="171"/>
      <c r="E1" s="171"/>
      <c r="F1" s="171"/>
      <c r="G1" s="171"/>
    </row>
    <row r="2" spans="1:8" ht="36" x14ac:dyDescent="0.55000000000000004">
      <c r="A2" s="70" t="s">
        <v>1</v>
      </c>
      <c r="B2" s="71" t="s">
        <v>2</v>
      </c>
      <c r="C2" s="71" t="s">
        <v>3</v>
      </c>
      <c r="D2" s="71" t="s">
        <v>4</v>
      </c>
      <c r="E2" s="71" t="s">
        <v>5</v>
      </c>
      <c r="F2" s="71" t="s">
        <v>6</v>
      </c>
      <c r="G2" s="105" t="s">
        <v>9</v>
      </c>
    </row>
    <row r="3" spans="1:8" ht="15.4" x14ac:dyDescent="0.45">
      <c r="A3" s="85" t="s">
        <v>117</v>
      </c>
      <c r="B3" s="103">
        <v>80831</v>
      </c>
      <c r="C3" s="103">
        <v>233774.87</v>
      </c>
      <c r="D3" s="103">
        <v>-152943.87</v>
      </c>
      <c r="E3" s="103">
        <v>382751.34</v>
      </c>
      <c r="F3" s="103">
        <v>229807.47</v>
      </c>
      <c r="G3" s="104">
        <f>B3/$B$127</f>
        <v>2.7639028036415789E-4</v>
      </c>
    </row>
    <row r="4" spans="1:8" ht="15.4" x14ac:dyDescent="0.45">
      <c r="A4" s="85" t="s">
        <v>10</v>
      </c>
      <c r="B4" s="103">
        <v>5276216</v>
      </c>
      <c r="C4" s="103">
        <v>3548776</v>
      </c>
      <c r="D4" s="103">
        <v>1727440</v>
      </c>
      <c r="E4" s="103">
        <v>89074</v>
      </c>
      <c r="F4" s="103">
        <v>1309037</v>
      </c>
      <c r="G4" s="104">
        <f t="shared" ref="G4:G67" si="0">B4/$B$127</f>
        <v>1.8041281432889061E-2</v>
      </c>
      <c r="H4" s="49"/>
    </row>
    <row r="5" spans="1:8" ht="15.4" x14ac:dyDescent="0.45">
      <c r="A5" s="85" t="s">
        <v>11</v>
      </c>
      <c r="B5" s="103"/>
      <c r="C5" s="103"/>
      <c r="D5" s="103"/>
      <c r="E5" s="103"/>
      <c r="F5" s="103"/>
      <c r="G5" s="104">
        <f t="shared" si="0"/>
        <v>0</v>
      </c>
    </row>
    <row r="6" spans="1:8" ht="15.4" x14ac:dyDescent="0.45">
      <c r="A6" s="85" t="s">
        <v>162</v>
      </c>
      <c r="B6" s="103"/>
      <c r="C6" s="103"/>
      <c r="D6" s="103"/>
      <c r="E6" s="103"/>
      <c r="F6" s="103"/>
      <c r="G6" s="104">
        <f t="shared" si="0"/>
        <v>0</v>
      </c>
    </row>
    <row r="7" spans="1:8" ht="15.4" x14ac:dyDescent="0.45">
      <c r="A7" s="85" t="s">
        <v>12</v>
      </c>
      <c r="B7" s="103">
        <v>1974580</v>
      </c>
      <c r="C7" s="103">
        <v>2111073.66</v>
      </c>
      <c r="D7" s="103">
        <v>-136493.66</v>
      </c>
      <c r="E7" s="103">
        <v>231978.27</v>
      </c>
      <c r="F7" s="103">
        <v>64732.61</v>
      </c>
      <c r="G7" s="104">
        <f t="shared" si="0"/>
        <v>6.7517996783592786E-3</v>
      </c>
    </row>
    <row r="8" spans="1:8" ht="15.4" x14ac:dyDescent="0.45">
      <c r="A8" s="85" t="s">
        <v>13</v>
      </c>
      <c r="B8" s="103">
        <v>880120</v>
      </c>
      <c r="C8" s="103">
        <v>825360</v>
      </c>
      <c r="D8" s="103">
        <v>54760</v>
      </c>
      <c r="E8" s="103">
        <v>225247</v>
      </c>
      <c r="F8" s="103">
        <v>217203</v>
      </c>
      <c r="G8" s="104">
        <f t="shared" si="0"/>
        <v>3.0094470383157778E-3</v>
      </c>
    </row>
    <row r="9" spans="1:8" ht="15.4" x14ac:dyDescent="0.45">
      <c r="A9" s="85" t="s">
        <v>14</v>
      </c>
      <c r="B9" s="103">
        <v>1539703</v>
      </c>
      <c r="C9" s="103">
        <v>1442279.51</v>
      </c>
      <c r="D9" s="103">
        <v>97423.49</v>
      </c>
      <c r="E9" s="103">
        <v>50000</v>
      </c>
      <c r="F9" s="103">
        <v>110566.49</v>
      </c>
      <c r="G9" s="104">
        <f t="shared" si="0"/>
        <v>5.2647987015815093E-3</v>
      </c>
    </row>
    <row r="10" spans="1:8" ht="15.4" x14ac:dyDescent="0.45">
      <c r="A10" s="85" t="s">
        <v>16</v>
      </c>
      <c r="B10" s="103">
        <v>3936484</v>
      </c>
      <c r="C10" s="103">
        <v>3403111.65</v>
      </c>
      <c r="D10" s="103">
        <v>533372.35</v>
      </c>
      <c r="E10" s="103">
        <v>1059468.96</v>
      </c>
      <c r="F10" s="103">
        <v>1304416.31</v>
      </c>
      <c r="G10" s="104">
        <f t="shared" si="0"/>
        <v>1.3460255550581109E-2</v>
      </c>
    </row>
    <row r="11" spans="1:8" ht="15.4" x14ac:dyDescent="0.45">
      <c r="A11" s="85" t="s">
        <v>17</v>
      </c>
      <c r="B11" s="103">
        <v>1243255</v>
      </c>
      <c r="C11" s="103">
        <v>383981.61</v>
      </c>
      <c r="D11" s="103">
        <v>859273.39</v>
      </c>
      <c r="E11" s="103">
        <v>0</v>
      </c>
      <c r="F11" s="103">
        <v>859273.39</v>
      </c>
      <c r="G11" s="104">
        <f t="shared" si="0"/>
        <v>4.2511362968927898E-3</v>
      </c>
    </row>
    <row r="12" spans="1:8" ht="15.4" x14ac:dyDescent="0.45">
      <c r="A12" s="85" t="s">
        <v>18</v>
      </c>
      <c r="B12" s="103"/>
      <c r="C12" s="103"/>
      <c r="D12" s="103"/>
      <c r="E12" s="103"/>
      <c r="F12" s="103"/>
      <c r="G12" s="104">
        <f t="shared" si="0"/>
        <v>0</v>
      </c>
    </row>
    <row r="13" spans="1:8" ht="15.4" x14ac:dyDescent="0.45">
      <c r="A13" s="85" t="s">
        <v>19</v>
      </c>
      <c r="B13" s="103">
        <v>996772</v>
      </c>
      <c r="C13" s="103">
        <v>1149398.3600000001</v>
      </c>
      <c r="D13" s="103">
        <v>-152626.35999999999</v>
      </c>
      <c r="E13" s="103">
        <v>293140</v>
      </c>
      <c r="F13" s="103">
        <v>96854.13</v>
      </c>
      <c r="G13" s="104">
        <f t="shared" si="0"/>
        <v>3.4083222097851364E-3</v>
      </c>
    </row>
    <row r="14" spans="1:8" ht="15.4" x14ac:dyDescent="0.45">
      <c r="A14" s="85" t="s">
        <v>20</v>
      </c>
      <c r="B14" s="103">
        <v>1196446</v>
      </c>
      <c r="C14" s="103">
        <v>982786.94</v>
      </c>
      <c r="D14" s="103">
        <v>213659.06</v>
      </c>
      <c r="E14" s="103">
        <v>28739.53</v>
      </c>
      <c r="F14" s="103">
        <v>242398.59</v>
      </c>
      <c r="G14" s="104">
        <f t="shared" si="0"/>
        <v>4.0910794791673396E-3</v>
      </c>
    </row>
    <row r="15" spans="1:8" ht="15.4" x14ac:dyDescent="0.45">
      <c r="A15" s="85" t="s">
        <v>21</v>
      </c>
      <c r="B15" s="103">
        <v>477308</v>
      </c>
      <c r="C15" s="103">
        <v>791851</v>
      </c>
      <c r="D15" s="103">
        <v>-314543</v>
      </c>
      <c r="E15" s="103">
        <v>0</v>
      </c>
      <c r="F15" s="103">
        <v>-317063</v>
      </c>
      <c r="G15" s="104">
        <f t="shared" si="0"/>
        <v>1.6320878368454611E-3</v>
      </c>
    </row>
    <row r="16" spans="1:8" ht="15.4" x14ac:dyDescent="0.45">
      <c r="A16" s="85" t="s">
        <v>134</v>
      </c>
      <c r="B16" s="103">
        <v>2175685</v>
      </c>
      <c r="C16" s="103">
        <v>2120689.7599999998</v>
      </c>
      <c r="D16" s="103">
        <v>54995.24</v>
      </c>
      <c r="E16" s="103">
        <v>-17973</v>
      </c>
      <c r="F16" s="103">
        <v>27766.74</v>
      </c>
      <c r="G16" s="104">
        <f t="shared" si="0"/>
        <v>7.439450051763467E-3</v>
      </c>
    </row>
    <row r="17" spans="1:7" ht="15.4" x14ac:dyDescent="0.45">
      <c r="A17" s="85" t="s">
        <v>22</v>
      </c>
      <c r="B17" s="103">
        <v>318291</v>
      </c>
      <c r="C17" s="103">
        <v>210676.81</v>
      </c>
      <c r="D17" s="103">
        <v>107614.19</v>
      </c>
      <c r="E17" s="103">
        <v>135592.26</v>
      </c>
      <c r="F17" s="103">
        <v>243206.45</v>
      </c>
      <c r="G17" s="104">
        <f t="shared" si="0"/>
        <v>1.0883514830620452E-3</v>
      </c>
    </row>
    <row r="18" spans="1:7" ht="15.4" x14ac:dyDescent="0.45">
      <c r="A18" s="85" t="s">
        <v>135</v>
      </c>
      <c r="B18" s="103">
        <v>262397</v>
      </c>
      <c r="C18" s="103">
        <v>218451.91</v>
      </c>
      <c r="D18" s="103">
        <v>43945.09</v>
      </c>
      <c r="E18" s="103">
        <v>9781.35</v>
      </c>
      <c r="F18" s="103">
        <v>53726.44</v>
      </c>
      <c r="G18" s="104">
        <f t="shared" si="0"/>
        <v>8.9722978061280859E-4</v>
      </c>
    </row>
    <row r="19" spans="1:7" ht="15.4" x14ac:dyDescent="0.45">
      <c r="A19" s="85" t="s">
        <v>23</v>
      </c>
      <c r="B19" s="103">
        <v>1004179</v>
      </c>
      <c r="C19" s="103">
        <v>1008793.16</v>
      </c>
      <c r="D19" s="103">
        <v>-4614.16</v>
      </c>
      <c r="E19" s="103">
        <v>309367.53999999998</v>
      </c>
      <c r="F19" s="103">
        <v>304753.38</v>
      </c>
      <c r="G19" s="104">
        <f t="shared" si="0"/>
        <v>3.4336494085907593E-3</v>
      </c>
    </row>
    <row r="20" spans="1:7" ht="15.4" x14ac:dyDescent="0.45">
      <c r="A20" s="85" t="s">
        <v>24</v>
      </c>
      <c r="B20" s="103">
        <v>14054552</v>
      </c>
      <c r="C20" s="103">
        <v>11914744.460000001</v>
      </c>
      <c r="D20" s="103">
        <v>2139807.54</v>
      </c>
      <c r="E20" s="103">
        <v>867127.17</v>
      </c>
      <c r="F20" s="103">
        <v>1903413.08</v>
      </c>
      <c r="G20" s="104">
        <f t="shared" si="0"/>
        <v>4.8057571571211981E-2</v>
      </c>
    </row>
    <row r="21" spans="1:7" ht="15.4" x14ac:dyDescent="0.45">
      <c r="A21" s="85" t="s">
        <v>136</v>
      </c>
      <c r="B21" s="103">
        <v>82484</v>
      </c>
      <c r="C21" s="103">
        <v>81755</v>
      </c>
      <c r="D21" s="103">
        <v>729</v>
      </c>
      <c r="E21" s="103">
        <v>53514</v>
      </c>
      <c r="F21" s="103">
        <v>54243</v>
      </c>
      <c r="G21" s="104">
        <f t="shared" si="0"/>
        <v>2.8204248228473231E-4</v>
      </c>
    </row>
    <row r="22" spans="1:7" ht="15.4" x14ac:dyDescent="0.45">
      <c r="A22" s="85" t="s">
        <v>25</v>
      </c>
      <c r="B22" s="103">
        <v>732135</v>
      </c>
      <c r="C22" s="103">
        <v>766452.01</v>
      </c>
      <c r="D22" s="103">
        <v>-34317.01</v>
      </c>
      <c r="E22" s="103">
        <v>3830.95</v>
      </c>
      <c r="F22" s="103">
        <v>-30486.06</v>
      </c>
      <c r="G22" s="104">
        <f t="shared" si="0"/>
        <v>2.5034330629883673E-3</v>
      </c>
    </row>
    <row r="23" spans="1:7" ht="15.4" x14ac:dyDescent="0.45">
      <c r="A23" s="85" t="s">
        <v>26</v>
      </c>
      <c r="B23" s="103">
        <v>478500</v>
      </c>
      <c r="C23" s="103">
        <v>1163055.6299999999</v>
      </c>
      <c r="D23" s="103">
        <v>-684555.63</v>
      </c>
      <c r="E23" s="103">
        <v>30739.79</v>
      </c>
      <c r="F23" s="103">
        <v>-653815.84</v>
      </c>
      <c r="G23" s="104">
        <f t="shared" si="0"/>
        <v>1.6361637138504971E-3</v>
      </c>
    </row>
    <row r="24" spans="1:7" ht="15.4" x14ac:dyDescent="0.45">
      <c r="A24" s="85" t="s">
        <v>27</v>
      </c>
      <c r="B24" s="103">
        <v>222823</v>
      </c>
      <c r="C24" s="103">
        <v>215973.41</v>
      </c>
      <c r="D24" s="103">
        <v>6849.59</v>
      </c>
      <c r="E24" s="103">
        <v>103507.95</v>
      </c>
      <c r="F24" s="103">
        <v>100558.04</v>
      </c>
      <c r="G24" s="104">
        <f t="shared" si="0"/>
        <v>7.6191203178957022E-4</v>
      </c>
    </row>
    <row r="25" spans="1:7" ht="15.4" x14ac:dyDescent="0.45">
      <c r="A25" s="85" t="s">
        <v>118</v>
      </c>
      <c r="B25" s="103">
        <v>342513</v>
      </c>
      <c r="C25" s="103">
        <v>348302.67</v>
      </c>
      <c r="D25" s="103">
        <v>-5789.67</v>
      </c>
      <c r="E25" s="103">
        <v>46895.94</v>
      </c>
      <c r="F25" s="103">
        <v>41106.269999999997</v>
      </c>
      <c r="G25" s="104">
        <f t="shared" si="0"/>
        <v>1.1711752186459256E-3</v>
      </c>
    </row>
    <row r="26" spans="1:7" ht="15.4" x14ac:dyDescent="0.45">
      <c r="A26" s="85" t="s">
        <v>28</v>
      </c>
      <c r="B26" s="103">
        <v>4086443</v>
      </c>
      <c r="C26" s="103">
        <v>1543539.01</v>
      </c>
      <c r="D26" s="103">
        <v>2542903.9900000002</v>
      </c>
      <c r="E26" s="103">
        <v>0</v>
      </c>
      <c r="F26" s="103">
        <v>2542903.9900000002</v>
      </c>
      <c r="G26" s="104">
        <f t="shared" si="0"/>
        <v>1.3973019342358135E-2</v>
      </c>
    </row>
    <row r="27" spans="1:7" ht="15.4" x14ac:dyDescent="0.45">
      <c r="A27" s="85" t="s">
        <v>8</v>
      </c>
      <c r="B27" s="103">
        <v>1554407</v>
      </c>
      <c r="C27" s="103">
        <v>241796</v>
      </c>
      <c r="D27" s="103">
        <v>1312611</v>
      </c>
      <c r="E27" s="103">
        <v>0</v>
      </c>
      <c r="F27" s="103">
        <v>1312611</v>
      </c>
      <c r="G27" s="104">
        <f t="shared" si="0"/>
        <v>5.3150769696033639E-3</v>
      </c>
    </row>
    <row r="28" spans="1:7" ht="15.4" x14ac:dyDescent="0.45">
      <c r="A28" s="85" t="s">
        <v>29</v>
      </c>
      <c r="B28" s="103">
        <v>4204125</v>
      </c>
      <c r="C28" s="103">
        <v>3379197.24</v>
      </c>
      <c r="D28" s="103">
        <v>824927.76</v>
      </c>
      <c r="E28" s="103">
        <v>8219.18</v>
      </c>
      <c r="F28" s="103">
        <v>833146.94</v>
      </c>
      <c r="G28" s="104">
        <f t="shared" si="0"/>
        <v>1.4375416454528153E-2</v>
      </c>
    </row>
    <row r="29" spans="1:7" ht="15.4" x14ac:dyDescent="0.45">
      <c r="A29" s="85" t="s">
        <v>30</v>
      </c>
      <c r="B29" s="103"/>
      <c r="C29" s="103"/>
      <c r="D29" s="103"/>
      <c r="E29" s="103"/>
      <c r="F29" s="103"/>
      <c r="G29" s="104">
        <f t="shared" si="0"/>
        <v>0</v>
      </c>
    </row>
    <row r="30" spans="1:7" ht="15.4" x14ac:dyDescent="0.45">
      <c r="A30" s="85" t="s">
        <v>31</v>
      </c>
      <c r="B30" s="103">
        <v>484096</v>
      </c>
      <c r="C30" s="103">
        <v>707055.06</v>
      </c>
      <c r="D30" s="103">
        <v>-222959.06</v>
      </c>
      <c r="E30" s="103">
        <v>0</v>
      </c>
      <c r="F30" s="103">
        <v>-222959.06</v>
      </c>
      <c r="G30" s="104">
        <f t="shared" si="0"/>
        <v>1.6552984518707842E-3</v>
      </c>
    </row>
    <row r="31" spans="1:7" ht="15.4" x14ac:dyDescent="0.45">
      <c r="A31" s="85" t="s">
        <v>32</v>
      </c>
      <c r="B31" s="103">
        <v>1009882</v>
      </c>
      <c r="C31" s="103">
        <v>517936</v>
      </c>
      <c r="D31" s="103">
        <v>491946</v>
      </c>
      <c r="E31" s="103">
        <v>123533</v>
      </c>
      <c r="F31" s="103">
        <v>615479</v>
      </c>
      <c r="G31" s="104">
        <f t="shared" si="0"/>
        <v>3.453150018120727E-3</v>
      </c>
    </row>
    <row r="32" spans="1:7" ht="15.4" x14ac:dyDescent="0.45">
      <c r="A32" s="85" t="s">
        <v>33</v>
      </c>
      <c r="B32" s="103">
        <v>74428</v>
      </c>
      <c r="C32" s="103">
        <v>76060.350000000006</v>
      </c>
      <c r="D32" s="103">
        <v>-1632.35</v>
      </c>
      <c r="E32" s="103">
        <v>0</v>
      </c>
      <c r="F32" s="103">
        <v>-1632.35</v>
      </c>
      <c r="G32" s="104">
        <f t="shared" si="0"/>
        <v>2.5449611890170283E-4</v>
      </c>
    </row>
    <row r="33" spans="1:7" ht="15.4" x14ac:dyDescent="0.45">
      <c r="A33" s="85" t="s">
        <v>34</v>
      </c>
      <c r="B33" s="103"/>
      <c r="C33" s="103"/>
      <c r="D33" s="103"/>
      <c r="E33" s="103"/>
      <c r="F33" s="103"/>
      <c r="G33" s="104">
        <f t="shared" si="0"/>
        <v>0</v>
      </c>
    </row>
    <row r="34" spans="1:7" ht="15.4" x14ac:dyDescent="0.45">
      <c r="A34" s="85" t="s">
        <v>35</v>
      </c>
      <c r="B34" s="103"/>
      <c r="C34" s="103"/>
      <c r="D34" s="103"/>
      <c r="E34" s="103"/>
      <c r="F34" s="103"/>
      <c r="G34" s="104">
        <f t="shared" si="0"/>
        <v>0</v>
      </c>
    </row>
    <row r="35" spans="1:7" ht="15.4" x14ac:dyDescent="0.45">
      <c r="A35" s="85" t="s">
        <v>36</v>
      </c>
      <c r="B35" s="103"/>
      <c r="C35" s="103"/>
      <c r="D35" s="103"/>
      <c r="E35" s="103"/>
      <c r="F35" s="103"/>
      <c r="G35" s="104">
        <f t="shared" si="0"/>
        <v>0</v>
      </c>
    </row>
    <row r="36" spans="1:7" ht="15.4" x14ac:dyDescent="0.45">
      <c r="A36" s="85" t="s">
        <v>37</v>
      </c>
      <c r="B36" s="103">
        <v>346341</v>
      </c>
      <c r="C36" s="103">
        <v>349976.5</v>
      </c>
      <c r="D36" s="103">
        <v>-3635.5</v>
      </c>
      <c r="E36" s="103">
        <v>0</v>
      </c>
      <c r="F36" s="103">
        <v>-3635.5</v>
      </c>
      <c r="G36" s="104">
        <f t="shared" si="0"/>
        <v>1.1842645283567294E-3</v>
      </c>
    </row>
    <row r="37" spans="1:7" ht="15.4" x14ac:dyDescent="0.45">
      <c r="A37" s="85" t="s">
        <v>119</v>
      </c>
      <c r="B37" s="103"/>
      <c r="C37" s="103"/>
      <c r="D37" s="103"/>
      <c r="E37" s="103"/>
      <c r="F37" s="103"/>
      <c r="G37" s="104">
        <f t="shared" si="0"/>
        <v>0</v>
      </c>
    </row>
    <row r="38" spans="1:7" ht="15.4" x14ac:dyDescent="0.45">
      <c r="A38" s="85" t="s">
        <v>38</v>
      </c>
      <c r="B38" s="103">
        <v>268330</v>
      </c>
      <c r="C38" s="103">
        <v>253072</v>
      </c>
      <c r="D38" s="103">
        <v>15258</v>
      </c>
      <c r="E38" s="103">
        <v>0</v>
      </c>
      <c r="F38" s="103">
        <v>15258</v>
      </c>
      <c r="G38" s="104">
        <f t="shared" si="0"/>
        <v>9.175168429205933E-4</v>
      </c>
    </row>
    <row r="39" spans="1:7" ht="15.4" x14ac:dyDescent="0.45">
      <c r="A39" s="85" t="s">
        <v>39</v>
      </c>
      <c r="B39" s="103">
        <v>24771522</v>
      </c>
      <c r="C39" s="103">
        <v>16680025</v>
      </c>
      <c r="D39" s="103">
        <v>8091497</v>
      </c>
      <c r="E39" s="103">
        <v>7435227</v>
      </c>
      <c r="F39" s="103">
        <v>10692772</v>
      </c>
      <c r="G39" s="104">
        <f t="shared" si="0"/>
        <v>8.4702749076801032E-2</v>
      </c>
    </row>
    <row r="40" spans="1:7" ht="15.4" x14ac:dyDescent="0.45">
      <c r="A40" s="85" t="s">
        <v>40</v>
      </c>
      <c r="B40" s="103">
        <v>402346</v>
      </c>
      <c r="C40" s="103">
        <v>377734.17</v>
      </c>
      <c r="D40" s="103">
        <v>24611.83</v>
      </c>
      <c r="E40" s="103">
        <v>0</v>
      </c>
      <c r="F40" s="103">
        <v>24611.83</v>
      </c>
      <c r="G40" s="104">
        <f t="shared" si="0"/>
        <v>1.3757657797552605E-3</v>
      </c>
    </row>
    <row r="41" spans="1:7" ht="15.4" x14ac:dyDescent="0.45">
      <c r="A41" s="85" t="s">
        <v>41</v>
      </c>
      <c r="B41" s="103">
        <v>311928</v>
      </c>
      <c r="C41" s="103">
        <v>342148.36</v>
      </c>
      <c r="D41" s="103">
        <v>-30220.36</v>
      </c>
      <c r="E41" s="103">
        <v>855.81</v>
      </c>
      <c r="F41" s="103">
        <v>-29364.55</v>
      </c>
      <c r="G41" s="104">
        <f t="shared" si="0"/>
        <v>1.0665940959957323E-3</v>
      </c>
    </row>
    <row r="42" spans="1:7" ht="15.4" x14ac:dyDescent="0.45">
      <c r="A42" s="85" t="s">
        <v>121</v>
      </c>
      <c r="B42" s="103">
        <v>4317353</v>
      </c>
      <c r="C42" s="103">
        <v>3558518.02</v>
      </c>
      <c r="D42" s="103">
        <v>758834.98</v>
      </c>
      <c r="E42" s="103">
        <v>304980</v>
      </c>
      <c r="F42" s="103">
        <v>771265.63</v>
      </c>
      <c r="G42" s="104">
        <f t="shared" si="0"/>
        <v>1.4762583737687743E-2</v>
      </c>
    </row>
    <row r="43" spans="1:7" ht="15.4" x14ac:dyDescent="0.45">
      <c r="A43" s="85" t="s">
        <v>43</v>
      </c>
      <c r="B43" s="103"/>
      <c r="C43" s="103"/>
      <c r="D43" s="103"/>
      <c r="E43" s="103"/>
      <c r="F43" s="103"/>
      <c r="G43" s="104">
        <f t="shared" si="0"/>
        <v>0</v>
      </c>
    </row>
    <row r="44" spans="1:7" ht="15.4" x14ac:dyDescent="0.45">
      <c r="A44" s="85" t="s">
        <v>122</v>
      </c>
      <c r="B44" s="103"/>
      <c r="C44" s="103"/>
      <c r="D44" s="103"/>
      <c r="E44" s="103"/>
      <c r="F44" s="103"/>
      <c r="G44" s="104">
        <f t="shared" si="0"/>
        <v>0</v>
      </c>
    </row>
    <row r="45" spans="1:7" ht="15.4" x14ac:dyDescent="0.45">
      <c r="A45" s="85" t="s">
        <v>44</v>
      </c>
      <c r="B45" s="103"/>
      <c r="C45" s="103"/>
      <c r="D45" s="103"/>
      <c r="E45" s="103"/>
      <c r="F45" s="103"/>
      <c r="G45" s="104">
        <f t="shared" si="0"/>
        <v>0</v>
      </c>
    </row>
    <row r="46" spans="1:7" ht="15.4" x14ac:dyDescent="0.45">
      <c r="A46" s="85" t="s">
        <v>45</v>
      </c>
      <c r="B46" s="103">
        <v>175353</v>
      </c>
      <c r="C46" s="103">
        <v>99370</v>
      </c>
      <c r="D46" s="103">
        <v>75983</v>
      </c>
      <c r="E46" s="103">
        <v>0</v>
      </c>
      <c r="F46" s="103">
        <v>70203</v>
      </c>
      <c r="G46" s="104">
        <f t="shared" si="0"/>
        <v>5.9959501716787093E-4</v>
      </c>
    </row>
    <row r="47" spans="1:7" ht="15.4" x14ac:dyDescent="0.45">
      <c r="A47" s="85" t="s">
        <v>137</v>
      </c>
      <c r="B47" s="103">
        <v>263782</v>
      </c>
      <c r="C47" s="103">
        <v>212935.71</v>
      </c>
      <c r="D47" s="103">
        <v>50846.29</v>
      </c>
      <c r="E47" s="103">
        <v>2339.08</v>
      </c>
      <c r="F47" s="103">
        <v>53185.37</v>
      </c>
      <c r="G47" s="104">
        <f t="shared" si="0"/>
        <v>9.0196559407923059E-4</v>
      </c>
    </row>
    <row r="48" spans="1:7" ht="15.4" x14ac:dyDescent="0.45">
      <c r="A48" s="85" t="s">
        <v>46</v>
      </c>
      <c r="B48" s="103">
        <v>2079768</v>
      </c>
      <c r="C48" s="103">
        <v>1763315.03</v>
      </c>
      <c r="D48" s="103">
        <v>316452.96999999997</v>
      </c>
      <c r="E48" s="103">
        <v>106101.04</v>
      </c>
      <c r="F48" s="103">
        <v>353720.51</v>
      </c>
      <c r="G48" s="104">
        <f t="shared" si="0"/>
        <v>7.1114753078942968E-3</v>
      </c>
    </row>
    <row r="49" spans="1:7" ht="15.4" x14ac:dyDescent="0.45">
      <c r="A49" s="85" t="s">
        <v>47</v>
      </c>
      <c r="B49" s="103">
        <v>24034</v>
      </c>
      <c r="C49" s="103">
        <v>65798.95</v>
      </c>
      <c r="D49" s="103">
        <v>-41764.949999999997</v>
      </c>
      <c r="E49" s="103">
        <v>4600</v>
      </c>
      <c r="F49" s="103">
        <v>-37164.949999999997</v>
      </c>
      <c r="G49" s="104">
        <f t="shared" si="0"/>
        <v>8.2180895922012227E-5</v>
      </c>
    </row>
    <row r="50" spans="1:7" ht="15.4" x14ac:dyDescent="0.45">
      <c r="A50" s="85" t="s">
        <v>48</v>
      </c>
      <c r="B50" s="103">
        <v>249073</v>
      </c>
      <c r="C50" s="103">
        <v>247598</v>
      </c>
      <c r="D50" s="103">
        <v>1475</v>
      </c>
      <c r="E50" s="103">
        <v>581236</v>
      </c>
      <c r="F50" s="103">
        <v>582711</v>
      </c>
      <c r="G50" s="104">
        <f t="shared" si="0"/>
        <v>8.5167022925785761E-4</v>
      </c>
    </row>
    <row r="51" spans="1:7" ht="15.4" x14ac:dyDescent="0.45">
      <c r="A51" s="85" t="s">
        <v>49</v>
      </c>
      <c r="B51" s="103"/>
      <c r="C51" s="103"/>
      <c r="D51" s="103"/>
      <c r="E51" s="103"/>
      <c r="F51" s="103"/>
      <c r="G51" s="104">
        <f t="shared" si="0"/>
        <v>0</v>
      </c>
    </row>
    <row r="52" spans="1:7" ht="15.4" x14ac:dyDescent="0.45">
      <c r="A52" s="85" t="s">
        <v>50</v>
      </c>
      <c r="B52" s="103">
        <v>1616546</v>
      </c>
      <c r="C52" s="103">
        <v>1316339</v>
      </c>
      <c r="D52" s="103">
        <v>300207</v>
      </c>
      <c r="E52" s="103">
        <v>247865</v>
      </c>
      <c r="F52" s="103">
        <v>415919</v>
      </c>
      <c r="G52" s="104">
        <f t="shared" si="0"/>
        <v>5.5275525746502942E-3</v>
      </c>
    </row>
    <row r="53" spans="1:7" ht="15.4" x14ac:dyDescent="0.45">
      <c r="A53" s="85" t="s">
        <v>123</v>
      </c>
      <c r="B53" s="103"/>
      <c r="C53" s="103"/>
      <c r="D53" s="103"/>
      <c r="E53" s="103"/>
      <c r="F53" s="103"/>
      <c r="G53" s="104">
        <f t="shared" si="0"/>
        <v>0</v>
      </c>
    </row>
    <row r="54" spans="1:7" ht="15.4" x14ac:dyDescent="0.45">
      <c r="A54" s="85" t="s">
        <v>51</v>
      </c>
      <c r="B54" s="103"/>
      <c r="C54" s="103"/>
      <c r="D54" s="103"/>
      <c r="E54" s="103"/>
      <c r="F54" s="103"/>
      <c r="G54" s="104">
        <f t="shared" si="0"/>
        <v>0</v>
      </c>
    </row>
    <row r="55" spans="1:7" ht="15.4" x14ac:dyDescent="0.45">
      <c r="A55" s="85" t="s">
        <v>153</v>
      </c>
      <c r="B55" s="103">
        <v>971957</v>
      </c>
      <c r="C55" s="103">
        <v>1244408.5</v>
      </c>
      <c r="D55" s="103">
        <v>-272451.5</v>
      </c>
      <c r="E55" s="103">
        <v>158925</v>
      </c>
      <c r="F55" s="103">
        <v>-113526.5</v>
      </c>
      <c r="G55" s="104">
        <f t="shared" si="0"/>
        <v>3.3234707937784486E-3</v>
      </c>
    </row>
    <row r="56" spans="1:7" ht="15.4" x14ac:dyDescent="0.45">
      <c r="A56" s="85" t="s">
        <v>138</v>
      </c>
      <c r="B56" s="103">
        <v>343253</v>
      </c>
      <c r="C56" s="103">
        <v>346094</v>
      </c>
      <c r="D56" s="103">
        <v>-2841</v>
      </c>
      <c r="E56" s="103">
        <v>1103</v>
      </c>
      <c r="F56" s="103">
        <v>-1738</v>
      </c>
      <c r="G56" s="104">
        <f t="shared" si="0"/>
        <v>1.1737055449745552E-3</v>
      </c>
    </row>
    <row r="57" spans="1:7" ht="15.4" x14ac:dyDescent="0.45">
      <c r="A57" s="85" t="s">
        <v>52</v>
      </c>
      <c r="B57" s="103">
        <v>8254944</v>
      </c>
      <c r="C57" s="103">
        <v>6903527</v>
      </c>
      <c r="D57" s="103">
        <v>1351417</v>
      </c>
      <c r="E57" s="103">
        <v>242834</v>
      </c>
      <c r="F57" s="103">
        <v>1594251</v>
      </c>
      <c r="G57" s="104">
        <f t="shared" si="0"/>
        <v>2.8226624519682088E-2</v>
      </c>
    </row>
    <row r="58" spans="1:7" ht="15.4" x14ac:dyDescent="0.45">
      <c r="A58" s="85" t="s">
        <v>54</v>
      </c>
      <c r="B58" s="103">
        <v>910413</v>
      </c>
      <c r="C58" s="103">
        <v>594935</v>
      </c>
      <c r="D58" s="103">
        <v>315478</v>
      </c>
      <c r="E58" s="103">
        <v>266559</v>
      </c>
      <c r="F58" s="103">
        <v>582037</v>
      </c>
      <c r="G58" s="104">
        <f t="shared" si="0"/>
        <v>3.1130297078741332E-3</v>
      </c>
    </row>
    <row r="59" spans="1:7" ht="15.4" x14ac:dyDescent="0.45">
      <c r="A59" s="85" t="s">
        <v>55</v>
      </c>
      <c r="B59" s="103">
        <v>453721</v>
      </c>
      <c r="C59" s="103">
        <v>387786.43</v>
      </c>
      <c r="D59" s="103">
        <v>65934.570000000007</v>
      </c>
      <c r="E59" s="103">
        <v>14293.69</v>
      </c>
      <c r="F59" s="103">
        <v>60171.26</v>
      </c>
      <c r="G59" s="104">
        <f t="shared" si="0"/>
        <v>1.5514353948003373E-3</v>
      </c>
    </row>
    <row r="60" spans="1:7" ht="15.4" x14ac:dyDescent="0.45">
      <c r="A60" s="85" t="s">
        <v>56</v>
      </c>
      <c r="B60" s="103">
        <v>1278843</v>
      </c>
      <c r="C60" s="103">
        <v>1226033</v>
      </c>
      <c r="D60" s="103">
        <v>52810</v>
      </c>
      <c r="E60" s="103">
        <v>22127</v>
      </c>
      <c r="F60" s="103">
        <v>74937</v>
      </c>
      <c r="G60" s="104">
        <f t="shared" si="0"/>
        <v>4.3728244771404625E-3</v>
      </c>
    </row>
    <row r="61" spans="1:7" ht="15.4" x14ac:dyDescent="0.45">
      <c r="A61" s="85" t="s">
        <v>57</v>
      </c>
      <c r="B61" s="103">
        <v>5498898</v>
      </c>
      <c r="C61" s="103">
        <v>4212068</v>
      </c>
      <c r="D61" s="103">
        <v>1286830</v>
      </c>
      <c r="E61" s="103">
        <v>1185819</v>
      </c>
      <c r="F61" s="103">
        <v>2049148</v>
      </c>
      <c r="G61" s="104">
        <f t="shared" si="0"/>
        <v>1.8802711334932228E-2</v>
      </c>
    </row>
    <row r="62" spans="1:7" ht="15.4" x14ac:dyDescent="0.45">
      <c r="A62" s="85" t="s">
        <v>58</v>
      </c>
      <c r="B62" s="103"/>
      <c r="C62" s="103"/>
      <c r="D62" s="103"/>
      <c r="E62" s="103"/>
      <c r="F62" s="103"/>
      <c r="G62" s="104">
        <f t="shared" si="0"/>
        <v>0</v>
      </c>
    </row>
    <row r="63" spans="1:7" ht="15.4" x14ac:dyDescent="0.45">
      <c r="A63" s="85" t="s">
        <v>60</v>
      </c>
      <c r="B63" s="103">
        <v>9801620</v>
      </c>
      <c r="C63" s="103">
        <v>6305320.2000000002</v>
      </c>
      <c r="D63" s="103">
        <v>3496299.8</v>
      </c>
      <c r="E63" s="103">
        <v>2614060.2000000002</v>
      </c>
      <c r="F63" s="103">
        <v>6110360</v>
      </c>
      <c r="G63" s="104">
        <f t="shared" si="0"/>
        <v>3.351526641787108E-2</v>
      </c>
    </row>
    <row r="64" spans="1:7" ht="15.4" x14ac:dyDescent="0.45">
      <c r="A64" s="85" t="s">
        <v>61</v>
      </c>
      <c r="B64" s="103">
        <v>1342726</v>
      </c>
      <c r="C64" s="103">
        <v>856981.68</v>
      </c>
      <c r="D64" s="103">
        <v>485744.32</v>
      </c>
      <c r="E64" s="103">
        <v>360604.12</v>
      </c>
      <c r="F64" s="103">
        <v>634761.43999999994</v>
      </c>
      <c r="G64" s="104">
        <f t="shared" si="0"/>
        <v>4.5912634458591907E-3</v>
      </c>
    </row>
    <row r="65" spans="1:7" ht="15.4" x14ac:dyDescent="0.45">
      <c r="A65" s="85" t="s">
        <v>62</v>
      </c>
      <c r="B65" s="103">
        <v>538808</v>
      </c>
      <c r="C65" s="103">
        <v>486295</v>
      </c>
      <c r="D65" s="103">
        <v>52513</v>
      </c>
      <c r="E65" s="103">
        <v>0</v>
      </c>
      <c r="F65" s="103">
        <v>39385</v>
      </c>
      <c r="G65" s="104">
        <f t="shared" si="0"/>
        <v>1.8423784709140202E-3</v>
      </c>
    </row>
    <row r="66" spans="1:7" ht="15.4" x14ac:dyDescent="0.45">
      <c r="A66" s="85" t="s">
        <v>63</v>
      </c>
      <c r="B66" s="103">
        <v>1889261</v>
      </c>
      <c r="C66" s="103">
        <v>1060887.24</v>
      </c>
      <c r="D66" s="103">
        <v>828373.76</v>
      </c>
      <c r="E66" s="103">
        <v>217929.13</v>
      </c>
      <c r="F66" s="103">
        <v>784726.04</v>
      </c>
      <c r="G66" s="104">
        <f t="shared" si="0"/>
        <v>6.460063310747971E-3</v>
      </c>
    </row>
    <row r="67" spans="1:7" ht="15.4" x14ac:dyDescent="0.45">
      <c r="A67" s="85" t="s">
        <v>64</v>
      </c>
      <c r="B67" s="103">
        <v>358851</v>
      </c>
      <c r="C67" s="103">
        <v>308058.05</v>
      </c>
      <c r="D67" s="103">
        <v>50792.95</v>
      </c>
      <c r="E67" s="103">
        <v>225813.14</v>
      </c>
      <c r="F67" s="103">
        <v>207125.57</v>
      </c>
      <c r="G67" s="104">
        <f t="shared" si="0"/>
        <v>1.2270407207501876E-3</v>
      </c>
    </row>
    <row r="68" spans="1:7" ht="15.4" x14ac:dyDescent="0.45">
      <c r="A68" s="85" t="s">
        <v>65</v>
      </c>
      <c r="B68" s="103">
        <v>54986376</v>
      </c>
      <c r="C68" s="103">
        <v>38043474.369999997</v>
      </c>
      <c r="D68" s="103">
        <v>16942901.629999999</v>
      </c>
      <c r="E68" s="103">
        <v>6148018.8200000003</v>
      </c>
      <c r="F68" s="103">
        <v>17318190.309999999</v>
      </c>
      <c r="G68" s="104">
        <f t="shared" ref="G68:G126" si="1">B68/$B$127</f>
        <v>0.18801820933613342</v>
      </c>
    </row>
    <row r="69" spans="1:7" ht="15.4" x14ac:dyDescent="0.45">
      <c r="A69" s="85" t="s">
        <v>66</v>
      </c>
      <c r="B69" s="103">
        <v>18643272</v>
      </c>
      <c r="C69" s="103">
        <v>9054594.4499999993</v>
      </c>
      <c r="D69" s="103">
        <v>9588677.5500000007</v>
      </c>
      <c r="E69" s="103">
        <v>3684913</v>
      </c>
      <c r="F69" s="103">
        <v>9955192.5500000007</v>
      </c>
      <c r="G69" s="104">
        <f t="shared" si="1"/>
        <v>6.3748056747847406E-2</v>
      </c>
    </row>
    <row r="70" spans="1:7" ht="15.4" x14ac:dyDescent="0.45">
      <c r="A70" s="85" t="s">
        <v>67</v>
      </c>
      <c r="B70" s="103"/>
      <c r="C70" s="103"/>
      <c r="D70" s="103"/>
      <c r="E70" s="103"/>
      <c r="F70" s="103"/>
      <c r="G70" s="104">
        <f t="shared" si="1"/>
        <v>0</v>
      </c>
    </row>
    <row r="71" spans="1:7" ht="15.4" x14ac:dyDescent="0.45">
      <c r="A71" s="85" t="s">
        <v>139</v>
      </c>
      <c r="B71" s="103">
        <v>745500</v>
      </c>
      <c r="C71" s="103">
        <v>561260.43999999994</v>
      </c>
      <c r="D71" s="103">
        <v>184239.56</v>
      </c>
      <c r="E71" s="103">
        <v>203960.63</v>
      </c>
      <c r="F71" s="103">
        <v>302469.19</v>
      </c>
      <c r="G71" s="104">
        <f t="shared" si="1"/>
        <v>2.5491328080993639E-3</v>
      </c>
    </row>
    <row r="72" spans="1:7" ht="15.4" x14ac:dyDescent="0.45">
      <c r="A72" s="85" t="s">
        <v>68</v>
      </c>
      <c r="B72" s="103">
        <v>161965</v>
      </c>
      <c r="C72" s="103">
        <v>84379.91</v>
      </c>
      <c r="D72" s="103">
        <v>77585.09</v>
      </c>
      <c r="E72" s="103">
        <v>0</v>
      </c>
      <c r="F72" s="103">
        <v>77585.09</v>
      </c>
      <c r="G72" s="104">
        <f t="shared" si="1"/>
        <v>5.5381662677909255E-4</v>
      </c>
    </row>
    <row r="73" spans="1:7" ht="15.4" x14ac:dyDescent="0.45">
      <c r="A73" s="85" t="s">
        <v>69</v>
      </c>
      <c r="B73" s="103"/>
      <c r="C73" s="103"/>
      <c r="D73" s="103"/>
      <c r="E73" s="103"/>
      <c r="F73" s="103"/>
      <c r="G73" s="104">
        <f t="shared" si="1"/>
        <v>0</v>
      </c>
    </row>
    <row r="74" spans="1:7" ht="15.4" x14ac:dyDescent="0.45">
      <c r="A74" s="85" t="s">
        <v>141</v>
      </c>
      <c r="B74" s="103">
        <v>78291</v>
      </c>
      <c r="C74" s="103">
        <v>100610.49</v>
      </c>
      <c r="D74" s="103">
        <v>-22319.49</v>
      </c>
      <c r="E74" s="103">
        <v>0</v>
      </c>
      <c r="F74" s="103">
        <v>-22319.49</v>
      </c>
      <c r="G74" s="104">
        <f t="shared" si="1"/>
        <v>2.677051062091312E-4</v>
      </c>
    </row>
    <row r="75" spans="1:7" ht="15.4" x14ac:dyDescent="0.45">
      <c r="A75" s="85" t="s">
        <v>110</v>
      </c>
      <c r="B75" s="103">
        <v>258394</v>
      </c>
      <c r="C75" s="103">
        <v>196044.45</v>
      </c>
      <c r="D75" s="103">
        <v>62349.55</v>
      </c>
      <c r="E75" s="103">
        <v>9674.3700000000008</v>
      </c>
      <c r="F75" s="103">
        <v>72023.92</v>
      </c>
      <c r="G75" s="104">
        <f t="shared" si="1"/>
        <v>8.8354208291888266E-4</v>
      </c>
    </row>
    <row r="76" spans="1:7" ht="15.4" x14ac:dyDescent="0.45">
      <c r="A76" s="85" t="s">
        <v>142</v>
      </c>
      <c r="B76" s="103"/>
      <c r="C76" s="103"/>
      <c r="D76" s="103"/>
      <c r="E76" s="103"/>
      <c r="F76" s="103"/>
      <c r="G76" s="104">
        <f t="shared" si="1"/>
        <v>0</v>
      </c>
    </row>
    <row r="77" spans="1:7" ht="15.4" x14ac:dyDescent="0.45">
      <c r="A77" s="85" t="s">
        <v>143</v>
      </c>
      <c r="B77" s="103">
        <v>6281347</v>
      </c>
      <c r="C77" s="103">
        <v>3847549.3</v>
      </c>
      <c r="D77" s="103">
        <v>2433797.7000000002</v>
      </c>
      <c r="E77" s="103">
        <v>62038</v>
      </c>
      <c r="F77" s="103">
        <v>2087435.7</v>
      </c>
      <c r="G77" s="104">
        <f t="shared" si="1"/>
        <v>2.1478186072108003E-2</v>
      </c>
    </row>
    <row r="78" spans="1:7" ht="15.4" x14ac:dyDescent="0.45">
      <c r="A78" s="85" t="s">
        <v>125</v>
      </c>
      <c r="B78" s="103">
        <v>18416</v>
      </c>
      <c r="C78" s="103">
        <v>64735.74</v>
      </c>
      <c r="D78" s="103">
        <v>-46319.74</v>
      </c>
      <c r="E78" s="103">
        <v>0</v>
      </c>
      <c r="F78" s="103">
        <v>-46319.74</v>
      </c>
      <c r="G78" s="104">
        <f t="shared" si="1"/>
        <v>6.2970931983846924E-5</v>
      </c>
    </row>
    <row r="79" spans="1:7" ht="15.4" x14ac:dyDescent="0.45">
      <c r="A79" s="85" t="s">
        <v>71</v>
      </c>
      <c r="B79" s="103">
        <v>758270</v>
      </c>
      <c r="C79" s="103">
        <v>304263</v>
      </c>
      <c r="D79" s="103">
        <v>454007</v>
      </c>
      <c r="E79" s="103">
        <v>0</v>
      </c>
      <c r="F79" s="103">
        <v>454007</v>
      </c>
      <c r="G79" s="104">
        <f t="shared" si="1"/>
        <v>2.5927980340677459E-3</v>
      </c>
    </row>
    <row r="80" spans="1:7" ht="15.4" x14ac:dyDescent="0.45">
      <c r="A80" s="85" t="s">
        <v>72</v>
      </c>
      <c r="B80" s="103"/>
      <c r="C80" s="103"/>
      <c r="D80" s="103"/>
      <c r="E80" s="103"/>
      <c r="F80" s="103"/>
      <c r="G80" s="104">
        <f t="shared" si="1"/>
        <v>0</v>
      </c>
    </row>
    <row r="81" spans="1:7" ht="15.4" x14ac:dyDescent="0.45">
      <c r="A81" s="85" t="s">
        <v>73</v>
      </c>
      <c r="B81" s="103">
        <v>95026</v>
      </c>
      <c r="C81" s="103">
        <v>261353.4</v>
      </c>
      <c r="D81" s="103">
        <v>-166327.4</v>
      </c>
      <c r="E81" s="103">
        <v>0</v>
      </c>
      <c r="F81" s="103">
        <v>-166327.4</v>
      </c>
      <c r="G81" s="104">
        <f t="shared" si="1"/>
        <v>3.2492809419510418E-4</v>
      </c>
    </row>
    <row r="82" spans="1:7" ht="15.4" x14ac:dyDescent="0.45">
      <c r="A82" s="85" t="s">
        <v>126</v>
      </c>
      <c r="B82" s="103">
        <v>152589</v>
      </c>
      <c r="C82" s="103">
        <v>223843</v>
      </c>
      <c r="D82" s="103">
        <v>-71254</v>
      </c>
      <c r="E82" s="103">
        <v>0</v>
      </c>
      <c r="F82" s="103">
        <v>-72415</v>
      </c>
      <c r="G82" s="104">
        <f t="shared" si="1"/>
        <v>5.2175670832337203E-4</v>
      </c>
    </row>
    <row r="83" spans="1:7" ht="15.4" x14ac:dyDescent="0.45">
      <c r="A83" s="85" t="s">
        <v>75</v>
      </c>
      <c r="B83" s="103">
        <v>37877</v>
      </c>
      <c r="C83" s="103">
        <v>41499.699999999997</v>
      </c>
      <c r="D83" s="103">
        <v>-3622.7</v>
      </c>
      <c r="E83" s="103">
        <v>0</v>
      </c>
      <c r="F83" s="103">
        <v>-3622.7</v>
      </c>
      <c r="G83" s="104">
        <f t="shared" si="1"/>
        <v>1.295150950669076E-4</v>
      </c>
    </row>
    <row r="84" spans="1:7" ht="15.4" x14ac:dyDescent="0.45">
      <c r="A84" s="85" t="s">
        <v>76</v>
      </c>
      <c r="B84" s="103"/>
      <c r="C84" s="103"/>
      <c r="D84" s="103"/>
      <c r="E84" s="103"/>
      <c r="F84" s="103"/>
      <c r="G84" s="104">
        <f t="shared" si="1"/>
        <v>0</v>
      </c>
    </row>
    <row r="85" spans="1:7" ht="15.4" x14ac:dyDescent="0.45">
      <c r="A85" s="85" t="s">
        <v>127</v>
      </c>
      <c r="B85" s="103"/>
      <c r="C85" s="103"/>
      <c r="D85" s="103"/>
      <c r="E85" s="103"/>
      <c r="F85" s="103"/>
      <c r="G85" s="104">
        <f t="shared" si="1"/>
        <v>0</v>
      </c>
    </row>
    <row r="86" spans="1:7" ht="15.4" x14ac:dyDescent="0.45">
      <c r="A86" s="85" t="s">
        <v>77</v>
      </c>
      <c r="B86" s="103">
        <v>11990750</v>
      </c>
      <c r="C86" s="103">
        <v>8463295.3399999999</v>
      </c>
      <c r="D86" s="103">
        <v>3527454.66</v>
      </c>
      <c r="E86" s="103">
        <v>1035935.44</v>
      </c>
      <c r="F86" s="103">
        <v>3776030.42</v>
      </c>
      <c r="G86" s="104">
        <f t="shared" si="1"/>
        <v>4.1000689763537823E-2</v>
      </c>
    </row>
    <row r="87" spans="1:7" ht="15.4" x14ac:dyDescent="0.45">
      <c r="A87" s="85" t="s">
        <v>78</v>
      </c>
      <c r="B87" s="103"/>
      <c r="C87" s="103"/>
      <c r="D87" s="103"/>
      <c r="E87" s="103"/>
      <c r="F87" s="103"/>
      <c r="G87" s="104">
        <f t="shared" si="1"/>
        <v>0</v>
      </c>
    </row>
    <row r="88" spans="1:7" ht="15.4" x14ac:dyDescent="0.45">
      <c r="A88" s="85" t="s">
        <v>154</v>
      </c>
      <c r="B88" s="103">
        <v>31864</v>
      </c>
      <c r="C88" s="103">
        <v>200158.51</v>
      </c>
      <c r="D88" s="103">
        <v>-168294.51</v>
      </c>
      <c r="E88" s="103">
        <v>128020.11</v>
      </c>
      <c r="F88" s="103">
        <v>-40274.400000000001</v>
      </c>
      <c r="G88" s="104">
        <f t="shared" si="1"/>
        <v>1.0895448396683854E-4</v>
      </c>
    </row>
    <row r="89" spans="1:7" ht="15.4" x14ac:dyDescent="0.45">
      <c r="A89" s="85" t="s">
        <v>111</v>
      </c>
      <c r="B89" s="103">
        <v>580114</v>
      </c>
      <c r="C89" s="103">
        <v>511300.51</v>
      </c>
      <c r="D89" s="103">
        <v>68813.490000000005</v>
      </c>
      <c r="E89" s="103">
        <v>72255</v>
      </c>
      <c r="F89" s="103">
        <v>141068.49</v>
      </c>
      <c r="G89" s="104">
        <f t="shared" si="1"/>
        <v>1.9836185510902138E-3</v>
      </c>
    </row>
    <row r="90" spans="1:7" ht="15.4" x14ac:dyDescent="0.45">
      <c r="A90" s="85" t="s">
        <v>80</v>
      </c>
      <c r="B90" s="103">
        <v>2954388</v>
      </c>
      <c r="C90" s="103">
        <v>2290672</v>
      </c>
      <c r="D90" s="103">
        <v>663716</v>
      </c>
      <c r="E90" s="103">
        <v>0</v>
      </c>
      <c r="F90" s="103">
        <v>497787</v>
      </c>
      <c r="G90" s="104">
        <f t="shared" si="1"/>
        <v>1.0102115866740528E-2</v>
      </c>
    </row>
    <row r="91" spans="1:7" ht="15.4" x14ac:dyDescent="0.45">
      <c r="A91" s="85" t="s">
        <v>81</v>
      </c>
      <c r="B91" s="103"/>
      <c r="C91" s="103"/>
      <c r="D91" s="103"/>
      <c r="E91" s="103"/>
      <c r="F91" s="103"/>
      <c r="G91" s="104">
        <f t="shared" si="1"/>
        <v>0</v>
      </c>
    </row>
    <row r="92" spans="1:7" ht="15.4" x14ac:dyDescent="0.45">
      <c r="A92" s="85" t="s">
        <v>82</v>
      </c>
      <c r="B92" s="103"/>
      <c r="C92" s="103">
        <v>13100</v>
      </c>
      <c r="D92" s="103">
        <v>-13100</v>
      </c>
      <c r="E92" s="103">
        <v>337511</v>
      </c>
      <c r="F92" s="103">
        <v>324411</v>
      </c>
      <c r="G92" s="104">
        <f t="shared" si="1"/>
        <v>0</v>
      </c>
    </row>
    <row r="93" spans="1:7" ht="15.4" x14ac:dyDescent="0.45">
      <c r="A93" s="85" t="s">
        <v>83</v>
      </c>
      <c r="B93" s="103">
        <v>3208655</v>
      </c>
      <c r="C93" s="103">
        <v>5343675.38</v>
      </c>
      <c r="D93" s="103">
        <v>-2135020.38</v>
      </c>
      <c r="E93" s="103">
        <v>3889123.61</v>
      </c>
      <c r="F93" s="103">
        <v>1754103.23</v>
      </c>
      <c r="G93" s="104">
        <f t="shared" si="1"/>
        <v>1.0971546251337444E-2</v>
      </c>
    </row>
    <row r="94" spans="1:7" ht="15.4" x14ac:dyDescent="0.45">
      <c r="A94" s="85" t="s">
        <v>112</v>
      </c>
      <c r="B94" s="103">
        <v>14655</v>
      </c>
      <c r="C94" s="103">
        <v>203216.54</v>
      </c>
      <c r="D94" s="103">
        <v>-188561.54</v>
      </c>
      <c r="E94" s="103">
        <v>36361.81</v>
      </c>
      <c r="F94" s="103">
        <v>-152199.73000000001</v>
      </c>
      <c r="G94" s="104">
        <f t="shared" si="1"/>
        <v>5.011071938658106E-5</v>
      </c>
    </row>
    <row r="95" spans="1:7" ht="15.4" x14ac:dyDescent="0.45">
      <c r="A95" s="85" t="s">
        <v>84</v>
      </c>
      <c r="B95" s="103">
        <v>288779</v>
      </c>
      <c r="C95" s="103">
        <v>1229460.1399999999</v>
      </c>
      <c r="D95" s="103">
        <v>-940681.14</v>
      </c>
      <c r="E95" s="103">
        <v>124931.5</v>
      </c>
      <c r="F95" s="103">
        <v>-815749.64</v>
      </c>
      <c r="G95" s="104">
        <f t="shared" si="1"/>
        <v>9.8743933358836516E-4</v>
      </c>
    </row>
    <row r="96" spans="1:7" ht="15.4" x14ac:dyDescent="0.45">
      <c r="A96" s="85" t="s">
        <v>85</v>
      </c>
      <c r="B96" s="103"/>
      <c r="C96" s="103"/>
      <c r="D96" s="103"/>
      <c r="E96" s="103"/>
      <c r="F96" s="103"/>
      <c r="G96" s="104">
        <f t="shared" si="1"/>
        <v>0</v>
      </c>
    </row>
    <row r="97" spans="1:7" ht="15.4" x14ac:dyDescent="0.45">
      <c r="A97" s="85" t="s">
        <v>86</v>
      </c>
      <c r="B97" s="103">
        <v>5330978</v>
      </c>
      <c r="C97" s="103">
        <v>4854785.8499999996</v>
      </c>
      <c r="D97" s="103">
        <v>476192.15</v>
      </c>
      <c r="E97" s="103">
        <v>423252.9</v>
      </c>
      <c r="F97" s="103">
        <v>674583.79</v>
      </c>
      <c r="G97" s="104">
        <f t="shared" si="1"/>
        <v>1.8228532419927473E-2</v>
      </c>
    </row>
    <row r="98" spans="1:7" ht="15.4" x14ac:dyDescent="0.45">
      <c r="A98" s="85" t="s">
        <v>87</v>
      </c>
      <c r="B98" s="103">
        <v>237422</v>
      </c>
      <c r="C98" s="103">
        <v>595271.68000000005</v>
      </c>
      <c r="D98" s="103">
        <v>-357849.68</v>
      </c>
      <c r="E98" s="103">
        <v>0</v>
      </c>
      <c r="F98" s="103">
        <v>-357849.68</v>
      </c>
      <c r="G98" s="104">
        <f t="shared" si="1"/>
        <v>8.1183126702155228E-4</v>
      </c>
    </row>
    <row r="99" spans="1:7" ht="15.4" x14ac:dyDescent="0.45">
      <c r="A99" s="85" t="s">
        <v>88</v>
      </c>
      <c r="B99" s="103"/>
      <c r="C99" s="103"/>
      <c r="D99" s="103"/>
      <c r="E99" s="103"/>
      <c r="F99" s="103"/>
      <c r="G99" s="104">
        <f t="shared" si="1"/>
        <v>0</v>
      </c>
    </row>
    <row r="100" spans="1:7" ht="15.4" x14ac:dyDescent="0.45">
      <c r="A100" s="85" t="s">
        <v>89</v>
      </c>
      <c r="B100" s="103"/>
      <c r="C100" s="103"/>
      <c r="D100" s="103"/>
      <c r="E100" s="103"/>
      <c r="F100" s="103"/>
      <c r="G100" s="104">
        <f t="shared" si="1"/>
        <v>0</v>
      </c>
    </row>
    <row r="101" spans="1:7" ht="15.4" x14ac:dyDescent="0.45">
      <c r="A101" s="85" t="s">
        <v>144</v>
      </c>
      <c r="B101" s="103"/>
      <c r="C101" s="103"/>
      <c r="D101" s="103"/>
      <c r="E101" s="103"/>
      <c r="F101" s="103"/>
      <c r="G101" s="104">
        <f t="shared" si="1"/>
        <v>0</v>
      </c>
    </row>
    <row r="102" spans="1:7" ht="15.4" x14ac:dyDescent="0.45">
      <c r="A102" s="85" t="s">
        <v>90</v>
      </c>
      <c r="B102" s="103">
        <v>3623494</v>
      </c>
      <c r="C102" s="103">
        <v>1854550</v>
      </c>
      <c r="D102" s="103">
        <v>1768944</v>
      </c>
      <c r="E102" s="103">
        <v>0</v>
      </c>
      <c r="F102" s="103">
        <v>1768944</v>
      </c>
      <c r="G102" s="104">
        <f t="shared" si="1"/>
        <v>1.2390030094367802E-2</v>
      </c>
    </row>
    <row r="103" spans="1:7" ht="15.4" x14ac:dyDescent="0.45">
      <c r="A103" s="85" t="s">
        <v>91</v>
      </c>
      <c r="B103" s="103">
        <v>16191796</v>
      </c>
      <c r="C103" s="103">
        <v>9239636</v>
      </c>
      <c r="D103" s="103">
        <v>6952160</v>
      </c>
      <c r="E103" s="103">
        <v>58769</v>
      </c>
      <c r="F103" s="103">
        <v>5158197</v>
      </c>
      <c r="G103" s="104">
        <f t="shared" si="1"/>
        <v>5.5365578008922937E-2</v>
      </c>
    </row>
    <row r="104" spans="1:7" ht="15.4" x14ac:dyDescent="0.45">
      <c r="A104" s="85" t="s">
        <v>92</v>
      </c>
      <c r="B104" s="103"/>
      <c r="C104" s="103"/>
      <c r="D104" s="103"/>
      <c r="E104" s="103"/>
      <c r="F104" s="103"/>
      <c r="G104" s="104">
        <f t="shared" si="1"/>
        <v>0</v>
      </c>
    </row>
    <row r="105" spans="1:7" ht="15.4" x14ac:dyDescent="0.45">
      <c r="A105" s="85" t="s">
        <v>93</v>
      </c>
      <c r="B105" s="103">
        <v>1159494</v>
      </c>
      <c r="C105" s="103">
        <v>521585</v>
      </c>
      <c r="D105" s="103">
        <v>637909</v>
      </c>
      <c r="E105" s="103">
        <v>151257</v>
      </c>
      <c r="F105" s="103">
        <v>642092</v>
      </c>
      <c r="G105" s="104">
        <f t="shared" si="1"/>
        <v>3.9647272920112194E-3</v>
      </c>
    </row>
    <row r="106" spans="1:7" ht="15.4" x14ac:dyDescent="0.45">
      <c r="A106" s="85" t="s">
        <v>113</v>
      </c>
      <c r="B106" s="103">
        <v>1149195</v>
      </c>
      <c r="C106" s="103">
        <v>415869.24</v>
      </c>
      <c r="D106" s="103">
        <v>733325.76</v>
      </c>
      <c r="E106" s="103">
        <v>0</v>
      </c>
      <c r="F106" s="103">
        <v>549994.31999999995</v>
      </c>
      <c r="G106" s="104">
        <f t="shared" si="1"/>
        <v>3.9295113043645181E-3</v>
      </c>
    </row>
    <row r="107" spans="1:7" ht="15.4" x14ac:dyDescent="0.45">
      <c r="A107" s="85" t="s">
        <v>94</v>
      </c>
      <c r="B107" s="103">
        <v>5870163</v>
      </c>
      <c r="C107" s="103">
        <v>4940127.1500000004</v>
      </c>
      <c r="D107" s="103">
        <v>930035.85</v>
      </c>
      <c r="E107" s="103">
        <v>157308.01</v>
      </c>
      <c r="F107" s="103">
        <v>840588.92</v>
      </c>
      <c r="G107" s="104">
        <f t="shared" si="1"/>
        <v>2.0072199989525134E-2</v>
      </c>
    </row>
    <row r="108" spans="1:7" ht="15.4" x14ac:dyDescent="0.45">
      <c r="A108" s="85" t="s">
        <v>155</v>
      </c>
      <c r="B108" s="103">
        <v>41841</v>
      </c>
      <c r="C108" s="103">
        <v>436625.02</v>
      </c>
      <c r="D108" s="103">
        <v>-394784.02</v>
      </c>
      <c r="E108" s="103">
        <v>162176.74</v>
      </c>
      <c r="F108" s="103">
        <v>-232607.28</v>
      </c>
      <c r="G108" s="104">
        <f t="shared" si="1"/>
        <v>1.4306943772459489E-4</v>
      </c>
    </row>
    <row r="109" spans="1:7" ht="15.4" x14ac:dyDescent="0.45">
      <c r="A109" s="85" t="s">
        <v>114</v>
      </c>
      <c r="B109" s="103">
        <v>3018563</v>
      </c>
      <c r="C109" s="103">
        <v>2270678.83</v>
      </c>
      <c r="D109" s="103">
        <v>747884.17</v>
      </c>
      <c r="E109" s="103">
        <v>83125</v>
      </c>
      <c r="F109" s="103">
        <v>623256.89</v>
      </c>
      <c r="G109" s="104">
        <f t="shared" si="1"/>
        <v>1.0321553288551093E-2</v>
      </c>
    </row>
    <row r="110" spans="1:7" ht="15.4" x14ac:dyDescent="0.45">
      <c r="A110" s="85" t="s">
        <v>95</v>
      </c>
      <c r="B110" s="103">
        <v>218105</v>
      </c>
      <c r="C110" s="103">
        <v>159468.14000000001</v>
      </c>
      <c r="D110" s="103">
        <v>58636.86</v>
      </c>
      <c r="E110" s="103">
        <v>0</v>
      </c>
      <c r="F110" s="103">
        <v>43977.86</v>
      </c>
      <c r="G110" s="104">
        <f t="shared" si="1"/>
        <v>7.4577949176460334E-4</v>
      </c>
    </row>
    <row r="111" spans="1:7" ht="15.4" x14ac:dyDescent="0.45">
      <c r="A111" s="85" t="s">
        <v>96</v>
      </c>
      <c r="B111" s="103">
        <v>584062</v>
      </c>
      <c r="C111" s="103">
        <v>536891.15</v>
      </c>
      <c r="D111" s="103">
        <v>47170.85</v>
      </c>
      <c r="E111" s="103">
        <v>0</v>
      </c>
      <c r="F111" s="103">
        <v>47170.85</v>
      </c>
      <c r="G111" s="104">
        <f t="shared" si="1"/>
        <v>1.9971181839894443E-3</v>
      </c>
    </row>
    <row r="112" spans="1:7" ht="15.4" x14ac:dyDescent="0.45">
      <c r="A112" s="85" t="s">
        <v>145</v>
      </c>
      <c r="B112" s="103">
        <v>211076</v>
      </c>
      <c r="C112" s="103">
        <v>426864.62</v>
      </c>
      <c r="D112" s="103">
        <v>-215788.62</v>
      </c>
      <c r="E112" s="103">
        <v>85831.46</v>
      </c>
      <c r="F112" s="103">
        <v>-129957.16</v>
      </c>
      <c r="G112" s="104">
        <f t="shared" si="1"/>
        <v>7.2174481100252357E-4</v>
      </c>
    </row>
    <row r="113" spans="1:7" ht="15.4" x14ac:dyDescent="0.45">
      <c r="A113" s="85" t="s">
        <v>97</v>
      </c>
      <c r="B113" s="103"/>
      <c r="C113" s="103"/>
      <c r="D113" s="103"/>
      <c r="E113" s="103"/>
      <c r="F113" s="103"/>
      <c r="G113" s="104">
        <f t="shared" si="1"/>
        <v>0</v>
      </c>
    </row>
    <row r="114" spans="1:7" ht="15.4" x14ac:dyDescent="0.45">
      <c r="A114" s="85" t="s">
        <v>98</v>
      </c>
      <c r="B114" s="103">
        <v>2488660</v>
      </c>
      <c r="C114" s="103">
        <v>2077303</v>
      </c>
      <c r="D114" s="103">
        <v>411357</v>
      </c>
      <c r="E114" s="103">
        <v>10823</v>
      </c>
      <c r="F114" s="103">
        <v>307307</v>
      </c>
      <c r="G114" s="104">
        <f t="shared" si="1"/>
        <v>8.5096242175782197E-3</v>
      </c>
    </row>
    <row r="115" spans="1:7" ht="15.4" x14ac:dyDescent="0.45">
      <c r="A115" s="85" t="s">
        <v>99</v>
      </c>
      <c r="B115" s="103">
        <v>577145</v>
      </c>
      <c r="C115" s="103">
        <v>548824.43999999994</v>
      </c>
      <c r="D115" s="103">
        <v>28320.560000000001</v>
      </c>
      <c r="E115" s="103">
        <v>88556.62</v>
      </c>
      <c r="F115" s="103">
        <v>87657.63</v>
      </c>
      <c r="G115" s="104">
        <f t="shared" si="1"/>
        <v>1.9734664715365625E-3</v>
      </c>
    </row>
    <row r="116" spans="1:7" ht="15.4" x14ac:dyDescent="0.45">
      <c r="A116" s="85" t="s">
        <v>100</v>
      </c>
      <c r="B116" s="103"/>
      <c r="C116" s="103"/>
      <c r="D116" s="103"/>
      <c r="E116" s="103"/>
      <c r="F116" s="103"/>
      <c r="G116" s="104">
        <f t="shared" si="1"/>
        <v>0</v>
      </c>
    </row>
    <row r="117" spans="1:7" ht="15.4" x14ac:dyDescent="0.45">
      <c r="A117" s="85" t="s">
        <v>101</v>
      </c>
      <c r="B117" s="103">
        <v>73054</v>
      </c>
      <c r="C117" s="103">
        <v>71287.77</v>
      </c>
      <c r="D117" s="103">
        <v>1766.23</v>
      </c>
      <c r="E117" s="103">
        <v>0</v>
      </c>
      <c r="F117" s="103">
        <v>1766.23</v>
      </c>
      <c r="G117" s="104">
        <f t="shared" si="1"/>
        <v>2.4979791839421989E-4</v>
      </c>
    </row>
    <row r="118" spans="1:7" ht="15.4" x14ac:dyDescent="0.45">
      <c r="A118" s="85" t="s">
        <v>102</v>
      </c>
      <c r="B118" s="103"/>
      <c r="C118" s="103"/>
      <c r="D118" s="103"/>
      <c r="E118" s="103"/>
      <c r="F118" s="103"/>
      <c r="G118" s="104">
        <f t="shared" si="1"/>
        <v>0</v>
      </c>
    </row>
    <row r="119" spans="1:7" ht="15.4" x14ac:dyDescent="0.45">
      <c r="A119" s="85" t="s">
        <v>156</v>
      </c>
      <c r="B119" s="103">
        <v>25367</v>
      </c>
      <c r="C119" s="103">
        <v>128351.72</v>
      </c>
      <c r="D119" s="103">
        <v>-102984.72</v>
      </c>
      <c r="E119" s="103">
        <v>0</v>
      </c>
      <c r="F119" s="103">
        <v>-102984.72</v>
      </c>
      <c r="G119" s="104">
        <f t="shared" si="1"/>
        <v>8.6738902673449451E-5</v>
      </c>
    </row>
    <row r="120" spans="1:7" ht="15.4" x14ac:dyDescent="0.45">
      <c r="A120" s="85" t="s">
        <v>157</v>
      </c>
      <c r="B120" s="103"/>
      <c r="C120" s="103"/>
      <c r="D120" s="103"/>
      <c r="E120" s="103"/>
      <c r="F120" s="103"/>
      <c r="G120" s="104">
        <f t="shared" si="1"/>
        <v>0</v>
      </c>
    </row>
    <row r="121" spans="1:7" ht="15.4" x14ac:dyDescent="0.45">
      <c r="A121" s="85" t="s">
        <v>103</v>
      </c>
      <c r="B121" s="103">
        <v>1361526</v>
      </c>
      <c r="C121" s="103">
        <v>1693243.38</v>
      </c>
      <c r="D121" s="103">
        <v>-331717.38</v>
      </c>
      <c r="E121" s="103">
        <v>0</v>
      </c>
      <c r="F121" s="103">
        <v>-331717.38</v>
      </c>
      <c r="G121" s="104">
        <f t="shared" si="1"/>
        <v>4.6555474120460018E-3</v>
      </c>
    </row>
    <row r="122" spans="1:7" ht="15.4" x14ac:dyDescent="0.45">
      <c r="A122" s="85" t="s">
        <v>104</v>
      </c>
      <c r="B122" s="103">
        <v>930831</v>
      </c>
      <c r="C122" s="103">
        <v>944220.37</v>
      </c>
      <c r="D122" s="103">
        <v>-13389.37</v>
      </c>
      <c r="E122" s="103">
        <v>-47303.3</v>
      </c>
      <c r="F122" s="103">
        <v>-60692.67</v>
      </c>
      <c r="G122" s="104">
        <f t="shared" si="1"/>
        <v>3.1828461983848949E-3</v>
      </c>
    </row>
    <row r="123" spans="1:7" ht="15.4" x14ac:dyDescent="0.45">
      <c r="A123" s="85" t="s">
        <v>105</v>
      </c>
      <c r="B123" s="103">
        <v>631940</v>
      </c>
      <c r="C123" s="103">
        <v>398486.49</v>
      </c>
      <c r="D123" s="103">
        <v>233453.51</v>
      </c>
      <c r="E123" s="103">
        <v>0</v>
      </c>
      <c r="F123" s="103">
        <v>202744.01</v>
      </c>
      <c r="G123" s="104">
        <f t="shared" si="1"/>
        <v>2.1608302974517935E-3</v>
      </c>
    </row>
    <row r="124" spans="1:7" ht="15.4" x14ac:dyDescent="0.45">
      <c r="A124" s="85" t="s">
        <v>106</v>
      </c>
      <c r="B124" s="103">
        <v>32282831</v>
      </c>
      <c r="C124" s="103">
        <v>8418310.6699999999</v>
      </c>
      <c r="D124" s="103">
        <v>23864520.329999998</v>
      </c>
      <c r="E124" s="103">
        <v>2735708</v>
      </c>
      <c r="F124" s="103">
        <v>19950170.329999998</v>
      </c>
      <c r="G124" s="104">
        <f t="shared" si="1"/>
        <v>0.11038661789460388</v>
      </c>
    </row>
    <row r="125" spans="1:7" ht="15.4" x14ac:dyDescent="0.45">
      <c r="A125" s="85" t="s">
        <v>146</v>
      </c>
      <c r="B125" s="103"/>
      <c r="C125" s="103"/>
      <c r="D125" s="103"/>
      <c r="E125" s="103"/>
      <c r="F125" s="103"/>
      <c r="G125" s="104">
        <f t="shared" si="1"/>
        <v>0</v>
      </c>
    </row>
    <row r="126" spans="1:7" ht="15.4" x14ac:dyDescent="0.45">
      <c r="A126" s="85" t="s">
        <v>107</v>
      </c>
      <c r="B126" s="103"/>
      <c r="C126" s="103"/>
      <c r="D126" s="103"/>
      <c r="E126" s="103"/>
      <c r="F126" s="103"/>
      <c r="G126" s="104">
        <f t="shared" si="1"/>
        <v>0</v>
      </c>
    </row>
    <row r="127" spans="1:7" ht="15.4" x14ac:dyDescent="0.45">
      <c r="A127" s="93" t="s">
        <v>131</v>
      </c>
      <c r="B127" s="114">
        <f>SUM(B3:B126)</f>
        <v>292452397</v>
      </c>
      <c r="C127" s="114">
        <f t="shared" ref="C127:F127" si="2">SUM(C3:C126)</f>
        <v>200156964.11000001</v>
      </c>
      <c r="D127" s="114">
        <f t="shared" si="2"/>
        <v>92295432.890000015</v>
      </c>
      <c r="E127" s="114">
        <f t="shared" si="2"/>
        <v>37670054.160000004</v>
      </c>
      <c r="F127" s="114">
        <f t="shared" si="2"/>
        <v>101296083.89999998</v>
      </c>
    </row>
    <row r="130" spans="3:3" x14ac:dyDescent="0.35">
      <c r="C130" s="113" t="s">
        <v>163</v>
      </c>
    </row>
  </sheetData>
  <mergeCells count="1">
    <mergeCell ref="A1:G1"/>
  </mergeCells>
  <pageMargins left="0.7" right="0.7" top="0.75" bottom="0.75" header="0.3" footer="0.3"/>
  <customProperties>
    <customPr name="LastActive" r:id="rId1"/>
  </customPropertie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24"/>
  <sheetViews>
    <sheetView workbookViewId="0">
      <selection activeCell="A13" sqref="A13"/>
    </sheetView>
  </sheetViews>
  <sheetFormatPr defaultRowHeight="12.75" x14ac:dyDescent="0.35"/>
  <cols>
    <col min="1" max="1" width="61.265625" bestFit="1" customWidth="1"/>
    <col min="2" max="2" width="17.73046875" customWidth="1"/>
    <col min="3" max="3" width="20.1328125" customWidth="1"/>
    <col min="4" max="4" width="18" customWidth="1"/>
    <col min="5" max="5" width="21.59765625" bestFit="1" customWidth="1"/>
    <col min="6" max="6" width="20.86328125" customWidth="1"/>
    <col min="7" max="7" width="16" style="106" bestFit="1" customWidth="1"/>
    <col min="8" max="8" width="10.59765625" bestFit="1" customWidth="1"/>
  </cols>
  <sheetData>
    <row r="1" spans="1:8" ht="18" x14ac:dyDescent="0.55000000000000004">
      <c r="A1" s="171" t="s">
        <v>164</v>
      </c>
      <c r="B1" s="171"/>
      <c r="C1" s="171"/>
      <c r="D1" s="171"/>
      <c r="E1" s="171"/>
      <c r="F1" s="171"/>
      <c r="G1" s="171"/>
    </row>
    <row r="2" spans="1:8" ht="36" x14ac:dyDescent="0.55000000000000004">
      <c r="A2" s="70" t="s">
        <v>1</v>
      </c>
      <c r="B2" s="71" t="s">
        <v>2</v>
      </c>
      <c r="C2" s="71" t="s">
        <v>3</v>
      </c>
      <c r="D2" s="71" t="s">
        <v>4</v>
      </c>
      <c r="E2" s="71" t="s">
        <v>5</v>
      </c>
      <c r="F2" s="71" t="s">
        <v>6</v>
      </c>
      <c r="G2" s="105" t="s">
        <v>9</v>
      </c>
    </row>
    <row r="3" spans="1:8" ht="15.4" x14ac:dyDescent="0.45">
      <c r="A3" s="85" t="s">
        <v>165</v>
      </c>
      <c r="B3" s="103">
        <v>122460</v>
      </c>
      <c r="C3" s="103">
        <v>38220</v>
      </c>
      <c r="D3" s="103">
        <v>84240</v>
      </c>
      <c r="E3" s="103">
        <v>0</v>
      </c>
      <c r="F3" s="103">
        <v>84240</v>
      </c>
      <c r="G3" s="115">
        <f>B3/$B$121</f>
        <v>1.4318803781455066E-3</v>
      </c>
    </row>
    <row r="4" spans="1:8" ht="15.4" x14ac:dyDescent="0.45">
      <c r="A4" s="85" t="s">
        <v>117</v>
      </c>
      <c r="B4" s="103">
        <v>1000931</v>
      </c>
      <c r="C4" s="103">
        <v>516373.91</v>
      </c>
      <c r="D4" s="103">
        <v>484557.09</v>
      </c>
      <c r="E4" s="103">
        <v>102425.39</v>
      </c>
      <c r="F4" s="103">
        <v>586982.48</v>
      </c>
      <c r="G4" s="115">
        <f t="shared" ref="G4:G67" si="0">B4/$B$121</f>
        <v>1.1703523262923078E-2</v>
      </c>
      <c r="H4" s="49"/>
    </row>
    <row r="5" spans="1:8" ht="15.4" x14ac:dyDescent="0.45">
      <c r="A5" s="85" t="s">
        <v>10</v>
      </c>
      <c r="B5" s="103">
        <v>1842620</v>
      </c>
      <c r="C5" s="103">
        <v>614426</v>
      </c>
      <c r="D5" s="103">
        <v>1228194</v>
      </c>
      <c r="E5" s="103">
        <v>0</v>
      </c>
      <c r="F5" s="103">
        <v>1228194</v>
      </c>
      <c r="G5" s="115">
        <f t="shared" si="0"/>
        <v>2.1545087558210625E-2</v>
      </c>
    </row>
    <row r="6" spans="1:8" ht="15.4" x14ac:dyDescent="0.45">
      <c r="A6" s="85" t="s">
        <v>11</v>
      </c>
      <c r="B6" s="103">
        <v>4237</v>
      </c>
      <c r="C6" s="103">
        <v>17654.32</v>
      </c>
      <c r="D6" s="103">
        <v>-13417.32</v>
      </c>
      <c r="E6" s="103">
        <v>0</v>
      </c>
      <c r="F6" s="103">
        <v>-13417.32</v>
      </c>
      <c r="G6" s="115">
        <f t="shared" si="0"/>
        <v>4.9541704737894098E-5</v>
      </c>
    </row>
    <row r="7" spans="1:8" ht="15.4" x14ac:dyDescent="0.45">
      <c r="A7" s="85" t="s">
        <v>162</v>
      </c>
      <c r="B7" s="103"/>
      <c r="C7" s="103"/>
      <c r="D7" s="103"/>
      <c r="E7" s="103"/>
      <c r="F7" s="103"/>
      <c r="G7" s="115">
        <f t="shared" si="0"/>
        <v>0</v>
      </c>
    </row>
    <row r="8" spans="1:8" ht="15.4" x14ac:dyDescent="0.45">
      <c r="A8" s="85" t="s">
        <v>12</v>
      </c>
      <c r="B8" s="103">
        <v>486899</v>
      </c>
      <c r="C8" s="103">
        <v>426406</v>
      </c>
      <c r="D8" s="103">
        <v>60493</v>
      </c>
      <c r="E8" s="103">
        <v>0</v>
      </c>
      <c r="F8" s="103">
        <v>44796</v>
      </c>
      <c r="G8" s="115">
        <f t="shared" si="0"/>
        <v>5.6931334659371955E-3</v>
      </c>
    </row>
    <row r="9" spans="1:8" ht="15.4" x14ac:dyDescent="0.45">
      <c r="A9" s="85" t="s">
        <v>13</v>
      </c>
      <c r="B9" s="103">
        <v>306536</v>
      </c>
      <c r="C9" s="103">
        <v>225749</v>
      </c>
      <c r="D9" s="103">
        <v>80787</v>
      </c>
      <c r="E9" s="103">
        <v>181508</v>
      </c>
      <c r="F9" s="103">
        <v>196721</v>
      </c>
      <c r="G9" s="115">
        <f t="shared" si="0"/>
        <v>3.5842143034069164E-3</v>
      </c>
    </row>
    <row r="10" spans="1:8" ht="15.4" x14ac:dyDescent="0.45">
      <c r="A10" s="85" t="s">
        <v>14</v>
      </c>
      <c r="B10" s="103">
        <v>879298</v>
      </c>
      <c r="C10" s="103">
        <v>443968</v>
      </c>
      <c r="D10" s="103">
        <v>435330</v>
      </c>
      <c r="E10" s="103">
        <v>0</v>
      </c>
      <c r="F10" s="103">
        <v>326497</v>
      </c>
      <c r="G10" s="115">
        <f t="shared" si="0"/>
        <v>1.0281312695921833E-2</v>
      </c>
    </row>
    <row r="11" spans="1:8" ht="15.4" x14ac:dyDescent="0.45">
      <c r="A11" s="85" t="s">
        <v>16</v>
      </c>
      <c r="B11" s="103">
        <v>889602</v>
      </c>
      <c r="C11" s="103">
        <v>856033.63</v>
      </c>
      <c r="D11" s="103">
        <v>33568.370000000003</v>
      </c>
      <c r="E11" s="103">
        <v>890041.6</v>
      </c>
      <c r="F11" s="103">
        <v>692707.97</v>
      </c>
      <c r="G11" s="115">
        <f t="shared" si="0"/>
        <v>1.0401793631871622E-2</v>
      </c>
    </row>
    <row r="12" spans="1:8" ht="15.4" x14ac:dyDescent="0.45">
      <c r="A12" s="85" t="s">
        <v>17</v>
      </c>
      <c r="B12" s="103">
        <v>681617</v>
      </c>
      <c r="C12" s="103">
        <v>170820.22</v>
      </c>
      <c r="D12" s="103">
        <v>510796.78</v>
      </c>
      <c r="E12" s="103">
        <v>0</v>
      </c>
      <c r="F12" s="103">
        <v>510796.78</v>
      </c>
      <c r="G12" s="115">
        <f t="shared" si="0"/>
        <v>7.9699004385955074E-3</v>
      </c>
    </row>
    <row r="13" spans="1:8" ht="15.4" x14ac:dyDescent="0.45">
      <c r="A13" s="85" t="s">
        <v>18</v>
      </c>
      <c r="B13" s="103"/>
      <c r="C13" s="103"/>
      <c r="D13" s="103"/>
      <c r="E13" s="103"/>
      <c r="F13" s="103"/>
      <c r="G13" s="115">
        <f t="shared" si="0"/>
        <v>0</v>
      </c>
    </row>
    <row r="14" spans="1:8" ht="15.4" x14ac:dyDescent="0.45">
      <c r="A14" s="85" t="s">
        <v>19</v>
      </c>
      <c r="B14" s="103">
        <v>238119</v>
      </c>
      <c r="C14" s="103">
        <v>212259.77</v>
      </c>
      <c r="D14" s="103">
        <v>25859.23</v>
      </c>
      <c r="E14" s="103">
        <v>64140</v>
      </c>
      <c r="F14" s="103">
        <v>89999.23</v>
      </c>
      <c r="G14" s="115">
        <f t="shared" si="0"/>
        <v>2.7842391292146815E-3</v>
      </c>
    </row>
    <row r="15" spans="1:8" ht="15.4" x14ac:dyDescent="0.45">
      <c r="A15" s="85" t="s">
        <v>20</v>
      </c>
      <c r="B15" s="103">
        <v>510881</v>
      </c>
      <c r="C15" s="103">
        <v>255943.07</v>
      </c>
      <c r="D15" s="103">
        <v>254937.93</v>
      </c>
      <c r="E15" s="103">
        <v>48258.879999999997</v>
      </c>
      <c r="F15" s="103">
        <v>303196.81</v>
      </c>
      <c r="G15" s="115">
        <f t="shared" si="0"/>
        <v>5.9735462964833784E-3</v>
      </c>
    </row>
    <row r="16" spans="1:8" ht="15.4" x14ac:dyDescent="0.45">
      <c r="A16" s="85" t="s">
        <v>21</v>
      </c>
      <c r="B16" s="103">
        <v>1239545</v>
      </c>
      <c r="C16" s="103">
        <v>807753</v>
      </c>
      <c r="D16" s="103">
        <v>431792</v>
      </c>
      <c r="E16" s="103">
        <v>67161</v>
      </c>
      <c r="F16" s="103">
        <v>342725</v>
      </c>
      <c r="G16" s="115">
        <f t="shared" si="0"/>
        <v>1.4493550247659415E-2</v>
      </c>
    </row>
    <row r="17" spans="1:7" ht="15.4" x14ac:dyDescent="0.45">
      <c r="A17" s="85" t="s">
        <v>134</v>
      </c>
      <c r="B17" s="103">
        <v>972106</v>
      </c>
      <c r="C17" s="103">
        <v>826412.93</v>
      </c>
      <c r="D17" s="103">
        <v>145693.07</v>
      </c>
      <c r="E17" s="103">
        <v>54893.5</v>
      </c>
      <c r="F17" s="103">
        <v>147932.48000000001</v>
      </c>
      <c r="G17" s="115">
        <f t="shared" si="0"/>
        <v>1.1366482989364003E-2</v>
      </c>
    </row>
    <row r="18" spans="1:7" ht="15.4" x14ac:dyDescent="0.45">
      <c r="A18" s="85" t="s">
        <v>22</v>
      </c>
      <c r="B18" s="103">
        <v>12012</v>
      </c>
      <c r="C18" s="103">
        <v>53226.19</v>
      </c>
      <c r="D18" s="103">
        <v>-41214.19</v>
      </c>
      <c r="E18" s="103">
        <v>32580.74</v>
      </c>
      <c r="F18" s="103">
        <v>-8633.4500000000007</v>
      </c>
      <c r="G18" s="115">
        <f t="shared" si="0"/>
        <v>1.404519606588586E-4</v>
      </c>
    </row>
    <row r="19" spans="1:7" ht="15.4" x14ac:dyDescent="0.45">
      <c r="A19" s="85" t="s">
        <v>135</v>
      </c>
      <c r="B19" s="103">
        <v>116710</v>
      </c>
      <c r="C19" s="103">
        <v>29623.39</v>
      </c>
      <c r="D19" s="103">
        <v>87086.61</v>
      </c>
      <c r="E19" s="103">
        <v>0</v>
      </c>
      <c r="F19" s="103">
        <v>87086.61</v>
      </c>
      <c r="G19" s="115">
        <f t="shared" si="0"/>
        <v>1.364647712994954E-3</v>
      </c>
    </row>
    <row r="20" spans="1:7" ht="15.4" x14ac:dyDescent="0.45">
      <c r="A20" s="85" t="s">
        <v>23</v>
      </c>
      <c r="B20" s="103">
        <v>638693</v>
      </c>
      <c r="C20" s="103">
        <v>324058.81</v>
      </c>
      <c r="D20" s="103">
        <v>314634.19</v>
      </c>
      <c r="E20" s="103">
        <v>131287</v>
      </c>
      <c r="F20" s="103">
        <v>445921.19</v>
      </c>
      <c r="G20" s="115">
        <f t="shared" si="0"/>
        <v>7.468005670087278E-3</v>
      </c>
    </row>
    <row r="21" spans="1:7" ht="15.4" x14ac:dyDescent="0.45">
      <c r="A21" s="85" t="s">
        <v>24</v>
      </c>
      <c r="B21" s="103">
        <v>3253020</v>
      </c>
      <c r="C21" s="103">
        <v>31555882.5</v>
      </c>
      <c r="D21" s="103">
        <v>-28302862.5</v>
      </c>
      <c r="E21" s="103">
        <v>29127994.960000001</v>
      </c>
      <c r="F21" s="103">
        <v>630849.92000000004</v>
      </c>
      <c r="G21" s="115">
        <f t="shared" si="0"/>
        <v>3.8036383371834848E-2</v>
      </c>
    </row>
    <row r="22" spans="1:7" ht="15.4" x14ac:dyDescent="0.45">
      <c r="A22" s="85" t="s">
        <v>136</v>
      </c>
      <c r="B22" s="103">
        <v>49605</v>
      </c>
      <c r="C22" s="103">
        <v>77250</v>
      </c>
      <c r="D22" s="103">
        <v>-27645</v>
      </c>
      <c r="E22" s="103">
        <v>47119</v>
      </c>
      <c r="F22" s="103">
        <v>19474</v>
      </c>
      <c r="G22" s="115">
        <f t="shared" si="0"/>
        <v>5.8001327909446227E-4</v>
      </c>
    </row>
    <row r="23" spans="1:7" ht="15.4" x14ac:dyDescent="0.45">
      <c r="A23" s="85" t="s">
        <v>25</v>
      </c>
      <c r="B23" s="103">
        <v>1048713</v>
      </c>
      <c r="C23" s="103">
        <v>540884.46</v>
      </c>
      <c r="D23" s="103">
        <v>507828.54</v>
      </c>
      <c r="E23" s="103">
        <v>0</v>
      </c>
      <c r="F23" s="103">
        <v>507828.54</v>
      </c>
      <c r="G23" s="115">
        <f t="shared" si="0"/>
        <v>1.226222086400546E-2</v>
      </c>
    </row>
    <row r="24" spans="1:7" ht="15.4" x14ac:dyDescent="0.45">
      <c r="A24" s="85" t="s">
        <v>26</v>
      </c>
      <c r="B24" s="103">
        <v>236149</v>
      </c>
      <c r="C24" s="103">
        <v>248933.69</v>
      </c>
      <c r="D24" s="103">
        <v>-12784.69</v>
      </c>
      <c r="E24" s="103">
        <v>10275.26</v>
      </c>
      <c r="F24" s="103">
        <v>-2509.4299999999998</v>
      </c>
      <c r="G24" s="115">
        <f t="shared" si="0"/>
        <v>2.7612046335022313E-3</v>
      </c>
    </row>
    <row r="25" spans="1:7" ht="15.4" x14ac:dyDescent="0.45">
      <c r="A25" s="85" t="s">
        <v>27</v>
      </c>
      <c r="B25" s="103">
        <v>57767</v>
      </c>
      <c r="C25" s="103">
        <v>71445.009999999995</v>
      </c>
      <c r="D25" s="103">
        <v>-13678.01</v>
      </c>
      <c r="E25" s="103">
        <v>22565.360000000001</v>
      </c>
      <c r="F25" s="103">
        <v>8887.35</v>
      </c>
      <c r="G25" s="115">
        <f t="shared" si="0"/>
        <v>6.7544858569599446E-4</v>
      </c>
    </row>
    <row r="26" spans="1:7" ht="15.4" x14ac:dyDescent="0.45">
      <c r="A26" s="85" t="s">
        <v>118</v>
      </c>
      <c r="B26" s="103">
        <v>60242</v>
      </c>
      <c r="C26" s="103">
        <v>56744.22</v>
      </c>
      <c r="D26" s="103">
        <v>3497.78</v>
      </c>
      <c r="E26" s="103">
        <v>15225</v>
      </c>
      <c r="F26" s="103">
        <v>18722.78</v>
      </c>
      <c r="G26" s="115">
        <f t="shared" si="0"/>
        <v>7.0438786330427573E-4</v>
      </c>
    </row>
    <row r="27" spans="1:7" ht="15.4" x14ac:dyDescent="0.45">
      <c r="A27" s="85" t="s">
        <v>28</v>
      </c>
      <c r="B27" s="103">
        <v>299763</v>
      </c>
      <c r="C27" s="103">
        <v>302180.75</v>
      </c>
      <c r="D27" s="103">
        <v>-2417.75</v>
      </c>
      <c r="E27" s="103">
        <v>0</v>
      </c>
      <c r="F27" s="103">
        <v>-2417.75</v>
      </c>
      <c r="G27" s="115">
        <f t="shared" si="0"/>
        <v>3.5050200701782744E-3</v>
      </c>
    </row>
    <row r="28" spans="1:7" ht="15.4" x14ac:dyDescent="0.45">
      <c r="A28" s="85" t="s">
        <v>8</v>
      </c>
      <c r="B28" s="103">
        <v>267693</v>
      </c>
      <c r="C28" s="103">
        <v>117952</v>
      </c>
      <c r="D28" s="103">
        <v>149741</v>
      </c>
      <c r="E28" s="103">
        <v>0</v>
      </c>
      <c r="F28" s="103">
        <v>149741</v>
      </c>
      <c r="G28" s="115">
        <f t="shared" si="0"/>
        <v>3.1300371881994534E-3</v>
      </c>
    </row>
    <row r="29" spans="1:7" ht="15.4" x14ac:dyDescent="0.45">
      <c r="A29" s="85" t="s">
        <v>29</v>
      </c>
      <c r="B29" s="103"/>
      <c r="C29" s="103"/>
      <c r="D29" s="103"/>
      <c r="E29" s="103"/>
      <c r="F29" s="103"/>
      <c r="G29" s="115">
        <f t="shared" si="0"/>
        <v>0</v>
      </c>
    </row>
    <row r="30" spans="1:7" ht="15.4" x14ac:dyDescent="0.45">
      <c r="A30" s="85" t="s">
        <v>30</v>
      </c>
      <c r="B30" s="103">
        <v>122585</v>
      </c>
      <c r="C30" s="103">
        <v>122492</v>
      </c>
      <c r="D30" s="103">
        <v>93</v>
      </c>
      <c r="E30" s="103">
        <v>0</v>
      </c>
      <c r="F30" s="103">
        <v>93</v>
      </c>
      <c r="G30" s="115">
        <f t="shared" si="0"/>
        <v>1.4333419578226926E-3</v>
      </c>
    </row>
    <row r="31" spans="1:7" ht="15.4" x14ac:dyDescent="0.45">
      <c r="A31" s="85" t="s">
        <v>31</v>
      </c>
      <c r="B31" s="103">
        <v>181828</v>
      </c>
      <c r="C31" s="103">
        <v>135586.76</v>
      </c>
      <c r="D31" s="103">
        <v>46241.24</v>
      </c>
      <c r="E31" s="103">
        <v>0</v>
      </c>
      <c r="F31" s="103">
        <v>46241.24</v>
      </c>
      <c r="G31" s="115">
        <f t="shared" si="0"/>
        <v>2.1260488763468984E-3</v>
      </c>
    </row>
    <row r="32" spans="1:7" ht="15.4" x14ac:dyDescent="0.45">
      <c r="A32" s="85" t="s">
        <v>32</v>
      </c>
      <c r="B32" s="103">
        <v>104912</v>
      </c>
      <c r="C32" s="103">
        <v>241894</v>
      </c>
      <c r="D32" s="103">
        <v>-136982</v>
      </c>
      <c r="E32" s="103">
        <v>68474</v>
      </c>
      <c r="F32" s="103">
        <v>-68508</v>
      </c>
      <c r="G32" s="115">
        <f t="shared" si="0"/>
        <v>1.2266979767434378E-3</v>
      </c>
    </row>
    <row r="33" spans="1:7" ht="15.4" x14ac:dyDescent="0.45">
      <c r="A33" s="85" t="s">
        <v>33</v>
      </c>
      <c r="B33" s="103">
        <v>57045</v>
      </c>
      <c r="C33" s="103">
        <v>62213.45</v>
      </c>
      <c r="D33" s="103">
        <v>-5168.45</v>
      </c>
      <c r="E33" s="103">
        <v>0</v>
      </c>
      <c r="F33" s="103">
        <v>-5168.45</v>
      </c>
      <c r="G33" s="115">
        <f t="shared" si="0"/>
        <v>6.6700650148056849E-4</v>
      </c>
    </row>
    <row r="34" spans="1:7" ht="15.4" x14ac:dyDescent="0.45">
      <c r="A34" s="85" t="s">
        <v>34</v>
      </c>
      <c r="B34" s="103">
        <v>39548</v>
      </c>
      <c r="C34" s="103">
        <v>60168.99</v>
      </c>
      <c r="D34" s="103">
        <v>-20620.990000000002</v>
      </c>
      <c r="E34" s="103">
        <v>15951</v>
      </c>
      <c r="F34" s="103">
        <v>-4669.99</v>
      </c>
      <c r="G34" s="115">
        <f t="shared" si="0"/>
        <v>4.6242042458679157E-4</v>
      </c>
    </row>
    <row r="35" spans="1:7" ht="15.4" x14ac:dyDescent="0.45">
      <c r="A35" s="85" t="s">
        <v>35</v>
      </c>
      <c r="B35" s="103">
        <v>130999</v>
      </c>
      <c r="C35" s="103">
        <v>217432</v>
      </c>
      <c r="D35" s="103">
        <v>-86433</v>
      </c>
      <c r="E35" s="103">
        <v>94538</v>
      </c>
      <c r="F35" s="103">
        <v>6078.75</v>
      </c>
      <c r="G35" s="115">
        <f t="shared" si="0"/>
        <v>1.5317238090534315E-3</v>
      </c>
    </row>
    <row r="36" spans="1:7" ht="15.4" x14ac:dyDescent="0.45">
      <c r="A36" s="85" t="s">
        <v>36</v>
      </c>
      <c r="B36" s="103">
        <v>209162</v>
      </c>
      <c r="C36" s="103">
        <v>314745.33</v>
      </c>
      <c r="D36" s="103">
        <v>-105583.33</v>
      </c>
      <c r="E36" s="103">
        <v>225303</v>
      </c>
      <c r="F36" s="103">
        <v>95390.67</v>
      </c>
      <c r="G36" s="115">
        <f t="shared" si="0"/>
        <v>2.4456554275164989E-3</v>
      </c>
    </row>
    <row r="37" spans="1:7" ht="15.4" x14ac:dyDescent="0.45">
      <c r="A37" s="85" t="s">
        <v>37</v>
      </c>
      <c r="B37" s="103">
        <v>183786</v>
      </c>
      <c r="C37" s="103">
        <v>170192</v>
      </c>
      <c r="D37" s="103">
        <v>13594</v>
      </c>
      <c r="E37" s="103">
        <v>0</v>
      </c>
      <c r="F37" s="103">
        <v>13594</v>
      </c>
      <c r="G37" s="115">
        <f t="shared" si="0"/>
        <v>2.1489430604103386E-3</v>
      </c>
    </row>
    <row r="38" spans="1:7" ht="15.4" x14ac:dyDescent="0.45">
      <c r="A38" s="85" t="s">
        <v>38</v>
      </c>
      <c r="B38" s="103">
        <v>324283</v>
      </c>
      <c r="C38" s="103">
        <v>281573</v>
      </c>
      <c r="D38" s="103">
        <v>42710</v>
      </c>
      <c r="E38" s="103">
        <v>0</v>
      </c>
      <c r="F38" s="103">
        <v>42710</v>
      </c>
      <c r="G38" s="115">
        <f t="shared" si="0"/>
        <v>3.7917235396550653E-3</v>
      </c>
    </row>
    <row r="39" spans="1:7" ht="15.4" x14ac:dyDescent="0.45">
      <c r="A39" s="85" t="s">
        <v>39</v>
      </c>
      <c r="B39" s="103">
        <v>6893977</v>
      </c>
      <c r="C39" s="103">
        <v>2883576</v>
      </c>
      <c r="D39" s="103">
        <v>4010401</v>
      </c>
      <c r="E39" s="103">
        <v>155556</v>
      </c>
      <c r="F39" s="103">
        <v>3124468</v>
      </c>
      <c r="G39" s="115">
        <f t="shared" si="0"/>
        <v>8.0608773425497507E-2</v>
      </c>
    </row>
    <row r="40" spans="1:7" ht="15.4" x14ac:dyDescent="0.45">
      <c r="A40" s="85" t="s">
        <v>40</v>
      </c>
      <c r="B40" s="103">
        <v>85338</v>
      </c>
      <c r="C40" s="103">
        <v>71502.820000000007</v>
      </c>
      <c r="D40" s="103">
        <v>13835.18</v>
      </c>
      <c r="E40" s="103">
        <v>44961</v>
      </c>
      <c r="F40" s="103">
        <v>58796.18</v>
      </c>
      <c r="G40" s="115">
        <f t="shared" si="0"/>
        <v>9.9782629193353946E-4</v>
      </c>
    </row>
    <row r="41" spans="1:7" ht="15.4" x14ac:dyDescent="0.45">
      <c r="A41" s="85" t="s">
        <v>41</v>
      </c>
      <c r="B41" s="103">
        <v>109921</v>
      </c>
      <c r="C41" s="103">
        <v>100807</v>
      </c>
      <c r="D41" s="103">
        <v>9114</v>
      </c>
      <c r="E41" s="103">
        <v>221</v>
      </c>
      <c r="F41" s="103">
        <v>9335</v>
      </c>
      <c r="G41" s="115">
        <f t="shared" si="0"/>
        <v>1.285266397567632E-3</v>
      </c>
    </row>
    <row r="42" spans="1:7" ht="15.4" x14ac:dyDescent="0.45">
      <c r="A42" s="85" t="s">
        <v>121</v>
      </c>
      <c r="B42" s="103">
        <v>1345640</v>
      </c>
      <c r="C42" s="103">
        <v>938331.22</v>
      </c>
      <c r="D42" s="103">
        <v>407308.78</v>
      </c>
      <c r="E42" s="103">
        <v>104451</v>
      </c>
      <c r="F42" s="103">
        <v>383819.6</v>
      </c>
      <c r="G42" s="115">
        <f t="shared" si="0"/>
        <v>1.5734080614467742E-2</v>
      </c>
    </row>
    <row r="43" spans="1:7" ht="15.4" x14ac:dyDescent="0.45">
      <c r="A43" s="85" t="s">
        <v>43</v>
      </c>
      <c r="B43" s="103">
        <v>1267115</v>
      </c>
      <c r="C43" s="103">
        <v>915498</v>
      </c>
      <c r="D43" s="103">
        <v>351617</v>
      </c>
      <c r="E43" s="103">
        <v>1841</v>
      </c>
      <c r="F43" s="103">
        <v>265093.5</v>
      </c>
      <c r="G43" s="115">
        <f t="shared" si="0"/>
        <v>1.4815916261259542E-2</v>
      </c>
    </row>
    <row r="44" spans="1:7" ht="15.4" x14ac:dyDescent="0.45">
      <c r="A44" s="85" t="s">
        <v>44</v>
      </c>
      <c r="B44" s="103">
        <v>232520</v>
      </c>
      <c r="C44" s="103">
        <v>198387.39</v>
      </c>
      <c r="D44" s="103">
        <v>34132.61</v>
      </c>
      <c r="E44" s="103">
        <v>0</v>
      </c>
      <c r="F44" s="103">
        <v>3381.61</v>
      </c>
      <c r="G44" s="115">
        <f t="shared" si="0"/>
        <v>2.7187720523141694E-3</v>
      </c>
    </row>
    <row r="45" spans="1:7" ht="15.4" x14ac:dyDescent="0.45">
      <c r="A45" s="85" t="s">
        <v>137</v>
      </c>
      <c r="B45" s="103">
        <v>64643</v>
      </c>
      <c r="C45" s="103">
        <v>54864.13</v>
      </c>
      <c r="D45" s="103">
        <v>9778.8700000000008</v>
      </c>
      <c r="E45" s="103">
        <v>0</v>
      </c>
      <c r="F45" s="103">
        <v>9778.8700000000008</v>
      </c>
      <c r="G45" s="115">
        <f t="shared" si="0"/>
        <v>7.5584716057863776E-4</v>
      </c>
    </row>
    <row r="46" spans="1:7" ht="15.4" x14ac:dyDescent="0.45">
      <c r="A46" s="85" t="s">
        <v>46</v>
      </c>
      <c r="B46" s="103">
        <v>458357</v>
      </c>
      <c r="C46" s="103">
        <v>256367.99</v>
      </c>
      <c r="D46" s="103">
        <v>201989.01</v>
      </c>
      <c r="E46" s="103">
        <v>0</v>
      </c>
      <c r="F46" s="103">
        <v>173632.35</v>
      </c>
      <c r="G46" s="115">
        <f t="shared" si="0"/>
        <v>5.3594022087672709E-3</v>
      </c>
    </row>
    <row r="47" spans="1:7" ht="15.4" x14ac:dyDescent="0.45">
      <c r="A47" s="85" t="s">
        <v>47</v>
      </c>
      <c r="B47" s="103">
        <v>107275</v>
      </c>
      <c r="C47" s="103">
        <v>68644.55</v>
      </c>
      <c r="D47" s="103">
        <v>38630.449999999997</v>
      </c>
      <c r="E47" s="103">
        <v>5749.98</v>
      </c>
      <c r="F47" s="103">
        <v>33285.360000000001</v>
      </c>
      <c r="G47" s="115">
        <f t="shared" si="0"/>
        <v>1.2543276789609603E-3</v>
      </c>
    </row>
    <row r="48" spans="1:7" ht="15.4" x14ac:dyDescent="0.45">
      <c r="A48" s="85" t="s">
        <v>48</v>
      </c>
      <c r="B48" s="103">
        <v>38654</v>
      </c>
      <c r="C48" s="103">
        <v>43794</v>
      </c>
      <c r="D48" s="103">
        <v>-5140</v>
      </c>
      <c r="E48" s="103">
        <v>141089</v>
      </c>
      <c r="F48" s="103">
        <v>135949</v>
      </c>
      <c r="G48" s="115">
        <f t="shared" si="0"/>
        <v>4.5196720673555782E-4</v>
      </c>
    </row>
    <row r="49" spans="1:7" ht="15.4" x14ac:dyDescent="0.45">
      <c r="A49" s="85" t="s">
        <v>50</v>
      </c>
      <c r="B49" s="103">
        <v>196588</v>
      </c>
      <c r="C49" s="103">
        <v>391351</v>
      </c>
      <c r="D49" s="103">
        <v>-194763</v>
      </c>
      <c r="E49" s="103">
        <v>72191</v>
      </c>
      <c r="F49" s="103">
        <v>-122572</v>
      </c>
      <c r="G49" s="115">
        <f t="shared" si="0"/>
        <v>2.2986322046290122E-3</v>
      </c>
    </row>
    <row r="50" spans="1:7" ht="15.4" x14ac:dyDescent="0.45">
      <c r="A50" s="85" t="s">
        <v>123</v>
      </c>
      <c r="B50" s="103">
        <v>98255</v>
      </c>
      <c r="C50" s="103">
        <v>48111.1</v>
      </c>
      <c r="D50" s="103">
        <v>50143.9</v>
      </c>
      <c r="E50" s="103">
        <v>12063.94</v>
      </c>
      <c r="F50" s="103">
        <v>62207.839999999997</v>
      </c>
      <c r="G50" s="115">
        <f t="shared" si="0"/>
        <v>1.1488600894552241E-3</v>
      </c>
    </row>
    <row r="51" spans="1:7" ht="15.4" x14ac:dyDescent="0.45">
      <c r="A51" s="85" t="s">
        <v>51</v>
      </c>
      <c r="B51" s="103">
        <v>1081240</v>
      </c>
      <c r="C51" s="103">
        <v>390956</v>
      </c>
      <c r="D51" s="103">
        <v>690284</v>
      </c>
      <c r="E51" s="103">
        <v>0</v>
      </c>
      <c r="F51" s="103">
        <v>690284</v>
      </c>
      <c r="G51" s="115">
        <f t="shared" si="0"/>
        <v>1.2642547281284073E-2</v>
      </c>
    </row>
    <row r="52" spans="1:7" ht="15.4" x14ac:dyDescent="0.45">
      <c r="A52" s="85" t="s">
        <v>153</v>
      </c>
      <c r="B52" s="103">
        <v>208603</v>
      </c>
      <c r="C52" s="103">
        <v>262061</v>
      </c>
      <c r="D52" s="103">
        <v>-53458</v>
      </c>
      <c r="E52" s="103">
        <v>80950</v>
      </c>
      <c r="F52" s="103">
        <v>27492</v>
      </c>
      <c r="G52" s="115">
        <f t="shared" si="0"/>
        <v>2.4391192432001232E-3</v>
      </c>
    </row>
    <row r="53" spans="1:7" ht="15.4" x14ac:dyDescent="0.45">
      <c r="A53" s="85" t="s">
        <v>138</v>
      </c>
      <c r="B53" s="103">
        <v>275213</v>
      </c>
      <c r="C53" s="103">
        <v>201269.76000000001</v>
      </c>
      <c r="D53" s="103">
        <v>73943.240000000005</v>
      </c>
      <c r="E53" s="103">
        <v>7500</v>
      </c>
      <c r="F53" s="103">
        <v>81443.240000000005</v>
      </c>
      <c r="G53" s="115">
        <f t="shared" si="0"/>
        <v>3.2179658215789587E-3</v>
      </c>
    </row>
    <row r="54" spans="1:7" ht="15.4" x14ac:dyDescent="0.45">
      <c r="A54" s="85" t="s">
        <v>52</v>
      </c>
      <c r="B54" s="103">
        <v>3401501</v>
      </c>
      <c r="C54" s="103">
        <v>1257573.8</v>
      </c>
      <c r="D54" s="103">
        <v>2143927.2000000002</v>
      </c>
      <c r="E54" s="103">
        <v>880346.91</v>
      </c>
      <c r="F54" s="103">
        <v>2268205.58</v>
      </c>
      <c r="G54" s="115">
        <f t="shared" si="0"/>
        <v>3.9772517868220794E-2</v>
      </c>
    </row>
    <row r="55" spans="1:7" ht="15.4" x14ac:dyDescent="0.45">
      <c r="A55" s="85" t="s">
        <v>54</v>
      </c>
      <c r="B55" s="103">
        <v>517692</v>
      </c>
      <c r="C55" s="103">
        <v>170011.58</v>
      </c>
      <c r="D55" s="103">
        <v>347680.42</v>
      </c>
      <c r="E55" s="103">
        <v>204411</v>
      </c>
      <c r="F55" s="103">
        <v>552091.42000000004</v>
      </c>
      <c r="G55" s="115">
        <f t="shared" si="0"/>
        <v>6.0531848499338851E-3</v>
      </c>
    </row>
    <row r="56" spans="1:7" ht="15.4" x14ac:dyDescent="0.45">
      <c r="A56" s="85" t="s">
        <v>55</v>
      </c>
      <c r="B56" s="103">
        <v>9960</v>
      </c>
      <c r="C56" s="103">
        <v>29260.38</v>
      </c>
      <c r="D56" s="103">
        <v>-19300.38</v>
      </c>
      <c r="E56" s="103">
        <v>0</v>
      </c>
      <c r="F56" s="103">
        <v>-19300.38</v>
      </c>
      <c r="G56" s="115">
        <f t="shared" si="0"/>
        <v>1.1645866867817447E-4</v>
      </c>
    </row>
    <row r="57" spans="1:7" ht="15.4" x14ac:dyDescent="0.45">
      <c r="A57" s="85" t="s">
        <v>56</v>
      </c>
      <c r="B57" s="103">
        <v>345488</v>
      </c>
      <c r="C57" s="103">
        <v>193390</v>
      </c>
      <c r="D57" s="103">
        <v>152098</v>
      </c>
      <c r="E57" s="103">
        <v>0</v>
      </c>
      <c r="F57" s="103">
        <v>152098</v>
      </c>
      <c r="G57" s="115">
        <f t="shared" si="0"/>
        <v>4.0396659160928852E-3</v>
      </c>
    </row>
    <row r="58" spans="1:7" ht="15.4" x14ac:dyDescent="0.45">
      <c r="A58" s="85" t="s">
        <v>57</v>
      </c>
      <c r="B58" s="103">
        <v>1214496</v>
      </c>
      <c r="C58" s="103">
        <v>738321.7</v>
      </c>
      <c r="D58" s="103">
        <v>476174.3</v>
      </c>
      <c r="E58" s="103">
        <v>57006</v>
      </c>
      <c r="F58" s="103">
        <v>399559.3</v>
      </c>
      <c r="G58" s="115">
        <f t="shared" si="0"/>
        <v>1.4200661372988773E-2</v>
      </c>
    </row>
    <row r="59" spans="1:7" ht="15.4" x14ac:dyDescent="0.45">
      <c r="A59" s="85" t="s">
        <v>60</v>
      </c>
      <c r="B59" s="103">
        <v>2162927</v>
      </c>
      <c r="C59" s="103">
        <v>998086.24</v>
      </c>
      <c r="D59" s="103">
        <v>1164840.76</v>
      </c>
      <c r="E59" s="103">
        <v>940154.7</v>
      </c>
      <c r="F59" s="103">
        <v>2104995.46</v>
      </c>
      <c r="G59" s="115">
        <f t="shared" si="0"/>
        <v>2.5290321171493761E-2</v>
      </c>
    </row>
    <row r="60" spans="1:7" ht="15.4" x14ac:dyDescent="0.45">
      <c r="A60" s="85" t="s">
        <v>61</v>
      </c>
      <c r="B60" s="103">
        <v>389048</v>
      </c>
      <c r="C60" s="103">
        <v>223624.53</v>
      </c>
      <c r="D60" s="103">
        <v>165423.47</v>
      </c>
      <c r="E60" s="103">
        <v>70132.98</v>
      </c>
      <c r="F60" s="103">
        <v>235556.45</v>
      </c>
      <c r="G60" s="115">
        <f t="shared" si="0"/>
        <v>4.5489972019986365E-3</v>
      </c>
    </row>
    <row r="61" spans="1:7" ht="15.4" x14ac:dyDescent="0.45">
      <c r="A61" s="85" t="s">
        <v>62</v>
      </c>
      <c r="B61" s="103">
        <v>225237</v>
      </c>
      <c r="C61" s="103">
        <v>147860</v>
      </c>
      <c r="D61" s="103">
        <v>77377</v>
      </c>
      <c r="E61" s="103">
        <v>0</v>
      </c>
      <c r="F61" s="103">
        <v>77377</v>
      </c>
      <c r="G61" s="115">
        <f t="shared" si="0"/>
        <v>2.6336145740026087E-3</v>
      </c>
    </row>
    <row r="62" spans="1:7" ht="15.4" x14ac:dyDescent="0.45">
      <c r="A62" s="85" t="s">
        <v>63</v>
      </c>
      <c r="B62" s="103">
        <v>1088021</v>
      </c>
      <c r="C62" s="103">
        <v>418937.57</v>
      </c>
      <c r="D62" s="103">
        <v>669083.43000000005</v>
      </c>
      <c r="E62" s="103">
        <v>52339</v>
      </c>
      <c r="F62" s="103">
        <v>534797.43000000005</v>
      </c>
      <c r="G62" s="115">
        <f t="shared" si="0"/>
        <v>1.2721835055612054E-2</v>
      </c>
    </row>
    <row r="63" spans="1:7" ht="15.4" x14ac:dyDescent="0.45">
      <c r="A63" s="85" t="s">
        <v>64</v>
      </c>
      <c r="B63" s="103">
        <v>182552</v>
      </c>
      <c r="C63" s="103">
        <v>101135.52</v>
      </c>
      <c r="D63" s="103">
        <v>81416.479999999996</v>
      </c>
      <c r="E63" s="103">
        <v>66091.23</v>
      </c>
      <c r="F63" s="103">
        <v>110301.84</v>
      </c>
      <c r="G63" s="115">
        <f t="shared" si="0"/>
        <v>2.1345143458371594E-3</v>
      </c>
    </row>
    <row r="64" spans="1:7" ht="15.4" x14ac:dyDescent="0.45">
      <c r="A64" s="85" t="s">
        <v>65</v>
      </c>
      <c r="B64" s="103">
        <v>14454612</v>
      </c>
      <c r="C64" s="103">
        <v>8349675.6699999999</v>
      </c>
      <c r="D64" s="103">
        <v>6104936.3300000001</v>
      </c>
      <c r="E64" s="103">
        <v>1057008.6299999999</v>
      </c>
      <c r="F64" s="103">
        <v>5371458.7199999997</v>
      </c>
      <c r="G64" s="115">
        <f t="shared" si="0"/>
        <v>0.16901253712646233</v>
      </c>
    </row>
    <row r="65" spans="1:7" ht="15.4" x14ac:dyDescent="0.45">
      <c r="A65" s="85" t="s">
        <v>66</v>
      </c>
      <c r="B65" s="103">
        <v>3837952</v>
      </c>
      <c r="C65" s="103">
        <v>1915869.99</v>
      </c>
      <c r="D65" s="103">
        <v>1922082.01</v>
      </c>
      <c r="E65" s="103">
        <v>1537821.84</v>
      </c>
      <c r="F65" s="103">
        <v>2594927.85</v>
      </c>
      <c r="G65" s="115">
        <f t="shared" si="0"/>
        <v>4.4875781161720585E-2</v>
      </c>
    </row>
    <row r="66" spans="1:7" ht="15.4" x14ac:dyDescent="0.45">
      <c r="A66" s="85" t="s">
        <v>67</v>
      </c>
      <c r="B66" s="103">
        <v>267649</v>
      </c>
      <c r="C66" s="103">
        <v>184240.57</v>
      </c>
      <c r="D66" s="103">
        <v>83408.429999999993</v>
      </c>
      <c r="E66" s="103">
        <v>150.09</v>
      </c>
      <c r="F66" s="103">
        <v>62668.9</v>
      </c>
      <c r="G66" s="115">
        <f t="shared" si="0"/>
        <v>3.1295227121530839E-3</v>
      </c>
    </row>
    <row r="67" spans="1:7" ht="15.4" x14ac:dyDescent="0.45">
      <c r="A67" s="85" t="s">
        <v>139</v>
      </c>
      <c r="B67" s="103">
        <v>171810</v>
      </c>
      <c r="C67" s="103">
        <v>84151</v>
      </c>
      <c r="D67" s="103">
        <v>87659</v>
      </c>
      <c r="E67" s="103">
        <v>37832</v>
      </c>
      <c r="F67" s="103">
        <v>109617</v>
      </c>
      <c r="G67" s="115">
        <f t="shared" si="0"/>
        <v>2.0089120346985095E-3</v>
      </c>
    </row>
    <row r="68" spans="1:7" ht="15.4" x14ac:dyDescent="0.45">
      <c r="A68" s="85" t="s">
        <v>68</v>
      </c>
      <c r="B68" s="103">
        <v>71060</v>
      </c>
      <c r="C68" s="103">
        <v>74667.83</v>
      </c>
      <c r="D68" s="103">
        <v>-3607.83</v>
      </c>
      <c r="E68" s="103">
        <v>0</v>
      </c>
      <c r="F68" s="103">
        <v>-3455.83</v>
      </c>
      <c r="G68" s="115">
        <f t="shared" ref="G68:G119" si="1">B68/$B$121</f>
        <v>8.3087881488665442E-4</v>
      </c>
    </row>
    <row r="69" spans="1:7" ht="15.4" x14ac:dyDescent="0.45">
      <c r="A69" s="85" t="s">
        <v>69</v>
      </c>
      <c r="B69" s="103">
        <v>307131</v>
      </c>
      <c r="C69" s="103">
        <v>218359</v>
      </c>
      <c r="D69" s="103">
        <v>88772</v>
      </c>
      <c r="E69" s="103">
        <v>0</v>
      </c>
      <c r="F69" s="103">
        <v>88772</v>
      </c>
      <c r="G69" s="115">
        <f t="shared" si="1"/>
        <v>3.5911714226703217E-3</v>
      </c>
    </row>
    <row r="70" spans="1:7" ht="15.4" x14ac:dyDescent="0.45">
      <c r="A70" s="85" t="s">
        <v>141</v>
      </c>
      <c r="B70" s="103">
        <v>105530</v>
      </c>
      <c r="C70" s="103">
        <v>164431.57</v>
      </c>
      <c r="D70" s="103">
        <v>-58901.57</v>
      </c>
      <c r="E70" s="103">
        <v>8484.57</v>
      </c>
      <c r="F70" s="103">
        <v>-50417</v>
      </c>
      <c r="G70" s="115">
        <f t="shared" si="1"/>
        <v>1.2339240266674449E-3</v>
      </c>
    </row>
    <row r="71" spans="1:7" ht="15.4" x14ac:dyDescent="0.45">
      <c r="A71" s="85" t="s">
        <v>110</v>
      </c>
      <c r="B71" s="103">
        <v>55802</v>
      </c>
      <c r="C71" s="103">
        <v>139282</v>
      </c>
      <c r="D71" s="103">
        <v>-83480</v>
      </c>
      <c r="E71" s="103">
        <v>0</v>
      </c>
      <c r="F71" s="103">
        <v>-83480</v>
      </c>
      <c r="G71" s="115">
        <f t="shared" si="1"/>
        <v>6.5247255317063167E-4</v>
      </c>
    </row>
    <row r="72" spans="1:7" ht="15.4" x14ac:dyDescent="0.45">
      <c r="A72" s="85" t="s">
        <v>143</v>
      </c>
      <c r="B72" s="103">
        <v>4334259</v>
      </c>
      <c r="C72" s="103">
        <v>1498116.29</v>
      </c>
      <c r="D72" s="103">
        <v>2836142.71</v>
      </c>
      <c r="E72" s="103">
        <v>0</v>
      </c>
      <c r="F72" s="103">
        <v>2836142.71</v>
      </c>
      <c r="G72" s="115">
        <f t="shared" si="1"/>
        <v>5.0678918960481503E-2</v>
      </c>
    </row>
    <row r="73" spans="1:7" ht="15.4" x14ac:dyDescent="0.45">
      <c r="A73" s="85" t="s">
        <v>125</v>
      </c>
      <c r="B73" s="103">
        <v>90808</v>
      </c>
      <c r="C73" s="103">
        <v>60633</v>
      </c>
      <c r="D73" s="103">
        <v>30175</v>
      </c>
      <c r="E73" s="103">
        <v>0</v>
      </c>
      <c r="F73" s="103">
        <v>30175</v>
      </c>
      <c r="G73" s="115">
        <f t="shared" si="1"/>
        <v>1.0617850186071954E-3</v>
      </c>
    </row>
    <row r="74" spans="1:7" ht="15.4" x14ac:dyDescent="0.45">
      <c r="A74" s="85" t="s">
        <v>71</v>
      </c>
      <c r="B74" s="103">
        <v>226698</v>
      </c>
      <c r="C74" s="103">
        <v>101837.62</v>
      </c>
      <c r="D74" s="103">
        <v>124860.38</v>
      </c>
      <c r="E74" s="103">
        <v>0</v>
      </c>
      <c r="F74" s="103">
        <v>124860.38</v>
      </c>
      <c r="G74" s="115">
        <f t="shared" si="1"/>
        <v>2.650697517269558E-3</v>
      </c>
    </row>
    <row r="75" spans="1:7" ht="15.4" x14ac:dyDescent="0.45">
      <c r="A75" s="85" t="s">
        <v>73</v>
      </c>
      <c r="B75" s="103">
        <v>132144</v>
      </c>
      <c r="C75" s="103">
        <v>89103.6</v>
      </c>
      <c r="D75" s="103">
        <v>43040.4</v>
      </c>
      <c r="E75" s="103">
        <v>0</v>
      </c>
      <c r="F75" s="103">
        <v>43040.4</v>
      </c>
      <c r="G75" s="115">
        <f t="shared" si="1"/>
        <v>1.5451118788964546E-3</v>
      </c>
    </row>
    <row r="76" spans="1:7" ht="15.4" x14ac:dyDescent="0.45">
      <c r="A76" s="85" t="s">
        <v>126</v>
      </c>
      <c r="B76" s="103">
        <v>334969</v>
      </c>
      <c r="C76" s="103">
        <v>210393</v>
      </c>
      <c r="D76" s="103">
        <v>124576</v>
      </c>
      <c r="E76" s="103">
        <v>0</v>
      </c>
      <c r="F76" s="103">
        <v>124576</v>
      </c>
      <c r="G76" s="115">
        <f t="shared" si="1"/>
        <v>3.9166710630983356E-3</v>
      </c>
    </row>
    <row r="77" spans="1:7" ht="15.4" x14ac:dyDescent="0.45">
      <c r="A77" s="85" t="s">
        <v>75</v>
      </c>
      <c r="B77" s="103">
        <v>56432</v>
      </c>
      <c r="C77" s="103">
        <v>58561.29</v>
      </c>
      <c r="D77" s="103">
        <v>-2129.29</v>
      </c>
      <c r="E77" s="103">
        <v>7255</v>
      </c>
      <c r="F77" s="103">
        <v>-556.29</v>
      </c>
      <c r="G77" s="115">
        <f t="shared" si="1"/>
        <v>6.5983891474364871E-4</v>
      </c>
    </row>
    <row r="78" spans="1:7" ht="15.4" x14ac:dyDescent="0.45">
      <c r="A78" s="85" t="s">
        <v>76</v>
      </c>
      <c r="B78" s="103">
        <v>162284</v>
      </c>
      <c r="C78" s="103">
        <v>120690.8</v>
      </c>
      <c r="D78" s="103">
        <v>41593.199999999997</v>
      </c>
      <c r="E78" s="103">
        <v>0</v>
      </c>
      <c r="F78" s="103">
        <v>31194.9</v>
      </c>
      <c r="G78" s="115">
        <f t="shared" si="1"/>
        <v>1.8975279706595245E-3</v>
      </c>
    </row>
    <row r="79" spans="1:7" ht="15.4" x14ac:dyDescent="0.45">
      <c r="A79" s="85" t="s">
        <v>127</v>
      </c>
      <c r="B79" s="103"/>
      <c r="C79" s="103"/>
      <c r="D79" s="103"/>
      <c r="E79" s="103"/>
      <c r="F79" s="103"/>
      <c r="G79" s="115">
        <f t="shared" si="1"/>
        <v>0</v>
      </c>
    </row>
    <row r="80" spans="1:7" ht="15.4" x14ac:dyDescent="0.45">
      <c r="A80" s="85" t="s">
        <v>77</v>
      </c>
      <c r="B80" s="103">
        <v>2609046</v>
      </c>
      <c r="C80" s="103">
        <v>1690688.16</v>
      </c>
      <c r="D80" s="103">
        <v>918357.84</v>
      </c>
      <c r="E80" s="103">
        <v>112812.43</v>
      </c>
      <c r="F80" s="103">
        <v>778795.27</v>
      </c>
      <c r="G80" s="115">
        <f t="shared" si="1"/>
        <v>3.0506628883545821E-2</v>
      </c>
    </row>
    <row r="81" spans="1:7" ht="15.4" x14ac:dyDescent="0.45">
      <c r="A81" s="85" t="s">
        <v>78</v>
      </c>
      <c r="B81" s="103">
        <v>98112</v>
      </c>
      <c r="C81" s="103">
        <v>108575</v>
      </c>
      <c r="D81" s="103">
        <v>-10463</v>
      </c>
      <c r="E81" s="103">
        <v>14659</v>
      </c>
      <c r="F81" s="103">
        <v>3147</v>
      </c>
      <c r="G81" s="115">
        <f t="shared" si="1"/>
        <v>1.1471880423045233E-3</v>
      </c>
    </row>
    <row r="82" spans="1:7" ht="15.4" x14ac:dyDescent="0.45">
      <c r="A82" s="85" t="s">
        <v>154</v>
      </c>
      <c r="B82" s="103">
        <v>18314</v>
      </c>
      <c r="C82" s="103">
        <v>54574.74</v>
      </c>
      <c r="D82" s="103">
        <v>-36260.74</v>
      </c>
      <c r="E82" s="103">
        <v>33160.06</v>
      </c>
      <c r="F82" s="103">
        <v>-3100.68</v>
      </c>
      <c r="G82" s="115">
        <f t="shared" si="1"/>
        <v>2.1413896166386418E-4</v>
      </c>
    </row>
    <row r="83" spans="1:7" ht="15.4" x14ac:dyDescent="0.45">
      <c r="A83" s="85" t="s">
        <v>111</v>
      </c>
      <c r="B83" s="103">
        <v>55555</v>
      </c>
      <c r="C83" s="103">
        <v>91538.71</v>
      </c>
      <c r="D83" s="103">
        <v>-35983.71</v>
      </c>
      <c r="E83" s="103">
        <v>21638</v>
      </c>
      <c r="F83" s="103">
        <v>-14345.71</v>
      </c>
      <c r="G83" s="115">
        <f t="shared" si="1"/>
        <v>6.495844717285123E-4</v>
      </c>
    </row>
    <row r="84" spans="1:7" ht="15.4" x14ac:dyDescent="0.45">
      <c r="A84" s="85" t="s">
        <v>80</v>
      </c>
      <c r="B84" s="103">
        <v>560391</v>
      </c>
      <c r="C84" s="103">
        <v>378349</v>
      </c>
      <c r="D84" s="103">
        <v>182042</v>
      </c>
      <c r="E84" s="103">
        <v>0</v>
      </c>
      <c r="F84" s="103">
        <v>136531</v>
      </c>
      <c r="G84" s="115">
        <f t="shared" si="1"/>
        <v>6.5524487750231791E-3</v>
      </c>
    </row>
    <row r="85" spans="1:7" ht="15.4" x14ac:dyDescent="0.45">
      <c r="A85" s="85" t="s">
        <v>81</v>
      </c>
      <c r="B85" s="103">
        <v>152822</v>
      </c>
      <c r="C85" s="103">
        <v>190543</v>
      </c>
      <c r="D85" s="103">
        <v>-37721</v>
      </c>
      <c r="E85" s="103">
        <v>84133</v>
      </c>
      <c r="F85" s="103">
        <v>46412</v>
      </c>
      <c r="G85" s="115">
        <f t="shared" si="1"/>
        <v>1.7868922354152589E-3</v>
      </c>
    </row>
    <row r="86" spans="1:7" ht="15.4" x14ac:dyDescent="0.45">
      <c r="A86" s="85" t="s">
        <v>82</v>
      </c>
      <c r="B86" s="103">
        <v>0</v>
      </c>
      <c r="C86" s="103">
        <v>83507</v>
      </c>
      <c r="D86" s="103">
        <v>-83507</v>
      </c>
      <c r="E86" s="103">
        <v>236884</v>
      </c>
      <c r="F86" s="103">
        <v>127727</v>
      </c>
      <c r="G86" s="115">
        <f t="shared" si="1"/>
        <v>0</v>
      </c>
    </row>
    <row r="87" spans="1:7" ht="15.4" x14ac:dyDescent="0.45">
      <c r="A87" s="85" t="s">
        <v>83</v>
      </c>
      <c r="B87" s="103">
        <v>1347041</v>
      </c>
      <c r="C87" s="103">
        <v>1504469.3</v>
      </c>
      <c r="D87" s="103">
        <v>-157428.29999999999</v>
      </c>
      <c r="E87" s="103">
        <v>1399469.39</v>
      </c>
      <c r="F87" s="103">
        <v>1242041.0900000001</v>
      </c>
      <c r="G87" s="115">
        <f t="shared" si="1"/>
        <v>1.5750461999489641E-2</v>
      </c>
    </row>
    <row r="88" spans="1:7" ht="15.4" x14ac:dyDescent="0.45">
      <c r="A88" s="85" t="s">
        <v>112</v>
      </c>
      <c r="B88" s="103">
        <v>41890</v>
      </c>
      <c r="C88" s="103">
        <v>70318</v>
      </c>
      <c r="D88" s="103">
        <v>-28428</v>
      </c>
      <c r="E88" s="103">
        <v>21293.42</v>
      </c>
      <c r="F88" s="103">
        <v>-7134.58</v>
      </c>
      <c r="G88" s="115">
        <f t="shared" si="1"/>
        <v>4.8980458141854703E-4</v>
      </c>
    </row>
    <row r="89" spans="1:7" ht="15.4" x14ac:dyDescent="0.45">
      <c r="A89" s="85" t="s">
        <v>84</v>
      </c>
      <c r="B89" s="103">
        <v>817478</v>
      </c>
      <c r="C89" s="103">
        <v>753877.28</v>
      </c>
      <c r="D89" s="103">
        <v>63600.72</v>
      </c>
      <c r="E89" s="103">
        <v>23273.29</v>
      </c>
      <c r="F89" s="103">
        <v>65155.51</v>
      </c>
      <c r="G89" s="115">
        <f t="shared" si="1"/>
        <v>9.5584738507727609E-3</v>
      </c>
    </row>
    <row r="90" spans="1:7" ht="15.4" x14ac:dyDescent="0.45">
      <c r="A90" s="85" t="s">
        <v>85</v>
      </c>
      <c r="B90" s="103">
        <v>1002523</v>
      </c>
      <c r="C90" s="103">
        <v>446066</v>
      </c>
      <c r="D90" s="103">
        <v>556457</v>
      </c>
      <c r="E90" s="103">
        <v>432512</v>
      </c>
      <c r="F90" s="103">
        <v>988969</v>
      </c>
      <c r="G90" s="115">
        <f t="shared" si="1"/>
        <v>1.1722137941691716E-2</v>
      </c>
    </row>
    <row r="91" spans="1:7" ht="15.4" x14ac:dyDescent="0.45">
      <c r="A91" s="85" t="s">
        <v>86</v>
      </c>
      <c r="B91" s="103">
        <v>1907702</v>
      </c>
      <c r="C91" s="103">
        <v>1578193.47</v>
      </c>
      <c r="D91" s="103">
        <v>329508.53000000003</v>
      </c>
      <c r="E91" s="103">
        <v>306404.42</v>
      </c>
      <c r="F91" s="103">
        <v>635912.94999999995</v>
      </c>
      <c r="G91" s="115">
        <f t="shared" si="1"/>
        <v>2.2306067786615542E-2</v>
      </c>
    </row>
    <row r="92" spans="1:7" ht="15.4" x14ac:dyDescent="0.45">
      <c r="A92" s="85" t="s">
        <v>87</v>
      </c>
      <c r="B92" s="103">
        <v>614251</v>
      </c>
      <c r="C92" s="103">
        <v>185287.27</v>
      </c>
      <c r="D92" s="103">
        <v>428963.73</v>
      </c>
      <c r="E92" s="103">
        <v>0</v>
      </c>
      <c r="F92" s="103">
        <v>428963.73</v>
      </c>
      <c r="G92" s="115">
        <f t="shared" si="1"/>
        <v>7.1822142263290503E-3</v>
      </c>
    </row>
    <row r="93" spans="1:7" ht="15.4" x14ac:dyDescent="0.45">
      <c r="A93" s="85" t="s">
        <v>89</v>
      </c>
      <c r="B93" s="103"/>
      <c r="C93" s="103"/>
      <c r="D93" s="103"/>
      <c r="E93" s="103"/>
      <c r="F93" s="103"/>
      <c r="G93" s="115">
        <f t="shared" si="1"/>
        <v>0</v>
      </c>
    </row>
    <row r="94" spans="1:7" ht="15.4" x14ac:dyDescent="0.45">
      <c r="A94" s="85" t="s">
        <v>144</v>
      </c>
      <c r="B94" s="103">
        <v>63026</v>
      </c>
      <c r="C94" s="103">
        <v>122549.4</v>
      </c>
      <c r="D94" s="103">
        <v>-59523.4</v>
      </c>
      <c r="E94" s="103">
        <v>167</v>
      </c>
      <c r="F94" s="103">
        <v>-59356.4</v>
      </c>
      <c r="G94" s="115">
        <f t="shared" si="1"/>
        <v>7.3694016587456067E-4</v>
      </c>
    </row>
    <row r="95" spans="1:7" ht="15.4" x14ac:dyDescent="0.45">
      <c r="A95" s="85" t="s">
        <v>90</v>
      </c>
      <c r="B95" s="103">
        <v>640683</v>
      </c>
      <c r="C95" s="103">
        <v>331224</v>
      </c>
      <c r="D95" s="103">
        <v>309459</v>
      </c>
      <c r="E95" s="103">
        <v>0</v>
      </c>
      <c r="F95" s="103">
        <v>309459</v>
      </c>
      <c r="G95" s="115">
        <f t="shared" si="1"/>
        <v>7.4912740185480772E-3</v>
      </c>
    </row>
    <row r="96" spans="1:7" ht="15.4" x14ac:dyDescent="0.45">
      <c r="A96" s="85" t="s">
        <v>91</v>
      </c>
      <c r="B96" s="103">
        <v>2700745</v>
      </c>
      <c r="C96" s="103">
        <v>2033720</v>
      </c>
      <c r="D96" s="103">
        <v>667025</v>
      </c>
      <c r="E96" s="103">
        <v>12500</v>
      </c>
      <c r="F96" s="103">
        <v>567404</v>
      </c>
      <c r="G96" s="115">
        <f t="shared" si="1"/>
        <v>3.1578832042091998E-2</v>
      </c>
    </row>
    <row r="97" spans="1:7" ht="15.4" x14ac:dyDescent="0.45">
      <c r="A97" s="85" t="s">
        <v>92</v>
      </c>
      <c r="B97" s="103">
        <v>12300</v>
      </c>
      <c r="C97" s="103">
        <v>10901</v>
      </c>
      <c r="D97" s="103">
        <v>1399</v>
      </c>
      <c r="E97" s="103">
        <v>0</v>
      </c>
      <c r="F97" s="103">
        <v>1399</v>
      </c>
      <c r="G97" s="115">
        <f t="shared" si="1"/>
        <v>1.4381944023509499E-4</v>
      </c>
    </row>
    <row r="98" spans="1:7" ht="15.4" x14ac:dyDescent="0.45">
      <c r="A98" s="85" t="s">
        <v>93</v>
      </c>
      <c r="B98" s="103">
        <v>913985</v>
      </c>
      <c r="C98" s="103">
        <v>259356</v>
      </c>
      <c r="D98" s="103">
        <v>654629</v>
      </c>
      <c r="E98" s="103">
        <v>68319</v>
      </c>
      <c r="F98" s="103">
        <v>722948</v>
      </c>
      <c r="G98" s="115">
        <f t="shared" si="1"/>
        <v>1.0686895210022218E-2</v>
      </c>
    </row>
    <row r="99" spans="1:7" ht="15.4" x14ac:dyDescent="0.45">
      <c r="A99" s="85" t="s">
        <v>113</v>
      </c>
      <c r="B99" s="103">
        <v>471592</v>
      </c>
      <c r="C99" s="103">
        <v>91766.56</v>
      </c>
      <c r="D99" s="103">
        <v>379825.44</v>
      </c>
      <c r="E99" s="103">
        <v>0</v>
      </c>
      <c r="F99" s="103">
        <v>284869.08</v>
      </c>
      <c r="G99" s="115">
        <f t="shared" si="1"/>
        <v>5.5141542649877161E-3</v>
      </c>
    </row>
    <row r="100" spans="1:7" ht="15.4" x14ac:dyDescent="0.45">
      <c r="A100" s="85" t="s">
        <v>94</v>
      </c>
      <c r="B100" s="103">
        <v>1653617</v>
      </c>
      <c r="C100" s="103">
        <v>1168550</v>
      </c>
      <c r="D100" s="103">
        <v>485067</v>
      </c>
      <c r="E100" s="103">
        <v>30000</v>
      </c>
      <c r="F100" s="103">
        <v>386775</v>
      </c>
      <c r="G100" s="115">
        <f t="shared" si="1"/>
        <v>1.9335144008393257E-2</v>
      </c>
    </row>
    <row r="101" spans="1:7" ht="15.4" x14ac:dyDescent="0.45">
      <c r="A101" s="85" t="s">
        <v>155</v>
      </c>
      <c r="B101" s="103">
        <v>4273</v>
      </c>
      <c r="C101" s="103">
        <v>103251</v>
      </c>
      <c r="D101" s="103">
        <v>-98978</v>
      </c>
      <c r="E101" s="103">
        <v>0</v>
      </c>
      <c r="F101" s="103">
        <v>-98978</v>
      </c>
      <c r="G101" s="115">
        <f t="shared" si="1"/>
        <v>4.9962639684923643E-5</v>
      </c>
    </row>
    <row r="102" spans="1:7" ht="15.4" x14ac:dyDescent="0.45">
      <c r="A102" s="85" t="s">
        <v>114</v>
      </c>
      <c r="B102" s="103">
        <v>707606</v>
      </c>
      <c r="C102" s="103">
        <v>253361.83</v>
      </c>
      <c r="D102" s="103">
        <v>454244.17</v>
      </c>
      <c r="E102" s="103">
        <v>44888</v>
      </c>
      <c r="F102" s="103">
        <v>499132.17</v>
      </c>
      <c r="G102" s="115">
        <f t="shared" si="1"/>
        <v>8.2737803924385865E-3</v>
      </c>
    </row>
    <row r="103" spans="1:7" ht="15.4" x14ac:dyDescent="0.45">
      <c r="A103" s="85" t="s">
        <v>95</v>
      </c>
      <c r="B103" s="103">
        <v>36428</v>
      </c>
      <c r="C103" s="103">
        <v>30975.22</v>
      </c>
      <c r="D103" s="103">
        <v>5452.78</v>
      </c>
      <c r="E103" s="103">
        <v>0</v>
      </c>
      <c r="F103" s="103">
        <v>5452.78</v>
      </c>
      <c r="G103" s="115">
        <f t="shared" si="1"/>
        <v>4.2593939584423089E-4</v>
      </c>
    </row>
    <row r="104" spans="1:7" ht="15.4" x14ac:dyDescent="0.45">
      <c r="A104" s="85" t="s">
        <v>96</v>
      </c>
      <c r="B104" s="103">
        <v>138578</v>
      </c>
      <c r="C104" s="103">
        <v>105918.85</v>
      </c>
      <c r="D104" s="103">
        <v>32659.15</v>
      </c>
      <c r="E104" s="103">
        <v>0</v>
      </c>
      <c r="F104" s="103">
        <v>32659.15</v>
      </c>
      <c r="G104" s="115">
        <f t="shared" si="1"/>
        <v>1.6203423080405684E-3</v>
      </c>
    </row>
    <row r="105" spans="1:7" ht="15.4" x14ac:dyDescent="0.45">
      <c r="A105" s="85" t="s">
        <v>145</v>
      </c>
      <c r="B105" s="103">
        <v>59701</v>
      </c>
      <c r="C105" s="103">
        <v>104867.87</v>
      </c>
      <c r="D105" s="103">
        <v>-45166.87</v>
      </c>
      <c r="E105" s="103">
        <v>3399.03</v>
      </c>
      <c r="F105" s="103">
        <v>-41767.839999999997</v>
      </c>
      <c r="G105" s="115">
        <f t="shared" si="1"/>
        <v>6.980621464614151E-4</v>
      </c>
    </row>
    <row r="106" spans="1:7" ht="15.4" x14ac:dyDescent="0.45">
      <c r="A106" s="85" t="s">
        <v>97</v>
      </c>
      <c r="B106" s="103">
        <v>343273</v>
      </c>
      <c r="C106" s="103">
        <v>243591.5</v>
      </c>
      <c r="D106" s="103">
        <v>99681.5</v>
      </c>
      <c r="E106" s="103">
        <v>0</v>
      </c>
      <c r="F106" s="103">
        <v>99681.5</v>
      </c>
      <c r="G106" s="115">
        <f t="shared" si="1"/>
        <v>4.0137667242131506E-3</v>
      </c>
    </row>
    <row r="107" spans="1:7" ht="15.4" x14ac:dyDescent="0.45">
      <c r="A107" s="85" t="s">
        <v>98</v>
      </c>
      <c r="B107" s="103"/>
      <c r="C107" s="103"/>
      <c r="D107" s="103"/>
      <c r="E107" s="103"/>
      <c r="F107" s="103"/>
      <c r="G107" s="115">
        <f t="shared" si="1"/>
        <v>0</v>
      </c>
    </row>
    <row r="108" spans="1:7" ht="15.4" x14ac:dyDescent="0.45">
      <c r="A108" s="85" t="s">
        <v>99</v>
      </c>
      <c r="B108" s="103">
        <v>186217</v>
      </c>
      <c r="C108" s="103">
        <v>170584.74</v>
      </c>
      <c r="D108" s="103">
        <v>15632.26</v>
      </c>
      <c r="E108" s="103">
        <v>34895.089999999997</v>
      </c>
      <c r="F108" s="103">
        <v>37895.519999999997</v>
      </c>
      <c r="G108" s="115">
        <f t="shared" si="1"/>
        <v>2.1773678619722505E-3</v>
      </c>
    </row>
    <row r="109" spans="1:7" ht="15.4" x14ac:dyDescent="0.45">
      <c r="A109" s="85" t="s">
        <v>100</v>
      </c>
      <c r="B109" s="103">
        <v>1318847</v>
      </c>
      <c r="C109" s="103">
        <v>825065.92</v>
      </c>
      <c r="D109" s="103">
        <v>493781.08</v>
      </c>
      <c r="E109" s="103">
        <v>77220</v>
      </c>
      <c r="F109" s="103">
        <v>571001.07999999996</v>
      </c>
      <c r="G109" s="115">
        <f t="shared" si="1"/>
        <v>1.5420799780140999E-2</v>
      </c>
    </row>
    <row r="110" spans="1:7" ht="15.4" x14ac:dyDescent="0.45">
      <c r="A110" s="85" t="s">
        <v>101</v>
      </c>
      <c r="B110" s="103">
        <v>19482</v>
      </c>
      <c r="C110" s="103">
        <v>21232.22</v>
      </c>
      <c r="D110" s="103">
        <v>-1750.22</v>
      </c>
      <c r="E110" s="103">
        <v>0</v>
      </c>
      <c r="F110" s="103">
        <v>-1750.22</v>
      </c>
      <c r="G110" s="115">
        <f t="shared" si="1"/>
        <v>2.2779596216748946E-4</v>
      </c>
    </row>
    <row r="111" spans="1:7" ht="15.4" x14ac:dyDescent="0.45">
      <c r="A111" s="85" t="s">
        <v>102</v>
      </c>
      <c r="B111" s="103"/>
      <c r="C111" s="103"/>
      <c r="D111" s="103"/>
      <c r="E111" s="103"/>
      <c r="F111" s="103"/>
      <c r="G111" s="115">
        <f t="shared" si="1"/>
        <v>0</v>
      </c>
    </row>
    <row r="112" spans="1:7" ht="15.4" x14ac:dyDescent="0.45">
      <c r="A112" s="85" t="s">
        <v>156</v>
      </c>
      <c r="B112" s="103">
        <v>0</v>
      </c>
      <c r="C112" s="103">
        <v>0</v>
      </c>
      <c r="D112" s="103">
        <v>0</v>
      </c>
      <c r="E112" s="103">
        <v>0</v>
      </c>
      <c r="F112" s="103">
        <v>0</v>
      </c>
      <c r="G112" s="115">
        <f t="shared" si="1"/>
        <v>0</v>
      </c>
    </row>
    <row r="113" spans="1:7" ht="15.4" x14ac:dyDescent="0.45">
      <c r="A113" s="85" t="s">
        <v>157</v>
      </c>
      <c r="B113" s="103">
        <v>39233</v>
      </c>
      <c r="C113" s="103">
        <v>26533.67</v>
      </c>
      <c r="D113" s="103">
        <v>12699.33</v>
      </c>
      <c r="E113" s="103">
        <v>24534.080000000002</v>
      </c>
      <c r="F113" s="103">
        <v>37233.410000000003</v>
      </c>
      <c r="G113" s="115">
        <f t="shared" si="1"/>
        <v>4.5873724380028304E-4</v>
      </c>
    </row>
    <row r="114" spans="1:7" ht="15.4" x14ac:dyDescent="0.45">
      <c r="A114" s="85" t="s">
        <v>103</v>
      </c>
      <c r="B114" s="103">
        <v>844559</v>
      </c>
      <c r="C114" s="103">
        <v>845954.99</v>
      </c>
      <c r="D114" s="103">
        <v>-1395.99</v>
      </c>
      <c r="E114" s="103">
        <v>23803.26</v>
      </c>
      <c r="F114" s="103">
        <v>22407.27</v>
      </c>
      <c r="G114" s="115">
        <f t="shared" si="1"/>
        <v>9.8751221646757384E-3</v>
      </c>
    </row>
    <row r="115" spans="1:7" ht="15.4" x14ac:dyDescent="0.45">
      <c r="A115" s="85" t="s">
        <v>104</v>
      </c>
      <c r="B115" s="103">
        <v>432004</v>
      </c>
      <c r="C115" s="103">
        <v>500800.37</v>
      </c>
      <c r="D115" s="103">
        <v>-68796.37</v>
      </c>
      <c r="E115" s="103">
        <v>70941.119999999995</v>
      </c>
      <c r="F115" s="103">
        <v>2144.75</v>
      </c>
      <c r="G115" s="115">
        <f t="shared" si="1"/>
        <v>5.0512661349042254E-3</v>
      </c>
    </row>
    <row r="116" spans="1:7" ht="15.4" x14ac:dyDescent="0.45">
      <c r="A116" s="85" t="s">
        <v>105</v>
      </c>
      <c r="B116" s="103">
        <v>115417</v>
      </c>
      <c r="C116" s="103">
        <v>99187.23</v>
      </c>
      <c r="D116" s="103">
        <v>16229.77</v>
      </c>
      <c r="E116" s="103">
        <v>0</v>
      </c>
      <c r="F116" s="103">
        <v>16229.77</v>
      </c>
      <c r="G116" s="115">
        <f t="shared" si="1"/>
        <v>1.3495291328141428E-3</v>
      </c>
    </row>
    <row r="117" spans="1:7" ht="15.4" x14ac:dyDescent="0.45">
      <c r="A117" s="85" t="s">
        <v>106</v>
      </c>
      <c r="B117" s="103"/>
      <c r="C117" s="103"/>
      <c r="D117" s="103"/>
      <c r="E117" s="103"/>
      <c r="F117" s="103"/>
      <c r="G117" s="115">
        <f t="shared" si="1"/>
        <v>0</v>
      </c>
    </row>
    <row r="118" spans="1:7" ht="15.4" x14ac:dyDescent="0.45">
      <c r="A118" s="85" t="s">
        <v>146</v>
      </c>
      <c r="B118" s="103">
        <v>147881</v>
      </c>
      <c r="C118" s="103">
        <v>76864.84</v>
      </c>
      <c r="D118" s="103">
        <v>71016.160000000003</v>
      </c>
      <c r="E118" s="103">
        <v>93370.95</v>
      </c>
      <c r="F118" s="103">
        <v>139240.84</v>
      </c>
      <c r="G118" s="115">
        <f t="shared" si="1"/>
        <v>1.7291189139354536E-3</v>
      </c>
    </row>
    <row r="119" spans="1:7" ht="15.4" x14ac:dyDescent="0.45">
      <c r="A119" s="85" t="s">
        <v>107</v>
      </c>
      <c r="B119" s="103">
        <v>2270565</v>
      </c>
      <c r="C119" s="103">
        <v>1533539.78</v>
      </c>
      <c r="D119" s="103">
        <v>737025.22</v>
      </c>
      <c r="E119" s="103">
        <v>32348.5</v>
      </c>
      <c r="F119" s="103">
        <v>577030.29</v>
      </c>
      <c r="G119" s="115">
        <f t="shared" si="1"/>
        <v>2.6548893277837271E-2</v>
      </c>
    </row>
    <row r="120" spans="1:7" ht="15.4" x14ac:dyDescent="0.45">
      <c r="A120" s="85"/>
      <c r="B120" s="103"/>
      <c r="C120" s="103"/>
      <c r="D120" s="103"/>
      <c r="E120" s="103"/>
      <c r="F120" s="103"/>
      <c r="G120" s="104"/>
    </row>
    <row r="121" spans="1:7" ht="15.4" x14ac:dyDescent="0.45">
      <c r="A121" s="119" t="s">
        <v>108</v>
      </c>
      <c r="B121" s="120">
        <f>SUM(B3:B120)</f>
        <v>85523904</v>
      </c>
      <c r="C121" s="120">
        <f t="shared" ref="C121:G121" si="2">SUM(C3:C120)</f>
        <v>80866018.830000013</v>
      </c>
      <c r="D121" s="120">
        <f t="shared" si="2"/>
        <v>4657885.1699999943</v>
      </c>
      <c r="E121" s="120">
        <f t="shared" si="2"/>
        <v>39947974.600000016</v>
      </c>
      <c r="F121" s="120">
        <f t="shared" si="2"/>
        <v>37693868.530000001</v>
      </c>
      <c r="G121" s="100">
        <f t="shared" si="2"/>
        <v>1</v>
      </c>
    </row>
    <row r="124" spans="1:7" x14ac:dyDescent="0.35">
      <c r="C124" s="113" t="s">
        <v>163</v>
      </c>
    </row>
  </sheetData>
  <mergeCells count="1">
    <mergeCell ref="A1:G1"/>
  </mergeCells>
  <pageMargins left="0.7" right="0.7" top="0.75" bottom="0.75" header="0.3" footer="0.3"/>
  <customProperties>
    <customPr name="LastActive" r:id="rId1"/>
  </customPropertie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23"/>
  <sheetViews>
    <sheetView topLeftCell="A114" workbookViewId="0">
      <selection activeCell="B4" sqref="B4"/>
    </sheetView>
  </sheetViews>
  <sheetFormatPr defaultRowHeight="12.75" x14ac:dyDescent="0.35"/>
  <cols>
    <col min="1" max="1" width="62.1328125" customWidth="1"/>
    <col min="2" max="2" width="17.73046875" customWidth="1"/>
    <col min="3" max="3" width="20.1328125" customWidth="1"/>
    <col min="4" max="4" width="18" customWidth="1"/>
    <col min="5" max="5" width="21.59765625" bestFit="1" customWidth="1"/>
    <col min="6" max="6" width="20.86328125" customWidth="1"/>
    <col min="7" max="7" width="16" style="106" bestFit="1" customWidth="1"/>
    <col min="8" max="8" width="10.59765625" bestFit="1" customWidth="1"/>
  </cols>
  <sheetData>
    <row r="1" spans="1:8" ht="18" x14ac:dyDescent="0.55000000000000004">
      <c r="A1" s="171" t="s">
        <v>166</v>
      </c>
      <c r="B1" s="171"/>
      <c r="C1" s="171"/>
      <c r="D1" s="171"/>
      <c r="E1" s="171"/>
      <c r="F1" s="171"/>
      <c r="G1" s="171"/>
    </row>
    <row r="2" spans="1:8" ht="36" x14ac:dyDescent="0.55000000000000004">
      <c r="A2" s="70" t="s">
        <v>1</v>
      </c>
      <c r="B2" s="71" t="s">
        <v>2</v>
      </c>
      <c r="C2" s="71" t="s">
        <v>3</v>
      </c>
      <c r="D2" s="71" t="s">
        <v>4</v>
      </c>
      <c r="E2" s="71" t="s">
        <v>5</v>
      </c>
      <c r="F2" s="71" t="s">
        <v>6</v>
      </c>
      <c r="G2" s="105" t="s">
        <v>9</v>
      </c>
    </row>
    <row r="3" spans="1:8" ht="15.4" x14ac:dyDescent="0.45">
      <c r="A3" s="85" t="s">
        <v>165</v>
      </c>
      <c r="B3" s="103">
        <v>276222</v>
      </c>
      <c r="C3" s="103">
        <v>100000</v>
      </c>
      <c r="D3" s="103">
        <v>176222</v>
      </c>
      <c r="E3" s="103">
        <v>0</v>
      </c>
      <c r="F3" s="103">
        <v>166362</v>
      </c>
      <c r="G3" s="115">
        <f t="shared" ref="G3:G34" si="0">B3/$B$122</f>
        <v>1.3343785035817191E-3</v>
      </c>
    </row>
    <row r="4" spans="1:8" ht="15.4" x14ac:dyDescent="0.45">
      <c r="A4" s="85" t="s">
        <v>117</v>
      </c>
      <c r="B4" s="103">
        <v>295593</v>
      </c>
      <c r="C4" s="103">
        <v>394804.26</v>
      </c>
      <c r="D4" s="103">
        <v>-99211.26</v>
      </c>
      <c r="E4" s="103">
        <v>96654.57</v>
      </c>
      <c r="F4" s="103">
        <v>-2556.69</v>
      </c>
      <c r="G4" s="115">
        <f t="shared" si="0"/>
        <v>1.4279562996764598E-3</v>
      </c>
      <c r="H4" s="49"/>
    </row>
    <row r="5" spans="1:8" ht="15.4" x14ac:dyDescent="0.45">
      <c r="A5" s="85" t="s">
        <v>10</v>
      </c>
      <c r="B5" s="103">
        <v>4429915</v>
      </c>
      <c r="C5" s="103">
        <v>2551013</v>
      </c>
      <c r="D5" s="103">
        <v>1878902</v>
      </c>
      <c r="E5" s="103">
        <v>2025554</v>
      </c>
      <c r="F5" s="103">
        <v>3415148</v>
      </c>
      <c r="G5" s="115">
        <f t="shared" si="0"/>
        <v>2.1400117835270946E-2</v>
      </c>
    </row>
    <row r="6" spans="1:8" ht="15.4" x14ac:dyDescent="0.45">
      <c r="A6" s="85" t="s">
        <v>11</v>
      </c>
      <c r="B6" s="103">
        <v>373379</v>
      </c>
      <c r="C6" s="103">
        <v>136693.46</v>
      </c>
      <c r="D6" s="103">
        <v>236685.54</v>
      </c>
      <c r="E6" s="103">
        <v>0</v>
      </c>
      <c r="F6" s="103">
        <v>236685.54</v>
      </c>
      <c r="G6" s="115">
        <f t="shared" si="0"/>
        <v>1.8037263914128443E-3</v>
      </c>
    </row>
    <row r="7" spans="1:8" ht="15.4" x14ac:dyDescent="0.45">
      <c r="A7" s="85" t="s">
        <v>162</v>
      </c>
      <c r="B7" s="103">
        <v>21530</v>
      </c>
      <c r="C7" s="103">
        <v>113146</v>
      </c>
      <c r="D7" s="103">
        <v>-91616</v>
      </c>
      <c r="E7" s="103">
        <v>82100</v>
      </c>
      <c r="F7" s="103">
        <v>-9516</v>
      </c>
      <c r="G7" s="115">
        <f t="shared" si="0"/>
        <v>1.0400753445458512E-4</v>
      </c>
    </row>
    <row r="8" spans="1:8" ht="15.4" x14ac:dyDescent="0.45">
      <c r="A8" s="85" t="s">
        <v>12</v>
      </c>
      <c r="B8" s="103">
        <v>1054287</v>
      </c>
      <c r="C8" s="103">
        <v>887279.38</v>
      </c>
      <c r="D8" s="103">
        <v>167007.62</v>
      </c>
      <c r="E8" s="103">
        <v>91092.09</v>
      </c>
      <c r="F8" s="103">
        <v>258099.71</v>
      </c>
      <c r="G8" s="115">
        <f t="shared" si="0"/>
        <v>5.0930697388537477E-3</v>
      </c>
    </row>
    <row r="9" spans="1:8" ht="15.4" x14ac:dyDescent="0.45">
      <c r="A9" s="85" t="s">
        <v>13</v>
      </c>
      <c r="B9" s="103">
        <v>585767</v>
      </c>
      <c r="C9" s="103">
        <v>529880</v>
      </c>
      <c r="D9" s="103">
        <v>55887</v>
      </c>
      <c r="E9" s="103">
        <v>128274</v>
      </c>
      <c r="F9" s="103">
        <v>138121</v>
      </c>
      <c r="G9" s="115">
        <f t="shared" si="0"/>
        <v>2.8297343908434257E-3</v>
      </c>
    </row>
    <row r="10" spans="1:8" ht="15.4" x14ac:dyDescent="0.45">
      <c r="A10" s="85" t="s">
        <v>14</v>
      </c>
      <c r="B10" s="103">
        <v>963808</v>
      </c>
      <c r="C10" s="103">
        <v>925541.5</v>
      </c>
      <c r="D10" s="103">
        <v>38266.5</v>
      </c>
      <c r="E10" s="103">
        <v>108615</v>
      </c>
      <c r="F10" s="103">
        <v>110160.5</v>
      </c>
      <c r="G10" s="115">
        <f t="shared" si="0"/>
        <v>4.6559820607340813E-3</v>
      </c>
    </row>
    <row r="11" spans="1:8" ht="15.4" x14ac:dyDescent="0.45">
      <c r="A11" s="85" t="s">
        <v>16</v>
      </c>
      <c r="B11" s="103">
        <v>2978469</v>
      </c>
      <c r="C11" s="103">
        <v>1216419.78</v>
      </c>
      <c r="D11" s="103">
        <v>1762049.22</v>
      </c>
      <c r="E11" s="103">
        <v>870087.29</v>
      </c>
      <c r="F11" s="103">
        <v>2161937.34</v>
      </c>
      <c r="G11" s="115">
        <f t="shared" si="0"/>
        <v>1.4388444827655071E-2</v>
      </c>
    </row>
    <row r="12" spans="1:8" ht="15.4" x14ac:dyDescent="0.45">
      <c r="A12" s="85" t="s">
        <v>17</v>
      </c>
      <c r="B12" s="103">
        <v>778652</v>
      </c>
      <c r="C12" s="103">
        <v>639122.50999999989</v>
      </c>
      <c r="D12" s="103">
        <v>139529.49000000011</v>
      </c>
      <c r="E12" s="103">
        <v>0</v>
      </c>
      <c r="F12" s="103">
        <v>139529.49</v>
      </c>
      <c r="G12" s="115">
        <f t="shared" si="0"/>
        <v>3.761526926062778E-3</v>
      </c>
    </row>
    <row r="13" spans="1:8" ht="15.4" x14ac:dyDescent="0.45">
      <c r="A13" s="85" t="s">
        <v>19</v>
      </c>
      <c r="B13" s="103">
        <v>289094</v>
      </c>
      <c r="C13" s="103">
        <v>485969.31</v>
      </c>
      <c r="D13" s="103">
        <v>-196875.31</v>
      </c>
      <c r="E13" s="103">
        <v>18000</v>
      </c>
      <c r="F13" s="103">
        <v>-178875.31</v>
      </c>
      <c r="G13" s="115">
        <f t="shared" si="0"/>
        <v>1.3965608065775118E-3</v>
      </c>
    </row>
    <row r="14" spans="1:8" ht="15.4" x14ac:dyDescent="0.45">
      <c r="A14" s="85" t="s">
        <v>20</v>
      </c>
      <c r="B14" s="103">
        <v>476810</v>
      </c>
      <c r="C14" s="103">
        <v>460529.55</v>
      </c>
      <c r="D14" s="103">
        <v>16280.45</v>
      </c>
      <c r="E14" s="103">
        <v>1212.6300000000001</v>
      </c>
      <c r="F14" s="103">
        <v>14898.23</v>
      </c>
      <c r="G14" s="115">
        <f t="shared" si="0"/>
        <v>2.3033828380534479E-3</v>
      </c>
    </row>
    <row r="15" spans="1:8" ht="15.4" x14ac:dyDescent="0.45">
      <c r="A15" s="85" t="s">
        <v>21</v>
      </c>
      <c r="B15" s="103">
        <v>667331</v>
      </c>
      <c r="C15" s="103">
        <v>656930</v>
      </c>
      <c r="D15" s="103">
        <v>10401</v>
      </c>
      <c r="E15" s="103">
        <v>238133</v>
      </c>
      <c r="F15" s="103">
        <v>197342</v>
      </c>
      <c r="G15" s="115">
        <f t="shared" si="0"/>
        <v>3.2237553170047718E-3</v>
      </c>
    </row>
    <row r="16" spans="1:8" ht="15.4" x14ac:dyDescent="0.45">
      <c r="A16" s="85" t="s">
        <v>134</v>
      </c>
      <c r="B16" s="103">
        <v>343407</v>
      </c>
      <c r="C16" s="103">
        <v>180040.93</v>
      </c>
      <c r="D16" s="103">
        <v>163366.07</v>
      </c>
      <c r="E16" s="103">
        <v>0</v>
      </c>
      <c r="F16" s="103">
        <v>107984.25</v>
      </c>
      <c r="G16" s="115">
        <f t="shared" si="0"/>
        <v>1.6589370824173577E-3</v>
      </c>
    </row>
    <row r="17" spans="1:7" ht="15.4" x14ac:dyDescent="0.45">
      <c r="A17" s="85" t="s">
        <v>22</v>
      </c>
      <c r="B17" s="103">
        <v>105945</v>
      </c>
      <c r="C17" s="103">
        <v>120461.82</v>
      </c>
      <c r="D17" s="103">
        <v>-14516.82</v>
      </c>
      <c r="E17" s="103">
        <v>13802.4</v>
      </c>
      <c r="F17" s="103">
        <v>-714.42</v>
      </c>
      <c r="G17" s="115">
        <f t="shared" si="0"/>
        <v>5.1180112576827772E-4</v>
      </c>
    </row>
    <row r="18" spans="1:7" ht="15.4" x14ac:dyDescent="0.45">
      <c r="A18" s="85" t="s">
        <v>135</v>
      </c>
      <c r="B18" s="103">
        <v>111055</v>
      </c>
      <c r="C18" s="103">
        <v>111008.84</v>
      </c>
      <c r="D18" s="103">
        <v>46.16</v>
      </c>
      <c r="E18" s="103">
        <v>4274.83</v>
      </c>
      <c r="F18" s="103">
        <v>4320.99</v>
      </c>
      <c r="G18" s="115">
        <f t="shared" si="0"/>
        <v>5.3648661118689967E-4</v>
      </c>
    </row>
    <row r="19" spans="1:7" ht="15.4" x14ac:dyDescent="0.45">
      <c r="A19" s="85" t="s">
        <v>23</v>
      </c>
      <c r="B19" s="103">
        <v>747945</v>
      </c>
      <c r="C19" s="103">
        <v>505956.36</v>
      </c>
      <c r="D19" s="103">
        <v>241988.64</v>
      </c>
      <c r="E19" s="103">
        <v>147162.51999999999</v>
      </c>
      <c r="F19" s="103">
        <v>389151.16</v>
      </c>
      <c r="G19" s="115">
        <f t="shared" si="0"/>
        <v>3.6131869650550237E-3</v>
      </c>
    </row>
    <row r="20" spans="1:7" ht="15.4" x14ac:dyDescent="0.45">
      <c r="A20" s="85" t="s">
        <v>24</v>
      </c>
      <c r="B20" s="103">
        <v>9171607</v>
      </c>
      <c r="C20" s="103">
        <v>6007750.1399999997</v>
      </c>
      <c r="D20" s="103">
        <v>3163856.86</v>
      </c>
      <c r="E20" s="103">
        <v>598699.35</v>
      </c>
      <c r="F20" s="103">
        <v>2237541.65</v>
      </c>
      <c r="G20" s="115">
        <f t="shared" si="0"/>
        <v>4.4306373945955137E-2</v>
      </c>
    </row>
    <row r="21" spans="1:7" ht="15.4" x14ac:dyDescent="0.45">
      <c r="A21" s="85" t="s">
        <v>136</v>
      </c>
      <c r="B21" s="103">
        <v>61756</v>
      </c>
      <c r="C21" s="103">
        <v>83960</v>
      </c>
      <c r="D21" s="103">
        <v>-22204</v>
      </c>
      <c r="E21" s="103">
        <v>155575</v>
      </c>
      <c r="F21" s="103">
        <v>133371</v>
      </c>
      <c r="G21" s="115">
        <f t="shared" si="0"/>
        <v>2.9833206213550204E-4</v>
      </c>
    </row>
    <row r="22" spans="1:7" ht="15.4" x14ac:dyDescent="0.45">
      <c r="A22" s="85" t="s">
        <v>25</v>
      </c>
      <c r="B22" s="103">
        <v>830739</v>
      </c>
      <c r="C22" s="103">
        <v>786893.11</v>
      </c>
      <c r="D22" s="103">
        <v>43845.89</v>
      </c>
      <c r="E22" s="103">
        <v>14890.5</v>
      </c>
      <c r="F22" s="103">
        <v>58736.39</v>
      </c>
      <c r="G22" s="115">
        <f t="shared" si="0"/>
        <v>4.0131497986654711E-3</v>
      </c>
    </row>
    <row r="23" spans="1:7" ht="15.4" x14ac:dyDescent="0.45">
      <c r="A23" s="85" t="s">
        <v>26</v>
      </c>
      <c r="B23" s="103">
        <v>448221</v>
      </c>
      <c r="C23" s="103">
        <v>754731.34</v>
      </c>
      <c r="D23" s="103">
        <v>-306510.34000000003</v>
      </c>
      <c r="E23" s="103">
        <v>26941.25</v>
      </c>
      <c r="F23" s="103">
        <v>-279569.09000000003</v>
      </c>
      <c r="G23" s="115">
        <f t="shared" si="0"/>
        <v>2.1652745518239013E-3</v>
      </c>
    </row>
    <row r="24" spans="1:7" ht="15.4" x14ac:dyDescent="0.45">
      <c r="A24" s="85" t="s">
        <v>27</v>
      </c>
      <c r="B24" s="103">
        <v>106181</v>
      </c>
      <c r="C24" s="103">
        <v>98479.27</v>
      </c>
      <c r="D24" s="103">
        <v>7701.73</v>
      </c>
      <c r="E24" s="103">
        <v>38580</v>
      </c>
      <c r="F24" s="103">
        <v>46281.73</v>
      </c>
      <c r="G24" s="115">
        <f t="shared" si="0"/>
        <v>5.1294119906745484E-4</v>
      </c>
    </row>
    <row r="25" spans="1:7" ht="15.4" x14ac:dyDescent="0.45">
      <c r="A25" s="85" t="s">
        <v>118</v>
      </c>
      <c r="B25" s="103">
        <v>289320</v>
      </c>
      <c r="C25" s="103">
        <v>229639</v>
      </c>
      <c r="D25" s="103">
        <v>59681</v>
      </c>
      <c r="E25" s="103">
        <v>0</v>
      </c>
      <c r="F25" s="103">
        <v>59681</v>
      </c>
      <c r="G25" s="115">
        <f t="shared" si="0"/>
        <v>1.3976525716860458E-3</v>
      </c>
    </row>
    <row r="26" spans="1:7" ht="15.4" x14ac:dyDescent="0.45">
      <c r="A26" s="85" t="s">
        <v>28</v>
      </c>
      <c r="B26" s="103">
        <v>5495320</v>
      </c>
      <c r="C26" s="103">
        <v>1097094.5</v>
      </c>
      <c r="D26" s="103">
        <v>4398225.5</v>
      </c>
      <c r="E26" s="103">
        <v>0</v>
      </c>
      <c r="F26" s="103">
        <v>4398225.5</v>
      </c>
      <c r="G26" s="115">
        <f t="shared" si="0"/>
        <v>2.6546896620481684E-2</v>
      </c>
    </row>
    <row r="27" spans="1:7" ht="15.4" x14ac:dyDescent="0.45">
      <c r="A27" s="85" t="s">
        <v>8</v>
      </c>
      <c r="B27" s="103">
        <v>163338</v>
      </c>
      <c r="C27" s="103">
        <v>141767</v>
      </c>
      <c r="D27" s="103">
        <v>21571</v>
      </c>
      <c r="E27" s="103">
        <v>0</v>
      </c>
      <c r="F27" s="103">
        <v>21571</v>
      </c>
      <c r="G27" s="115">
        <f t="shared" si="0"/>
        <v>7.8905632432619709E-4</v>
      </c>
    </row>
    <row r="28" spans="1:7" ht="15.4" x14ac:dyDescent="0.45">
      <c r="A28" s="85" t="s">
        <v>29</v>
      </c>
      <c r="B28" s="103">
        <v>1153899</v>
      </c>
      <c r="C28" s="103">
        <v>1459406.94</v>
      </c>
      <c r="D28" s="103">
        <v>-305507.94</v>
      </c>
      <c r="E28" s="103">
        <v>22500</v>
      </c>
      <c r="F28" s="103">
        <v>-167683.94</v>
      </c>
      <c r="G28" s="115">
        <f t="shared" si="0"/>
        <v>5.5742772874877522E-3</v>
      </c>
    </row>
    <row r="29" spans="1:7" ht="15.4" x14ac:dyDescent="0.45">
      <c r="A29" s="85" t="s">
        <v>30</v>
      </c>
      <c r="B29" s="103">
        <v>350702</v>
      </c>
      <c r="C29" s="103">
        <v>328573</v>
      </c>
      <c r="D29" s="103">
        <v>22129</v>
      </c>
      <c r="E29" s="103">
        <v>0</v>
      </c>
      <c r="F29" s="103">
        <v>16597</v>
      </c>
      <c r="G29" s="115">
        <f t="shared" si="0"/>
        <v>1.6941779074914961E-3</v>
      </c>
    </row>
    <row r="30" spans="1:7" ht="15.4" x14ac:dyDescent="0.45">
      <c r="A30" s="85" t="s">
        <v>31</v>
      </c>
      <c r="B30" s="103">
        <v>428784</v>
      </c>
      <c r="C30" s="103">
        <v>369267.58</v>
      </c>
      <c r="D30" s="103">
        <v>59516.42</v>
      </c>
      <c r="E30" s="103">
        <v>0</v>
      </c>
      <c r="F30" s="103">
        <v>59516.42</v>
      </c>
      <c r="G30" s="115">
        <f t="shared" si="0"/>
        <v>2.0713779216709164E-3</v>
      </c>
    </row>
    <row r="31" spans="1:7" ht="15.4" x14ac:dyDescent="0.45">
      <c r="A31" s="85" t="s">
        <v>32</v>
      </c>
      <c r="B31" s="103">
        <v>55991</v>
      </c>
      <c r="C31" s="103">
        <v>173403</v>
      </c>
      <c r="D31" s="103">
        <v>-117412</v>
      </c>
      <c r="E31" s="103">
        <v>1029</v>
      </c>
      <c r="F31" s="103">
        <v>-116383</v>
      </c>
      <c r="G31" s="115">
        <f t="shared" si="0"/>
        <v>2.7048239022975731E-4</v>
      </c>
    </row>
    <row r="32" spans="1:7" ht="15.4" x14ac:dyDescent="0.45">
      <c r="A32" s="85" t="s">
        <v>33</v>
      </c>
      <c r="B32" s="103">
        <v>109672</v>
      </c>
      <c r="C32" s="103">
        <v>88671.93</v>
      </c>
      <c r="D32" s="103">
        <v>21000.07</v>
      </c>
      <c r="E32" s="103">
        <v>0</v>
      </c>
      <c r="F32" s="103">
        <v>21000.07</v>
      </c>
      <c r="G32" s="115">
        <f t="shared" si="0"/>
        <v>5.2980558842095958E-4</v>
      </c>
    </row>
    <row r="33" spans="1:7" ht="15.4" x14ac:dyDescent="0.45">
      <c r="A33" s="85" t="s">
        <v>34</v>
      </c>
      <c r="B33" s="103">
        <v>35061</v>
      </c>
      <c r="C33" s="103">
        <v>31258.93</v>
      </c>
      <c r="D33" s="103">
        <v>3802.07</v>
      </c>
      <c r="E33" s="103">
        <v>0</v>
      </c>
      <c r="F33" s="103">
        <v>3802.07</v>
      </c>
      <c r="G33" s="115">
        <f t="shared" si="0"/>
        <v>1.6937334721375797E-4</v>
      </c>
    </row>
    <row r="34" spans="1:7" ht="15.4" x14ac:dyDescent="0.45">
      <c r="A34" s="85" t="s">
        <v>35</v>
      </c>
      <c r="B34" s="103">
        <v>276237</v>
      </c>
      <c r="C34" s="103">
        <v>382209</v>
      </c>
      <c r="D34" s="103">
        <v>-105972</v>
      </c>
      <c r="E34" s="103">
        <v>103187.75</v>
      </c>
      <c r="F34" s="103">
        <v>-2784.25</v>
      </c>
      <c r="G34" s="115">
        <f t="shared" si="0"/>
        <v>1.3344509658676836E-3</v>
      </c>
    </row>
    <row r="35" spans="1:7" ht="15.4" x14ac:dyDescent="0.45">
      <c r="A35" s="85" t="s">
        <v>36</v>
      </c>
      <c r="B35" s="103">
        <v>552718</v>
      </c>
      <c r="C35" s="103">
        <v>800048</v>
      </c>
      <c r="D35" s="103">
        <v>-247330</v>
      </c>
      <c r="E35" s="103">
        <v>245</v>
      </c>
      <c r="F35" s="103">
        <v>-247085</v>
      </c>
      <c r="G35" s="115">
        <f t="shared" ref="G35:G66" si="1">B35/$B$122</f>
        <v>2.6700806515870586E-3</v>
      </c>
    </row>
    <row r="36" spans="1:7" ht="15.4" x14ac:dyDescent="0.45">
      <c r="A36" s="85" t="s">
        <v>37</v>
      </c>
      <c r="B36" s="103">
        <v>217134</v>
      </c>
      <c r="C36" s="103">
        <v>135713.5</v>
      </c>
      <c r="D36" s="103">
        <v>81420.5</v>
      </c>
      <c r="E36" s="103">
        <v>0</v>
      </c>
      <c r="F36" s="103">
        <v>81420.5</v>
      </c>
      <c r="G36" s="115">
        <f t="shared" si="1"/>
        <v>1.048935066709795E-3</v>
      </c>
    </row>
    <row r="37" spans="1:7" ht="15.4" x14ac:dyDescent="0.45">
      <c r="A37" s="85" t="s">
        <v>38</v>
      </c>
      <c r="B37" s="103">
        <v>221554</v>
      </c>
      <c r="C37" s="103">
        <v>218433.7</v>
      </c>
      <c r="D37" s="103">
        <v>3120.3</v>
      </c>
      <c r="E37" s="103">
        <v>0</v>
      </c>
      <c r="F37" s="103">
        <v>3120.3</v>
      </c>
      <c r="G37" s="115">
        <f t="shared" si="1"/>
        <v>1.0702872869740433E-3</v>
      </c>
    </row>
    <row r="38" spans="1:7" ht="15.4" x14ac:dyDescent="0.45">
      <c r="A38" s="85" t="s">
        <v>39</v>
      </c>
      <c r="B38" s="103">
        <v>20301160</v>
      </c>
      <c r="C38" s="103">
        <v>12790009.1</v>
      </c>
      <c r="D38" s="103">
        <v>7511150.9000000004</v>
      </c>
      <c r="E38" s="103">
        <v>1485492</v>
      </c>
      <c r="F38" s="103">
        <v>6665006.9000000004</v>
      </c>
      <c r="G38" s="115">
        <f t="shared" si="1"/>
        <v>9.807123075559894E-2</v>
      </c>
    </row>
    <row r="39" spans="1:7" ht="15.4" x14ac:dyDescent="0.45">
      <c r="A39" s="85" t="s">
        <v>40</v>
      </c>
      <c r="B39" s="103">
        <v>250163</v>
      </c>
      <c r="C39" s="103">
        <v>154702.79999999999</v>
      </c>
      <c r="D39" s="103">
        <v>95460.2</v>
      </c>
      <c r="E39" s="103">
        <v>0</v>
      </c>
      <c r="F39" s="103">
        <v>95460.2</v>
      </c>
      <c r="G39" s="115">
        <f t="shared" si="1"/>
        <v>1.2084921895848758E-3</v>
      </c>
    </row>
    <row r="40" spans="1:7" ht="15.4" x14ac:dyDescent="0.45">
      <c r="A40" s="85" t="s">
        <v>41</v>
      </c>
      <c r="B40" s="103"/>
      <c r="C40" s="103"/>
      <c r="D40" s="103"/>
      <c r="E40" s="103"/>
      <c r="F40" s="103"/>
      <c r="G40" s="115">
        <f t="shared" si="1"/>
        <v>0</v>
      </c>
    </row>
    <row r="41" spans="1:7" ht="15.4" x14ac:dyDescent="0.45">
      <c r="A41" s="85" t="s">
        <v>121</v>
      </c>
      <c r="B41" s="103">
        <v>2801474</v>
      </c>
      <c r="C41" s="103">
        <v>1945019.26</v>
      </c>
      <c r="D41" s="103">
        <v>856454.74</v>
      </c>
      <c r="E41" s="103">
        <v>128663</v>
      </c>
      <c r="F41" s="103">
        <v>714210.74</v>
      </c>
      <c r="G41" s="115">
        <f t="shared" si="1"/>
        <v>1.3533414007367598E-2</v>
      </c>
    </row>
    <row r="42" spans="1:7" ht="15.4" x14ac:dyDescent="0.45">
      <c r="A42" s="85" t="s">
        <v>43</v>
      </c>
      <c r="B42" s="103">
        <v>2553847</v>
      </c>
      <c r="C42" s="103">
        <v>2042523</v>
      </c>
      <c r="D42" s="103">
        <v>511324</v>
      </c>
      <c r="E42" s="103">
        <v>141340.34</v>
      </c>
      <c r="F42" s="103">
        <v>489498.26</v>
      </c>
      <c r="G42" s="115">
        <f t="shared" si="1"/>
        <v>1.2337172774929812E-2</v>
      </c>
    </row>
    <row r="43" spans="1:7" ht="15.4" x14ac:dyDescent="0.45">
      <c r="A43" s="85" t="s">
        <v>44</v>
      </c>
      <c r="B43" s="103">
        <v>838953</v>
      </c>
      <c r="C43" s="103">
        <v>511543.22</v>
      </c>
      <c r="D43" s="103">
        <v>327409.78000000003</v>
      </c>
      <c r="E43" s="103">
        <v>0</v>
      </c>
      <c r="F43" s="103">
        <v>327409.78000000003</v>
      </c>
      <c r="G43" s="115">
        <f t="shared" si="1"/>
        <v>4.0528301464597093E-3</v>
      </c>
    </row>
    <row r="44" spans="1:7" ht="15.4" x14ac:dyDescent="0.45">
      <c r="A44" s="85" t="s">
        <v>137</v>
      </c>
      <c r="B44" s="103"/>
      <c r="C44" s="103"/>
      <c r="D44" s="103"/>
      <c r="E44" s="103"/>
      <c r="F44" s="103"/>
      <c r="G44" s="115">
        <f t="shared" si="1"/>
        <v>0</v>
      </c>
    </row>
    <row r="45" spans="1:7" ht="15.4" x14ac:dyDescent="0.45">
      <c r="A45" s="85" t="s">
        <v>46</v>
      </c>
      <c r="B45" s="103">
        <v>1393392</v>
      </c>
      <c r="C45" s="103">
        <v>1106062.44</v>
      </c>
      <c r="D45" s="103">
        <v>287329.56</v>
      </c>
      <c r="E45" s="103">
        <v>32225.66</v>
      </c>
      <c r="F45" s="103">
        <v>283617.71999999997</v>
      </c>
      <c r="G45" s="115">
        <f t="shared" si="1"/>
        <v>6.7312246376564451E-3</v>
      </c>
    </row>
    <row r="46" spans="1:7" ht="15.4" x14ac:dyDescent="0.45">
      <c r="A46" s="85" t="s">
        <v>47</v>
      </c>
      <c r="B46" s="103">
        <v>20088</v>
      </c>
      <c r="C46" s="103">
        <v>67345.25</v>
      </c>
      <c r="D46" s="103">
        <v>-47257.25</v>
      </c>
      <c r="E46" s="103">
        <v>6133.36</v>
      </c>
      <c r="F46" s="103">
        <v>-41123.89</v>
      </c>
      <c r="G46" s="115">
        <f t="shared" si="1"/>
        <v>9.7041493363850717E-5</v>
      </c>
    </row>
    <row r="47" spans="1:7" ht="15.4" x14ac:dyDescent="0.45">
      <c r="A47" s="85" t="s">
        <v>48</v>
      </c>
      <c r="B47" s="103">
        <v>160908</v>
      </c>
      <c r="C47" s="103">
        <v>107004</v>
      </c>
      <c r="D47" s="103">
        <v>53904</v>
      </c>
      <c r="E47" s="103">
        <v>73746.289999999994</v>
      </c>
      <c r="F47" s="103">
        <v>127650.29</v>
      </c>
      <c r="G47" s="115">
        <f t="shared" si="1"/>
        <v>7.7731743399992489E-4</v>
      </c>
    </row>
    <row r="48" spans="1:7" ht="15.4" x14ac:dyDescent="0.45">
      <c r="A48" s="85" t="s">
        <v>50</v>
      </c>
      <c r="B48" s="103">
        <v>1158893</v>
      </c>
      <c r="C48" s="103">
        <v>743961</v>
      </c>
      <c r="D48" s="103">
        <v>414932</v>
      </c>
      <c r="E48" s="103">
        <v>28218</v>
      </c>
      <c r="F48" s="103">
        <v>333581</v>
      </c>
      <c r="G48" s="115">
        <f t="shared" si="1"/>
        <v>5.5984023978949147E-3</v>
      </c>
    </row>
    <row r="49" spans="1:7" ht="15.4" x14ac:dyDescent="0.45">
      <c r="A49" s="85" t="s">
        <v>123</v>
      </c>
      <c r="B49" s="103">
        <v>80762</v>
      </c>
      <c r="C49" s="103">
        <v>73602.929999999993</v>
      </c>
      <c r="D49" s="103">
        <v>7159.07</v>
      </c>
      <c r="E49" s="103">
        <v>0</v>
      </c>
      <c r="F49" s="103">
        <v>1089.42</v>
      </c>
      <c r="G49" s="115">
        <f t="shared" si="1"/>
        <v>3.9014660927176977E-4</v>
      </c>
    </row>
    <row r="50" spans="1:7" ht="15.4" x14ac:dyDescent="0.45">
      <c r="A50" s="85" t="s">
        <v>51</v>
      </c>
      <c r="B50" s="103"/>
      <c r="C50" s="103"/>
      <c r="D50" s="103"/>
      <c r="E50" s="103"/>
      <c r="F50" s="103"/>
      <c r="G50" s="115">
        <f t="shared" si="1"/>
        <v>0</v>
      </c>
    </row>
    <row r="51" spans="1:7" ht="15.4" x14ac:dyDescent="0.45">
      <c r="A51" s="85" t="s">
        <v>153</v>
      </c>
      <c r="B51" s="103">
        <v>1028081</v>
      </c>
      <c r="C51" s="103">
        <v>825068</v>
      </c>
      <c r="D51" s="103">
        <v>203013</v>
      </c>
      <c r="E51" s="103">
        <v>315499</v>
      </c>
      <c r="F51" s="103">
        <v>458103</v>
      </c>
      <c r="G51" s="115">
        <f t="shared" si="1"/>
        <v>4.9664732944544503E-3</v>
      </c>
    </row>
    <row r="52" spans="1:7" ht="15.4" x14ac:dyDescent="0.45">
      <c r="A52" s="85" t="s">
        <v>138</v>
      </c>
      <c r="B52" s="103">
        <v>611876</v>
      </c>
      <c r="C52" s="103">
        <v>719753</v>
      </c>
      <c r="D52" s="103">
        <v>-107877</v>
      </c>
      <c r="E52" s="103">
        <v>2321</v>
      </c>
      <c r="F52" s="103">
        <v>-105556</v>
      </c>
      <c r="G52" s="115">
        <f t="shared" si="1"/>
        <v>2.9558622457934846E-3</v>
      </c>
    </row>
    <row r="53" spans="1:7" ht="15.4" x14ac:dyDescent="0.45">
      <c r="A53" s="85" t="s">
        <v>52</v>
      </c>
      <c r="B53" s="103">
        <v>5486467</v>
      </c>
      <c r="C53" s="103">
        <v>4004319.41</v>
      </c>
      <c r="D53" s="103">
        <v>1482147.59</v>
      </c>
      <c r="E53" s="103">
        <v>294281.42</v>
      </c>
      <c r="F53" s="103">
        <v>1332321.76</v>
      </c>
      <c r="G53" s="115">
        <f t="shared" si="1"/>
        <v>2.6504129379305352E-2</v>
      </c>
    </row>
    <row r="54" spans="1:7" ht="15.4" x14ac:dyDescent="0.45">
      <c r="A54" s="85" t="s">
        <v>54</v>
      </c>
      <c r="B54" s="103">
        <v>621446</v>
      </c>
      <c r="C54" s="103">
        <v>380168</v>
      </c>
      <c r="D54" s="103">
        <v>241278</v>
      </c>
      <c r="E54" s="103">
        <v>185989</v>
      </c>
      <c r="F54" s="103">
        <v>427267</v>
      </c>
      <c r="G54" s="115">
        <f t="shared" si="1"/>
        <v>3.002093184238927E-3</v>
      </c>
    </row>
    <row r="55" spans="1:7" ht="15.4" x14ac:dyDescent="0.45">
      <c r="A55" s="85" t="s">
        <v>55</v>
      </c>
      <c r="B55" s="103">
        <v>24593</v>
      </c>
      <c r="C55" s="103">
        <v>170367.88</v>
      </c>
      <c r="D55" s="103">
        <v>-145774.88</v>
      </c>
      <c r="E55" s="103">
        <v>0</v>
      </c>
      <c r="F55" s="103">
        <v>-145774.88</v>
      </c>
      <c r="G55" s="115">
        <f t="shared" si="1"/>
        <v>1.1880433324856534E-4</v>
      </c>
    </row>
    <row r="56" spans="1:7" ht="15.4" x14ac:dyDescent="0.45">
      <c r="A56" s="85" t="s">
        <v>56</v>
      </c>
      <c r="B56" s="103">
        <v>823990</v>
      </c>
      <c r="C56" s="103">
        <v>479597</v>
      </c>
      <c r="D56" s="103">
        <v>344393</v>
      </c>
      <c r="E56" s="103">
        <v>8037</v>
      </c>
      <c r="F56" s="103">
        <v>352430</v>
      </c>
      <c r="G56" s="115">
        <f t="shared" si="1"/>
        <v>3.9805466008004456E-3</v>
      </c>
    </row>
    <row r="57" spans="1:7" ht="15.4" x14ac:dyDescent="0.45">
      <c r="A57" s="85" t="s">
        <v>57</v>
      </c>
      <c r="B57" s="103">
        <v>3516396</v>
      </c>
      <c r="C57" s="103">
        <v>2264660</v>
      </c>
      <c r="D57" s="103">
        <v>1251736</v>
      </c>
      <c r="E57" s="103">
        <v>976163</v>
      </c>
      <c r="F57" s="103">
        <v>1620362</v>
      </c>
      <c r="G57" s="115">
        <f t="shared" si="1"/>
        <v>1.6987072834461926E-2</v>
      </c>
    </row>
    <row r="58" spans="1:7" ht="15.4" x14ac:dyDescent="0.45">
      <c r="A58" s="85" t="s">
        <v>58</v>
      </c>
      <c r="B58" s="103"/>
      <c r="C58" s="103"/>
      <c r="D58" s="103"/>
      <c r="E58" s="103"/>
      <c r="F58" s="103"/>
      <c r="G58" s="115">
        <f t="shared" si="1"/>
        <v>0</v>
      </c>
    </row>
    <row r="59" spans="1:7" ht="15.4" x14ac:dyDescent="0.45">
      <c r="A59" s="85" t="s">
        <v>60</v>
      </c>
      <c r="B59" s="103">
        <v>3029651</v>
      </c>
      <c r="C59" s="103">
        <v>2536005.09</v>
      </c>
      <c r="D59" s="103">
        <v>493645.91</v>
      </c>
      <c r="E59" s="103">
        <v>1432025</v>
      </c>
      <c r="F59" s="103">
        <v>1925670.91</v>
      </c>
      <c r="G59" s="115">
        <f t="shared" si="1"/>
        <v>1.4635695809004564E-2</v>
      </c>
    </row>
    <row r="60" spans="1:7" ht="15.4" x14ac:dyDescent="0.45">
      <c r="A60" s="85" t="s">
        <v>61</v>
      </c>
      <c r="B60" s="103">
        <v>1302535</v>
      </c>
      <c r="C60" s="103">
        <v>536006.91</v>
      </c>
      <c r="D60" s="103">
        <v>766528.09</v>
      </c>
      <c r="E60" s="103">
        <v>653888</v>
      </c>
      <c r="F60" s="103">
        <v>1420416.09</v>
      </c>
      <c r="G60" s="115">
        <f t="shared" si="1"/>
        <v>6.2923109099304701E-3</v>
      </c>
    </row>
    <row r="61" spans="1:7" ht="15.4" x14ac:dyDescent="0.45">
      <c r="A61" s="85" t="s">
        <v>62</v>
      </c>
      <c r="B61" s="103">
        <v>332868</v>
      </c>
      <c r="C61" s="103">
        <v>270805</v>
      </c>
      <c r="D61" s="103">
        <v>62063</v>
      </c>
      <c r="E61" s="103">
        <v>0</v>
      </c>
      <c r="F61" s="103">
        <v>46547</v>
      </c>
      <c r="G61" s="115">
        <f t="shared" si="1"/>
        <v>1.6080250802985991E-3</v>
      </c>
    </row>
    <row r="62" spans="1:7" ht="15.4" x14ac:dyDescent="0.45">
      <c r="A62" s="85" t="s">
        <v>63</v>
      </c>
      <c r="B62" s="103">
        <v>1654654</v>
      </c>
      <c r="C62" s="103">
        <v>1245568.1200000001</v>
      </c>
      <c r="D62" s="103">
        <v>409085.88</v>
      </c>
      <c r="E62" s="103">
        <v>0</v>
      </c>
      <c r="F62" s="103">
        <v>305968.52</v>
      </c>
      <c r="G62" s="115">
        <f t="shared" si="1"/>
        <v>7.9933340880360935E-3</v>
      </c>
    </row>
    <row r="63" spans="1:7" ht="15.4" x14ac:dyDescent="0.45">
      <c r="A63" s="85" t="s">
        <v>64</v>
      </c>
      <c r="B63" s="103">
        <v>394561</v>
      </c>
      <c r="C63" s="103">
        <v>154928.94</v>
      </c>
      <c r="D63" s="103">
        <v>239632.06</v>
      </c>
      <c r="E63" s="103">
        <v>83055.070000000007</v>
      </c>
      <c r="F63" s="103">
        <v>244910.22</v>
      </c>
      <c r="G63" s="115">
        <f t="shared" si="1"/>
        <v>1.9060528008330497E-3</v>
      </c>
    </row>
    <row r="64" spans="1:7" ht="15.4" x14ac:dyDescent="0.45">
      <c r="A64" s="85" t="s">
        <v>65</v>
      </c>
      <c r="B64" s="103">
        <v>31522572</v>
      </c>
      <c r="C64" s="103">
        <v>18578324.539999999</v>
      </c>
      <c r="D64" s="103">
        <v>12944247.460000001</v>
      </c>
      <c r="E64" s="103">
        <v>8918765.2300000004</v>
      </c>
      <c r="F64" s="103">
        <v>16397259.52</v>
      </c>
      <c r="G64" s="115">
        <f t="shared" si="1"/>
        <v>0.15227984177367115</v>
      </c>
    </row>
    <row r="65" spans="1:7" ht="15.4" x14ac:dyDescent="0.45">
      <c r="A65" s="85" t="s">
        <v>66</v>
      </c>
      <c r="B65" s="103">
        <v>9864030</v>
      </c>
      <c r="C65" s="103">
        <v>4041451.52</v>
      </c>
      <c r="D65" s="103">
        <v>5822578.4800000004</v>
      </c>
      <c r="E65" s="103">
        <v>3404079</v>
      </c>
      <c r="F65" s="103">
        <v>6689327.4800000004</v>
      </c>
      <c r="G65" s="115">
        <f t="shared" si="1"/>
        <v>4.7651344174921562E-2</v>
      </c>
    </row>
    <row r="66" spans="1:7" ht="15.4" x14ac:dyDescent="0.45">
      <c r="A66" s="85" t="s">
        <v>67</v>
      </c>
      <c r="B66" s="103">
        <v>677869</v>
      </c>
      <c r="C66" s="103">
        <v>525748.59</v>
      </c>
      <c r="D66" s="103">
        <v>152120.41</v>
      </c>
      <c r="E66" s="103">
        <v>0</v>
      </c>
      <c r="F66" s="103">
        <v>114090.29</v>
      </c>
      <c r="G66" s="115">
        <f t="shared" si="1"/>
        <v>3.2746624883044661E-3</v>
      </c>
    </row>
    <row r="67" spans="1:7" ht="15.4" x14ac:dyDescent="0.45">
      <c r="A67" s="85" t="s">
        <v>139</v>
      </c>
      <c r="B67" s="103">
        <v>436965</v>
      </c>
      <c r="C67" s="103">
        <v>228085</v>
      </c>
      <c r="D67" s="103">
        <v>208880</v>
      </c>
      <c r="E67" s="103">
        <v>153934.68</v>
      </c>
      <c r="F67" s="103">
        <v>267901.68</v>
      </c>
      <c r="G67" s="115">
        <f t="shared" ref="G67:G98" si="2">B67/$B$122</f>
        <v>2.1108988524360327E-3</v>
      </c>
    </row>
    <row r="68" spans="1:7" ht="15.4" x14ac:dyDescent="0.45">
      <c r="A68" s="85" t="s">
        <v>68</v>
      </c>
      <c r="B68" s="103"/>
      <c r="C68" s="103"/>
      <c r="D68" s="103"/>
      <c r="E68" s="103"/>
      <c r="F68" s="103"/>
      <c r="G68" s="115">
        <f t="shared" si="2"/>
        <v>0</v>
      </c>
    </row>
    <row r="69" spans="1:7" ht="15.4" x14ac:dyDescent="0.45">
      <c r="A69" s="85" t="s">
        <v>69</v>
      </c>
      <c r="B69" s="103">
        <v>1271751</v>
      </c>
      <c r="C69" s="103">
        <v>1189453</v>
      </c>
      <c r="D69" s="103">
        <v>82298</v>
      </c>
      <c r="E69" s="103">
        <v>0</v>
      </c>
      <c r="F69" s="103">
        <v>82298</v>
      </c>
      <c r="G69" s="115">
        <f t="shared" si="2"/>
        <v>6.1435989758547643E-3</v>
      </c>
    </row>
    <row r="70" spans="1:7" ht="15.4" x14ac:dyDescent="0.45">
      <c r="A70" s="85" t="s">
        <v>141</v>
      </c>
      <c r="B70" s="103">
        <v>127052</v>
      </c>
      <c r="C70" s="103">
        <v>150518.59</v>
      </c>
      <c r="D70" s="103">
        <v>-23466.59</v>
      </c>
      <c r="E70" s="103">
        <v>8075.45</v>
      </c>
      <c r="F70" s="103">
        <v>-15391.14</v>
      </c>
      <c r="G70" s="115">
        <f t="shared" si="2"/>
        <v>6.1376522375865988E-4</v>
      </c>
    </row>
    <row r="71" spans="1:7" ht="15.4" x14ac:dyDescent="0.45">
      <c r="A71" s="85" t="s">
        <v>110</v>
      </c>
      <c r="B71" s="103">
        <v>344566</v>
      </c>
      <c r="C71" s="103">
        <v>288741.76000000001</v>
      </c>
      <c r="D71" s="103">
        <v>55824.24</v>
      </c>
      <c r="E71" s="103">
        <v>0</v>
      </c>
      <c r="F71" s="103">
        <v>55824.24</v>
      </c>
      <c r="G71" s="115">
        <f t="shared" si="2"/>
        <v>1.6645360017128925E-3</v>
      </c>
    </row>
    <row r="72" spans="1:7" ht="15.4" x14ac:dyDescent="0.45">
      <c r="A72" s="85" t="s">
        <v>143</v>
      </c>
      <c r="B72" s="103">
        <v>6324492</v>
      </c>
      <c r="C72" s="103">
        <v>3040938</v>
      </c>
      <c r="D72" s="103">
        <v>3283554</v>
      </c>
      <c r="E72" s="103">
        <v>239535</v>
      </c>
      <c r="F72" s="103">
        <v>2691921</v>
      </c>
      <c r="G72" s="115">
        <f t="shared" si="2"/>
        <v>3.0552476525673382E-2</v>
      </c>
    </row>
    <row r="73" spans="1:7" ht="15.4" x14ac:dyDescent="0.45">
      <c r="A73" s="85" t="s">
        <v>125</v>
      </c>
      <c r="B73" s="103">
        <v>51983</v>
      </c>
      <c r="C73" s="103">
        <v>54553</v>
      </c>
      <c r="D73" s="103">
        <v>-2570</v>
      </c>
      <c r="E73" s="103">
        <v>0</v>
      </c>
      <c r="F73" s="103">
        <v>-2570</v>
      </c>
      <c r="G73" s="115">
        <f t="shared" si="2"/>
        <v>2.5112046742000458E-4</v>
      </c>
    </row>
    <row r="74" spans="1:7" ht="15.4" x14ac:dyDescent="0.45">
      <c r="A74" s="85" t="s">
        <v>71</v>
      </c>
      <c r="B74" s="103">
        <v>532306</v>
      </c>
      <c r="C74" s="103">
        <v>203245.89</v>
      </c>
      <c r="D74" s="103">
        <v>329060.11</v>
      </c>
      <c r="E74" s="103">
        <v>0</v>
      </c>
      <c r="F74" s="103">
        <v>329060.11</v>
      </c>
      <c r="G74" s="115">
        <f t="shared" si="2"/>
        <v>2.5714739728463719E-3</v>
      </c>
    </row>
    <row r="75" spans="1:7" ht="15.4" x14ac:dyDescent="0.45">
      <c r="A75" s="85" t="s">
        <v>72</v>
      </c>
      <c r="B75" s="103"/>
      <c r="C75" s="103"/>
      <c r="D75" s="103"/>
      <c r="E75" s="103"/>
      <c r="F75" s="103"/>
      <c r="G75" s="115">
        <f t="shared" si="2"/>
        <v>0</v>
      </c>
    </row>
    <row r="76" spans="1:7" ht="15.4" x14ac:dyDescent="0.45">
      <c r="A76" s="85" t="s">
        <v>73</v>
      </c>
      <c r="B76" s="103">
        <v>39116</v>
      </c>
      <c r="C76" s="103">
        <v>146786.88</v>
      </c>
      <c r="D76" s="103">
        <v>-107670.88</v>
      </c>
      <c r="E76" s="103">
        <v>0</v>
      </c>
      <c r="F76" s="103">
        <v>-107670.88</v>
      </c>
      <c r="G76" s="115">
        <f t="shared" si="2"/>
        <v>1.8896231851953327E-4</v>
      </c>
    </row>
    <row r="77" spans="1:7" ht="15.4" x14ac:dyDescent="0.45">
      <c r="A77" s="85" t="s">
        <v>126</v>
      </c>
      <c r="B77" s="103">
        <v>246593</v>
      </c>
      <c r="C77" s="103">
        <v>293564</v>
      </c>
      <c r="D77" s="103">
        <v>-46971</v>
      </c>
      <c r="E77" s="103">
        <v>0</v>
      </c>
      <c r="F77" s="103">
        <v>-73739.42</v>
      </c>
      <c r="G77" s="115">
        <f t="shared" si="2"/>
        <v>1.1912461655252907E-3</v>
      </c>
    </row>
    <row r="78" spans="1:7" ht="15.4" x14ac:dyDescent="0.45">
      <c r="A78" s="85" t="s">
        <v>75</v>
      </c>
      <c r="B78" s="103">
        <v>56432</v>
      </c>
      <c r="C78" s="103">
        <v>34165</v>
      </c>
      <c r="D78" s="103">
        <v>22267</v>
      </c>
      <c r="E78" s="103">
        <v>0</v>
      </c>
      <c r="F78" s="103">
        <v>22267</v>
      </c>
      <c r="G78" s="115">
        <f t="shared" si="2"/>
        <v>2.7261278143711785E-4</v>
      </c>
    </row>
    <row r="79" spans="1:7" ht="15.4" x14ac:dyDescent="0.45">
      <c r="A79" s="85" t="s">
        <v>76</v>
      </c>
      <c r="B79" s="103">
        <v>110162</v>
      </c>
      <c r="C79" s="103">
        <v>105894.78</v>
      </c>
      <c r="D79" s="103">
        <v>4267.22</v>
      </c>
      <c r="E79" s="103">
        <v>0</v>
      </c>
      <c r="F79" s="103">
        <v>3200.35</v>
      </c>
      <c r="G79" s="115">
        <f t="shared" si="2"/>
        <v>5.3217268976247123E-4</v>
      </c>
    </row>
    <row r="80" spans="1:7" ht="15.4" x14ac:dyDescent="0.45">
      <c r="A80" s="85" t="s">
        <v>127</v>
      </c>
      <c r="B80" s="103"/>
      <c r="C80" s="103"/>
      <c r="D80" s="103"/>
      <c r="E80" s="103"/>
      <c r="F80" s="103"/>
      <c r="G80" s="115">
        <f t="shared" si="2"/>
        <v>0</v>
      </c>
    </row>
    <row r="81" spans="1:7" ht="15.4" x14ac:dyDescent="0.45">
      <c r="A81" s="85" t="s">
        <v>77</v>
      </c>
      <c r="B81" s="103">
        <v>11977509</v>
      </c>
      <c r="C81" s="103">
        <v>5866996.8899999997</v>
      </c>
      <c r="D81" s="103">
        <v>6110512.1100000003</v>
      </c>
      <c r="E81" s="103">
        <v>188382.54</v>
      </c>
      <c r="F81" s="103">
        <v>4991201.7300000004</v>
      </c>
      <c r="G81" s="115">
        <f t="shared" si="2"/>
        <v>5.7861178820139497E-2</v>
      </c>
    </row>
    <row r="82" spans="1:7" ht="15.4" x14ac:dyDescent="0.45">
      <c r="A82" s="85" t="s">
        <v>78</v>
      </c>
      <c r="B82" s="103">
        <v>217896</v>
      </c>
      <c r="C82" s="103">
        <v>209500</v>
      </c>
      <c r="D82" s="103">
        <v>8396</v>
      </c>
      <c r="E82" s="103">
        <v>56818</v>
      </c>
      <c r="F82" s="103">
        <v>48910</v>
      </c>
      <c r="G82" s="115">
        <f t="shared" si="2"/>
        <v>1.0526161508367989E-3</v>
      </c>
    </row>
    <row r="83" spans="1:7" ht="15.4" x14ac:dyDescent="0.45">
      <c r="A83" s="85" t="s">
        <v>154</v>
      </c>
      <c r="B83" s="103">
        <v>27045</v>
      </c>
      <c r="C83" s="103">
        <v>101441.25</v>
      </c>
      <c r="D83" s="103">
        <v>-74396.25</v>
      </c>
      <c r="E83" s="103">
        <v>0</v>
      </c>
      <c r="F83" s="103">
        <v>-74396.25</v>
      </c>
      <c r="G83" s="115">
        <f t="shared" si="2"/>
        <v>1.3064950159425242E-4</v>
      </c>
    </row>
    <row r="84" spans="1:7" ht="15.4" x14ac:dyDescent="0.45">
      <c r="A84" s="85" t="s">
        <v>111</v>
      </c>
      <c r="B84" s="103">
        <v>357263</v>
      </c>
      <c r="C84" s="103">
        <v>282056.34000000003</v>
      </c>
      <c r="D84" s="103">
        <v>75206.66</v>
      </c>
      <c r="E84" s="103">
        <v>17342</v>
      </c>
      <c r="F84" s="103">
        <v>92548.66</v>
      </c>
      <c r="G84" s="115">
        <f t="shared" si="2"/>
        <v>1.7258729113724311E-3</v>
      </c>
    </row>
    <row r="85" spans="1:7" ht="15.4" x14ac:dyDescent="0.45">
      <c r="A85" s="85" t="s">
        <v>80</v>
      </c>
      <c r="B85" s="103">
        <v>1258040</v>
      </c>
      <c r="C85" s="103">
        <v>991227.01</v>
      </c>
      <c r="D85" s="103">
        <v>266812.99</v>
      </c>
      <c r="E85" s="103">
        <v>40000</v>
      </c>
      <c r="F85" s="103">
        <v>230109.99</v>
      </c>
      <c r="G85" s="115">
        <f t="shared" si="2"/>
        <v>6.077363615664016E-3</v>
      </c>
    </row>
    <row r="86" spans="1:7" ht="15.4" x14ac:dyDescent="0.45">
      <c r="A86" s="85" t="s">
        <v>81</v>
      </c>
      <c r="B86" s="103">
        <v>135291</v>
      </c>
      <c r="C86" s="103">
        <v>163750</v>
      </c>
      <c r="D86" s="103">
        <v>-28459</v>
      </c>
      <c r="E86" s="103">
        <v>13844</v>
      </c>
      <c r="F86" s="103">
        <v>-14615</v>
      </c>
      <c r="G86" s="115">
        <f t="shared" si="2"/>
        <v>6.5356634202950656E-4</v>
      </c>
    </row>
    <row r="87" spans="1:7" ht="15.4" x14ac:dyDescent="0.45">
      <c r="A87" s="85" t="s">
        <v>82</v>
      </c>
      <c r="B87" s="103">
        <v>0</v>
      </c>
      <c r="C87" s="103">
        <v>31200</v>
      </c>
      <c r="D87" s="103">
        <v>-31200</v>
      </c>
      <c r="E87" s="103">
        <v>35729</v>
      </c>
      <c r="F87" s="103">
        <v>4529</v>
      </c>
      <c r="G87" s="115">
        <f t="shared" si="2"/>
        <v>0</v>
      </c>
    </row>
    <row r="88" spans="1:7" ht="15.4" x14ac:dyDescent="0.45">
      <c r="A88" s="85" t="s">
        <v>83</v>
      </c>
      <c r="B88" s="103">
        <v>2424777</v>
      </c>
      <c r="C88" s="103">
        <v>2518981.15</v>
      </c>
      <c r="D88" s="103">
        <v>-94204.15</v>
      </c>
      <c r="E88" s="103">
        <v>1411816.73</v>
      </c>
      <c r="F88" s="103">
        <v>1317612.5900000001</v>
      </c>
      <c r="G88" s="115">
        <f t="shared" si="2"/>
        <v>1.1713658958299374E-2</v>
      </c>
    </row>
    <row r="89" spans="1:7" ht="15.4" x14ac:dyDescent="0.45">
      <c r="A89" s="85" t="s">
        <v>112</v>
      </c>
      <c r="B89" s="103">
        <v>84406</v>
      </c>
      <c r="C89" s="103">
        <v>75237</v>
      </c>
      <c r="D89" s="103">
        <v>9169</v>
      </c>
      <c r="E89" s="103">
        <v>13044</v>
      </c>
      <c r="F89" s="103">
        <v>22213</v>
      </c>
      <c r="G89" s="115">
        <f t="shared" si="2"/>
        <v>4.0775011394211385E-4</v>
      </c>
    </row>
    <row r="90" spans="1:7" ht="15.4" x14ac:dyDescent="0.45">
      <c r="A90" s="85" t="s">
        <v>84</v>
      </c>
      <c r="B90" s="103">
        <v>292550</v>
      </c>
      <c r="C90" s="103">
        <v>600627.92000000004</v>
      </c>
      <c r="D90" s="103">
        <v>-308077.92</v>
      </c>
      <c r="E90" s="103">
        <v>186448</v>
      </c>
      <c r="F90" s="103">
        <v>-121629.92</v>
      </c>
      <c r="G90" s="115">
        <f t="shared" si="2"/>
        <v>1.4132561172637656E-3</v>
      </c>
    </row>
    <row r="91" spans="1:7" ht="15.4" x14ac:dyDescent="0.45">
      <c r="A91" s="85" t="s">
        <v>85</v>
      </c>
      <c r="B91" s="103">
        <v>3135842</v>
      </c>
      <c r="C91" s="103">
        <v>1404548</v>
      </c>
      <c r="D91" s="103">
        <v>1731294</v>
      </c>
      <c r="E91" s="103">
        <v>984794</v>
      </c>
      <c r="F91" s="103">
        <v>1901262</v>
      </c>
      <c r="G91" s="115">
        <f t="shared" si="2"/>
        <v>1.5148685316262662E-2</v>
      </c>
    </row>
    <row r="92" spans="1:7" ht="15.4" x14ac:dyDescent="0.45">
      <c r="A92" s="85" t="s">
        <v>86</v>
      </c>
      <c r="B92" s="103">
        <v>3600254</v>
      </c>
      <c r="C92" s="103">
        <v>2912902.65</v>
      </c>
      <c r="D92" s="103">
        <v>687351.35</v>
      </c>
      <c r="E92" s="103">
        <v>482326.31</v>
      </c>
      <c r="F92" s="103">
        <v>1169677.6599999999</v>
      </c>
      <c r="G92" s="115">
        <f t="shared" si="2"/>
        <v>1.7392175659556801E-2</v>
      </c>
    </row>
    <row r="93" spans="1:7" ht="15.4" x14ac:dyDescent="0.45">
      <c r="A93" s="85" t="s">
        <v>87</v>
      </c>
      <c r="B93" s="103">
        <v>1148000</v>
      </c>
      <c r="C93" s="103">
        <v>633522.57999999996</v>
      </c>
      <c r="D93" s="103">
        <v>514477.42</v>
      </c>
      <c r="E93" s="103">
        <v>0</v>
      </c>
      <c r="F93" s="103">
        <v>514477.42</v>
      </c>
      <c r="G93" s="115">
        <f t="shared" si="2"/>
        <v>5.5457802858273906E-3</v>
      </c>
    </row>
    <row r="94" spans="1:7" ht="15.4" x14ac:dyDescent="0.45">
      <c r="A94" s="85" t="s">
        <v>89</v>
      </c>
      <c r="B94" s="103">
        <v>112030</v>
      </c>
      <c r="C94" s="103">
        <v>52871.6</v>
      </c>
      <c r="D94" s="103">
        <v>59158.400000000001</v>
      </c>
      <c r="E94" s="103">
        <v>0</v>
      </c>
      <c r="F94" s="103">
        <v>59158.400000000001</v>
      </c>
      <c r="G94" s="115">
        <f t="shared" si="2"/>
        <v>5.4119665977460157E-4</v>
      </c>
    </row>
    <row r="95" spans="1:7" ht="15.4" x14ac:dyDescent="0.45">
      <c r="A95" s="85" t="s">
        <v>144</v>
      </c>
      <c r="B95" s="103"/>
      <c r="C95" s="103"/>
      <c r="D95" s="103"/>
      <c r="E95" s="103"/>
      <c r="F95" s="103"/>
      <c r="G95" s="115">
        <f t="shared" si="2"/>
        <v>0</v>
      </c>
    </row>
    <row r="96" spans="1:7" ht="15.4" x14ac:dyDescent="0.45">
      <c r="A96" s="85" t="s">
        <v>90</v>
      </c>
      <c r="B96" s="103">
        <v>1764734</v>
      </c>
      <c r="C96" s="103">
        <v>1085874</v>
      </c>
      <c r="D96" s="103">
        <v>678860</v>
      </c>
      <c r="E96" s="103">
        <v>0</v>
      </c>
      <c r="F96" s="103">
        <v>678860</v>
      </c>
      <c r="G96" s="115">
        <f t="shared" si="2"/>
        <v>8.5251106506352911E-3</v>
      </c>
    </row>
    <row r="97" spans="1:7" ht="15.4" x14ac:dyDescent="0.45">
      <c r="A97" s="85" t="s">
        <v>91</v>
      </c>
      <c r="B97" s="103">
        <v>7814000</v>
      </c>
      <c r="C97" s="103">
        <v>5587282</v>
      </c>
      <c r="D97" s="103">
        <v>2226718</v>
      </c>
      <c r="E97" s="103">
        <v>48540</v>
      </c>
      <c r="F97" s="103">
        <v>1665378</v>
      </c>
      <c r="G97" s="115">
        <f t="shared" si="2"/>
        <v>3.7748020168515008E-2</v>
      </c>
    </row>
    <row r="98" spans="1:7" ht="15.4" x14ac:dyDescent="0.45">
      <c r="A98" s="85" t="s">
        <v>92</v>
      </c>
      <c r="B98" s="103">
        <v>13266</v>
      </c>
      <c r="C98" s="103">
        <v>11352</v>
      </c>
      <c r="D98" s="103">
        <v>1914</v>
      </c>
      <c r="E98" s="103">
        <v>0</v>
      </c>
      <c r="F98" s="103">
        <v>1914</v>
      </c>
      <c r="G98" s="115">
        <f t="shared" si="2"/>
        <v>6.4085645707130797E-5</v>
      </c>
    </row>
    <row r="99" spans="1:7" ht="15.4" x14ac:dyDescent="0.45">
      <c r="A99" s="85" t="s">
        <v>93</v>
      </c>
      <c r="B99" s="103">
        <v>205544</v>
      </c>
      <c r="C99" s="103">
        <v>170929</v>
      </c>
      <c r="D99" s="103">
        <v>34615</v>
      </c>
      <c r="E99" s="103">
        <v>378818</v>
      </c>
      <c r="F99" s="103">
        <v>413433</v>
      </c>
      <c r="G99" s="115">
        <f t="shared" ref="G99:G120" si="3">B99/$B$122</f>
        <v>9.929458737544469E-4</v>
      </c>
    </row>
    <row r="100" spans="1:7" ht="15.4" x14ac:dyDescent="0.45">
      <c r="A100" s="85" t="s">
        <v>113</v>
      </c>
      <c r="B100" s="103"/>
      <c r="C100" s="103"/>
      <c r="D100" s="103"/>
      <c r="E100" s="103"/>
      <c r="F100" s="103"/>
      <c r="G100" s="115">
        <f t="shared" si="3"/>
        <v>0</v>
      </c>
    </row>
    <row r="101" spans="1:7" ht="15.4" x14ac:dyDescent="0.45">
      <c r="A101" s="85" t="s">
        <v>94</v>
      </c>
      <c r="B101" s="103">
        <v>1473913</v>
      </c>
      <c r="C101" s="103">
        <v>1229832</v>
      </c>
      <c r="D101" s="103">
        <v>244081</v>
      </c>
      <c r="E101" s="103">
        <v>156992</v>
      </c>
      <c r="F101" s="103">
        <v>388520</v>
      </c>
      <c r="G101" s="115">
        <f t="shared" si="3"/>
        <v>7.1202070195337166E-3</v>
      </c>
    </row>
    <row r="102" spans="1:7" ht="15.4" x14ac:dyDescent="0.45">
      <c r="A102" s="85" t="s">
        <v>155</v>
      </c>
      <c r="B102" s="103">
        <v>28396</v>
      </c>
      <c r="C102" s="103">
        <v>174258</v>
      </c>
      <c r="D102" s="103">
        <v>-145862</v>
      </c>
      <c r="E102" s="103">
        <v>0</v>
      </c>
      <c r="F102" s="103">
        <v>-145862</v>
      </c>
      <c r="G102" s="115">
        <f t="shared" si="3"/>
        <v>1.3717593815013466E-4</v>
      </c>
    </row>
    <row r="103" spans="1:7" ht="15.4" x14ac:dyDescent="0.45">
      <c r="A103" s="85" t="s">
        <v>114</v>
      </c>
      <c r="B103" s="103">
        <v>3088948</v>
      </c>
      <c r="C103" s="103">
        <v>1396778.67</v>
      </c>
      <c r="D103" s="103">
        <v>1692169.33</v>
      </c>
      <c r="E103" s="103">
        <v>425703</v>
      </c>
      <c r="F103" s="103">
        <v>1588404.33</v>
      </c>
      <c r="G103" s="115">
        <f t="shared" si="3"/>
        <v>1.4922148887060928E-2</v>
      </c>
    </row>
    <row r="104" spans="1:7" ht="15.4" x14ac:dyDescent="0.45">
      <c r="A104" s="85" t="s">
        <v>95</v>
      </c>
      <c r="B104" s="103">
        <v>163156</v>
      </c>
      <c r="C104" s="103">
        <v>72218.22</v>
      </c>
      <c r="D104" s="103">
        <v>90937.78</v>
      </c>
      <c r="E104" s="103">
        <v>0</v>
      </c>
      <c r="F104" s="103">
        <v>90937.78</v>
      </c>
      <c r="G104" s="115">
        <f t="shared" si="3"/>
        <v>7.8817711525649276E-4</v>
      </c>
    </row>
    <row r="105" spans="1:7" ht="15.4" x14ac:dyDescent="0.45">
      <c r="A105" s="85" t="s">
        <v>96</v>
      </c>
      <c r="B105" s="103">
        <v>344145</v>
      </c>
      <c r="C105" s="103">
        <v>313291.12</v>
      </c>
      <c r="D105" s="103">
        <v>30853.88</v>
      </c>
      <c r="E105" s="103">
        <v>0</v>
      </c>
      <c r="F105" s="103">
        <v>30853.89</v>
      </c>
      <c r="G105" s="115">
        <f t="shared" si="3"/>
        <v>1.6625022268868181E-3</v>
      </c>
    </row>
    <row r="106" spans="1:7" ht="15.4" x14ac:dyDescent="0.45">
      <c r="A106" s="85" t="s">
        <v>145</v>
      </c>
      <c r="B106" s="103">
        <v>487610</v>
      </c>
      <c r="C106" s="103">
        <v>445750</v>
      </c>
      <c r="D106" s="103">
        <v>41860</v>
      </c>
      <c r="E106" s="103">
        <v>66560</v>
      </c>
      <c r="F106" s="103">
        <v>108420</v>
      </c>
      <c r="G106" s="115">
        <f t="shared" si="3"/>
        <v>2.3555556839479912E-3</v>
      </c>
    </row>
    <row r="107" spans="1:7" ht="15.4" x14ac:dyDescent="0.45">
      <c r="A107" s="85" t="s">
        <v>97</v>
      </c>
      <c r="B107" s="103">
        <v>245648</v>
      </c>
      <c r="C107" s="103">
        <v>110695</v>
      </c>
      <c r="D107" s="103">
        <v>134953</v>
      </c>
      <c r="E107" s="103">
        <v>0</v>
      </c>
      <c r="F107" s="103">
        <v>134953</v>
      </c>
      <c r="G107" s="115">
        <f t="shared" si="3"/>
        <v>1.186681041509518E-3</v>
      </c>
    </row>
    <row r="108" spans="1:7" ht="15.4" x14ac:dyDescent="0.45">
      <c r="A108" s="85" t="s">
        <v>98</v>
      </c>
      <c r="B108" s="103">
        <v>3306340</v>
      </c>
      <c r="C108" s="103">
        <v>2225351</v>
      </c>
      <c r="D108" s="103">
        <v>1080989</v>
      </c>
      <c r="E108" s="103">
        <v>50102</v>
      </c>
      <c r="F108" s="103">
        <v>841008</v>
      </c>
      <c r="G108" s="115">
        <f t="shared" si="3"/>
        <v>1.5972330305089315E-2</v>
      </c>
    </row>
    <row r="109" spans="1:7" ht="15.4" x14ac:dyDescent="0.45">
      <c r="A109" s="85" t="s">
        <v>99</v>
      </c>
      <c r="B109" s="103">
        <v>421742</v>
      </c>
      <c r="C109" s="103">
        <v>282828.48</v>
      </c>
      <c r="D109" s="103">
        <v>138913.51999999999</v>
      </c>
      <c r="E109" s="103">
        <v>40979.129999999997</v>
      </c>
      <c r="F109" s="103">
        <v>134919.49</v>
      </c>
      <c r="G109" s="115">
        <f t="shared" si="3"/>
        <v>2.037359293820048E-3</v>
      </c>
    </row>
    <row r="110" spans="1:7" ht="15.4" x14ac:dyDescent="0.45">
      <c r="A110" s="85" t="s">
        <v>100</v>
      </c>
      <c r="B110" s="103">
        <v>3485615</v>
      </c>
      <c r="C110" s="103">
        <v>2442678.25</v>
      </c>
      <c r="D110" s="103">
        <v>1042936.75</v>
      </c>
      <c r="E110" s="103">
        <v>52843.35</v>
      </c>
      <c r="F110" s="103">
        <v>1095780.1000000001</v>
      </c>
      <c r="G110" s="115">
        <f t="shared" si="3"/>
        <v>1.6838375392843413E-2</v>
      </c>
    </row>
    <row r="111" spans="1:7" ht="15.4" x14ac:dyDescent="0.45">
      <c r="A111" s="85" t="s">
        <v>101</v>
      </c>
      <c r="B111" s="103">
        <v>39539</v>
      </c>
      <c r="C111" s="103">
        <v>38359</v>
      </c>
      <c r="D111" s="103">
        <v>1180</v>
      </c>
      <c r="E111" s="103">
        <v>0</v>
      </c>
      <c r="F111" s="103">
        <v>1180</v>
      </c>
      <c r="G111" s="115">
        <f t="shared" si="3"/>
        <v>1.9100575498373623E-4</v>
      </c>
    </row>
    <row r="112" spans="1:7" ht="15.4" x14ac:dyDescent="0.45">
      <c r="A112" s="85" t="s">
        <v>102</v>
      </c>
      <c r="B112" s="103"/>
      <c r="C112" s="103"/>
      <c r="D112" s="103"/>
      <c r="E112" s="103"/>
      <c r="F112" s="103"/>
      <c r="G112" s="115">
        <f t="shared" si="3"/>
        <v>0</v>
      </c>
    </row>
    <row r="113" spans="1:7" ht="15.4" x14ac:dyDescent="0.45">
      <c r="A113" s="85" t="s">
        <v>156</v>
      </c>
      <c r="B113" s="103">
        <v>78631</v>
      </c>
      <c r="C113" s="103">
        <v>75775</v>
      </c>
      <c r="D113" s="103">
        <v>2856</v>
      </c>
      <c r="E113" s="103">
        <v>0</v>
      </c>
      <c r="F113" s="103">
        <v>2856</v>
      </c>
      <c r="G113" s="115">
        <f t="shared" si="3"/>
        <v>3.7985213384572608E-4</v>
      </c>
    </row>
    <row r="114" spans="1:7" ht="15.4" x14ac:dyDescent="0.45">
      <c r="A114" s="85" t="s">
        <v>157</v>
      </c>
      <c r="B114" s="103">
        <v>1047695</v>
      </c>
      <c r="C114" s="103">
        <v>371530.62</v>
      </c>
      <c r="D114" s="103">
        <v>676164.38</v>
      </c>
      <c r="E114" s="103">
        <v>0</v>
      </c>
      <c r="F114" s="103">
        <v>676164.38</v>
      </c>
      <c r="G114" s="115">
        <f t="shared" si="3"/>
        <v>5.0612249795818189E-3</v>
      </c>
    </row>
    <row r="115" spans="1:7" ht="15.4" x14ac:dyDescent="0.45">
      <c r="A115" s="85" t="s">
        <v>103</v>
      </c>
      <c r="B115" s="103">
        <v>1624006</v>
      </c>
      <c r="C115" s="103">
        <v>1219172.29</v>
      </c>
      <c r="D115" s="103">
        <v>404833.71</v>
      </c>
      <c r="E115" s="103">
        <v>23355.32</v>
      </c>
      <c r="F115" s="103">
        <v>428189.03</v>
      </c>
      <c r="G115" s="115">
        <f t="shared" si="3"/>
        <v>7.8452791453531324E-3</v>
      </c>
    </row>
    <row r="116" spans="1:7" ht="15.4" x14ac:dyDescent="0.45">
      <c r="A116" s="85" t="s">
        <v>104</v>
      </c>
      <c r="B116" s="103">
        <v>1217270</v>
      </c>
      <c r="C116" s="103">
        <v>1152728.55</v>
      </c>
      <c r="D116" s="103">
        <v>64541.45</v>
      </c>
      <c r="E116" s="103">
        <v>-25300.75</v>
      </c>
      <c r="F116" s="103">
        <v>2300.6999999999998</v>
      </c>
      <c r="G116" s="115">
        <f t="shared" si="3"/>
        <v>5.8804111224121146E-3</v>
      </c>
    </row>
    <row r="117" spans="1:7" ht="15.4" x14ac:dyDescent="0.45">
      <c r="A117" s="85" t="s">
        <v>105</v>
      </c>
      <c r="B117" s="103">
        <v>525721</v>
      </c>
      <c r="C117" s="103">
        <v>523415.52</v>
      </c>
      <c r="D117" s="103">
        <v>2305.48</v>
      </c>
      <c r="E117" s="103">
        <v>0</v>
      </c>
      <c r="F117" s="103">
        <v>-28972.02</v>
      </c>
      <c r="G117" s="115">
        <f t="shared" si="3"/>
        <v>2.5396630293078931E-3</v>
      </c>
    </row>
    <row r="118" spans="1:7" ht="15.4" x14ac:dyDescent="0.45">
      <c r="A118" s="85" t="s">
        <v>106</v>
      </c>
      <c r="B118" s="103">
        <v>19199036</v>
      </c>
      <c r="C118" s="103">
        <v>4204393.1399999997</v>
      </c>
      <c r="D118" s="103">
        <v>14994642.859999999</v>
      </c>
      <c r="E118" s="103">
        <v>6128266</v>
      </c>
      <c r="F118" s="103">
        <v>16055071.859999999</v>
      </c>
      <c r="G118" s="115">
        <f t="shared" si="3"/>
        <v>9.2747069125165824E-2</v>
      </c>
    </row>
    <row r="119" spans="1:7" ht="15.4" x14ac:dyDescent="0.45">
      <c r="A119" s="85" t="s">
        <v>146</v>
      </c>
      <c r="B119" s="103">
        <v>361288</v>
      </c>
      <c r="C119" s="103">
        <v>169406.21</v>
      </c>
      <c r="D119" s="103">
        <v>191881.79</v>
      </c>
      <c r="E119" s="103">
        <v>16676.53</v>
      </c>
      <c r="F119" s="103">
        <v>155869.15</v>
      </c>
      <c r="G119" s="115">
        <f t="shared" si="3"/>
        <v>1.7453169581062773E-3</v>
      </c>
    </row>
    <row r="120" spans="1:7" ht="15.4" x14ac:dyDescent="0.45">
      <c r="A120" s="85" t="s">
        <v>107</v>
      </c>
      <c r="B120" s="103">
        <v>836998</v>
      </c>
      <c r="C120" s="103">
        <v>910485.87</v>
      </c>
      <c r="D120" s="103">
        <v>-73487.87</v>
      </c>
      <c r="E120" s="103">
        <v>100254.21</v>
      </c>
      <c r="F120" s="103">
        <v>20074.759999999998</v>
      </c>
      <c r="G120" s="115">
        <f t="shared" si="3"/>
        <v>4.0433858951889846E-3</v>
      </c>
    </row>
    <row r="121" spans="1:7" ht="15.4" x14ac:dyDescent="0.45">
      <c r="A121" s="85"/>
      <c r="B121" s="103"/>
      <c r="C121" s="103"/>
      <c r="D121" s="103"/>
      <c r="E121" s="103"/>
      <c r="F121" s="103"/>
      <c r="G121" s="115"/>
    </row>
    <row r="122" spans="1:7" ht="15.4" x14ac:dyDescent="0.45">
      <c r="A122" s="116" t="s">
        <v>108</v>
      </c>
      <c r="B122" s="117">
        <f>SUM(B3:B121)</f>
        <v>207004234</v>
      </c>
      <c r="C122" s="117">
        <f>SUM(C3:C121)</f>
        <v>125271833.87</v>
      </c>
      <c r="D122" s="117">
        <f>SUM(D3:D121)</f>
        <v>81732400.13000001</v>
      </c>
      <c r="E122" s="117">
        <f>SUM(E3:E121)</f>
        <v>34252410.050000004</v>
      </c>
      <c r="F122" s="117">
        <f>SUM(F3:F121)</f>
        <v>91289594.140000001</v>
      </c>
      <c r="G122" s="118">
        <f t="shared" ref="G122" si="4">B122/$B$122</f>
        <v>1</v>
      </c>
    </row>
    <row r="123" spans="1:7" x14ac:dyDescent="0.35">
      <c r="C123" s="113" t="s">
        <v>163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r:id="rId1"/>
  <customProperties>
    <customPr name="LastActive" r:id="rId2"/>
  </customPropertie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26"/>
  <sheetViews>
    <sheetView topLeftCell="A117" workbookViewId="0">
      <selection activeCell="A42" sqref="A42"/>
    </sheetView>
  </sheetViews>
  <sheetFormatPr defaultRowHeight="12.75" x14ac:dyDescent="0.35"/>
  <cols>
    <col min="1" max="1" width="51.265625" bestFit="1" customWidth="1"/>
    <col min="2" max="2" width="16.3984375" customWidth="1"/>
    <col min="3" max="3" width="17.265625" customWidth="1"/>
    <col min="4" max="4" width="16.59765625" customWidth="1"/>
    <col min="5" max="5" width="19.73046875" customWidth="1"/>
    <col min="6" max="6" width="21" customWidth="1"/>
    <col min="7" max="7" width="14.1328125" customWidth="1"/>
  </cols>
  <sheetData>
    <row r="1" spans="1:7" ht="18" x14ac:dyDescent="0.55000000000000004">
      <c r="A1" s="172" t="s">
        <v>167</v>
      </c>
      <c r="B1" s="173"/>
      <c r="C1" s="173"/>
      <c r="D1" s="173"/>
      <c r="E1" s="173"/>
      <c r="F1" s="173"/>
      <c r="G1" s="173"/>
    </row>
    <row r="2" spans="1:7" ht="54" x14ac:dyDescent="0.55000000000000004">
      <c r="A2" s="70" t="s">
        <v>1</v>
      </c>
      <c r="B2" s="71" t="s">
        <v>2</v>
      </c>
      <c r="C2" s="71" t="s">
        <v>3</v>
      </c>
      <c r="D2" s="71" t="s">
        <v>4</v>
      </c>
      <c r="E2" s="71" t="s">
        <v>5</v>
      </c>
      <c r="F2" s="71" t="s">
        <v>6</v>
      </c>
      <c r="G2" s="71" t="s">
        <v>9</v>
      </c>
    </row>
    <row r="3" spans="1:7" ht="15" customHeight="1" x14ac:dyDescent="0.45">
      <c r="A3" s="85" t="s">
        <v>165</v>
      </c>
      <c r="B3" s="103">
        <v>326669</v>
      </c>
      <c r="C3" s="103">
        <v>138200</v>
      </c>
      <c r="D3" s="103">
        <v>188469</v>
      </c>
      <c r="E3" s="103">
        <v>0</v>
      </c>
      <c r="F3" s="103">
        <v>178609</v>
      </c>
      <c r="G3" s="115">
        <f t="shared" ref="G3:G34" si="0">B3/$B$124</f>
        <v>1.0528039164025948E-3</v>
      </c>
    </row>
    <row r="4" spans="1:7" ht="15" customHeight="1" x14ac:dyDescent="0.45">
      <c r="A4" s="85" t="s">
        <v>117</v>
      </c>
      <c r="B4" s="103">
        <v>268459</v>
      </c>
      <c r="C4" s="103">
        <v>245436.76</v>
      </c>
      <c r="D4" s="103">
        <v>23022.240000000002</v>
      </c>
      <c r="E4" s="103">
        <v>267603.31</v>
      </c>
      <c r="F4" s="103">
        <v>290625.55</v>
      </c>
      <c r="G4" s="115">
        <f t="shared" si="0"/>
        <v>8.6520204425128853E-4</v>
      </c>
    </row>
    <row r="5" spans="1:7" ht="15" customHeight="1" x14ac:dyDescent="0.45">
      <c r="A5" s="85" t="s">
        <v>10</v>
      </c>
      <c r="B5" s="103">
        <v>6346377</v>
      </c>
      <c r="C5" s="103">
        <v>3949023</v>
      </c>
      <c r="D5" s="103">
        <v>2397354</v>
      </c>
      <c r="E5" s="103">
        <v>0</v>
      </c>
      <c r="F5" s="103">
        <v>1771306</v>
      </c>
      <c r="G5" s="115">
        <f t="shared" si="0"/>
        <v>2.0453396436660196E-2</v>
      </c>
    </row>
    <row r="6" spans="1:7" ht="15" customHeight="1" x14ac:dyDescent="0.45">
      <c r="A6" s="85" t="s">
        <v>11</v>
      </c>
      <c r="B6" s="103">
        <v>98732</v>
      </c>
      <c r="C6" s="103">
        <v>69612</v>
      </c>
      <c r="D6" s="103">
        <v>29120</v>
      </c>
      <c r="E6" s="103">
        <v>0</v>
      </c>
      <c r="F6" s="103">
        <v>29120</v>
      </c>
      <c r="G6" s="115">
        <f t="shared" si="0"/>
        <v>3.1819804228212957E-4</v>
      </c>
    </row>
    <row r="7" spans="1:7" ht="15" customHeight="1" x14ac:dyDescent="0.45">
      <c r="A7" s="85" t="s">
        <v>162</v>
      </c>
      <c r="B7" s="103">
        <v>5158</v>
      </c>
      <c r="C7" s="103">
        <v>51009</v>
      </c>
      <c r="D7" s="103">
        <v>-45851</v>
      </c>
      <c r="E7" s="103">
        <v>0</v>
      </c>
      <c r="F7" s="103">
        <v>-45851</v>
      </c>
      <c r="G7" s="115">
        <f t="shared" si="0"/>
        <v>1.6623440243195967E-5</v>
      </c>
    </row>
    <row r="8" spans="1:7" ht="15" customHeight="1" x14ac:dyDescent="0.45">
      <c r="A8" s="85" t="s">
        <v>12</v>
      </c>
      <c r="B8" s="103">
        <v>1564350</v>
      </c>
      <c r="C8" s="103">
        <v>1566554.19</v>
      </c>
      <c r="D8" s="103">
        <v>-2204.19</v>
      </c>
      <c r="E8" s="103">
        <v>91401.21</v>
      </c>
      <c r="F8" s="103">
        <v>89197.02</v>
      </c>
      <c r="G8" s="115">
        <f t="shared" si="0"/>
        <v>5.041659314548975E-3</v>
      </c>
    </row>
    <row r="9" spans="1:7" ht="15" customHeight="1" x14ac:dyDescent="0.45">
      <c r="A9" s="85" t="s">
        <v>13</v>
      </c>
      <c r="B9" s="103">
        <v>855068</v>
      </c>
      <c r="C9" s="103">
        <v>753781</v>
      </c>
      <c r="D9" s="103">
        <v>101287</v>
      </c>
      <c r="E9" s="103">
        <v>139679</v>
      </c>
      <c r="F9" s="103">
        <v>180725</v>
      </c>
      <c r="G9" s="115">
        <f t="shared" si="0"/>
        <v>2.7557525788811728E-3</v>
      </c>
    </row>
    <row r="10" spans="1:7" ht="15" customHeight="1" x14ac:dyDescent="0.45">
      <c r="A10" s="85" t="s">
        <v>14</v>
      </c>
      <c r="B10" s="103">
        <v>1478249</v>
      </c>
      <c r="C10" s="103">
        <v>1214471.78</v>
      </c>
      <c r="D10" s="103">
        <v>263777.21999999997</v>
      </c>
      <c r="E10" s="103">
        <v>117189</v>
      </c>
      <c r="F10" s="103">
        <v>285724.21999999997</v>
      </c>
      <c r="G10" s="115">
        <f t="shared" si="0"/>
        <v>4.7641690415013947E-3</v>
      </c>
    </row>
    <row r="11" spans="1:7" ht="15" customHeight="1" x14ac:dyDescent="0.45">
      <c r="A11" s="85" t="s">
        <v>16</v>
      </c>
      <c r="B11" s="103">
        <v>3938327</v>
      </c>
      <c r="C11" s="103">
        <v>2377795.58</v>
      </c>
      <c r="D11" s="103">
        <v>1560531.42</v>
      </c>
      <c r="E11" s="103">
        <v>1062030.0900000001</v>
      </c>
      <c r="F11" s="103">
        <v>2246994.52</v>
      </c>
      <c r="G11" s="115">
        <f t="shared" si="0"/>
        <v>1.2692621857825756E-2</v>
      </c>
    </row>
    <row r="12" spans="1:7" ht="15" customHeight="1" x14ac:dyDescent="0.45">
      <c r="A12" s="85" t="s">
        <v>17</v>
      </c>
      <c r="B12" s="103">
        <v>905133</v>
      </c>
      <c r="C12" s="103">
        <v>690062.37</v>
      </c>
      <c r="D12" s="103">
        <v>215070.63</v>
      </c>
      <c r="E12" s="103">
        <v>9348</v>
      </c>
      <c r="F12" s="103">
        <v>224418.63</v>
      </c>
      <c r="G12" s="115">
        <f t="shared" si="0"/>
        <v>2.9171043694541867E-3</v>
      </c>
    </row>
    <row r="13" spans="1:7" ht="15" customHeight="1" x14ac:dyDescent="0.45">
      <c r="A13" s="85" t="s">
        <v>18</v>
      </c>
      <c r="B13" s="103"/>
      <c r="C13" s="103"/>
      <c r="D13" s="103"/>
      <c r="E13" s="103"/>
      <c r="F13" s="103"/>
      <c r="G13" s="115">
        <f t="shared" si="0"/>
        <v>0</v>
      </c>
    </row>
    <row r="14" spans="1:7" ht="15" customHeight="1" x14ac:dyDescent="0.45">
      <c r="A14" s="85" t="s">
        <v>19</v>
      </c>
      <c r="B14" s="103">
        <v>545163</v>
      </c>
      <c r="C14" s="103">
        <v>861452.41</v>
      </c>
      <c r="D14" s="103">
        <v>-316289.40999999997</v>
      </c>
      <c r="E14" s="103">
        <v>18000</v>
      </c>
      <c r="F14" s="103">
        <v>-298289.40999999997</v>
      </c>
      <c r="G14" s="115">
        <f t="shared" si="0"/>
        <v>1.7569764546920207E-3</v>
      </c>
    </row>
    <row r="15" spans="1:7" ht="15" customHeight="1" x14ac:dyDescent="0.45">
      <c r="A15" s="85" t="s">
        <v>20</v>
      </c>
      <c r="B15" s="103">
        <v>887837</v>
      </c>
      <c r="C15" s="103">
        <v>694302.77</v>
      </c>
      <c r="D15" s="103">
        <v>193534.23</v>
      </c>
      <c r="E15" s="103">
        <v>131568.12</v>
      </c>
      <c r="F15" s="103">
        <v>322507.5</v>
      </c>
      <c r="G15" s="115">
        <f t="shared" si="0"/>
        <v>2.8613620231094181E-3</v>
      </c>
    </row>
    <row r="16" spans="1:7" ht="15" customHeight="1" x14ac:dyDescent="0.45">
      <c r="A16" s="85" t="s">
        <v>21</v>
      </c>
      <c r="B16" s="103">
        <v>1130161</v>
      </c>
      <c r="C16" s="103">
        <v>682505.6</v>
      </c>
      <c r="D16" s="103">
        <v>447655.4</v>
      </c>
      <c r="E16" s="103">
        <v>18585.400000000001</v>
      </c>
      <c r="F16" s="103">
        <v>354764.23</v>
      </c>
      <c r="G16" s="115">
        <f t="shared" si="0"/>
        <v>3.6423349842362538E-3</v>
      </c>
    </row>
    <row r="17" spans="1:7" ht="15" customHeight="1" x14ac:dyDescent="0.45">
      <c r="A17" s="85" t="s">
        <v>134</v>
      </c>
      <c r="B17" s="103">
        <v>205151</v>
      </c>
      <c r="C17" s="103">
        <v>189766.38</v>
      </c>
      <c r="D17" s="103">
        <v>15384.62</v>
      </c>
      <c r="E17" s="103">
        <v>0</v>
      </c>
      <c r="F17" s="103">
        <v>6128.92</v>
      </c>
      <c r="G17" s="115">
        <f t="shared" si="0"/>
        <v>6.611701026234773E-4</v>
      </c>
    </row>
    <row r="18" spans="1:7" ht="15" customHeight="1" x14ac:dyDescent="0.45">
      <c r="A18" s="85" t="s">
        <v>22</v>
      </c>
      <c r="B18" s="103">
        <v>286678</v>
      </c>
      <c r="C18" s="103">
        <v>177750.1</v>
      </c>
      <c r="D18" s="103">
        <v>108927.9</v>
      </c>
      <c r="E18" s="103">
        <v>13802.4</v>
      </c>
      <c r="F18" s="103">
        <v>122730.3</v>
      </c>
      <c r="G18" s="115">
        <f t="shared" si="0"/>
        <v>9.2391907755698594E-4</v>
      </c>
    </row>
    <row r="19" spans="1:7" ht="15" customHeight="1" x14ac:dyDescent="0.45">
      <c r="A19" s="85" t="s">
        <v>135</v>
      </c>
      <c r="B19" s="103">
        <v>97786</v>
      </c>
      <c r="C19" s="103">
        <v>105486.75</v>
      </c>
      <c r="D19" s="103">
        <v>-7700.75</v>
      </c>
      <c r="E19" s="103">
        <v>77240.84</v>
      </c>
      <c r="F19" s="103">
        <v>69540.09</v>
      </c>
      <c r="G19" s="115">
        <f t="shared" si="0"/>
        <v>3.1514922986063609E-4</v>
      </c>
    </row>
    <row r="20" spans="1:7" ht="15" customHeight="1" x14ac:dyDescent="0.45">
      <c r="A20" s="85" t="s">
        <v>23</v>
      </c>
      <c r="B20" s="103">
        <v>965046</v>
      </c>
      <c r="C20" s="103">
        <v>823844.57</v>
      </c>
      <c r="D20" s="103">
        <v>141201.43</v>
      </c>
      <c r="E20" s="103">
        <v>239753</v>
      </c>
      <c r="F20" s="103">
        <v>380954.43</v>
      </c>
      <c r="G20" s="115">
        <f t="shared" si="0"/>
        <v>3.1101947485334034E-3</v>
      </c>
    </row>
    <row r="21" spans="1:7" ht="15" customHeight="1" x14ac:dyDescent="0.45">
      <c r="A21" s="85" t="s">
        <v>24</v>
      </c>
      <c r="B21" s="103">
        <v>14155024</v>
      </c>
      <c r="C21" s="103">
        <v>12032467.960000001</v>
      </c>
      <c r="D21" s="103">
        <v>2122556.04</v>
      </c>
      <c r="E21" s="103">
        <v>2870008.07</v>
      </c>
      <c r="F21" s="103">
        <v>2800711.24</v>
      </c>
      <c r="G21" s="115">
        <f t="shared" si="0"/>
        <v>4.5619464056805885E-2</v>
      </c>
    </row>
    <row r="22" spans="1:7" ht="15" customHeight="1" x14ac:dyDescent="0.45">
      <c r="A22" s="85" t="s">
        <v>136</v>
      </c>
      <c r="B22" s="103"/>
      <c r="C22" s="103"/>
      <c r="D22" s="103"/>
      <c r="E22" s="103"/>
      <c r="F22" s="103"/>
      <c r="G22" s="115">
        <f t="shared" si="0"/>
        <v>0</v>
      </c>
    </row>
    <row r="23" spans="1:7" ht="15" customHeight="1" x14ac:dyDescent="0.45">
      <c r="A23" s="85" t="s">
        <v>25</v>
      </c>
      <c r="B23" s="103">
        <v>590873</v>
      </c>
      <c r="C23" s="103">
        <v>449738.39</v>
      </c>
      <c r="D23" s="103">
        <v>141134.60999999999</v>
      </c>
      <c r="E23" s="103">
        <v>8111.48</v>
      </c>
      <c r="F23" s="103">
        <v>149246.09</v>
      </c>
      <c r="G23" s="115">
        <f t="shared" si="0"/>
        <v>1.9042927504493855E-3</v>
      </c>
    </row>
    <row r="24" spans="1:7" ht="15" customHeight="1" x14ac:dyDescent="0.45">
      <c r="A24" s="85" t="s">
        <v>26</v>
      </c>
      <c r="B24" s="103">
        <v>553734</v>
      </c>
      <c r="C24" s="103">
        <v>1165181.8600000001</v>
      </c>
      <c r="D24" s="103">
        <v>-611447.86</v>
      </c>
      <c r="E24" s="103">
        <v>64329</v>
      </c>
      <c r="F24" s="103">
        <v>-547118.86</v>
      </c>
      <c r="G24" s="115">
        <f t="shared" si="0"/>
        <v>1.7845994687138186E-3</v>
      </c>
    </row>
    <row r="25" spans="1:7" ht="15" customHeight="1" x14ac:dyDescent="0.45">
      <c r="A25" s="85" t="s">
        <v>27</v>
      </c>
      <c r="B25" s="103">
        <v>121058</v>
      </c>
      <c r="C25" s="103">
        <v>147066.41</v>
      </c>
      <c r="D25" s="103">
        <v>-26008.41</v>
      </c>
      <c r="E25" s="103">
        <v>75106.880000000005</v>
      </c>
      <c r="F25" s="103">
        <v>49098.47</v>
      </c>
      <c r="G25" s="115">
        <f t="shared" si="0"/>
        <v>3.9015130456782038E-4</v>
      </c>
    </row>
    <row r="26" spans="1:7" ht="15" customHeight="1" x14ac:dyDescent="0.45">
      <c r="A26" s="85" t="s">
        <v>118</v>
      </c>
      <c r="B26" s="103">
        <v>585627</v>
      </c>
      <c r="C26" s="103">
        <v>365655.12</v>
      </c>
      <c r="D26" s="103">
        <v>219971.88</v>
      </c>
      <c r="E26" s="103">
        <v>0</v>
      </c>
      <c r="F26" s="103">
        <v>219971.88</v>
      </c>
      <c r="G26" s="115">
        <f t="shared" si="0"/>
        <v>1.8873856997483763E-3</v>
      </c>
    </row>
    <row r="27" spans="1:7" ht="15" customHeight="1" x14ac:dyDescent="0.45">
      <c r="A27" s="85" t="s">
        <v>28</v>
      </c>
      <c r="B27" s="103">
        <v>4205718</v>
      </c>
      <c r="C27" s="103">
        <v>1403580</v>
      </c>
      <c r="D27" s="103">
        <v>2802138</v>
      </c>
      <c r="E27" s="103">
        <v>0</v>
      </c>
      <c r="F27" s="103">
        <v>2802138</v>
      </c>
      <c r="G27" s="115">
        <f t="shared" si="0"/>
        <v>1.3554381902429946E-2</v>
      </c>
    </row>
    <row r="28" spans="1:7" ht="15" customHeight="1" x14ac:dyDescent="0.45">
      <c r="A28" s="85" t="s">
        <v>8</v>
      </c>
      <c r="B28" s="103">
        <v>89162</v>
      </c>
      <c r="C28" s="103">
        <v>154710</v>
      </c>
      <c r="D28" s="103">
        <v>-65548</v>
      </c>
      <c r="E28" s="103">
        <v>0</v>
      </c>
      <c r="F28" s="103">
        <v>-65548</v>
      </c>
      <c r="G28" s="115">
        <f t="shared" si="0"/>
        <v>2.8735540499492804E-4</v>
      </c>
    </row>
    <row r="29" spans="1:7" ht="15" customHeight="1" x14ac:dyDescent="0.45">
      <c r="A29" s="85" t="s">
        <v>29</v>
      </c>
      <c r="B29" s="103">
        <v>3395203</v>
      </c>
      <c r="C29" s="103">
        <v>3147390.21</v>
      </c>
      <c r="D29" s="103">
        <v>247812.79</v>
      </c>
      <c r="E29" s="103">
        <v>22500</v>
      </c>
      <c r="F29" s="103">
        <v>232783.79</v>
      </c>
      <c r="G29" s="115">
        <f t="shared" si="0"/>
        <v>1.0942216786355114E-2</v>
      </c>
    </row>
    <row r="30" spans="1:7" ht="15" customHeight="1" x14ac:dyDescent="0.45">
      <c r="A30" s="85" t="s">
        <v>30</v>
      </c>
      <c r="B30" s="103">
        <v>560428</v>
      </c>
      <c r="C30" s="103">
        <v>546730</v>
      </c>
      <c r="D30" s="103">
        <v>13698</v>
      </c>
      <c r="E30" s="103">
        <v>0</v>
      </c>
      <c r="F30" s="103">
        <v>10273</v>
      </c>
      <c r="G30" s="115">
        <f t="shared" si="0"/>
        <v>1.8061732005843021E-3</v>
      </c>
    </row>
    <row r="31" spans="1:7" ht="15" customHeight="1" x14ac:dyDescent="0.45">
      <c r="A31" s="85" t="s">
        <v>31</v>
      </c>
      <c r="B31" s="103">
        <v>569386</v>
      </c>
      <c r="C31" s="103">
        <v>538929.21</v>
      </c>
      <c r="D31" s="103">
        <v>30456.79</v>
      </c>
      <c r="E31" s="103">
        <v>0</v>
      </c>
      <c r="F31" s="103">
        <v>30456.79</v>
      </c>
      <c r="G31" s="115">
        <f t="shared" si="0"/>
        <v>1.8350434560512562E-3</v>
      </c>
    </row>
    <row r="32" spans="1:7" ht="15" customHeight="1" x14ac:dyDescent="0.45">
      <c r="A32" s="85" t="s">
        <v>32</v>
      </c>
      <c r="B32" s="103">
        <v>55991</v>
      </c>
      <c r="C32" s="103">
        <v>184792</v>
      </c>
      <c r="D32" s="103">
        <v>-128801</v>
      </c>
      <c r="E32" s="103">
        <v>6176</v>
      </c>
      <c r="F32" s="103">
        <v>-122625</v>
      </c>
      <c r="G32" s="115">
        <f t="shared" si="0"/>
        <v>1.8045037662985371E-4</v>
      </c>
    </row>
    <row r="33" spans="1:7" ht="15" customHeight="1" x14ac:dyDescent="0.45">
      <c r="A33" s="85" t="s">
        <v>33</v>
      </c>
      <c r="B33" s="103">
        <v>93069</v>
      </c>
      <c r="C33" s="103">
        <v>73692.84</v>
      </c>
      <c r="D33" s="103">
        <v>19376.16</v>
      </c>
      <c r="E33" s="103">
        <v>0</v>
      </c>
      <c r="F33" s="103">
        <v>19376.16</v>
      </c>
      <c r="G33" s="115">
        <f t="shared" si="0"/>
        <v>2.9994706475261837E-4</v>
      </c>
    </row>
    <row r="34" spans="1:7" ht="15" customHeight="1" x14ac:dyDescent="0.45">
      <c r="A34" s="85" t="s">
        <v>34</v>
      </c>
      <c r="B34" s="103">
        <v>50521</v>
      </c>
      <c r="C34" s="103">
        <v>27812.62</v>
      </c>
      <c r="D34" s="103">
        <v>22708.38</v>
      </c>
      <c r="E34" s="103">
        <v>0</v>
      </c>
      <c r="F34" s="103">
        <v>22708.38</v>
      </c>
      <c r="G34" s="115">
        <f t="shared" si="0"/>
        <v>1.6282140839986496E-4</v>
      </c>
    </row>
    <row r="35" spans="1:7" ht="15" customHeight="1" x14ac:dyDescent="0.45">
      <c r="A35" s="85" t="s">
        <v>35</v>
      </c>
      <c r="B35" s="103"/>
      <c r="C35" s="103"/>
      <c r="D35" s="103"/>
      <c r="E35" s="103"/>
      <c r="F35" s="103"/>
      <c r="G35" s="115">
        <f t="shared" ref="G35:G66" si="1">B35/$B$124</f>
        <v>0</v>
      </c>
    </row>
    <row r="36" spans="1:7" ht="15" customHeight="1" x14ac:dyDescent="0.45">
      <c r="A36" s="85" t="s">
        <v>36</v>
      </c>
      <c r="B36" s="103">
        <v>1542590</v>
      </c>
      <c r="C36" s="103">
        <v>1173961</v>
      </c>
      <c r="D36" s="103">
        <v>368629</v>
      </c>
      <c r="E36" s="103">
        <v>245</v>
      </c>
      <c r="F36" s="103">
        <v>368874</v>
      </c>
      <c r="G36" s="115">
        <f t="shared" si="1"/>
        <v>4.971530183162402E-3</v>
      </c>
    </row>
    <row r="37" spans="1:7" ht="15" customHeight="1" x14ac:dyDescent="0.45">
      <c r="A37" s="85" t="s">
        <v>37</v>
      </c>
      <c r="B37" s="103">
        <v>236856</v>
      </c>
      <c r="C37" s="103">
        <v>189725.5</v>
      </c>
      <c r="D37" s="103">
        <v>47130.5</v>
      </c>
      <c r="E37" s="103">
        <v>0</v>
      </c>
      <c r="F37" s="103">
        <v>47130.5</v>
      </c>
      <c r="G37" s="115">
        <f t="shared" si="1"/>
        <v>7.6335043858907021E-4</v>
      </c>
    </row>
    <row r="38" spans="1:7" ht="15" customHeight="1" x14ac:dyDescent="0.45">
      <c r="A38" s="85" t="s">
        <v>168</v>
      </c>
      <c r="B38" s="103">
        <v>222</v>
      </c>
      <c r="C38" s="103">
        <v>32003</v>
      </c>
      <c r="D38" s="103">
        <v>-31781</v>
      </c>
      <c r="E38" s="103">
        <v>0</v>
      </c>
      <c r="F38" s="103">
        <v>-31781</v>
      </c>
      <c r="G38" s="115">
        <f t="shared" si="1"/>
        <v>7.1547183675639881E-7</v>
      </c>
    </row>
    <row r="39" spans="1:7" ht="15" customHeight="1" x14ac:dyDescent="0.45">
      <c r="A39" s="85" t="s">
        <v>38</v>
      </c>
      <c r="B39" s="103">
        <v>291304</v>
      </c>
      <c r="C39" s="103">
        <v>263375.59999999998</v>
      </c>
      <c r="D39" s="103">
        <v>27928.400000000001</v>
      </c>
      <c r="E39" s="103">
        <v>0</v>
      </c>
      <c r="F39" s="103">
        <v>22724.400000000001</v>
      </c>
      <c r="G39" s="115">
        <f t="shared" si="1"/>
        <v>9.388279636688558E-4</v>
      </c>
    </row>
    <row r="40" spans="1:7" ht="15" customHeight="1" x14ac:dyDescent="0.45">
      <c r="A40" s="85" t="s">
        <v>39</v>
      </c>
      <c r="B40" s="103">
        <v>36723963</v>
      </c>
      <c r="C40" s="103">
        <v>23826742</v>
      </c>
      <c r="D40" s="103">
        <v>12897221</v>
      </c>
      <c r="E40" s="103">
        <v>2741722</v>
      </c>
      <c r="F40" s="103">
        <v>10717909</v>
      </c>
      <c r="G40" s="115">
        <f t="shared" si="1"/>
        <v>0.11835568135398211</v>
      </c>
    </row>
    <row r="41" spans="1:7" ht="15" customHeight="1" x14ac:dyDescent="0.45">
      <c r="A41" s="85" t="s">
        <v>40</v>
      </c>
      <c r="B41" s="103">
        <v>362045</v>
      </c>
      <c r="C41" s="103">
        <v>230177.64</v>
      </c>
      <c r="D41" s="103">
        <v>131867.35999999999</v>
      </c>
      <c r="E41" s="103">
        <v>-6293</v>
      </c>
      <c r="F41" s="103">
        <v>125574.36</v>
      </c>
      <c r="G41" s="115">
        <f t="shared" si="1"/>
        <v>1.1668153204435602E-3</v>
      </c>
    </row>
    <row r="42" spans="1:7" ht="15" customHeight="1" x14ac:dyDescent="0.45">
      <c r="A42" s="85" t="s">
        <v>41</v>
      </c>
      <c r="B42" s="103"/>
      <c r="C42" s="103"/>
      <c r="D42" s="103"/>
      <c r="E42" s="103"/>
      <c r="F42" s="103"/>
      <c r="G42" s="115">
        <f t="shared" si="1"/>
        <v>0</v>
      </c>
    </row>
    <row r="43" spans="1:7" ht="15" customHeight="1" x14ac:dyDescent="0.45">
      <c r="A43" s="85" t="s">
        <v>121</v>
      </c>
      <c r="B43" s="103">
        <v>4011680</v>
      </c>
      <c r="C43" s="103">
        <v>3561459.41</v>
      </c>
      <c r="D43" s="103">
        <v>450220.59</v>
      </c>
      <c r="E43" s="103">
        <v>196475</v>
      </c>
      <c r="F43" s="103">
        <v>468853.59</v>
      </c>
      <c r="G43" s="115">
        <f t="shared" si="1"/>
        <v>1.2929027288643738E-2</v>
      </c>
    </row>
    <row r="44" spans="1:7" ht="15" customHeight="1" x14ac:dyDescent="0.45">
      <c r="A44" s="85" t="s">
        <v>43</v>
      </c>
      <c r="B44" s="103">
        <v>3728619</v>
      </c>
      <c r="C44" s="103">
        <v>3183809.03</v>
      </c>
      <c r="D44" s="103">
        <v>544809.97</v>
      </c>
      <c r="E44" s="103">
        <v>77088.820000000007</v>
      </c>
      <c r="F44" s="103">
        <v>466424.09</v>
      </c>
      <c r="G44" s="115">
        <f t="shared" si="1"/>
        <v>1.2016765245472103E-2</v>
      </c>
    </row>
    <row r="45" spans="1:7" ht="15" customHeight="1" x14ac:dyDescent="0.45">
      <c r="A45" s="85" t="s">
        <v>44</v>
      </c>
      <c r="B45" s="103">
        <v>215663</v>
      </c>
      <c r="C45" s="103">
        <v>288821.38</v>
      </c>
      <c r="D45" s="103">
        <v>-73158.38</v>
      </c>
      <c r="E45" s="103">
        <v>0</v>
      </c>
      <c r="F45" s="103">
        <v>-73158.38</v>
      </c>
      <c r="G45" s="115">
        <f t="shared" si="1"/>
        <v>6.9504866094772621E-4</v>
      </c>
    </row>
    <row r="46" spans="1:7" ht="15" customHeight="1" x14ac:dyDescent="0.45">
      <c r="A46" s="85" t="s">
        <v>137</v>
      </c>
      <c r="B46" s="103"/>
      <c r="C46" s="103"/>
      <c r="D46" s="103"/>
      <c r="E46" s="103"/>
      <c r="F46" s="103"/>
      <c r="G46" s="115">
        <f t="shared" si="1"/>
        <v>0</v>
      </c>
    </row>
    <row r="47" spans="1:7" ht="15" customHeight="1" x14ac:dyDescent="0.45">
      <c r="A47" s="85" t="s">
        <v>46</v>
      </c>
      <c r="B47" s="103">
        <v>2354164</v>
      </c>
      <c r="C47" s="103">
        <v>2038674.37</v>
      </c>
      <c r="D47" s="103">
        <v>315489.63</v>
      </c>
      <c r="E47" s="103">
        <v>47713.75</v>
      </c>
      <c r="F47" s="103">
        <v>309297.13</v>
      </c>
      <c r="G47" s="115">
        <f t="shared" si="1"/>
        <v>7.5871082932693276E-3</v>
      </c>
    </row>
    <row r="48" spans="1:7" ht="15" customHeight="1" x14ac:dyDescent="0.45">
      <c r="A48" s="85" t="s">
        <v>47</v>
      </c>
      <c r="B48" s="103">
        <v>40823</v>
      </c>
      <c r="C48" s="103">
        <v>45181.61</v>
      </c>
      <c r="D48" s="103">
        <v>-4358.6099999999997</v>
      </c>
      <c r="E48" s="103">
        <v>4600.0200000000004</v>
      </c>
      <c r="F48" s="103">
        <v>241.41</v>
      </c>
      <c r="G48" s="115">
        <f t="shared" si="1"/>
        <v>1.3156624681038949E-4</v>
      </c>
    </row>
    <row r="49" spans="1:7" ht="15" customHeight="1" x14ac:dyDescent="0.45">
      <c r="A49" s="85" t="s">
        <v>48</v>
      </c>
      <c r="B49" s="103">
        <v>198660</v>
      </c>
      <c r="C49" s="103">
        <v>166682</v>
      </c>
      <c r="D49" s="103">
        <v>31978</v>
      </c>
      <c r="E49" s="103">
        <v>101399</v>
      </c>
      <c r="F49" s="103">
        <v>133377</v>
      </c>
      <c r="G49" s="115">
        <f t="shared" si="1"/>
        <v>6.4025060851363139E-4</v>
      </c>
    </row>
    <row r="50" spans="1:7" ht="15" customHeight="1" x14ac:dyDescent="0.45">
      <c r="A50" s="85" t="s">
        <v>50</v>
      </c>
      <c r="B50" s="103">
        <v>1339435</v>
      </c>
      <c r="C50" s="103">
        <v>1061142</v>
      </c>
      <c r="D50" s="103">
        <v>278293</v>
      </c>
      <c r="E50" s="103">
        <v>74206</v>
      </c>
      <c r="F50" s="103">
        <v>269426</v>
      </c>
      <c r="G50" s="115">
        <f t="shared" si="1"/>
        <v>4.316792881377509E-3</v>
      </c>
    </row>
    <row r="51" spans="1:7" ht="15" customHeight="1" x14ac:dyDescent="0.45">
      <c r="A51" s="85" t="s">
        <v>123</v>
      </c>
      <c r="B51" s="103">
        <v>334644</v>
      </c>
      <c r="C51" s="103">
        <v>181280.12</v>
      </c>
      <c r="D51" s="103">
        <v>153363.88</v>
      </c>
      <c r="E51" s="103">
        <v>34445.01</v>
      </c>
      <c r="F51" s="103">
        <v>147819.92000000001</v>
      </c>
      <c r="G51" s="115">
        <f t="shared" si="1"/>
        <v>1.0785061141419293E-3</v>
      </c>
    </row>
    <row r="52" spans="1:7" ht="15" customHeight="1" x14ac:dyDescent="0.45">
      <c r="A52" s="85" t="s">
        <v>51</v>
      </c>
      <c r="B52" s="103">
        <v>157677</v>
      </c>
      <c r="C52" s="103">
        <v>298600.40999999997</v>
      </c>
      <c r="D52" s="103">
        <v>-140923.41</v>
      </c>
      <c r="E52" s="103">
        <v>0</v>
      </c>
      <c r="F52" s="103">
        <v>-140923.41</v>
      </c>
      <c r="G52" s="115">
        <f t="shared" si="1"/>
        <v>5.0816870632539946E-4</v>
      </c>
    </row>
    <row r="53" spans="1:7" ht="15" customHeight="1" x14ac:dyDescent="0.45">
      <c r="A53" s="85" t="s">
        <v>153</v>
      </c>
      <c r="B53" s="103">
        <v>1778953</v>
      </c>
      <c r="C53" s="103">
        <v>1276462.3500000001</v>
      </c>
      <c r="D53" s="103">
        <v>502490.65</v>
      </c>
      <c r="E53" s="103">
        <v>0</v>
      </c>
      <c r="F53" s="103">
        <v>502490.65</v>
      </c>
      <c r="G53" s="115">
        <f t="shared" si="1"/>
        <v>5.733291758618495E-3</v>
      </c>
    </row>
    <row r="54" spans="1:7" ht="15" customHeight="1" x14ac:dyDescent="0.45">
      <c r="A54" s="85" t="s">
        <v>138</v>
      </c>
      <c r="B54" s="103">
        <v>911328</v>
      </c>
      <c r="C54" s="103">
        <v>970373</v>
      </c>
      <c r="D54" s="103">
        <v>-59045</v>
      </c>
      <c r="E54" s="103">
        <v>2746</v>
      </c>
      <c r="F54" s="103">
        <v>-56299</v>
      </c>
      <c r="G54" s="115">
        <f t="shared" si="1"/>
        <v>2.9370699011150242E-3</v>
      </c>
    </row>
    <row r="55" spans="1:7" ht="15" customHeight="1" x14ac:dyDescent="0.45">
      <c r="A55" s="85" t="s">
        <v>52</v>
      </c>
      <c r="B55" s="103">
        <v>6408183</v>
      </c>
      <c r="C55" s="103">
        <v>5178639.97</v>
      </c>
      <c r="D55" s="103">
        <v>1229543.03</v>
      </c>
      <c r="E55" s="103">
        <v>268309.90000000002</v>
      </c>
      <c r="F55" s="103">
        <v>1123389.7</v>
      </c>
      <c r="G55" s="115">
        <f t="shared" si="1"/>
        <v>2.0652587663428514E-2</v>
      </c>
    </row>
    <row r="56" spans="1:7" ht="15" customHeight="1" x14ac:dyDescent="0.45">
      <c r="A56" s="85" t="s">
        <v>54</v>
      </c>
      <c r="B56" s="103">
        <v>787907</v>
      </c>
      <c r="C56" s="103">
        <v>538870</v>
      </c>
      <c r="D56" s="103">
        <v>249037</v>
      </c>
      <c r="E56" s="103">
        <v>438958</v>
      </c>
      <c r="F56" s="103">
        <v>687995</v>
      </c>
      <c r="G56" s="115">
        <f t="shared" si="1"/>
        <v>2.5393030111856931E-3</v>
      </c>
    </row>
    <row r="57" spans="1:7" ht="15" customHeight="1" x14ac:dyDescent="0.45">
      <c r="A57" s="85" t="s">
        <v>55</v>
      </c>
      <c r="B57" s="103">
        <v>499734</v>
      </c>
      <c r="C57" s="103">
        <v>249707.47</v>
      </c>
      <c r="D57" s="103">
        <v>250026.53</v>
      </c>
      <c r="E57" s="103">
        <v>0</v>
      </c>
      <c r="F57" s="103">
        <v>250026.53</v>
      </c>
      <c r="G57" s="115">
        <f t="shared" si="1"/>
        <v>1.6105657786919917E-3</v>
      </c>
    </row>
    <row r="58" spans="1:7" ht="15" customHeight="1" x14ac:dyDescent="0.45">
      <c r="A58" s="85" t="s">
        <v>56</v>
      </c>
      <c r="B58" s="103">
        <v>1075541</v>
      </c>
      <c r="C58" s="103">
        <v>932756</v>
      </c>
      <c r="D58" s="103">
        <v>142785</v>
      </c>
      <c r="E58" s="103">
        <v>0</v>
      </c>
      <c r="F58" s="103">
        <v>142785</v>
      </c>
      <c r="G58" s="115">
        <f t="shared" si="1"/>
        <v>3.4663031296252879E-3</v>
      </c>
    </row>
    <row r="59" spans="1:7" ht="15" customHeight="1" x14ac:dyDescent="0.45">
      <c r="A59" s="85" t="s">
        <v>57</v>
      </c>
      <c r="B59" s="103">
        <v>3863610</v>
      </c>
      <c r="C59" s="103">
        <v>3111337</v>
      </c>
      <c r="D59" s="103">
        <v>752273</v>
      </c>
      <c r="E59" s="103">
        <v>1358836</v>
      </c>
      <c r="F59" s="103">
        <v>1526866</v>
      </c>
      <c r="G59" s="115">
        <f t="shared" si="1"/>
        <v>1.2451820464911665E-2</v>
      </c>
    </row>
    <row r="60" spans="1:7" ht="15" customHeight="1" x14ac:dyDescent="0.45">
      <c r="A60" s="85" t="s">
        <v>58</v>
      </c>
      <c r="B60" s="103"/>
      <c r="C60" s="103"/>
      <c r="D60" s="103"/>
      <c r="E60" s="103"/>
      <c r="F60" s="103"/>
      <c r="G60" s="115">
        <f t="shared" si="1"/>
        <v>0</v>
      </c>
    </row>
    <row r="61" spans="1:7" ht="15" customHeight="1" x14ac:dyDescent="0.45">
      <c r="A61" s="85" t="s">
        <v>60</v>
      </c>
      <c r="B61" s="103">
        <v>5483587</v>
      </c>
      <c r="C61" s="103">
        <v>3374454.42</v>
      </c>
      <c r="D61" s="103">
        <v>2109132.58</v>
      </c>
      <c r="E61" s="103">
        <v>2421696</v>
      </c>
      <c r="F61" s="103">
        <v>4530828.58</v>
      </c>
      <c r="G61" s="115">
        <f t="shared" si="1"/>
        <v>1.7672757040105902E-2</v>
      </c>
    </row>
    <row r="62" spans="1:7" ht="15" customHeight="1" x14ac:dyDescent="0.45">
      <c r="A62" s="85" t="s">
        <v>61</v>
      </c>
      <c r="B62" s="103">
        <v>2357488</v>
      </c>
      <c r="C62" s="103">
        <v>844300.46</v>
      </c>
      <c r="D62" s="103">
        <v>1513187.54</v>
      </c>
      <c r="E62" s="103">
        <v>821689.23</v>
      </c>
      <c r="F62" s="103">
        <v>2334876.77</v>
      </c>
      <c r="G62" s="115">
        <f t="shared" si="1"/>
        <v>7.5978210337440044E-3</v>
      </c>
    </row>
    <row r="63" spans="1:7" ht="15" customHeight="1" x14ac:dyDescent="0.45">
      <c r="A63" s="85" t="s">
        <v>62</v>
      </c>
      <c r="B63" s="103">
        <v>441582</v>
      </c>
      <c r="C63" s="103">
        <v>350600</v>
      </c>
      <c r="D63" s="103">
        <v>90982</v>
      </c>
      <c r="E63" s="103">
        <v>0</v>
      </c>
      <c r="F63" s="103">
        <v>68237</v>
      </c>
      <c r="G63" s="115">
        <f t="shared" si="1"/>
        <v>1.4231508316151535E-3</v>
      </c>
    </row>
    <row r="64" spans="1:7" ht="15" customHeight="1" x14ac:dyDescent="0.45">
      <c r="A64" s="85" t="s">
        <v>63</v>
      </c>
      <c r="B64" s="103">
        <v>0</v>
      </c>
      <c r="C64" s="103">
        <v>0</v>
      </c>
      <c r="D64" s="103">
        <v>0</v>
      </c>
      <c r="E64" s="103">
        <v>0</v>
      </c>
      <c r="F64" s="103">
        <v>0</v>
      </c>
      <c r="G64" s="115">
        <f t="shared" si="1"/>
        <v>0</v>
      </c>
    </row>
    <row r="65" spans="1:7" ht="15" customHeight="1" x14ac:dyDescent="0.45">
      <c r="A65" s="85" t="s">
        <v>64</v>
      </c>
      <c r="B65" s="103">
        <v>411073</v>
      </c>
      <c r="C65" s="103">
        <v>230797.02</v>
      </c>
      <c r="D65" s="103">
        <v>180275.98</v>
      </c>
      <c r="E65" s="103">
        <v>126486.28</v>
      </c>
      <c r="F65" s="103">
        <v>232966.76</v>
      </c>
      <c r="G65" s="115">
        <f t="shared" si="1"/>
        <v>1.3248250195989329E-3</v>
      </c>
    </row>
    <row r="66" spans="1:7" ht="15" customHeight="1" x14ac:dyDescent="0.45">
      <c r="A66" s="85" t="s">
        <v>65</v>
      </c>
      <c r="B66" s="103">
        <v>48673042</v>
      </c>
      <c r="C66" s="103">
        <v>30277887.350000001</v>
      </c>
      <c r="D66" s="103">
        <v>18395154.649999999</v>
      </c>
      <c r="E66" s="103">
        <v>10150301.210000001</v>
      </c>
      <c r="F66" s="103">
        <v>21409091.890000001</v>
      </c>
      <c r="G66" s="115">
        <f t="shared" si="1"/>
        <v>0.15686572414532135</v>
      </c>
    </row>
    <row r="67" spans="1:7" ht="15" customHeight="1" x14ac:dyDescent="0.45">
      <c r="A67" s="85" t="s">
        <v>66</v>
      </c>
      <c r="B67" s="103">
        <v>16363735</v>
      </c>
      <c r="C67" s="103">
        <v>6829104.5700000003</v>
      </c>
      <c r="D67" s="103">
        <v>9534630.4299999997</v>
      </c>
      <c r="E67" s="103">
        <v>4115099</v>
      </c>
      <c r="F67" s="103">
        <v>9896054.4299999997</v>
      </c>
      <c r="G67" s="115">
        <f t="shared" ref="G67:G98" si="2">B67/$B$124</f>
        <v>5.2737799714616979E-2</v>
      </c>
    </row>
    <row r="68" spans="1:7" ht="15" customHeight="1" x14ac:dyDescent="0.45">
      <c r="A68" s="85" t="s">
        <v>67</v>
      </c>
      <c r="B68" s="103"/>
      <c r="C68" s="103"/>
      <c r="D68" s="103"/>
      <c r="E68" s="103"/>
      <c r="F68" s="103"/>
      <c r="G68" s="115">
        <f t="shared" si="2"/>
        <v>0</v>
      </c>
    </row>
    <row r="69" spans="1:7" ht="15" customHeight="1" x14ac:dyDescent="0.45">
      <c r="A69" s="85" t="s">
        <v>139</v>
      </c>
      <c r="B69" s="103">
        <v>691831</v>
      </c>
      <c r="C69" s="103">
        <v>440377.36</v>
      </c>
      <c r="D69" s="103">
        <v>251453.64</v>
      </c>
      <c r="E69" s="103">
        <v>188810.65</v>
      </c>
      <c r="F69" s="103">
        <v>322783.28999999998</v>
      </c>
      <c r="G69" s="115">
        <f t="shared" si="2"/>
        <v>2.2296648481757481E-3</v>
      </c>
    </row>
    <row r="70" spans="1:7" ht="15" customHeight="1" x14ac:dyDescent="0.45">
      <c r="A70" s="85" t="s">
        <v>68</v>
      </c>
      <c r="B70" s="103">
        <v>59025</v>
      </c>
      <c r="C70" s="103">
        <v>111091.78</v>
      </c>
      <c r="D70" s="103">
        <v>-52066.78</v>
      </c>
      <c r="E70" s="103">
        <v>13287.91</v>
      </c>
      <c r="F70" s="103">
        <v>-38778.870000000003</v>
      </c>
      <c r="G70" s="115">
        <f t="shared" si="2"/>
        <v>1.9022849173219115E-4</v>
      </c>
    </row>
    <row r="71" spans="1:7" ht="15" customHeight="1" x14ac:dyDescent="0.45">
      <c r="A71" s="85" t="s">
        <v>69</v>
      </c>
      <c r="B71" s="103"/>
      <c r="C71" s="103"/>
      <c r="D71" s="103"/>
      <c r="E71" s="103"/>
      <c r="F71" s="103"/>
      <c r="G71" s="115">
        <f t="shared" si="2"/>
        <v>0</v>
      </c>
    </row>
    <row r="72" spans="1:7" ht="15" customHeight="1" x14ac:dyDescent="0.45">
      <c r="A72" s="85" t="s">
        <v>141</v>
      </c>
      <c r="B72" s="103">
        <v>202324</v>
      </c>
      <c r="C72" s="103">
        <v>135996.1</v>
      </c>
      <c r="D72" s="103">
        <v>66327.899999999994</v>
      </c>
      <c r="E72" s="103">
        <v>0</v>
      </c>
      <c r="F72" s="103">
        <v>66327.899999999994</v>
      </c>
      <c r="G72" s="115">
        <f t="shared" si="2"/>
        <v>6.5205911666622353E-4</v>
      </c>
    </row>
    <row r="73" spans="1:7" ht="15" customHeight="1" x14ac:dyDescent="0.45">
      <c r="A73" s="85" t="s">
        <v>110</v>
      </c>
      <c r="B73" s="103">
        <v>229679</v>
      </c>
      <c r="C73" s="103">
        <v>277764.57</v>
      </c>
      <c r="D73" s="103">
        <v>-48085.57</v>
      </c>
      <c r="E73" s="103">
        <v>0</v>
      </c>
      <c r="F73" s="103">
        <v>-48085.57</v>
      </c>
      <c r="G73" s="115">
        <f t="shared" si="2"/>
        <v>7.402200720467248E-4</v>
      </c>
    </row>
    <row r="74" spans="1:7" ht="15" customHeight="1" x14ac:dyDescent="0.45">
      <c r="A74" s="85" t="s">
        <v>143</v>
      </c>
      <c r="B74" s="103">
        <v>7107158</v>
      </c>
      <c r="C74" s="103">
        <v>3914474</v>
      </c>
      <c r="D74" s="103">
        <v>3192684</v>
      </c>
      <c r="E74" s="103">
        <v>406485</v>
      </c>
      <c r="F74" s="103">
        <v>2699507</v>
      </c>
      <c r="G74" s="115">
        <f t="shared" si="2"/>
        <v>2.2905276524224926E-2</v>
      </c>
    </row>
    <row r="75" spans="1:7" ht="15" customHeight="1" x14ac:dyDescent="0.45">
      <c r="A75" s="85" t="s">
        <v>125</v>
      </c>
      <c r="B75" s="103">
        <v>32786</v>
      </c>
      <c r="C75" s="103">
        <v>36130.400000000001</v>
      </c>
      <c r="D75" s="103">
        <v>-3344.4</v>
      </c>
      <c r="E75" s="103">
        <v>0</v>
      </c>
      <c r="F75" s="103">
        <v>-3344.4</v>
      </c>
      <c r="G75" s="115">
        <f t="shared" si="2"/>
        <v>1.0566423261214094E-4</v>
      </c>
    </row>
    <row r="76" spans="1:7" ht="15" customHeight="1" x14ac:dyDescent="0.45">
      <c r="A76" s="85" t="s">
        <v>71</v>
      </c>
      <c r="B76" s="103">
        <v>660793</v>
      </c>
      <c r="C76" s="103">
        <v>268629.39</v>
      </c>
      <c r="D76" s="103">
        <v>392163.61</v>
      </c>
      <c r="E76" s="103">
        <v>0</v>
      </c>
      <c r="F76" s="103">
        <v>392163.61</v>
      </c>
      <c r="G76" s="115">
        <f t="shared" si="2"/>
        <v>2.1296341505665363E-3</v>
      </c>
    </row>
    <row r="77" spans="1:7" ht="15" customHeight="1" x14ac:dyDescent="0.45">
      <c r="A77" s="85" t="s">
        <v>72</v>
      </c>
      <c r="B77" s="103"/>
      <c r="C77" s="103"/>
      <c r="D77" s="103"/>
      <c r="E77" s="103"/>
      <c r="F77" s="103"/>
      <c r="G77" s="115">
        <f t="shared" si="2"/>
        <v>0</v>
      </c>
    </row>
    <row r="78" spans="1:7" ht="15" customHeight="1" x14ac:dyDescent="0.45">
      <c r="A78" s="85" t="s">
        <v>73</v>
      </c>
      <c r="B78" s="103">
        <v>157179</v>
      </c>
      <c r="C78" s="103">
        <v>146985.18</v>
      </c>
      <c r="D78" s="103">
        <v>10193.82</v>
      </c>
      <c r="E78" s="103">
        <v>0</v>
      </c>
      <c r="F78" s="103">
        <v>10193.83</v>
      </c>
      <c r="G78" s="115">
        <f t="shared" si="2"/>
        <v>5.0656372896186485E-4</v>
      </c>
    </row>
    <row r="79" spans="1:7" ht="15" customHeight="1" x14ac:dyDescent="0.45">
      <c r="A79" s="85" t="s">
        <v>126</v>
      </c>
      <c r="B79" s="103">
        <v>483934</v>
      </c>
      <c r="C79" s="103">
        <v>280744</v>
      </c>
      <c r="D79" s="103">
        <v>203190</v>
      </c>
      <c r="E79" s="103">
        <v>-395</v>
      </c>
      <c r="F79" s="103">
        <v>182232</v>
      </c>
      <c r="G79" s="115">
        <f t="shared" si="2"/>
        <v>1.5596448101300499E-3</v>
      </c>
    </row>
    <row r="80" spans="1:7" ht="15" customHeight="1" x14ac:dyDescent="0.45">
      <c r="A80" s="85" t="s">
        <v>75</v>
      </c>
      <c r="B80" s="103">
        <v>19120</v>
      </c>
      <c r="C80" s="103">
        <v>49560</v>
      </c>
      <c r="D80" s="103">
        <v>-30440</v>
      </c>
      <c r="E80" s="103">
        <v>0</v>
      </c>
      <c r="F80" s="103">
        <v>-30440</v>
      </c>
      <c r="G80" s="115">
        <f t="shared" si="2"/>
        <v>6.1620817652172717E-5</v>
      </c>
    </row>
    <row r="81" spans="1:7" ht="15" customHeight="1" x14ac:dyDescent="0.45">
      <c r="A81" s="85" t="s">
        <v>76</v>
      </c>
      <c r="B81" s="103">
        <v>110162</v>
      </c>
      <c r="C81" s="103">
        <v>105894.78</v>
      </c>
      <c r="D81" s="103">
        <v>4267.22</v>
      </c>
      <c r="E81" s="103">
        <v>0</v>
      </c>
      <c r="F81" s="103">
        <v>3200.35</v>
      </c>
      <c r="G81" s="115">
        <f t="shared" si="2"/>
        <v>3.5503517333674954E-4</v>
      </c>
    </row>
    <row r="82" spans="1:7" ht="15" customHeight="1" x14ac:dyDescent="0.45">
      <c r="A82" s="85" t="s">
        <v>127</v>
      </c>
      <c r="B82" s="103"/>
      <c r="C82" s="103"/>
      <c r="D82" s="103"/>
      <c r="E82" s="103"/>
      <c r="F82" s="103"/>
      <c r="G82" s="115">
        <f t="shared" si="2"/>
        <v>0</v>
      </c>
    </row>
    <row r="83" spans="1:7" ht="15" customHeight="1" x14ac:dyDescent="0.45">
      <c r="A83" s="85" t="s">
        <v>77</v>
      </c>
      <c r="B83" s="103">
        <v>15456406</v>
      </c>
      <c r="C83" s="103">
        <v>7978020.0499999998</v>
      </c>
      <c r="D83" s="103">
        <v>7478385.9500000002</v>
      </c>
      <c r="E83" s="103">
        <v>306739.8</v>
      </c>
      <c r="F83" s="103">
        <v>6163764.9299999997</v>
      </c>
      <c r="G83" s="115">
        <f t="shared" si="2"/>
        <v>4.98136179751019E-2</v>
      </c>
    </row>
    <row r="84" spans="1:7" ht="15" customHeight="1" x14ac:dyDescent="0.45">
      <c r="A84" s="85" t="s">
        <v>78</v>
      </c>
      <c r="B84" s="103">
        <v>339740</v>
      </c>
      <c r="C84" s="103">
        <v>433944</v>
      </c>
      <c r="D84" s="103">
        <v>-94204</v>
      </c>
      <c r="E84" s="103">
        <v>119939</v>
      </c>
      <c r="F84" s="103">
        <v>19302</v>
      </c>
      <c r="G84" s="115">
        <f t="shared" si="2"/>
        <v>1.0949297379262114E-3</v>
      </c>
    </row>
    <row r="85" spans="1:7" ht="15" customHeight="1" x14ac:dyDescent="0.45">
      <c r="A85" s="85" t="s">
        <v>154</v>
      </c>
      <c r="B85" s="103">
        <v>43361</v>
      </c>
      <c r="C85" s="103">
        <v>145437.45000000001</v>
      </c>
      <c r="D85" s="103">
        <v>-102076.45</v>
      </c>
      <c r="E85" s="103">
        <v>0</v>
      </c>
      <c r="F85" s="103">
        <v>-102076.45</v>
      </c>
      <c r="G85" s="115">
        <f t="shared" si="2"/>
        <v>1.3974583024141534E-4</v>
      </c>
    </row>
    <row r="86" spans="1:7" ht="15" customHeight="1" x14ac:dyDescent="0.45">
      <c r="A86" s="85" t="s">
        <v>111</v>
      </c>
      <c r="B86" s="103">
        <v>972323</v>
      </c>
      <c r="C86" s="103">
        <v>514857</v>
      </c>
      <c r="D86" s="103">
        <v>457466</v>
      </c>
      <c r="E86" s="103">
        <v>62527</v>
      </c>
      <c r="F86" s="103">
        <v>395057</v>
      </c>
      <c r="G86" s="115">
        <f t="shared" si="2"/>
        <v>3.1336473996869006E-3</v>
      </c>
    </row>
    <row r="87" spans="1:7" ht="15" customHeight="1" x14ac:dyDescent="0.45">
      <c r="A87" s="85" t="s">
        <v>80</v>
      </c>
      <c r="B87" s="103">
        <v>1744782</v>
      </c>
      <c r="C87" s="103">
        <v>1380758</v>
      </c>
      <c r="D87" s="103">
        <v>364024</v>
      </c>
      <c r="E87" s="103">
        <v>80000</v>
      </c>
      <c r="F87" s="103">
        <v>333018</v>
      </c>
      <c r="G87" s="115">
        <f t="shared" si="2"/>
        <v>5.6231638841419051E-3</v>
      </c>
    </row>
    <row r="88" spans="1:7" ht="15" customHeight="1" x14ac:dyDescent="0.45">
      <c r="A88" s="85" t="s">
        <v>81</v>
      </c>
      <c r="B88" s="103"/>
      <c r="C88" s="103"/>
      <c r="D88" s="103"/>
      <c r="E88" s="103"/>
      <c r="F88" s="103"/>
      <c r="G88" s="115">
        <f t="shared" si="2"/>
        <v>0</v>
      </c>
    </row>
    <row r="89" spans="1:7" ht="15" customHeight="1" x14ac:dyDescent="0.45">
      <c r="A89" s="85" t="s">
        <v>82</v>
      </c>
      <c r="B89" s="103">
        <v>0</v>
      </c>
      <c r="C89" s="103">
        <v>38845</v>
      </c>
      <c r="D89" s="103">
        <v>-38845</v>
      </c>
      <c r="E89" s="103">
        <v>41499.79</v>
      </c>
      <c r="F89" s="103">
        <v>2654.79</v>
      </c>
      <c r="G89" s="115">
        <f t="shared" si="2"/>
        <v>0</v>
      </c>
    </row>
    <row r="90" spans="1:7" ht="15" customHeight="1" x14ac:dyDescent="0.45">
      <c r="A90" s="85" t="s">
        <v>83</v>
      </c>
      <c r="B90" s="103">
        <v>4974091</v>
      </c>
      <c r="C90" s="103">
        <v>3255621.26</v>
      </c>
      <c r="D90" s="103">
        <v>1718469.74</v>
      </c>
      <c r="E90" s="103">
        <v>1698912.72</v>
      </c>
      <c r="F90" s="103">
        <v>3417382.46</v>
      </c>
      <c r="G90" s="115">
        <f t="shared" si="2"/>
        <v>1.6030729837673299E-2</v>
      </c>
    </row>
    <row r="91" spans="1:7" ht="15" customHeight="1" x14ac:dyDescent="0.45">
      <c r="A91" s="85" t="s">
        <v>112</v>
      </c>
      <c r="B91" s="103">
        <v>89137</v>
      </c>
      <c r="C91" s="103">
        <v>61894.57</v>
      </c>
      <c r="D91" s="103">
        <v>27242.43</v>
      </c>
      <c r="E91" s="103">
        <v>12334.58</v>
      </c>
      <c r="F91" s="103">
        <v>39577.01</v>
      </c>
      <c r="G91" s="115">
        <f t="shared" si="2"/>
        <v>2.8727483384214015E-4</v>
      </c>
    </row>
    <row r="92" spans="1:7" ht="15" customHeight="1" x14ac:dyDescent="0.45">
      <c r="A92" s="85" t="s">
        <v>84</v>
      </c>
      <c r="B92" s="103">
        <v>1323565</v>
      </c>
      <c r="C92" s="103">
        <v>1275104.99</v>
      </c>
      <c r="D92" s="103">
        <v>48460.01</v>
      </c>
      <c r="E92" s="103">
        <v>101052.13</v>
      </c>
      <c r="F92" s="103">
        <v>112134.14</v>
      </c>
      <c r="G92" s="115">
        <f t="shared" si="2"/>
        <v>4.2656463135877613E-3</v>
      </c>
    </row>
    <row r="93" spans="1:7" ht="15" customHeight="1" x14ac:dyDescent="0.45">
      <c r="A93" s="85" t="s">
        <v>85</v>
      </c>
      <c r="B93" s="103"/>
      <c r="C93" s="103"/>
      <c r="D93" s="103"/>
      <c r="E93" s="103"/>
      <c r="F93" s="103"/>
      <c r="G93" s="115">
        <f t="shared" si="2"/>
        <v>0</v>
      </c>
    </row>
    <row r="94" spans="1:7" ht="15" customHeight="1" x14ac:dyDescent="0.45">
      <c r="A94" s="85" t="s">
        <v>86</v>
      </c>
      <c r="B94" s="103">
        <v>5009932</v>
      </c>
      <c r="C94" s="103">
        <v>4540517.97</v>
      </c>
      <c r="D94" s="103">
        <v>469414.03</v>
      </c>
      <c r="E94" s="103">
        <v>727787.41</v>
      </c>
      <c r="F94" s="103">
        <v>1197201.44</v>
      </c>
      <c r="G94" s="115">
        <f t="shared" si="2"/>
        <v>1.614623986515612E-2</v>
      </c>
    </row>
    <row r="95" spans="1:7" ht="15" customHeight="1" x14ac:dyDescent="0.45">
      <c r="A95" s="85" t="s">
        <v>87</v>
      </c>
      <c r="B95" s="103">
        <v>179523</v>
      </c>
      <c r="C95" s="103">
        <v>211552.22</v>
      </c>
      <c r="D95" s="103">
        <v>-32029.22</v>
      </c>
      <c r="E95" s="103">
        <v>0</v>
      </c>
      <c r="F95" s="103">
        <v>-32029.22</v>
      </c>
      <c r="G95" s="115">
        <f t="shared" si="2"/>
        <v>5.7857500247756298E-4</v>
      </c>
    </row>
    <row r="96" spans="1:7" ht="15" customHeight="1" x14ac:dyDescent="0.45">
      <c r="A96" s="85" t="s">
        <v>89</v>
      </c>
      <c r="B96" s="103">
        <v>206567</v>
      </c>
      <c r="C96" s="103">
        <v>85951.6</v>
      </c>
      <c r="D96" s="103">
        <v>120615.4</v>
      </c>
      <c r="E96" s="103">
        <v>0</v>
      </c>
      <c r="F96" s="103">
        <v>120615.4</v>
      </c>
      <c r="G96" s="115">
        <f t="shared" si="2"/>
        <v>6.6573365271738302E-4</v>
      </c>
    </row>
    <row r="97" spans="1:7" ht="15" customHeight="1" x14ac:dyDescent="0.45">
      <c r="A97" s="85" t="s">
        <v>144</v>
      </c>
      <c r="B97" s="103">
        <v>0</v>
      </c>
      <c r="C97" s="103">
        <v>0</v>
      </c>
      <c r="D97" s="103">
        <v>0</v>
      </c>
      <c r="E97" s="103">
        <v>0</v>
      </c>
      <c r="F97" s="103">
        <v>0</v>
      </c>
      <c r="G97" s="115">
        <f t="shared" si="2"/>
        <v>0</v>
      </c>
    </row>
    <row r="98" spans="1:7" ht="15" customHeight="1" x14ac:dyDescent="0.45">
      <c r="A98" s="85" t="s">
        <v>90</v>
      </c>
      <c r="B98" s="103">
        <v>3578816</v>
      </c>
      <c r="C98" s="103">
        <v>1549420</v>
      </c>
      <c r="D98" s="103">
        <v>2029396</v>
      </c>
      <c r="E98" s="103">
        <v>0</v>
      </c>
      <c r="F98" s="103">
        <v>2029396</v>
      </c>
      <c r="G98" s="115">
        <f t="shared" si="2"/>
        <v>1.1533973229428774E-2</v>
      </c>
    </row>
    <row r="99" spans="1:7" ht="15" customHeight="1" x14ac:dyDescent="0.45">
      <c r="A99" s="85" t="s">
        <v>91</v>
      </c>
      <c r="B99" s="103">
        <v>12614945</v>
      </c>
      <c r="C99" s="103">
        <v>8923939</v>
      </c>
      <c r="D99" s="103">
        <v>3691006</v>
      </c>
      <c r="E99" s="103">
        <v>90840</v>
      </c>
      <c r="F99" s="103">
        <v>2768128</v>
      </c>
      <c r="G99" s="115">
        <f t="shared" ref="G99:G122" si="3">B99/$B$124</f>
        <v>4.0656026440229497E-2</v>
      </c>
    </row>
    <row r="100" spans="1:7" ht="15" customHeight="1" x14ac:dyDescent="0.45">
      <c r="A100" s="85" t="s">
        <v>92</v>
      </c>
      <c r="B100" s="103">
        <v>49268</v>
      </c>
      <c r="C100" s="103">
        <v>11437</v>
      </c>
      <c r="D100" s="103">
        <v>37831</v>
      </c>
      <c r="E100" s="103">
        <v>0</v>
      </c>
      <c r="F100" s="103">
        <v>37831</v>
      </c>
      <c r="G100" s="115">
        <f t="shared" si="3"/>
        <v>1.5878318222213627E-4</v>
      </c>
    </row>
    <row r="101" spans="1:7" ht="15" customHeight="1" x14ac:dyDescent="0.45">
      <c r="A101" s="85" t="s">
        <v>93</v>
      </c>
      <c r="B101" s="103">
        <v>253811</v>
      </c>
      <c r="C101" s="103">
        <v>234301</v>
      </c>
      <c r="D101" s="103">
        <v>19510</v>
      </c>
      <c r="E101" s="103">
        <v>473568</v>
      </c>
      <c r="F101" s="103">
        <v>493078</v>
      </c>
      <c r="G101" s="115">
        <f t="shared" si="3"/>
        <v>8.1799379440981228E-4</v>
      </c>
    </row>
    <row r="102" spans="1:7" ht="15" customHeight="1" x14ac:dyDescent="0.45">
      <c r="A102" s="85" t="s">
        <v>113</v>
      </c>
      <c r="B102" s="103">
        <v>1290738</v>
      </c>
      <c r="C102" s="103">
        <v>324672.02</v>
      </c>
      <c r="D102" s="103">
        <v>966065.98</v>
      </c>
      <c r="E102" s="103">
        <v>0</v>
      </c>
      <c r="F102" s="103">
        <v>724549.48</v>
      </c>
      <c r="G102" s="115">
        <f t="shared" si="3"/>
        <v>4.1598499442850479E-3</v>
      </c>
    </row>
    <row r="103" spans="1:7" ht="15" customHeight="1" x14ac:dyDescent="0.45">
      <c r="A103" s="85" t="s">
        <v>94</v>
      </c>
      <c r="B103" s="103">
        <v>5288979</v>
      </c>
      <c r="C103" s="103">
        <v>3023105.33</v>
      </c>
      <c r="D103" s="103">
        <v>2265873.67</v>
      </c>
      <c r="E103" s="103">
        <v>439219</v>
      </c>
      <c r="F103" s="103">
        <v>2042008.67</v>
      </c>
      <c r="G103" s="115">
        <f t="shared" si="3"/>
        <v>1.7045565404036133E-2</v>
      </c>
    </row>
    <row r="104" spans="1:7" ht="15" customHeight="1" x14ac:dyDescent="0.45">
      <c r="A104" s="85" t="s">
        <v>155</v>
      </c>
      <c r="B104" s="103"/>
      <c r="C104" s="103"/>
      <c r="D104" s="103"/>
      <c r="E104" s="103"/>
      <c r="F104" s="103"/>
      <c r="G104" s="115">
        <f t="shared" si="3"/>
        <v>0</v>
      </c>
    </row>
    <row r="105" spans="1:7" ht="15" customHeight="1" x14ac:dyDescent="0.45">
      <c r="A105" s="85" t="s">
        <v>114</v>
      </c>
      <c r="B105" s="103">
        <v>3208337</v>
      </c>
      <c r="C105" s="103">
        <v>1902522</v>
      </c>
      <c r="D105" s="103">
        <v>1305815</v>
      </c>
      <c r="E105" s="103">
        <v>594954.81999999995</v>
      </c>
      <c r="F105" s="103">
        <v>1425577.82</v>
      </c>
      <c r="G105" s="115">
        <f t="shared" si="3"/>
        <v>1.0339976424880694E-2</v>
      </c>
    </row>
    <row r="106" spans="1:7" ht="15" customHeight="1" x14ac:dyDescent="0.45">
      <c r="A106" s="85" t="s">
        <v>95</v>
      </c>
      <c r="B106" s="103">
        <v>193734</v>
      </c>
      <c r="C106" s="103">
        <v>100792.72</v>
      </c>
      <c r="D106" s="103">
        <v>92941.28</v>
      </c>
      <c r="E106" s="103">
        <v>0</v>
      </c>
      <c r="F106" s="103">
        <v>92941.28</v>
      </c>
      <c r="G106" s="115">
        <f t="shared" si="3"/>
        <v>6.2437486856830704E-4</v>
      </c>
    </row>
    <row r="107" spans="1:7" ht="15" customHeight="1" x14ac:dyDescent="0.45">
      <c r="A107" s="85" t="s">
        <v>96</v>
      </c>
      <c r="B107" s="103">
        <v>448765</v>
      </c>
      <c r="C107" s="103">
        <v>438694.48</v>
      </c>
      <c r="D107" s="103">
        <v>10070.52</v>
      </c>
      <c r="E107" s="103">
        <v>0</v>
      </c>
      <c r="F107" s="103">
        <v>10070.52</v>
      </c>
      <c r="G107" s="115">
        <f t="shared" si="3"/>
        <v>1.4463005352341679E-3</v>
      </c>
    </row>
    <row r="108" spans="1:7" ht="15" customHeight="1" x14ac:dyDescent="0.45">
      <c r="A108" s="85" t="s">
        <v>145</v>
      </c>
      <c r="B108" s="103">
        <v>66559</v>
      </c>
      <c r="C108" s="103">
        <v>96671.21</v>
      </c>
      <c r="D108" s="103">
        <v>-30112.21</v>
      </c>
      <c r="E108" s="103">
        <v>0</v>
      </c>
      <c r="F108" s="103">
        <v>-30112.21</v>
      </c>
      <c r="G108" s="115">
        <f t="shared" si="3"/>
        <v>2.145094143363475E-4</v>
      </c>
    </row>
    <row r="109" spans="1:7" ht="15" customHeight="1" x14ac:dyDescent="0.45">
      <c r="A109" s="85" t="s">
        <v>97</v>
      </c>
      <c r="B109" s="103">
        <v>202601</v>
      </c>
      <c r="C109" s="103">
        <v>109695</v>
      </c>
      <c r="D109" s="103">
        <v>92906</v>
      </c>
      <c r="E109" s="103">
        <v>0</v>
      </c>
      <c r="F109" s="103">
        <v>92906</v>
      </c>
      <c r="G109" s="115">
        <f t="shared" si="3"/>
        <v>6.5295184503911326E-4</v>
      </c>
    </row>
    <row r="110" spans="1:7" ht="15" customHeight="1" x14ac:dyDescent="0.45">
      <c r="A110" s="85" t="s">
        <v>98</v>
      </c>
      <c r="B110" s="103">
        <v>3924910</v>
      </c>
      <c r="C110" s="103">
        <v>3351243</v>
      </c>
      <c r="D110" s="103">
        <v>573667</v>
      </c>
      <c r="E110" s="103">
        <v>48313</v>
      </c>
      <c r="F110" s="103">
        <v>454552</v>
      </c>
      <c r="G110" s="115">
        <f t="shared" si="3"/>
        <v>1.2649380931547554E-2</v>
      </c>
    </row>
    <row r="111" spans="1:7" ht="15" customHeight="1" x14ac:dyDescent="0.45">
      <c r="A111" s="85" t="s">
        <v>99</v>
      </c>
      <c r="B111" s="103">
        <v>631826</v>
      </c>
      <c r="C111" s="103">
        <v>472875.4</v>
      </c>
      <c r="D111" s="103">
        <v>158950.6</v>
      </c>
      <c r="E111" s="103">
        <v>66864.259999999995</v>
      </c>
      <c r="F111" s="103">
        <v>169361.14</v>
      </c>
      <c r="G111" s="115">
        <f t="shared" si="3"/>
        <v>2.0362779672542719E-3</v>
      </c>
    </row>
    <row r="112" spans="1:7" ht="15" customHeight="1" x14ac:dyDescent="0.45">
      <c r="A112" s="85" t="s">
        <v>100</v>
      </c>
      <c r="B112" s="103">
        <v>4505436</v>
      </c>
      <c r="C112" s="103">
        <v>3479158.65</v>
      </c>
      <c r="D112" s="103">
        <v>1026277.35</v>
      </c>
      <c r="E112" s="103">
        <v>111979.37</v>
      </c>
      <c r="F112" s="103">
        <v>1138256.72</v>
      </c>
      <c r="G112" s="115">
        <f t="shared" si="3"/>
        <v>1.4520326893281092E-2</v>
      </c>
    </row>
    <row r="113" spans="1:7" ht="15" customHeight="1" x14ac:dyDescent="0.45">
      <c r="A113" s="85" t="s">
        <v>101</v>
      </c>
      <c r="B113" s="103"/>
      <c r="C113" s="103"/>
      <c r="D113" s="103"/>
      <c r="E113" s="103"/>
      <c r="F113" s="103"/>
      <c r="G113" s="115">
        <f t="shared" si="3"/>
        <v>0</v>
      </c>
    </row>
    <row r="114" spans="1:7" ht="15" customHeight="1" x14ac:dyDescent="0.45">
      <c r="A114" s="85" t="s">
        <v>102</v>
      </c>
      <c r="B114" s="103"/>
      <c r="C114" s="103"/>
      <c r="D114" s="103"/>
      <c r="E114" s="103"/>
      <c r="F114" s="103"/>
      <c r="G114" s="115">
        <f t="shared" si="3"/>
        <v>0</v>
      </c>
    </row>
    <row r="115" spans="1:7" ht="15" customHeight="1" x14ac:dyDescent="0.45">
      <c r="A115" s="85" t="s">
        <v>156</v>
      </c>
      <c r="B115" s="103">
        <v>68280</v>
      </c>
      <c r="C115" s="103">
        <v>57775</v>
      </c>
      <c r="D115" s="103">
        <v>10505</v>
      </c>
      <c r="E115" s="103">
        <v>0</v>
      </c>
      <c r="F115" s="103">
        <v>10505</v>
      </c>
      <c r="G115" s="115">
        <f t="shared" si="3"/>
        <v>2.2005593249426535E-4</v>
      </c>
    </row>
    <row r="116" spans="1:7" ht="15" customHeight="1" x14ac:dyDescent="0.45">
      <c r="A116" s="85" t="s">
        <v>157</v>
      </c>
      <c r="B116" s="103">
        <v>1301460</v>
      </c>
      <c r="C116" s="103">
        <v>751059.51</v>
      </c>
      <c r="D116" s="103">
        <v>550400.49</v>
      </c>
      <c r="E116" s="103">
        <v>0</v>
      </c>
      <c r="F116" s="103">
        <v>550400.49</v>
      </c>
      <c r="G116" s="115">
        <f t="shared" si="3"/>
        <v>4.1944053002927152E-3</v>
      </c>
    </row>
    <row r="117" spans="1:7" ht="15" customHeight="1" x14ac:dyDescent="0.45">
      <c r="A117" s="85" t="s">
        <v>103</v>
      </c>
      <c r="B117" s="103">
        <v>3579278</v>
      </c>
      <c r="C117" s="103">
        <v>1570153.89</v>
      </c>
      <c r="D117" s="103">
        <v>2009124.11</v>
      </c>
      <c r="E117" s="103">
        <v>-26430</v>
      </c>
      <c r="F117" s="103">
        <v>1982694.11</v>
      </c>
      <c r="G117" s="115">
        <f t="shared" si="3"/>
        <v>1.1535462184332294E-2</v>
      </c>
    </row>
    <row r="118" spans="1:7" ht="15" customHeight="1" x14ac:dyDescent="0.45">
      <c r="A118" s="85" t="s">
        <v>104</v>
      </c>
      <c r="B118" s="103">
        <v>3479855</v>
      </c>
      <c r="C118" s="103">
        <v>1620675.24</v>
      </c>
      <c r="D118" s="103">
        <v>1859179.76</v>
      </c>
      <c r="E118" s="103">
        <v>5928.55</v>
      </c>
      <c r="F118" s="103">
        <v>1865108.31</v>
      </c>
      <c r="G118" s="115">
        <f t="shared" si="3"/>
        <v>1.1215037155387108E-2</v>
      </c>
    </row>
    <row r="119" spans="1:7" ht="15" customHeight="1" x14ac:dyDescent="0.45">
      <c r="A119" s="85" t="s">
        <v>105</v>
      </c>
      <c r="B119" s="103">
        <v>1362600</v>
      </c>
      <c r="C119" s="103">
        <v>734248.76</v>
      </c>
      <c r="D119" s="103">
        <v>628351.24</v>
      </c>
      <c r="E119" s="103">
        <v>0</v>
      </c>
      <c r="F119" s="103">
        <v>628351.24</v>
      </c>
      <c r="G119" s="115">
        <f t="shared" si="3"/>
        <v>4.3914501115507607E-3</v>
      </c>
    </row>
    <row r="120" spans="1:7" ht="15" customHeight="1" x14ac:dyDescent="0.45">
      <c r="A120" s="85" t="s">
        <v>106</v>
      </c>
      <c r="B120" s="103">
        <v>37867631</v>
      </c>
      <c r="C120" s="103">
        <v>7950089.1500000004</v>
      </c>
      <c r="D120" s="103">
        <v>29917541.850000001</v>
      </c>
      <c r="E120" s="103">
        <v>14749278.43</v>
      </c>
      <c r="F120" s="103">
        <v>35208766.280000001</v>
      </c>
      <c r="G120" s="115">
        <f t="shared" si="3"/>
        <v>0.12204154732064659</v>
      </c>
    </row>
    <row r="121" spans="1:7" ht="15" customHeight="1" x14ac:dyDescent="0.45">
      <c r="A121" s="85" t="s">
        <v>146</v>
      </c>
      <c r="B121" s="103">
        <v>487277</v>
      </c>
      <c r="C121" s="103">
        <v>167933.77</v>
      </c>
      <c r="D121" s="103">
        <v>319343.23</v>
      </c>
      <c r="E121" s="103">
        <v>19313.27</v>
      </c>
      <c r="F121" s="103">
        <v>253992.46</v>
      </c>
      <c r="G121" s="115">
        <f t="shared" si="3"/>
        <v>1.5704187846808455E-3</v>
      </c>
    </row>
    <row r="122" spans="1:7" ht="15" customHeight="1" x14ac:dyDescent="0.45">
      <c r="A122" s="85" t="s">
        <v>107</v>
      </c>
      <c r="B122" s="103">
        <v>261980</v>
      </c>
      <c r="C122" s="103">
        <v>578068.63</v>
      </c>
      <c r="D122" s="103">
        <v>-316088.63</v>
      </c>
      <c r="E122" s="103">
        <v>-67057.429999999993</v>
      </c>
      <c r="F122" s="103">
        <v>-383146.06</v>
      </c>
      <c r="G122" s="115">
        <f t="shared" si="3"/>
        <v>8.4432122429478086E-4</v>
      </c>
    </row>
    <row r="123" spans="1:7" ht="15" customHeight="1" x14ac:dyDescent="0.45">
      <c r="A123" s="122"/>
      <c r="B123" s="103"/>
      <c r="C123" s="103"/>
      <c r="D123" s="103"/>
      <c r="E123" s="103"/>
      <c r="F123" s="103"/>
      <c r="G123" s="115"/>
    </row>
    <row r="124" spans="1:7" ht="15.4" x14ac:dyDescent="0.45">
      <c r="A124" s="116" t="s">
        <v>147</v>
      </c>
      <c r="B124" s="117">
        <f t="shared" ref="B124:G124" si="4">SUM(B3:B122)</f>
        <v>310284750</v>
      </c>
      <c r="C124" s="117">
        <f t="shared" si="4"/>
        <v>188674407.98999998</v>
      </c>
      <c r="D124" s="117">
        <f t="shared" si="4"/>
        <v>121610342.01000001</v>
      </c>
      <c r="E124" s="117">
        <f t="shared" si="4"/>
        <v>48473907.279999994</v>
      </c>
      <c r="F124" s="117">
        <f t="shared" si="4"/>
        <v>134079351.75</v>
      </c>
      <c r="G124" s="121">
        <f t="shared" si="4"/>
        <v>1</v>
      </c>
    </row>
    <row r="126" spans="1:7" x14ac:dyDescent="0.35">
      <c r="F126" t="s">
        <v>169</v>
      </c>
    </row>
  </sheetData>
  <mergeCells count="1">
    <mergeCell ref="A1:G1"/>
  </mergeCells>
  <pageMargins left="0.7" right="0.7" top="0.75" bottom="0.75" header="0.3" footer="0.3"/>
  <customProperties>
    <customPr name="LastActive" r:id="rId1"/>
  </customPropertie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24"/>
  <sheetViews>
    <sheetView topLeftCell="A117" workbookViewId="0">
      <selection activeCell="A47" sqref="A47"/>
    </sheetView>
  </sheetViews>
  <sheetFormatPr defaultRowHeight="12.75" x14ac:dyDescent="0.35"/>
  <cols>
    <col min="1" max="1" width="51.265625" bestFit="1" customWidth="1"/>
    <col min="2" max="6" width="17.1328125" customWidth="1"/>
    <col min="7" max="7" width="17" style="126" bestFit="1" customWidth="1"/>
  </cols>
  <sheetData>
    <row r="1" spans="1:7" ht="18" x14ac:dyDescent="0.55000000000000004">
      <c r="A1" s="172" t="s">
        <v>170</v>
      </c>
      <c r="B1" s="173"/>
      <c r="C1" s="173"/>
      <c r="D1" s="173"/>
      <c r="E1" s="173"/>
      <c r="F1" s="173"/>
      <c r="G1" s="173"/>
    </row>
    <row r="2" spans="1:7" ht="54" x14ac:dyDescent="0.55000000000000004">
      <c r="A2" s="70" t="s">
        <v>1</v>
      </c>
      <c r="B2" s="71" t="s">
        <v>2</v>
      </c>
      <c r="C2" s="71" t="s">
        <v>3</v>
      </c>
      <c r="D2" s="71" t="s">
        <v>4</v>
      </c>
      <c r="E2" s="71" t="s">
        <v>5</v>
      </c>
      <c r="F2" s="71" t="s">
        <v>6</v>
      </c>
      <c r="G2" s="71" t="s">
        <v>9</v>
      </c>
    </row>
    <row r="3" spans="1:7" ht="12.75" customHeight="1" x14ac:dyDescent="0.45">
      <c r="A3" s="85" t="s">
        <v>165</v>
      </c>
      <c r="B3" s="103"/>
      <c r="C3" s="103"/>
      <c r="D3" s="103"/>
      <c r="E3" s="103"/>
      <c r="F3" s="103"/>
    </row>
    <row r="4" spans="1:7" ht="12.75" customHeight="1" x14ac:dyDescent="0.45">
      <c r="A4" s="85" t="s">
        <v>117</v>
      </c>
      <c r="B4" s="103">
        <v>138172</v>
      </c>
      <c r="C4" s="103">
        <v>232864.65</v>
      </c>
      <c r="D4" s="103">
        <v>-94692.65</v>
      </c>
      <c r="E4" s="103">
        <v>398985.82</v>
      </c>
      <c r="F4" s="103">
        <v>230736.51</v>
      </c>
      <c r="G4" s="115">
        <f>B4/$B$124</f>
        <v>3.5720202217624997E-4</v>
      </c>
    </row>
    <row r="5" spans="1:7" ht="12.75" customHeight="1" x14ac:dyDescent="0.45">
      <c r="A5" s="85" t="s">
        <v>10</v>
      </c>
      <c r="B5" s="103">
        <v>7804240</v>
      </c>
      <c r="C5" s="103">
        <v>5790786</v>
      </c>
      <c r="D5" s="103">
        <v>2013454</v>
      </c>
      <c r="E5" s="103">
        <v>0</v>
      </c>
      <c r="F5" s="103">
        <v>1371745</v>
      </c>
      <c r="G5" s="115">
        <f>B5/$B$124</f>
        <v>2.0175508131522864E-2</v>
      </c>
    </row>
    <row r="6" spans="1:7" ht="12.75" customHeight="1" x14ac:dyDescent="0.45">
      <c r="A6" s="85" t="s">
        <v>11</v>
      </c>
      <c r="B6" s="103"/>
      <c r="C6" s="103"/>
      <c r="D6" s="103"/>
      <c r="E6" s="103"/>
      <c r="F6" s="103"/>
      <c r="G6" s="115"/>
    </row>
    <row r="7" spans="1:7" ht="12.75" customHeight="1" x14ac:dyDescent="0.45">
      <c r="A7" s="85" t="s">
        <v>162</v>
      </c>
      <c r="B7" s="103">
        <v>9949</v>
      </c>
      <c r="C7" s="103">
        <v>65486</v>
      </c>
      <c r="D7" s="103">
        <v>-55537</v>
      </c>
      <c r="E7" s="103">
        <v>0</v>
      </c>
      <c r="F7" s="103">
        <v>-55537</v>
      </c>
      <c r="G7" s="115">
        <f>B7/$B$124</f>
        <v>2.5720138078854697E-5</v>
      </c>
    </row>
    <row r="8" spans="1:7" ht="12.75" customHeight="1" x14ac:dyDescent="0.45">
      <c r="A8" s="85" t="s">
        <v>12</v>
      </c>
      <c r="B8" s="103">
        <v>2224004</v>
      </c>
      <c r="C8" s="103">
        <v>2211160.6</v>
      </c>
      <c r="D8" s="103">
        <v>12843.4</v>
      </c>
      <c r="E8" s="103">
        <v>403369.14</v>
      </c>
      <c r="F8" s="103">
        <v>416212.54</v>
      </c>
      <c r="G8" s="115">
        <f>B8/$B$124</f>
        <v>5.7494914029475484E-3</v>
      </c>
    </row>
    <row r="9" spans="1:7" ht="12.75" customHeight="1" x14ac:dyDescent="0.45">
      <c r="A9" s="85" t="s">
        <v>13</v>
      </c>
      <c r="B9" s="103">
        <v>1076185</v>
      </c>
      <c r="C9" s="103">
        <v>1072964.49</v>
      </c>
      <c r="D9" s="103">
        <v>3220.51</v>
      </c>
      <c r="E9" s="103">
        <v>146201.01</v>
      </c>
      <c r="F9" s="103">
        <v>96419.520000000004</v>
      </c>
      <c r="G9" s="115">
        <f>B9/$B$124</f>
        <v>2.7821516532709058E-3</v>
      </c>
    </row>
    <row r="10" spans="1:7" ht="12.75" customHeight="1" x14ac:dyDescent="0.45">
      <c r="A10" s="85" t="s">
        <v>14</v>
      </c>
      <c r="B10" s="103">
        <v>1994005</v>
      </c>
      <c r="C10" s="103">
        <v>1717411</v>
      </c>
      <c r="D10" s="103">
        <v>276594</v>
      </c>
      <c r="E10" s="103">
        <v>113800</v>
      </c>
      <c r="F10" s="103">
        <v>292795</v>
      </c>
      <c r="G10" s="115">
        <f>B10/$B$124</f>
        <v>5.1548983747036542E-3</v>
      </c>
    </row>
    <row r="11" spans="1:7" ht="12.75" customHeight="1" x14ac:dyDescent="0.45">
      <c r="A11" s="85" t="s">
        <v>15</v>
      </c>
      <c r="B11" s="103"/>
      <c r="C11" s="103"/>
      <c r="D11" s="103"/>
      <c r="E11" s="103"/>
      <c r="F11" s="103"/>
      <c r="G11" s="115"/>
    </row>
    <row r="12" spans="1:7" ht="12.75" customHeight="1" x14ac:dyDescent="0.45">
      <c r="A12" s="85" t="s">
        <v>16</v>
      </c>
      <c r="B12" s="103">
        <v>4713990</v>
      </c>
      <c r="C12" s="103">
        <v>3247357.19</v>
      </c>
      <c r="D12" s="103">
        <v>1466632.81</v>
      </c>
      <c r="E12" s="103">
        <v>832094.05</v>
      </c>
      <c r="F12" s="103">
        <v>1904021.39</v>
      </c>
      <c r="G12" s="115">
        <f t="shared" ref="G12:G22" si="0">B12/$B$124</f>
        <v>1.2186599025262866E-2</v>
      </c>
    </row>
    <row r="13" spans="1:7" ht="12.75" customHeight="1" x14ac:dyDescent="0.45">
      <c r="A13" s="85" t="s">
        <v>17</v>
      </c>
      <c r="B13" s="103">
        <v>1777382</v>
      </c>
      <c r="C13" s="103">
        <v>1552554.77</v>
      </c>
      <c r="D13" s="103">
        <v>224827.23</v>
      </c>
      <c r="E13" s="103">
        <v>2000</v>
      </c>
      <c r="F13" s="103">
        <v>226827.23</v>
      </c>
      <c r="G13" s="115">
        <f t="shared" si="0"/>
        <v>4.5948849591789043E-3</v>
      </c>
    </row>
    <row r="14" spans="1:7" ht="12.75" customHeight="1" x14ac:dyDescent="0.45">
      <c r="A14" s="85" t="s">
        <v>18</v>
      </c>
      <c r="B14" s="103">
        <v>486</v>
      </c>
      <c r="C14" s="103">
        <v>5216</v>
      </c>
      <c r="D14" s="103">
        <v>-4730</v>
      </c>
      <c r="E14" s="103">
        <v>-82444.3</v>
      </c>
      <c r="F14" s="103">
        <v>-87174.3</v>
      </c>
      <c r="G14" s="115">
        <f t="shared" si="0"/>
        <v>1.2564063831865898E-6</v>
      </c>
    </row>
    <row r="15" spans="1:7" ht="12.75" customHeight="1" x14ac:dyDescent="0.45">
      <c r="A15" s="85" t="s">
        <v>19</v>
      </c>
      <c r="B15" s="103">
        <v>1091359</v>
      </c>
      <c r="C15" s="103">
        <v>1370207.9</v>
      </c>
      <c r="D15" s="103">
        <v>-278848.90000000002</v>
      </c>
      <c r="E15" s="103">
        <v>26100</v>
      </c>
      <c r="F15" s="103">
        <v>-252748.9</v>
      </c>
      <c r="G15" s="115">
        <f t="shared" si="0"/>
        <v>2.8213794525681758E-3</v>
      </c>
    </row>
    <row r="16" spans="1:7" ht="12.75" customHeight="1" x14ac:dyDescent="0.45">
      <c r="A16" s="85" t="s">
        <v>20</v>
      </c>
      <c r="B16" s="103">
        <v>1063726</v>
      </c>
      <c r="C16" s="103">
        <v>1125193.6000000001</v>
      </c>
      <c r="D16" s="103">
        <v>-61467.6</v>
      </c>
      <c r="E16" s="103">
        <v>140887.45000000001</v>
      </c>
      <c r="F16" s="103">
        <v>79419.850000000006</v>
      </c>
      <c r="G16" s="115">
        <f t="shared" si="0"/>
        <v>2.749942667410573E-3</v>
      </c>
    </row>
    <row r="17" spans="1:7" ht="12.75" customHeight="1" x14ac:dyDescent="0.45">
      <c r="A17" s="85" t="s">
        <v>21</v>
      </c>
      <c r="B17" s="103">
        <v>1028627</v>
      </c>
      <c r="C17" s="103">
        <v>721354.12</v>
      </c>
      <c r="D17" s="103">
        <v>307272.88</v>
      </c>
      <c r="E17" s="103">
        <v>1247163.3400000001</v>
      </c>
      <c r="F17" s="103">
        <v>1390664.44</v>
      </c>
      <c r="G17" s="115">
        <f t="shared" si="0"/>
        <v>2.6592047916009719E-3</v>
      </c>
    </row>
    <row r="18" spans="1:7" ht="12.75" customHeight="1" x14ac:dyDescent="0.45">
      <c r="A18" s="85" t="s">
        <v>134</v>
      </c>
      <c r="B18" s="103">
        <v>350806</v>
      </c>
      <c r="C18" s="103">
        <v>362064.05</v>
      </c>
      <c r="D18" s="103">
        <v>-11258.05</v>
      </c>
      <c r="E18" s="103">
        <v>0</v>
      </c>
      <c r="F18" s="103">
        <v>-37593.99</v>
      </c>
      <c r="G18" s="115">
        <f t="shared" si="0"/>
        <v>9.0690308160525687E-4</v>
      </c>
    </row>
    <row r="19" spans="1:7" ht="12.75" customHeight="1" x14ac:dyDescent="0.45">
      <c r="A19" s="85" t="s">
        <v>22</v>
      </c>
      <c r="B19" s="103">
        <v>323638</v>
      </c>
      <c r="C19" s="103">
        <v>245465.46</v>
      </c>
      <c r="D19" s="103">
        <v>78172.539999999994</v>
      </c>
      <c r="E19" s="103">
        <v>47939.12</v>
      </c>
      <c r="F19" s="103">
        <v>126111.66</v>
      </c>
      <c r="G19" s="115">
        <f t="shared" si="0"/>
        <v>8.3666841366613492E-4</v>
      </c>
    </row>
    <row r="20" spans="1:7" ht="12.75" customHeight="1" x14ac:dyDescent="0.45">
      <c r="A20" s="85" t="s">
        <v>135</v>
      </c>
      <c r="B20" s="103">
        <v>313188</v>
      </c>
      <c r="C20" s="103">
        <v>318845.77</v>
      </c>
      <c r="D20" s="103">
        <v>-5657.77</v>
      </c>
      <c r="E20" s="103">
        <v>146527.34</v>
      </c>
      <c r="F20" s="103">
        <v>140869.57</v>
      </c>
      <c r="G20" s="115">
        <f t="shared" si="0"/>
        <v>8.0965309122930386E-4</v>
      </c>
    </row>
    <row r="21" spans="1:7" ht="12.75" customHeight="1" x14ac:dyDescent="0.45">
      <c r="A21" s="85" t="s">
        <v>23</v>
      </c>
      <c r="B21" s="103">
        <v>1092239</v>
      </c>
      <c r="C21" s="103">
        <v>1134564.1499999999</v>
      </c>
      <c r="D21" s="103">
        <v>-42325.15</v>
      </c>
      <c r="E21" s="103">
        <v>326516</v>
      </c>
      <c r="F21" s="103">
        <v>284190.84999999998</v>
      </c>
      <c r="G21" s="115">
        <f t="shared" si="0"/>
        <v>2.8236544270891723E-3</v>
      </c>
    </row>
    <row r="22" spans="1:7" ht="12.75" customHeight="1" x14ac:dyDescent="0.45">
      <c r="A22" s="85" t="s">
        <v>24</v>
      </c>
      <c r="B22" s="103">
        <v>18627702</v>
      </c>
      <c r="C22" s="103">
        <v>16133376.800000001</v>
      </c>
      <c r="D22" s="103">
        <v>2494325.2000000002</v>
      </c>
      <c r="E22" s="103">
        <v>3186247.78</v>
      </c>
      <c r="F22" s="103">
        <v>3576553.3</v>
      </c>
      <c r="G22" s="115">
        <f t="shared" si="0"/>
        <v>4.8156303903081496E-2</v>
      </c>
    </row>
    <row r="23" spans="1:7" ht="12.75" customHeight="1" x14ac:dyDescent="0.45">
      <c r="A23" s="85" t="s">
        <v>136</v>
      </c>
      <c r="B23" s="103">
        <v>0</v>
      </c>
      <c r="C23" s="103">
        <v>0</v>
      </c>
      <c r="D23" s="103">
        <v>0</v>
      </c>
      <c r="E23" s="103">
        <v>0</v>
      </c>
      <c r="F23" s="103">
        <v>0</v>
      </c>
      <c r="G23" s="115"/>
    </row>
    <row r="24" spans="1:7" ht="12.75" customHeight="1" x14ac:dyDescent="0.45">
      <c r="A24" s="85" t="s">
        <v>25</v>
      </c>
      <c r="B24" s="103"/>
      <c r="C24" s="103"/>
      <c r="D24" s="103"/>
      <c r="E24" s="103"/>
      <c r="F24" s="103"/>
      <c r="G24" s="115"/>
    </row>
    <row r="25" spans="1:7" ht="12.75" customHeight="1" x14ac:dyDescent="0.45">
      <c r="A25" s="85" t="s">
        <v>26</v>
      </c>
      <c r="B25" s="103"/>
      <c r="C25" s="103"/>
      <c r="D25" s="103"/>
      <c r="E25" s="103"/>
      <c r="F25" s="103"/>
      <c r="G25" s="115"/>
    </row>
    <row r="26" spans="1:7" ht="12.75" customHeight="1" x14ac:dyDescent="0.45">
      <c r="A26" s="85" t="s">
        <v>27</v>
      </c>
      <c r="B26" s="103">
        <v>183737</v>
      </c>
      <c r="C26" s="103">
        <v>239184.68</v>
      </c>
      <c r="D26" s="103">
        <v>-55447.68</v>
      </c>
      <c r="E26" s="103">
        <v>84603.85</v>
      </c>
      <c r="F26" s="103">
        <v>29156.17</v>
      </c>
      <c r="G26" s="115">
        <f t="shared" ref="G26:G34" si="1">B26/$B$124</f>
        <v>4.7499658359579109E-4</v>
      </c>
    </row>
    <row r="27" spans="1:7" ht="12.75" customHeight="1" x14ac:dyDescent="0.45">
      <c r="A27" s="85" t="s">
        <v>118</v>
      </c>
      <c r="B27" s="103">
        <v>684927</v>
      </c>
      <c r="C27" s="103">
        <v>563398.13</v>
      </c>
      <c r="D27" s="103">
        <v>121528.87</v>
      </c>
      <c r="E27" s="103">
        <v>0</v>
      </c>
      <c r="F27" s="103">
        <v>121528.87</v>
      </c>
      <c r="G27" s="115">
        <f t="shared" si="1"/>
        <v>1.7706721292527602E-3</v>
      </c>
    </row>
    <row r="28" spans="1:7" ht="12.75" customHeight="1" x14ac:dyDescent="0.45">
      <c r="A28" s="85" t="s">
        <v>28</v>
      </c>
      <c r="B28" s="103">
        <v>6022985</v>
      </c>
      <c r="C28" s="103">
        <v>1697015</v>
      </c>
      <c r="D28" s="103">
        <v>4325970</v>
      </c>
      <c r="E28" s="103">
        <v>0</v>
      </c>
      <c r="F28" s="103">
        <v>4325970</v>
      </c>
      <c r="G28" s="115">
        <f t="shared" si="1"/>
        <v>1.5570610699253256E-2</v>
      </c>
    </row>
    <row r="29" spans="1:7" ht="12.75" customHeight="1" x14ac:dyDescent="0.45">
      <c r="A29" s="85" t="s">
        <v>8</v>
      </c>
      <c r="B29" s="103">
        <v>1824938</v>
      </c>
      <c r="C29" s="103">
        <v>220219</v>
      </c>
      <c r="D29" s="103">
        <v>1604719</v>
      </c>
      <c r="E29" s="103">
        <v>0</v>
      </c>
      <c r="F29" s="103">
        <v>1604719</v>
      </c>
      <c r="G29" s="115">
        <f t="shared" si="1"/>
        <v>4.7178266504521995E-3</v>
      </c>
    </row>
    <row r="30" spans="1:7" ht="12.75" customHeight="1" x14ac:dyDescent="0.45">
      <c r="A30" s="85" t="s">
        <v>29</v>
      </c>
      <c r="B30" s="103">
        <v>5988557</v>
      </c>
      <c r="C30" s="103">
        <v>5132119.5999999996</v>
      </c>
      <c r="D30" s="103">
        <v>856437.4</v>
      </c>
      <c r="E30" s="103">
        <v>45208.33</v>
      </c>
      <c r="F30" s="103">
        <v>690860.24</v>
      </c>
      <c r="G30" s="115">
        <f t="shared" si="1"/>
        <v>1.5481607491515916E-2</v>
      </c>
    </row>
    <row r="31" spans="1:7" ht="12.75" customHeight="1" x14ac:dyDescent="0.45">
      <c r="A31" s="85" t="s">
        <v>30</v>
      </c>
      <c r="B31" s="103">
        <v>737732</v>
      </c>
      <c r="C31" s="103">
        <v>726073</v>
      </c>
      <c r="D31" s="103">
        <v>11659</v>
      </c>
      <c r="E31" s="103">
        <v>0</v>
      </c>
      <c r="F31" s="103">
        <v>8744</v>
      </c>
      <c r="G31" s="115">
        <f t="shared" si="1"/>
        <v>1.9071835265041344E-3</v>
      </c>
    </row>
    <row r="32" spans="1:7" ht="12.75" customHeight="1" x14ac:dyDescent="0.45">
      <c r="A32" s="85" t="s">
        <v>31</v>
      </c>
      <c r="B32" s="103">
        <v>772357</v>
      </c>
      <c r="C32" s="103">
        <v>745959.55</v>
      </c>
      <c r="D32" s="103">
        <v>26397.45</v>
      </c>
      <c r="E32" s="103">
        <v>0</v>
      </c>
      <c r="F32" s="103">
        <v>26397.45</v>
      </c>
      <c r="G32" s="115">
        <f t="shared" si="1"/>
        <v>1.9966960183103806E-3</v>
      </c>
    </row>
    <row r="33" spans="1:7" ht="12.75" customHeight="1" x14ac:dyDescent="0.45">
      <c r="A33" s="85" t="s">
        <v>32</v>
      </c>
      <c r="B33" s="103">
        <v>784641</v>
      </c>
      <c r="C33" s="103">
        <v>448001</v>
      </c>
      <c r="D33" s="103">
        <v>336640</v>
      </c>
      <c r="E33" s="103">
        <v>12424</v>
      </c>
      <c r="F33" s="103">
        <v>349064</v>
      </c>
      <c r="G33" s="115">
        <f t="shared" si="1"/>
        <v>2.0284525944648333E-3</v>
      </c>
    </row>
    <row r="34" spans="1:7" ht="12.75" customHeight="1" x14ac:dyDescent="0.45">
      <c r="A34" s="85" t="s">
        <v>33</v>
      </c>
      <c r="B34" s="103">
        <v>98438</v>
      </c>
      <c r="C34" s="103">
        <v>79015.42</v>
      </c>
      <c r="D34" s="103">
        <v>19422.580000000002</v>
      </c>
      <c r="E34" s="103">
        <v>0</v>
      </c>
      <c r="F34" s="103">
        <v>19422.580000000002</v>
      </c>
      <c r="G34" s="115">
        <f t="shared" si="1"/>
        <v>2.5448175215662868E-4</v>
      </c>
    </row>
    <row r="35" spans="1:7" ht="12.75" customHeight="1" x14ac:dyDescent="0.45">
      <c r="A35" s="85" t="s">
        <v>34</v>
      </c>
      <c r="B35" s="103"/>
      <c r="C35" s="103"/>
      <c r="D35" s="103"/>
      <c r="E35" s="103"/>
      <c r="F35" s="103"/>
      <c r="G35" s="115"/>
    </row>
    <row r="36" spans="1:7" ht="12.75" customHeight="1" x14ac:dyDescent="0.45">
      <c r="A36" s="85" t="s">
        <v>35</v>
      </c>
      <c r="B36" s="103">
        <v>544405</v>
      </c>
      <c r="C36" s="103">
        <v>741883.7</v>
      </c>
      <c r="D36" s="103">
        <v>-197478.7</v>
      </c>
      <c r="E36" s="103">
        <v>17746</v>
      </c>
      <c r="F36" s="103">
        <v>-179732.7</v>
      </c>
      <c r="G36" s="115">
        <f t="shared" ref="G36:G42" si="2">B36/$B$124</f>
        <v>1.4073948910261224E-3</v>
      </c>
    </row>
    <row r="37" spans="1:7" ht="12.75" customHeight="1" x14ac:dyDescent="0.45">
      <c r="A37" s="85" t="s">
        <v>36</v>
      </c>
      <c r="B37" s="103">
        <v>1968752</v>
      </c>
      <c r="C37" s="103">
        <v>1791572.66</v>
      </c>
      <c r="D37" s="103">
        <v>177179.34</v>
      </c>
      <c r="E37" s="103">
        <v>259</v>
      </c>
      <c r="F37" s="103">
        <v>165528.34</v>
      </c>
      <c r="G37" s="115">
        <f t="shared" si="2"/>
        <v>5.0896143615460189E-3</v>
      </c>
    </row>
    <row r="38" spans="1:7" ht="12.75" customHeight="1" x14ac:dyDescent="0.45">
      <c r="A38" s="85" t="s">
        <v>37</v>
      </c>
      <c r="B38" s="103">
        <v>269269</v>
      </c>
      <c r="C38" s="103">
        <v>238190.5</v>
      </c>
      <c r="D38" s="103">
        <v>31078.5</v>
      </c>
      <c r="E38" s="103">
        <v>0</v>
      </c>
      <c r="F38" s="103">
        <v>31078.5</v>
      </c>
      <c r="G38" s="115">
        <f t="shared" si="2"/>
        <v>6.9611376624335365E-4</v>
      </c>
    </row>
    <row r="39" spans="1:7" ht="12.75" customHeight="1" x14ac:dyDescent="0.45">
      <c r="A39" s="85" t="s">
        <v>168</v>
      </c>
      <c r="B39" s="103">
        <v>1038</v>
      </c>
      <c r="C39" s="103">
        <v>65760</v>
      </c>
      <c r="D39" s="103">
        <v>-64722</v>
      </c>
      <c r="E39" s="103">
        <v>247266.12</v>
      </c>
      <c r="F39" s="103">
        <v>182544.12</v>
      </c>
      <c r="G39" s="115">
        <f t="shared" si="2"/>
        <v>2.6834358554479019E-6</v>
      </c>
    </row>
    <row r="40" spans="1:7" ht="12.75" customHeight="1" x14ac:dyDescent="0.45">
      <c r="A40" s="85" t="s">
        <v>38</v>
      </c>
      <c r="B40" s="103">
        <v>231605</v>
      </c>
      <c r="C40" s="103">
        <v>258150.76</v>
      </c>
      <c r="D40" s="103">
        <v>-26545.759999999998</v>
      </c>
      <c r="E40" s="103">
        <v>0</v>
      </c>
      <c r="F40" s="103">
        <v>-26545.759999999998</v>
      </c>
      <c r="G40" s="115">
        <f t="shared" si="2"/>
        <v>5.9874485674471219E-4</v>
      </c>
    </row>
    <row r="41" spans="1:7" ht="12.75" customHeight="1" x14ac:dyDescent="0.45">
      <c r="A41" s="85" t="s">
        <v>39</v>
      </c>
      <c r="B41" s="103">
        <v>40676510</v>
      </c>
      <c r="C41" s="103">
        <v>31276499.300000001</v>
      </c>
      <c r="D41" s="103">
        <v>9400010.6999999993</v>
      </c>
      <c r="E41" s="103">
        <v>4069093</v>
      </c>
      <c r="F41" s="103">
        <v>9199021.6999999993</v>
      </c>
      <c r="G41" s="115">
        <f t="shared" si="2"/>
        <v>0.10515684528755793</v>
      </c>
    </row>
    <row r="42" spans="1:7" ht="12.75" customHeight="1" x14ac:dyDescent="0.45">
      <c r="A42" s="85" t="s">
        <v>40</v>
      </c>
      <c r="B42" s="103">
        <v>500936</v>
      </c>
      <c r="C42" s="103">
        <v>307554.82</v>
      </c>
      <c r="D42" s="103">
        <v>193381.18</v>
      </c>
      <c r="E42" s="103">
        <v>-6293</v>
      </c>
      <c r="F42" s="103">
        <v>187088.18</v>
      </c>
      <c r="G42" s="115">
        <f t="shared" si="2"/>
        <v>1.2950189052838633E-3</v>
      </c>
    </row>
    <row r="43" spans="1:7" ht="12.75" customHeight="1" x14ac:dyDescent="0.45">
      <c r="A43" s="85" t="s">
        <v>41</v>
      </c>
      <c r="B43" s="103"/>
      <c r="C43" s="103"/>
      <c r="D43" s="103"/>
      <c r="E43" s="103"/>
      <c r="F43" s="103"/>
      <c r="G43" s="115"/>
    </row>
    <row r="44" spans="1:7" ht="12.75" customHeight="1" x14ac:dyDescent="0.45">
      <c r="A44" s="85" t="s">
        <v>121</v>
      </c>
      <c r="B44" s="103">
        <v>5042029</v>
      </c>
      <c r="C44" s="103">
        <v>4887409.25</v>
      </c>
      <c r="D44" s="103">
        <v>154619.75</v>
      </c>
      <c r="E44" s="103">
        <v>241191.73</v>
      </c>
      <c r="F44" s="103">
        <v>286963.48</v>
      </c>
      <c r="G44" s="115">
        <f>B44/$B$124</f>
        <v>1.3034644896732301E-2</v>
      </c>
    </row>
    <row r="45" spans="1:7" ht="12.75" customHeight="1" x14ac:dyDescent="0.45">
      <c r="A45" s="85" t="s">
        <v>43</v>
      </c>
      <c r="B45" s="103">
        <v>5367390</v>
      </c>
      <c r="C45" s="103">
        <v>4134663.99</v>
      </c>
      <c r="D45" s="103">
        <v>1232726.01</v>
      </c>
      <c r="E45" s="103">
        <v>132541.09</v>
      </c>
      <c r="F45" s="103">
        <v>1023950.31</v>
      </c>
      <c r="G45" s="115">
        <f>B45/$B$124</f>
        <v>1.3875767607102614E-2</v>
      </c>
    </row>
    <row r="46" spans="1:7" ht="12.75" customHeight="1" x14ac:dyDescent="0.45">
      <c r="A46" s="85" t="s">
        <v>44</v>
      </c>
      <c r="B46" s="103"/>
      <c r="C46" s="103"/>
      <c r="D46" s="103"/>
      <c r="E46" s="103"/>
      <c r="F46" s="103"/>
      <c r="G46" s="115"/>
    </row>
    <row r="47" spans="1:7" ht="12.75" customHeight="1" x14ac:dyDescent="0.45">
      <c r="A47" s="85" t="s">
        <v>137</v>
      </c>
      <c r="B47" s="103"/>
      <c r="C47" s="103"/>
      <c r="D47" s="103"/>
      <c r="E47" s="103"/>
      <c r="F47" s="103"/>
      <c r="G47" s="115"/>
    </row>
    <row r="48" spans="1:7" ht="12.75" customHeight="1" x14ac:dyDescent="0.45">
      <c r="A48" s="85" t="s">
        <v>46</v>
      </c>
      <c r="B48" s="103">
        <v>3485336</v>
      </c>
      <c r="C48" s="103">
        <v>3150369.43</v>
      </c>
      <c r="D48" s="103">
        <v>334966.57</v>
      </c>
      <c r="E48" s="103">
        <v>42906.65</v>
      </c>
      <c r="F48" s="103">
        <v>305998.21999999997</v>
      </c>
      <c r="G48" s="115">
        <f t="shared" ref="G48:G63" si="3">B48/$B$124</f>
        <v>9.0102847694444772E-3</v>
      </c>
    </row>
    <row r="49" spans="1:7" ht="12.75" customHeight="1" x14ac:dyDescent="0.45">
      <c r="A49" s="85" t="s">
        <v>47</v>
      </c>
      <c r="B49" s="103">
        <v>82948</v>
      </c>
      <c r="C49" s="103">
        <v>89335.06</v>
      </c>
      <c r="D49" s="103">
        <v>-6387.06</v>
      </c>
      <c r="E49" s="103">
        <v>9200</v>
      </c>
      <c r="F49" s="103">
        <v>2812.94</v>
      </c>
      <c r="G49" s="115">
        <f t="shared" si="3"/>
        <v>2.1443703019045525E-4</v>
      </c>
    </row>
    <row r="50" spans="1:7" ht="12.75" customHeight="1" x14ac:dyDescent="0.45">
      <c r="A50" s="85" t="s">
        <v>48</v>
      </c>
      <c r="B50" s="103">
        <v>270694</v>
      </c>
      <c r="C50" s="103">
        <v>256308</v>
      </c>
      <c r="D50" s="103">
        <v>14386</v>
      </c>
      <c r="E50" s="103">
        <v>259057</v>
      </c>
      <c r="F50" s="103">
        <v>273443</v>
      </c>
      <c r="G50" s="115">
        <f t="shared" si="3"/>
        <v>6.9979767384837602E-4</v>
      </c>
    </row>
    <row r="51" spans="1:7" ht="12.75" customHeight="1" x14ac:dyDescent="0.45">
      <c r="A51" s="85" t="s">
        <v>50</v>
      </c>
      <c r="B51" s="103">
        <v>2009900</v>
      </c>
      <c r="C51" s="103">
        <v>1692782</v>
      </c>
      <c r="D51" s="103">
        <v>317118</v>
      </c>
      <c r="E51" s="103">
        <v>114271</v>
      </c>
      <c r="F51" s="103">
        <v>331433</v>
      </c>
      <c r="G51" s="115">
        <f t="shared" si="3"/>
        <v>5.1959901019891499E-3</v>
      </c>
    </row>
    <row r="52" spans="1:7" ht="12.75" customHeight="1" x14ac:dyDescent="0.45">
      <c r="A52" s="85" t="s">
        <v>123</v>
      </c>
      <c r="B52" s="103">
        <v>401199</v>
      </c>
      <c r="C52" s="103">
        <v>402251.09</v>
      </c>
      <c r="D52" s="103">
        <v>-1052.0899999999999</v>
      </c>
      <c r="E52" s="103">
        <v>53208.41</v>
      </c>
      <c r="F52" s="103">
        <v>20420.38</v>
      </c>
      <c r="G52" s="115">
        <f t="shared" si="3"/>
        <v>1.0371789805104458E-3</v>
      </c>
    </row>
    <row r="53" spans="1:7" ht="12.75" customHeight="1" x14ac:dyDescent="0.45">
      <c r="A53" s="85" t="s">
        <v>51</v>
      </c>
      <c r="B53" s="103">
        <v>574439</v>
      </c>
      <c r="C53" s="103">
        <v>419895.91</v>
      </c>
      <c r="D53" s="103">
        <v>154543.09</v>
      </c>
      <c r="E53" s="103">
        <v>21952.39</v>
      </c>
      <c r="F53" s="103">
        <v>176495.48</v>
      </c>
      <c r="G53" s="115">
        <f t="shared" si="3"/>
        <v>1.4850387373483982E-3</v>
      </c>
    </row>
    <row r="54" spans="1:7" ht="12.75" customHeight="1" x14ac:dyDescent="0.45">
      <c r="A54" s="85" t="s">
        <v>153</v>
      </c>
      <c r="B54" s="103">
        <v>2294679</v>
      </c>
      <c r="C54" s="103">
        <v>1691381.12</v>
      </c>
      <c r="D54" s="103">
        <v>603297.88</v>
      </c>
      <c r="E54" s="103">
        <v>0</v>
      </c>
      <c r="F54" s="103">
        <v>603297.88</v>
      </c>
      <c r="G54" s="115">
        <f t="shared" si="3"/>
        <v>5.9322002941650633E-3</v>
      </c>
    </row>
    <row r="55" spans="1:7" ht="12.75" customHeight="1" x14ac:dyDescent="0.45">
      <c r="A55" s="85" t="s">
        <v>138</v>
      </c>
      <c r="B55" s="103">
        <v>1205084</v>
      </c>
      <c r="C55" s="103">
        <v>1243011</v>
      </c>
      <c r="D55" s="103">
        <v>-37927</v>
      </c>
      <c r="E55" s="103">
        <v>2581</v>
      </c>
      <c r="F55" s="103">
        <v>-35346</v>
      </c>
      <c r="G55" s="115">
        <f t="shared" si="3"/>
        <v>3.1153811314321572E-3</v>
      </c>
    </row>
    <row r="56" spans="1:7" ht="12.75" customHeight="1" x14ac:dyDescent="0.45">
      <c r="A56" s="85" t="s">
        <v>52</v>
      </c>
      <c r="B56" s="103">
        <v>9005482</v>
      </c>
      <c r="C56" s="103">
        <v>7694808</v>
      </c>
      <c r="D56" s="103">
        <v>1310674</v>
      </c>
      <c r="E56" s="103">
        <v>410151.85</v>
      </c>
      <c r="F56" s="103">
        <v>1720825.85</v>
      </c>
      <c r="G56" s="115">
        <f t="shared" si="3"/>
        <v>2.3280956931012217E-2</v>
      </c>
    </row>
    <row r="57" spans="1:7" ht="12.75" customHeight="1" x14ac:dyDescent="0.45">
      <c r="A57" s="85" t="s">
        <v>54</v>
      </c>
      <c r="B57" s="103">
        <v>1026613</v>
      </c>
      <c r="C57" s="103">
        <v>771890</v>
      </c>
      <c r="D57" s="103">
        <v>254723</v>
      </c>
      <c r="E57" s="103">
        <v>466599</v>
      </c>
      <c r="F57" s="103">
        <v>721322</v>
      </c>
      <c r="G57" s="115">
        <f t="shared" si="3"/>
        <v>2.6539982021858738E-3</v>
      </c>
    </row>
    <row r="58" spans="1:7" ht="12.75" customHeight="1" x14ac:dyDescent="0.45">
      <c r="A58" s="85" t="s">
        <v>55</v>
      </c>
      <c r="B58" s="103">
        <v>501246</v>
      </c>
      <c r="C58" s="103">
        <v>375283.68</v>
      </c>
      <c r="D58" s="103">
        <v>125962.32</v>
      </c>
      <c r="E58" s="103">
        <v>0</v>
      </c>
      <c r="F58" s="103">
        <v>102996.39</v>
      </c>
      <c r="G58" s="115">
        <f t="shared" si="3"/>
        <v>1.2958203167628506E-3</v>
      </c>
    </row>
    <row r="59" spans="1:7" ht="12.75" customHeight="1" x14ac:dyDescent="0.45">
      <c r="A59" s="85" t="s">
        <v>56</v>
      </c>
      <c r="B59" s="103">
        <v>1376544</v>
      </c>
      <c r="C59" s="103">
        <v>1267860</v>
      </c>
      <c r="D59" s="103">
        <v>108684</v>
      </c>
      <c r="E59" s="103">
        <v>17381</v>
      </c>
      <c r="F59" s="103">
        <v>125948</v>
      </c>
      <c r="G59" s="115">
        <f t="shared" si="3"/>
        <v>3.5586392352617308E-3</v>
      </c>
    </row>
    <row r="60" spans="1:7" ht="12.75" customHeight="1" x14ac:dyDescent="0.45">
      <c r="A60" s="85" t="s">
        <v>57</v>
      </c>
      <c r="B60" s="103">
        <v>7101701</v>
      </c>
      <c r="C60" s="103">
        <v>4811264</v>
      </c>
      <c r="D60" s="103">
        <v>2290437</v>
      </c>
      <c r="E60" s="103">
        <v>1108598</v>
      </c>
      <c r="F60" s="103">
        <v>2550582</v>
      </c>
      <c r="G60" s="115">
        <f t="shared" si="3"/>
        <v>1.8359305489470346E-2</v>
      </c>
    </row>
    <row r="61" spans="1:7" ht="12.75" customHeight="1" x14ac:dyDescent="0.45">
      <c r="A61" s="85" t="s">
        <v>60</v>
      </c>
      <c r="B61" s="103">
        <v>8285987</v>
      </c>
      <c r="C61" s="103">
        <v>4853963.41</v>
      </c>
      <c r="D61" s="103">
        <v>3432023.59</v>
      </c>
      <c r="E61" s="103">
        <v>1864589</v>
      </c>
      <c r="F61" s="103">
        <v>3972459.59</v>
      </c>
      <c r="G61" s="115">
        <f t="shared" si="3"/>
        <v>2.142091966625741E-2</v>
      </c>
    </row>
    <row r="62" spans="1:7" ht="12.75" customHeight="1" x14ac:dyDescent="0.45">
      <c r="A62" s="85" t="s">
        <v>61</v>
      </c>
      <c r="B62" s="103">
        <v>2574819</v>
      </c>
      <c r="C62" s="103">
        <v>1336844</v>
      </c>
      <c r="D62" s="103">
        <v>1237975</v>
      </c>
      <c r="E62" s="103">
        <v>857810.09</v>
      </c>
      <c r="F62" s="103">
        <v>1571838.84</v>
      </c>
      <c r="G62" s="115">
        <f t="shared" si="3"/>
        <v>6.6564177513376791E-3</v>
      </c>
    </row>
    <row r="63" spans="1:7" ht="12.75" customHeight="1" x14ac:dyDescent="0.45">
      <c r="A63" s="85" t="s">
        <v>62</v>
      </c>
      <c r="B63" s="103">
        <v>581972</v>
      </c>
      <c r="C63" s="103">
        <v>529484</v>
      </c>
      <c r="D63" s="103">
        <v>52488</v>
      </c>
      <c r="E63" s="103">
        <v>0</v>
      </c>
      <c r="F63" s="103">
        <v>38054</v>
      </c>
      <c r="G63" s="115">
        <f t="shared" si="3"/>
        <v>1.5045130362877903E-3</v>
      </c>
    </row>
    <row r="64" spans="1:7" ht="12.75" customHeight="1" x14ac:dyDescent="0.45">
      <c r="A64" s="85" t="s">
        <v>63</v>
      </c>
      <c r="B64" s="103"/>
      <c r="C64" s="103"/>
      <c r="D64" s="103"/>
      <c r="E64" s="103"/>
      <c r="F64" s="103"/>
      <c r="G64" s="115"/>
    </row>
    <row r="65" spans="1:7" ht="12.75" customHeight="1" x14ac:dyDescent="0.45">
      <c r="A65" s="85" t="s">
        <v>64</v>
      </c>
      <c r="B65" s="103">
        <v>490900</v>
      </c>
      <c r="C65" s="103">
        <v>332816.34000000003</v>
      </c>
      <c r="D65" s="103">
        <v>158083.66</v>
      </c>
      <c r="E65" s="103">
        <v>126486.28</v>
      </c>
      <c r="F65" s="103">
        <v>216322.43</v>
      </c>
      <c r="G65" s="115">
        <f t="shared" ref="G65:G73" si="4">B65/$B$124</f>
        <v>1.2690738549512282E-3</v>
      </c>
    </row>
    <row r="66" spans="1:7" ht="12.75" customHeight="1" x14ac:dyDescent="0.45">
      <c r="A66" s="85" t="s">
        <v>65</v>
      </c>
      <c r="B66" s="103">
        <v>61410961</v>
      </c>
      <c r="C66" s="103">
        <v>41837259.18</v>
      </c>
      <c r="D66" s="103">
        <v>19573701.82</v>
      </c>
      <c r="E66" s="103">
        <v>9904034.3300000001</v>
      </c>
      <c r="F66" s="103">
        <v>22108302.07</v>
      </c>
      <c r="G66" s="115">
        <f t="shared" si="4"/>
        <v>0.15875951316465581</v>
      </c>
    </row>
    <row r="67" spans="1:7" ht="12.75" customHeight="1" x14ac:dyDescent="0.45">
      <c r="A67" s="85" t="s">
        <v>66</v>
      </c>
      <c r="B67" s="103">
        <v>22770558</v>
      </c>
      <c r="C67" s="103">
        <v>9858914</v>
      </c>
      <c r="D67" s="103">
        <v>12911644</v>
      </c>
      <c r="E67" s="103">
        <v>3933470</v>
      </c>
      <c r="F67" s="103">
        <v>12212728</v>
      </c>
      <c r="G67" s="115">
        <f t="shared" si="4"/>
        <v>5.8866408271441295E-2</v>
      </c>
    </row>
    <row r="68" spans="1:7" ht="12.75" customHeight="1" x14ac:dyDescent="0.45">
      <c r="A68" s="85" t="s">
        <v>67</v>
      </c>
      <c r="B68" s="103">
        <v>1108830</v>
      </c>
      <c r="C68" s="103">
        <v>1031180.86</v>
      </c>
      <c r="D68" s="103">
        <v>77649.14</v>
      </c>
      <c r="E68" s="103">
        <v>340.97</v>
      </c>
      <c r="F68" s="103">
        <v>58492.69</v>
      </c>
      <c r="G68" s="115">
        <f t="shared" si="4"/>
        <v>2.8665454524049103E-3</v>
      </c>
    </row>
    <row r="69" spans="1:7" ht="12.75" customHeight="1" x14ac:dyDescent="0.45">
      <c r="A69" s="85" t="s">
        <v>139</v>
      </c>
      <c r="B69" s="103">
        <v>1181801</v>
      </c>
      <c r="C69" s="103">
        <v>989521.06</v>
      </c>
      <c r="D69" s="103">
        <v>192279.94</v>
      </c>
      <c r="E69" s="103">
        <v>227575.54</v>
      </c>
      <c r="F69" s="103">
        <v>302713.48</v>
      </c>
      <c r="G69" s="115">
        <f t="shared" si="4"/>
        <v>3.0551899589635703E-3</v>
      </c>
    </row>
    <row r="70" spans="1:7" ht="12.75" customHeight="1" x14ac:dyDescent="0.45">
      <c r="A70" s="85" t="s">
        <v>68</v>
      </c>
      <c r="B70" s="103">
        <v>441380</v>
      </c>
      <c r="C70" s="103">
        <v>115671</v>
      </c>
      <c r="D70" s="103">
        <v>325709</v>
      </c>
      <c r="E70" s="103">
        <v>20834.41</v>
      </c>
      <c r="F70" s="103">
        <v>344043.41</v>
      </c>
      <c r="G70" s="115">
        <f t="shared" si="4"/>
        <v>1.1410548341788005E-3</v>
      </c>
    </row>
    <row r="71" spans="1:7" ht="12.75" customHeight="1" x14ac:dyDescent="0.45">
      <c r="A71" s="85" t="s">
        <v>69</v>
      </c>
      <c r="B71" s="103">
        <v>1455847</v>
      </c>
      <c r="C71" s="103">
        <v>1215687</v>
      </c>
      <c r="D71" s="103">
        <v>240160</v>
      </c>
      <c r="E71" s="103">
        <v>31112</v>
      </c>
      <c r="F71" s="103">
        <v>271272</v>
      </c>
      <c r="G71" s="115">
        <f t="shared" si="4"/>
        <v>3.7636532175782866E-3</v>
      </c>
    </row>
    <row r="72" spans="1:7" ht="12.75" customHeight="1" x14ac:dyDescent="0.45">
      <c r="A72" s="85" t="s">
        <v>141</v>
      </c>
      <c r="B72" s="103">
        <v>137755</v>
      </c>
      <c r="C72" s="103">
        <v>111118.12</v>
      </c>
      <c r="D72" s="103">
        <v>26636.880000000001</v>
      </c>
      <c r="E72" s="103">
        <v>0</v>
      </c>
      <c r="F72" s="103">
        <v>26636.880000000001</v>
      </c>
      <c r="G72" s="115">
        <f t="shared" si="4"/>
        <v>3.5612399447709607E-4</v>
      </c>
    </row>
    <row r="73" spans="1:7" ht="12.75" customHeight="1" x14ac:dyDescent="0.45">
      <c r="A73" s="85" t="s">
        <v>110</v>
      </c>
      <c r="B73" s="103">
        <v>1269430</v>
      </c>
      <c r="C73" s="103">
        <v>361249.83</v>
      </c>
      <c r="D73" s="103">
        <v>908180.17</v>
      </c>
      <c r="E73" s="103">
        <v>0</v>
      </c>
      <c r="F73" s="103">
        <v>908180.17</v>
      </c>
      <c r="G73" s="115">
        <f t="shared" si="4"/>
        <v>3.2817283024867343E-3</v>
      </c>
    </row>
    <row r="74" spans="1:7" ht="12.75" customHeight="1" x14ac:dyDescent="0.45">
      <c r="A74" s="85" t="s">
        <v>143</v>
      </c>
      <c r="B74" s="103"/>
      <c r="C74" s="103"/>
      <c r="D74" s="103"/>
      <c r="E74" s="103"/>
      <c r="F74" s="103"/>
      <c r="G74" s="115"/>
    </row>
    <row r="75" spans="1:7" ht="12.75" customHeight="1" x14ac:dyDescent="0.45">
      <c r="A75" s="85" t="s">
        <v>125</v>
      </c>
      <c r="B75" s="103">
        <v>37500</v>
      </c>
      <c r="C75" s="103">
        <v>37256.89</v>
      </c>
      <c r="D75" s="103">
        <v>243.11</v>
      </c>
      <c r="E75" s="103">
        <v>0</v>
      </c>
      <c r="F75" s="103">
        <v>243.11</v>
      </c>
      <c r="G75" s="115">
        <f>B75/$B$124</f>
        <v>9.6944936974273911E-5</v>
      </c>
    </row>
    <row r="76" spans="1:7" ht="12.75" customHeight="1" x14ac:dyDescent="0.45">
      <c r="A76" s="85" t="s">
        <v>71</v>
      </c>
      <c r="B76" s="103">
        <v>753513</v>
      </c>
      <c r="C76" s="103">
        <v>493863.71</v>
      </c>
      <c r="D76" s="103">
        <v>259649.29</v>
      </c>
      <c r="E76" s="103">
        <v>0</v>
      </c>
      <c r="F76" s="103">
        <v>233407.95</v>
      </c>
      <c r="G76" s="115">
        <f>B76/$B$124</f>
        <v>1.9479805411812281E-3</v>
      </c>
    </row>
    <row r="77" spans="1:7" ht="12.75" customHeight="1" x14ac:dyDescent="0.45">
      <c r="A77" s="85" t="s">
        <v>72</v>
      </c>
      <c r="B77" s="103"/>
      <c r="C77" s="103"/>
      <c r="D77" s="103"/>
      <c r="E77" s="103"/>
      <c r="F77" s="103"/>
      <c r="G77" s="115"/>
    </row>
    <row r="78" spans="1:7" ht="12.75" customHeight="1" x14ac:dyDescent="0.45">
      <c r="A78" s="85" t="s">
        <v>73</v>
      </c>
      <c r="B78" s="103">
        <v>471610</v>
      </c>
      <c r="C78" s="103">
        <v>253445.75</v>
      </c>
      <c r="D78" s="103">
        <v>218164.25</v>
      </c>
      <c r="E78" s="103">
        <v>0</v>
      </c>
      <c r="F78" s="103">
        <v>163623.19</v>
      </c>
      <c r="G78" s="115">
        <f t="shared" ref="G78:G86" si="5">B78/$B$124</f>
        <v>1.2192053793716618E-3</v>
      </c>
    </row>
    <row r="79" spans="1:7" ht="12.75" customHeight="1" x14ac:dyDescent="0.45">
      <c r="A79" s="85" t="s">
        <v>126</v>
      </c>
      <c r="B79" s="103">
        <v>229175</v>
      </c>
      <c r="C79" s="103">
        <v>251403</v>
      </c>
      <c r="D79" s="103">
        <v>-22228</v>
      </c>
      <c r="E79" s="103">
        <v>0</v>
      </c>
      <c r="F79" s="103">
        <v>-55212</v>
      </c>
      <c r="G79" s="115">
        <f t="shared" si="5"/>
        <v>5.9246282482877926E-4</v>
      </c>
    </row>
    <row r="80" spans="1:7" ht="12.75" customHeight="1" x14ac:dyDescent="0.45">
      <c r="A80" s="85" t="s">
        <v>75</v>
      </c>
      <c r="B80" s="103">
        <v>19120</v>
      </c>
      <c r="C80" s="103">
        <v>49560</v>
      </c>
      <c r="D80" s="103">
        <v>-30440</v>
      </c>
      <c r="E80" s="103">
        <v>0</v>
      </c>
      <c r="F80" s="103">
        <v>-30440</v>
      </c>
      <c r="G80" s="115">
        <f t="shared" si="5"/>
        <v>4.9428991865283125E-5</v>
      </c>
    </row>
    <row r="81" spans="1:7" ht="12.75" customHeight="1" x14ac:dyDescent="0.45">
      <c r="A81" s="85" t="s">
        <v>76</v>
      </c>
      <c r="B81" s="103">
        <v>110162</v>
      </c>
      <c r="C81" s="103">
        <v>105894.78</v>
      </c>
      <c r="D81" s="103">
        <v>4267.22</v>
      </c>
      <c r="E81" s="103">
        <v>0</v>
      </c>
      <c r="F81" s="103">
        <v>3200.22</v>
      </c>
      <c r="G81" s="115">
        <f t="shared" si="5"/>
        <v>2.8479061725226567E-4</v>
      </c>
    </row>
    <row r="82" spans="1:7" ht="12.75" customHeight="1" x14ac:dyDescent="0.45">
      <c r="A82" s="85" t="s">
        <v>77</v>
      </c>
      <c r="B82" s="103">
        <v>20847560</v>
      </c>
      <c r="C82" s="103">
        <v>12808190.59</v>
      </c>
      <c r="D82" s="103">
        <v>8039369.4100000001</v>
      </c>
      <c r="E82" s="103">
        <v>1080704.26</v>
      </c>
      <c r="F82" s="103">
        <v>7025984.5499999998</v>
      </c>
      <c r="G82" s="115">
        <f t="shared" si="5"/>
        <v>5.3895077073797169E-2</v>
      </c>
    </row>
    <row r="83" spans="1:7" ht="12.75" customHeight="1" x14ac:dyDescent="0.45">
      <c r="A83" s="85" t="s">
        <v>78</v>
      </c>
      <c r="B83" s="103">
        <v>1191990</v>
      </c>
      <c r="C83" s="103">
        <v>1004449</v>
      </c>
      <c r="D83" s="103">
        <v>187541</v>
      </c>
      <c r="E83" s="103">
        <v>151062</v>
      </c>
      <c r="F83" s="103">
        <v>253952</v>
      </c>
      <c r="G83" s="115">
        <f t="shared" si="5"/>
        <v>3.0815305446390603E-3</v>
      </c>
    </row>
    <row r="84" spans="1:7" ht="12.75" customHeight="1" x14ac:dyDescent="0.45">
      <c r="A84" s="85" t="s">
        <v>154</v>
      </c>
      <c r="B84" s="103">
        <v>111960</v>
      </c>
      <c r="C84" s="103">
        <v>165450.72</v>
      </c>
      <c r="D84" s="103">
        <v>-53490.720000000001</v>
      </c>
      <c r="E84" s="103">
        <v>0</v>
      </c>
      <c r="F84" s="103">
        <v>-53490.720000000001</v>
      </c>
      <c r="G84" s="115">
        <f t="shared" si="5"/>
        <v>2.8943880383039216E-4</v>
      </c>
    </row>
    <row r="85" spans="1:7" ht="12.75" customHeight="1" x14ac:dyDescent="0.45">
      <c r="A85" s="85" t="s">
        <v>111</v>
      </c>
      <c r="B85" s="103">
        <v>1082431</v>
      </c>
      <c r="C85" s="103">
        <v>1000507.7</v>
      </c>
      <c r="D85" s="103">
        <v>81923.3</v>
      </c>
      <c r="E85" s="103">
        <v>22023</v>
      </c>
      <c r="F85" s="103">
        <v>87491.8</v>
      </c>
      <c r="G85" s="115">
        <f t="shared" si="5"/>
        <v>2.7982988019733409E-3</v>
      </c>
    </row>
    <row r="86" spans="1:7" ht="12.75" customHeight="1" x14ac:dyDescent="0.45">
      <c r="A86" s="85" t="s">
        <v>80</v>
      </c>
      <c r="B86" s="103">
        <v>3516397</v>
      </c>
      <c r="C86" s="103">
        <v>2777702</v>
      </c>
      <c r="D86" s="103">
        <v>738695</v>
      </c>
      <c r="E86" s="103">
        <v>85662</v>
      </c>
      <c r="F86" s="103">
        <v>618268</v>
      </c>
      <c r="G86" s="115">
        <f t="shared" si="5"/>
        <v>9.0905836144406886E-3</v>
      </c>
    </row>
    <row r="87" spans="1:7" ht="12.75" customHeight="1" x14ac:dyDescent="0.45">
      <c r="A87" s="85" t="s">
        <v>81</v>
      </c>
      <c r="B87" s="103"/>
      <c r="C87" s="103"/>
      <c r="D87" s="103"/>
      <c r="E87" s="103"/>
      <c r="F87" s="103"/>
      <c r="G87" s="115"/>
    </row>
    <row r="88" spans="1:7" ht="12.75" customHeight="1" x14ac:dyDescent="0.45">
      <c r="A88" s="85" t="s">
        <v>82</v>
      </c>
      <c r="B88" s="103">
        <v>0</v>
      </c>
      <c r="C88" s="103">
        <v>38845</v>
      </c>
      <c r="D88" s="103">
        <v>-38845</v>
      </c>
      <c r="E88" s="103">
        <v>41500</v>
      </c>
      <c r="F88" s="103">
        <v>2655</v>
      </c>
      <c r="G88" s="115"/>
    </row>
    <row r="89" spans="1:7" ht="12.75" customHeight="1" x14ac:dyDescent="0.45">
      <c r="A89" s="85" t="s">
        <v>171</v>
      </c>
      <c r="B89" s="103"/>
      <c r="C89" s="103"/>
      <c r="D89" s="103"/>
      <c r="E89" s="103"/>
      <c r="F89" s="103"/>
      <c r="G89" s="115"/>
    </row>
    <row r="90" spans="1:7" ht="12.75" customHeight="1" x14ac:dyDescent="0.45">
      <c r="A90" s="85" t="s">
        <v>83</v>
      </c>
      <c r="B90" s="103">
        <v>4625639</v>
      </c>
      <c r="C90" s="103">
        <v>4839663.1500000004</v>
      </c>
      <c r="D90" s="103">
        <v>-214024.15</v>
      </c>
      <c r="E90" s="103">
        <v>1505522.3</v>
      </c>
      <c r="F90" s="103">
        <v>1158062.55</v>
      </c>
      <c r="G90" s="115">
        <f>B90/$B$124</f>
        <v>1.1958194168553158E-2</v>
      </c>
    </row>
    <row r="91" spans="1:7" ht="12.75" customHeight="1" x14ac:dyDescent="0.45">
      <c r="A91" s="85" t="s">
        <v>112</v>
      </c>
      <c r="B91" s="103">
        <v>63293</v>
      </c>
      <c r="C91" s="103">
        <v>96557.68</v>
      </c>
      <c r="D91" s="103">
        <v>-33264.68</v>
      </c>
      <c r="E91" s="103">
        <v>14205</v>
      </c>
      <c r="F91" s="103">
        <v>-19059.68</v>
      </c>
      <c r="G91" s="115">
        <f>B91/$B$124</f>
        <v>1.6362495722433917E-4</v>
      </c>
    </row>
    <row r="92" spans="1:7" ht="12.75" customHeight="1" x14ac:dyDescent="0.45">
      <c r="A92" s="85" t="s">
        <v>84</v>
      </c>
      <c r="B92" s="103">
        <v>913670</v>
      </c>
      <c r="C92" s="103">
        <v>1201179.02</v>
      </c>
      <c r="D92" s="103">
        <v>-287509.02</v>
      </c>
      <c r="E92" s="103">
        <v>291075</v>
      </c>
      <c r="F92" s="103">
        <v>2674.48</v>
      </c>
      <c r="G92" s="115">
        <f>B92/$B$124</f>
        <v>2.3620181484075957E-3</v>
      </c>
    </row>
    <row r="93" spans="1:7" ht="12.75" customHeight="1" x14ac:dyDescent="0.45">
      <c r="A93" s="85" t="s">
        <v>85</v>
      </c>
      <c r="B93" s="103"/>
      <c r="C93" s="103"/>
      <c r="D93" s="103"/>
      <c r="E93" s="103"/>
      <c r="F93" s="103"/>
      <c r="G93" s="115"/>
    </row>
    <row r="94" spans="1:7" ht="12.75" customHeight="1" x14ac:dyDescent="0.45">
      <c r="A94" s="85" t="s">
        <v>86</v>
      </c>
      <c r="B94" s="103">
        <v>6650977</v>
      </c>
      <c r="C94" s="103">
        <v>5798551.96</v>
      </c>
      <c r="D94" s="103">
        <v>852425.04</v>
      </c>
      <c r="E94" s="103">
        <v>1150106.3700000001</v>
      </c>
      <c r="F94" s="103">
        <v>2002531.41</v>
      </c>
      <c r="G94" s="115">
        <f t="shared" ref="G94:G103" si="6">B94/$B$124</f>
        <v>1.7194094562195877E-2</v>
      </c>
    </row>
    <row r="95" spans="1:7" ht="12.75" customHeight="1" x14ac:dyDescent="0.45">
      <c r="A95" s="85" t="s">
        <v>87</v>
      </c>
      <c r="B95" s="103">
        <v>151678</v>
      </c>
      <c r="C95" s="103">
        <v>155858.37</v>
      </c>
      <c r="D95" s="103">
        <v>-4180.37</v>
      </c>
      <c r="E95" s="103">
        <v>0</v>
      </c>
      <c r="F95" s="103">
        <v>-4180.37</v>
      </c>
      <c r="G95" s="115">
        <f t="shared" si="6"/>
        <v>3.9211771067690446E-4</v>
      </c>
    </row>
    <row r="96" spans="1:7" ht="12.75" customHeight="1" x14ac:dyDescent="0.45">
      <c r="A96" s="85" t="s">
        <v>89</v>
      </c>
      <c r="B96" s="103">
        <v>285358</v>
      </c>
      <c r="C96" s="103">
        <v>109874.6</v>
      </c>
      <c r="D96" s="103">
        <v>175483.4</v>
      </c>
      <c r="E96" s="103">
        <v>10694.85</v>
      </c>
      <c r="F96" s="103">
        <v>186178.25</v>
      </c>
      <c r="G96" s="115">
        <f t="shared" si="6"/>
        <v>7.3770702200279606E-4</v>
      </c>
    </row>
    <row r="97" spans="1:7" ht="12.75" customHeight="1" x14ac:dyDescent="0.45">
      <c r="A97" s="85" t="s">
        <v>144</v>
      </c>
      <c r="B97" s="103">
        <v>106977</v>
      </c>
      <c r="C97" s="103">
        <v>160000</v>
      </c>
      <c r="D97" s="103">
        <v>-53023</v>
      </c>
      <c r="E97" s="103">
        <v>0</v>
      </c>
      <c r="F97" s="103">
        <v>-53023</v>
      </c>
      <c r="G97" s="115">
        <f t="shared" si="6"/>
        <v>2.7655676060525067E-4</v>
      </c>
    </row>
    <row r="98" spans="1:7" ht="12.75" customHeight="1" x14ac:dyDescent="0.45">
      <c r="A98" s="85" t="s">
        <v>90</v>
      </c>
      <c r="B98" s="103">
        <v>4872429</v>
      </c>
      <c r="C98" s="103">
        <v>2538209</v>
      </c>
      <c r="D98" s="103">
        <v>2334220</v>
      </c>
      <c r="E98" s="103">
        <v>0</v>
      </c>
      <c r="F98" s="103">
        <v>2334220</v>
      </c>
      <c r="G98" s="115">
        <f t="shared" si="6"/>
        <v>1.2596195261776652E-2</v>
      </c>
    </row>
    <row r="99" spans="1:7" ht="12.75" customHeight="1" x14ac:dyDescent="0.45">
      <c r="A99" s="85" t="s">
        <v>91</v>
      </c>
      <c r="B99" s="103">
        <v>23306663</v>
      </c>
      <c r="C99" s="103">
        <v>14521175</v>
      </c>
      <c r="D99" s="103">
        <v>8785488</v>
      </c>
      <c r="E99" s="103">
        <v>469380</v>
      </c>
      <c r="F99" s="103">
        <v>6774114</v>
      </c>
      <c r="G99" s="115">
        <f t="shared" si="6"/>
        <v>6.0252346016417109E-2</v>
      </c>
    </row>
    <row r="100" spans="1:7" ht="12.75" customHeight="1" x14ac:dyDescent="0.45">
      <c r="A100" s="85" t="s">
        <v>92</v>
      </c>
      <c r="B100" s="103">
        <v>36000</v>
      </c>
      <c r="C100" s="103">
        <v>15002</v>
      </c>
      <c r="D100" s="103">
        <v>20998</v>
      </c>
      <c r="E100" s="103">
        <v>0</v>
      </c>
      <c r="F100" s="103">
        <v>20998</v>
      </c>
      <c r="G100" s="115">
        <f t="shared" si="6"/>
        <v>9.3067139495302958E-5</v>
      </c>
    </row>
    <row r="101" spans="1:7" ht="12.75" customHeight="1" x14ac:dyDescent="0.45">
      <c r="A101" s="85" t="s">
        <v>93</v>
      </c>
      <c r="B101" s="103">
        <v>318792</v>
      </c>
      <c r="C101" s="103">
        <v>323904</v>
      </c>
      <c r="D101" s="103">
        <v>-5112</v>
      </c>
      <c r="E101" s="103">
        <v>346154</v>
      </c>
      <c r="F101" s="103">
        <v>327718</v>
      </c>
      <c r="G101" s="115">
        <f t="shared" si="6"/>
        <v>8.2414054261073944E-4</v>
      </c>
    </row>
    <row r="102" spans="1:7" ht="12.75" customHeight="1" x14ac:dyDescent="0.45">
      <c r="A102" s="85" t="s">
        <v>113</v>
      </c>
      <c r="B102" s="103">
        <v>1525117</v>
      </c>
      <c r="C102" s="103">
        <v>660323.78</v>
      </c>
      <c r="D102" s="103">
        <v>864793.22</v>
      </c>
      <c r="E102" s="103">
        <v>0</v>
      </c>
      <c r="F102" s="103">
        <v>648594.92000000004</v>
      </c>
      <c r="G102" s="115">
        <f t="shared" si="6"/>
        <v>3.9427299051571652E-3</v>
      </c>
    </row>
    <row r="103" spans="1:7" ht="12.75" customHeight="1" x14ac:dyDescent="0.45">
      <c r="A103" s="85" t="s">
        <v>94</v>
      </c>
      <c r="B103" s="103">
        <v>7606916</v>
      </c>
      <c r="C103" s="103">
        <v>6421139.1600000001</v>
      </c>
      <c r="D103" s="103">
        <v>1185776.8400000001</v>
      </c>
      <c r="E103" s="103">
        <v>264411.73</v>
      </c>
      <c r="F103" s="103">
        <v>1427688.57</v>
      </c>
      <c r="G103" s="115">
        <f t="shared" si="6"/>
        <v>1.9665386458362553E-2</v>
      </c>
    </row>
    <row r="104" spans="1:7" ht="12.75" customHeight="1" x14ac:dyDescent="0.45">
      <c r="A104" s="85" t="s">
        <v>155</v>
      </c>
      <c r="B104" s="103"/>
      <c r="C104" s="103"/>
      <c r="D104" s="103"/>
      <c r="E104" s="103"/>
      <c r="F104" s="103"/>
      <c r="G104" s="115"/>
    </row>
    <row r="105" spans="1:7" ht="12.75" customHeight="1" x14ac:dyDescent="0.45">
      <c r="A105" s="85" t="s">
        <v>114</v>
      </c>
      <c r="B105" s="103">
        <v>5380846</v>
      </c>
      <c r="C105" s="103">
        <v>3655081.01</v>
      </c>
      <c r="D105" s="103">
        <v>1725764.99</v>
      </c>
      <c r="E105" s="103">
        <v>598098</v>
      </c>
      <c r="F105" s="103">
        <v>1742896.99</v>
      </c>
      <c r="G105" s="115">
        <f>B105/$B$124</f>
        <v>1.3910554035687302E-2</v>
      </c>
    </row>
    <row r="106" spans="1:7" ht="12.75" customHeight="1" x14ac:dyDescent="0.45">
      <c r="A106" s="85" t="s">
        <v>95</v>
      </c>
      <c r="B106" s="103">
        <v>247329</v>
      </c>
      <c r="C106" s="103">
        <v>168404.6</v>
      </c>
      <c r="D106" s="103">
        <v>78924.399999999994</v>
      </c>
      <c r="E106" s="103">
        <v>0</v>
      </c>
      <c r="F106" s="103">
        <v>78924.399999999994</v>
      </c>
      <c r="G106" s="115">
        <f>B106/$B$124</f>
        <v>6.3939451511760509E-4</v>
      </c>
    </row>
    <row r="107" spans="1:7" ht="12.75" customHeight="1" x14ac:dyDescent="0.45">
      <c r="A107" s="85" t="s">
        <v>96</v>
      </c>
      <c r="B107" s="103">
        <v>498963</v>
      </c>
      <c r="C107" s="103">
        <v>540854.18999999994</v>
      </c>
      <c r="D107" s="103">
        <v>-41891.19</v>
      </c>
      <c r="E107" s="103">
        <v>0</v>
      </c>
      <c r="F107" s="103">
        <v>-41891.19</v>
      </c>
      <c r="G107" s="115">
        <f>B107/$B$124</f>
        <v>1.2899183089998569E-3</v>
      </c>
    </row>
    <row r="108" spans="1:7" ht="12.75" customHeight="1" x14ac:dyDescent="0.45">
      <c r="A108" s="85" t="s">
        <v>145</v>
      </c>
      <c r="B108" s="103">
        <v>33463</v>
      </c>
      <c r="C108" s="103">
        <v>128468.24</v>
      </c>
      <c r="D108" s="103">
        <v>-95005.24</v>
      </c>
      <c r="E108" s="103">
        <v>19466.32</v>
      </c>
      <c r="F108" s="103">
        <v>-75538.92</v>
      </c>
      <c r="G108" s="115">
        <f>B108/$B$124</f>
        <v>8.6508491359203412E-5</v>
      </c>
    </row>
    <row r="109" spans="1:7" ht="12.75" customHeight="1" x14ac:dyDescent="0.45">
      <c r="A109" s="85" t="s">
        <v>97</v>
      </c>
      <c r="B109" s="103">
        <v>697628</v>
      </c>
      <c r="C109" s="103">
        <v>217392</v>
      </c>
      <c r="D109" s="103">
        <v>480236</v>
      </c>
      <c r="E109" s="103">
        <v>38541</v>
      </c>
      <c r="F109" s="103">
        <v>518777</v>
      </c>
      <c r="G109" s="115">
        <f>B109/$B$124</f>
        <v>1.8035067331063669E-3</v>
      </c>
    </row>
    <row r="110" spans="1:7" ht="12.75" customHeight="1" x14ac:dyDescent="0.45">
      <c r="A110" s="85" t="s">
        <v>98</v>
      </c>
      <c r="B110" s="103"/>
      <c r="C110" s="103"/>
      <c r="D110" s="103"/>
      <c r="E110" s="103"/>
      <c r="F110" s="103"/>
      <c r="G110" s="115"/>
    </row>
    <row r="111" spans="1:7" ht="12.75" customHeight="1" x14ac:dyDescent="0.45">
      <c r="A111" s="85" t="s">
        <v>99</v>
      </c>
      <c r="B111" s="103">
        <v>763158</v>
      </c>
      <c r="C111" s="103">
        <v>656195.28</v>
      </c>
      <c r="D111" s="103">
        <v>106962.72</v>
      </c>
      <c r="E111" s="103">
        <v>58780.35</v>
      </c>
      <c r="F111" s="103">
        <v>124307.3</v>
      </c>
      <c r="G111" s="115">
        <f>B111/$B$124</f>
        <v>1.9729147789710115E-3</v>
      </c>
    </row>
    <row r="112" spans="1:7" ht="12.75" customHeight="1" x14ac:dyDescent="0.45">
      <c r="A112" s="85" t="s">
        <v>100</v>
      </c>
      <c r="B112" s="103">
        <v>6758134</v>
      </c>
      <c r="C112" s="103">
        <v>5087507.8499999996</v>
      </c>
      <c r="D112" s="103">
        <v>1670626.15</v>
      </c>
      <c r="E112" s="103">
        <v>784393.53</v>
      </c>
      <c r="F112" s="103">
        <v>2455019.6800000002</v>
      </c>
      <c r="G112" s="115">
        <f>B112/$B$124</f>
        <v>1.7471116658498605E-2</v>
      </c>
    </row>
    <row r="113" spans="1:7" ht="12.75" customHeight="1" x14ac:dyDescent="0.45">
      <c r="A113" s="85" t="s">
        <v>101</v>
      </c>
      <c r="B113" s="103"/>
      <c r="C113" s="103"/>
      <c r="D113" s="103"/>
      <c r="E113" s="103"/>
      <c r="F113" s="103"/>
      <c r="G113" s="115"/>
    </row>
    <row r="114" spans="1:7" ht="12.75" customHeight="1" x14ac:dyDescent="0.45">
      <c r="A114" s="85" t="s">
        <v>102</v>
      </c>
      <c r="B114" s="103"/>
      <c r="C114" s="103"/>
      <c r="D114" s="103"/>
      <c r="E114" s="103"/>
      <c r="F114" s="103"/>
      <c r="G114" s="115"/>
    </row>
    <row r="115" spans="1:7" ht="12.75" customHeight="1" x14ac:dyDescent="0.45">
      <c r="A115" s="85" t="s">
        <v>156</v>
      </c>
      <c r="B115" s="103">
        <v>176568</v>
      </c>
      <c r="C115" s="103">
        <v>104274.19</v>
      </c>
      <c r="D115" s="103">
        <v>72293.81</v>
      </c>
      <c r="E115" s="103">
        <v>0</v>
      </c>
      <c r="F115" s="103">
        <v>72293.81</v>
      </c>
      <c r="G115" s="115">
        <f t="shared" ref="G115:G121" si="7">B115/$B$124</f>
        <v>4.5646329684462922E-4</v>
      </c>
    </row>
    <row r="116" spans="1:7" ht="12.75" customHeight="1" x14ac:dyDescent="0.45">
      <c r="A116" s="85" t="s">
        <v>157</v>
      </c>
      <c r="B116" s="103">
        <v>1433725</v>
      </c>
      <c r="C116" s="103">
        <v>960801.23</v>
      </c>
      <c r="D116" s="103">
        <v>472923.77</v>
      </c>
      <c r="E116" s="103">
        <v>168147.23</v>
      </c>
      <c r="F116" s="103">
        <v>641071</v>
      </c>
      <c r="G116" s="115">
        <f t="shared" si="7"/>
        <v>3.7064634603584229E-3</v>
      </c>
    </row>
    <row r="117" spans="1:7" ht="12.75" customHeight="1" x14ac:dyDescent="0.45">
      <c r="A117" s="85" t="s">
        <v>103</v>
      </c>
      <c r="B117" s="103">
        <v>3152191</v>
      </c>
      <c r="C117" s="103">
        <v>1299649.96</v>
      </c>
      <c r="D117" s="103">
        <v>1852541.04</v>
      </c>
      <c r="E117" s="103">
        <v>56137.56</v>
      </c>
      <c r="F117" s="103">
        <v>1908678.6</v>
      </c>
      <c r="G117" s="115">
        <f t="shared" si="7"/>
        <v>8.1490388753566248E-3</v>
      </c>
    </row>
    <row r="118" spans="1:7" ht="12.75" customHeight="1" x14ac:dyDescent="0.45">
      <c r="A118" s="85" t="s">
        <v>104</v>
      </c>
      <c r="B118" s="103">
        <v>530693</v>
      </c>
      <c r="C118" s="103">
        <v>1158077.57</v>
      </c>
      <c r="D118" s="103">
        <v>-627384.56999999995</v>
      </c>
      <c r="E118" s="103">
        <v>-3016.36</v>
      </c>
      <c r="F118" s="103">
        <v>-630400.93000000005</v>
      </c>
      <c r="G118" s="115">
        <f t="shared" si="7"/>
        <v>1.3719466516716892E-3</v>
      </c>
    </row>
    <row r="119" spans="1:7" ht="12.75" customHeight="1" x14ac:dyDescent="0.45">
      <c r="A119" s="85" t="s">
        <v>105</v>
      </c>
      <c r="B119" s="103">
        <v>1550063</v>
      </c>
      <c r="C119" s="103">
        <v>916174.76</v>
      </c>
      <c r="D119" s="103">
        <v>633888.24</v>
      </c>
      <c r="E119" s="103">
        <v>0</v>
      </c>
      <c r="F119" s="103">
        <v>475416.24</v>
      </c>
      <c r="G119" s="115">
        <f t="shared" si="7"/>
        <v>4.0072202624307713E-3</v>
      </c>
    </row>
    <row r="120" spans="1:7" ht="12.75" customHeight="1" x14ac:dyDescent="0.45">
      <c r="A120" s="85" t="s">
        <v>106</v>
      </c>
      <c r="B120" s="103">
        <v>40254980</v>
      </c>
      <c r="C120" s="103">
        <v>11124630.58</v>
      </c>
      <c r="D120" s="103">
        <v>29130349.420000002</v>
      </c>
      <c r="E120" s="103">
        <v>8254757.5599999996</v>
      </c>
      <c r="F120" s="103">
        <v>28038830.239999998</v>
      </c>
      <c r="G120" s="115">
        <f t="shared" si="7"/>
        <v>0.10406710664001752</v>
      </c>
    </row>
    <row r="121" spans="1:7" ht="12.75" customHeight="1" x14ac:dyDescent="0.45">
      <c r="A121" s="85" t="s">
        <v>146</v>
      </c>
      <c r="B121" s="103">
        <v>128802</v>
      </c>
      <c r="C121" s="103">
        <v>200591.04</v>
      </c>
      <c r="D121" s="103">
        <v>-71789.039999999994</v>
      </c>
      <c r="E121" s="103">
        <v>29442.92</v>
      </c>
      <c r="F121" s="103">
        <v>-42346.13</v>
      </c>
      <c r="G121" s="115">
        <f t="shared" si="7"/>
        <v>3.3297871392427809E-4</v>
      </c>
    </row>
    <row r="122" spans="1:7" ht="12.75" customHeight="1" x14ac:dyDescent="0.45">
      <c r="A122" s="85" t="s">
        <v>107</v>
      </c>
      <c r="B122" s="123"/>
      <c r="C122" s="123"/>
      <c r="D122" s="123"/>
      <c r="E122" s="123"/>
      <c r="F122" s="124"/>
    </row>
    <row r="124" spans="1:7" ht="15.4" x14ac:dyDescent="0.45">
      <c r="A124" s="116" t="s">
        <v>147</v>
      </c>
      <c r="B124" s="125">
        <f t="shared" ref="B124:G124" si="8">SUM(B3:B122)</f>
        <v>386817519</v>
      </c>
      <c r="C124" s="125">
        <f t="shared" si="8"/>
        <v>259345800.36000001</v>
      </c>
      <c r="D124" s="125">
        <f t="shared" si="8"/>
        <v>127471718.64000002</v>
      </c>
      <c r="E124" s="125">
        <f t="shared" si="8"/>
        <v>46688834.410000004</v>
      </c>
      <c r="F124" s="125">
        <f t="shared" si="8"/>
        <v>135002782.16999996</v>
      </c>
      <c r="G124" s="127">
        <f t="shared" si="8"/>
        <v>1.0000000000000007</v>
      </c>
    </row>
  </sheetData>
  <mergeCells count="1">
    <mergeCell ref="A1:G1"/>
  </mergeCells>
  <pageMargins left="0.7" right="0.7" top="0.75" bottom="0.75" header="0.3" footer="0.3"/>
  <pageSetup orientation="portrait" r:id="rId1"/>
  <customProperties>
    <customPr name="LastActive" r:id="rId2"/>
  </customPropertie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34"/>
  <sheetViews>
    <sheetView workbookViewId="0">
      <selection activeCell="E128" sqref="E128"/>
    </sheetView>
  </sheetViews>
  <sheetFormatPr defaultRowHeight="12.75" x14ac:dyDescent="0.35"/>
  <cols>
    <col min="1" max="1" width="62.265625" customWidth="1"/>
    <col min="2" max="2" width="17.73046875" customWidth="1"/>
    <col min="3" max="6" width="17" customWidth="1"/>
    <col min="7" max="7" width="16.3984375" customWidth="1"/>
  </cols>
  <sheetData>
    <row r="1" spans="1:7" ht="18" x14ac:dyDescent="0.55000000000000004">
      <c r="A1" s="171" t="s">
        <v>183</v>
      </c>
      <c r="B1" s="171"/>
      <c r="C1" s="171"/>
      <c r="D1" s="171"/>
      <c r="E1" s="171"/>
      <c r="F1" s="171"/>
      <c r="G1" s="171"/>
    </row>
    <row r="2" spans="1:7" ht="59.25" customHeight="1" x14ac:dyDescent="0.55000000000000004">
      <c r="A2" s="70" t="s">
        <v>1</v>
      </c>
      <c r="B2" s="71" t="s">
        <v>2</v>
      </c>
      <c r="C2" s="71" t="s">
        <v>3</v>
      </c>
      <c r="D2" s="71" t="s">
        <v>4</v>
      </c>
      <c r="E2" s="71" t="s">
        <v>5</v>
      </c>
      <c r="F2" s="71" t="s">
        <v>6</v>
      </c>
      <c r="G2" s="71" t="s">
        <v>9</v>
      </c>
    </row>
    <row r="3" spans="1:7" ht="21.75" customHeight="1" x14ac:dyDescent="0.45">
      <c r="A3" s="85" t="s">
        <v>180</v>
      </c>
      <c r="B3" s="103"/>
      <c r="C3" s="103"/>
      <c r="D3" s="103"/>
      <c r="E3" s="103"/>
      <c r="F3" s="103"/>
      <c r="G3" s="141"/>
    </row>
    <row r="4" spans="1:7" ht="15.4" x14ac:dyDescent="0.45">
      <c r="A4" s="85" t="s">
        <v>165</v>
      </c>
      <c r="B4" s="103">
        <v>100357</v>
      </c>
      <c r="C4" s="103">
        <v>89000</v>
      </c>
      <c r="D4" s="103">
        <v>11357</v>
      </c>
      <c r="E4" s="103">
        <v>0</v>
      </c>
      <c r="F4" s="103">
        <v>11357</v>
      </c>
      <c r="G4" s="115">
        <f>B4/$B$134</f>
        <v>7.7640140474832158E-4</v>
      </c>
    </row>
    <row r="5" spans="1:7" ht="16.5" customHeight="1" x14ac:dyDescent="0.45">
      <c r="A5" s="85" t="s">
        <v>117</v>
      </c>
      <c r="B5" s="103">
        <v>1124234</v>
      </c>
      <c r="C5" s="103">
        <v>289303.46999999997</v>
      </c>
      <c r="D5" s="103">
        <v>834930.53</v>
      </c>
      <c r="E5" s="103">
        <v>29655.66</v>
      </c>
      <c r="F5" s="103">
        <v>864586.19</v>
      </c>
      <c r="G5" s="115">
        <f>B5/$B$134</f>
        <v>8.6975184278707471E-3</v>
      </c>
    </row>
    <row r="6" spans="1:7" ht="15.4" x14ac:dyDescent="0.45">
      <c r="A6" s="85" t="s">
        <v>10</v>
      </c>
      <c r="B6" s="103">
        <v>3122938</v>
      </c>
      <c r="C6" s="103">
        <v>1474311</v>
      </c>
      <c r="D6" s="103">
        <v>1648627</v>
      </c>
      <c r="E6" s="103">
        <v>0</v>
      </c>
      <c r="F6" s="103">
        <v>1159522</v>
      </c>
      <c r="G6" s="115">
        <f>B6/$B$134</f>
        <v>2.4160282293630878E-2</v>
      </c>
    </row>
    <row r="7" spans="1:7" ht="15.4" x14ac:dyDescent="0.45">
      <c r="A7" s="85" t="s">
        <v>11</v>
      </c>
      <c r="B7" s="103">
        <v>89601</v>
      </c>
      <c r="C7" s="103">
        <v>131832</v>
      </c>
      <c r="D7" s="103">
        <v>-42231</v>
      </c>
      <c r="E7" s="103">
        <v>0</v>
      </c>
      <c r="F7" s="103">
        <v>-42231</v>
      </c>
      <c r="G7" s="115">
        <f>B7/$B$134</f>
        <v>6.9318873887077497E-4</v>
      </c>
    </row>
    <row r="8" spans="1:7" ht="15.4" x14ac:dyDescent="0.45">
      <c r="A8" s="85" t="s">
        <v>162</v>
      </c>
      <c r="B8" s="103"/>
      <c r="C8" s="103"/>
      <c r="D8" s="103"/>
      <c r="E8" s="103"/>
      <c r="F8" s="103"/>
      <c r="G8" s="115"/>
    </row>
    <row r="9" spans="1:7" ht="15.4" x14ac:dyDescent="0.45">
      <c r="A9" s="85" t="s">
        <v>12</v>
      </c>
      <c r="B9" s="103">
        <v>562419</v>
      </c>
      <c r="C9" s="103">
        <v>415429.74</v>
      </c>
      <c r="D9" s="103">
        <v>146989.26</v>
      </c>
      <c r="E9" s="103">
        <v>54748.76</v>
      </c>
      <c r="F9" s="103">
        <v>201738.02</v>
      </c>
      <c r="G9" s="115">
        <f>B9/$B$134</f>
        <v>4.351095605260682E-3</v>
      </c>
    </row>
    <row r="10" spans="1:7" ht="15.4" x14ac:dyDescent="0.45">
      <c r="A10" s="85" t="s">
        <v>13</v>
      </c>
      <c r="B10" s="103">
        <v>301336</v>
      </c>
      <c r="C10" s="103">
        <v>309574</v>
      </c>
      <c r="D10" s="103">
        <v>-8238</v>
      </c>
      <c r="E10" s="103">
        <v>14232</v>
      </c>
      <c r="F10" s="103">
        <v>4496</v>
      </c>
      <c r="G10" s="115">
        <f>B10/$B$134</f>
        <v>2.3312543589509476E-3</v>
      </c>
    </row>
    <row r="11" spans="1:7" ht="15.4" x14ac:dyDescent="0.45">
      <c r="A11" s="85" t="s">
        <v>14</v>
      </c>
      <c r="B11" s="103">
        <v>470792</v>
      </c>
      <c r="C11" s="103">
        <v>315017.28999999998</v>
      </c>
      <c r="D11" s="103">
        <v>155774.71</v>
      </c>
      <c r="E11" s="103">
        <v>4661</v>
      </c>
      <c r="F11" s="103">
        <v>120326.71</v>
      </c>
      <c r="G11" s="115">
        <f>B11/$B$134</f>
        <v>3.6422329298830356E-3</v>
      </c>
    </row>
    <row r="12" spans="1:7" ht="15.4" x14ac:dyDescent="0.45">
      <c r="A12" s="85" t="s">
        <v>15</v>
      </c>
      <c r="B12" s="103"/>
      <c r="C12" s="103"/>
      <c r="D12" s="103"/>
      <c r="E12" s="103"/>
      <c r="F12" s="103"/>
      <c r="G12" s="115"/>
    </row>
    <row r="13" spans="1:7" ht="15.4" x14ac:dyDescent="0.45">
      <c r="A13" s="85" t="s">
        <v>16</v>
      </c>
      <c r="B13" s="103">
        <v>1037633</v>
      </c>
      <c r="C13" s="103">
        <v>717270.68</v>
      </c>
      <c r="D13" s="103">
        <v>320362.32</v>
      </c>
      <c r="E13" s="103">
        <v>386107.54</v>
      </c>
      <c r="F13" s="103">
        <v>601926.41</v>
      </c>
      <c r="G13" s="115">
        <f>B13/$B$134</f>
        <v>8.0275388743507193E-3</v>
      </c>
    </row>
    <row r="14" spans="1:7" ht="15.4" x14ac:dyDescent="0.45">
      <c r="A14" s="85" t="s">
        <v>17</v>
      </c>
      <c r="B14" s="103">
        <v>820106</v>
      </c>
      <c r="C14" s="103">
        <v>299671.65000000002</v>
      </c>
      <c r="D14" s="103">
        <v>520434.35</v>
      </c>
      <c r="E14" s="103">
        <v>0</v>
      </c>
      <c r="F14" s="103">
        <v>520434.35</v>
      </c>
      <c r="G14" s="115">
        <f>B14/$B$134</f>
        <v>6.3446640537533705E-3</v>
      </c>
    </row>
    <row r="15" spans="1:7" ht="15.4" x14ac:dyDescent="0.45">
      <c r="A15" s="85" t="s">
        <v>18</v>
      </c>
      <c r="B15" s="103"/>
      <c r="C15" s="103"/>
      <c r="D15" s="103"/>
      <c r="E15" s="103"/>
      <c r="F15" s="103"/>
      <c r="G15" s="115"/>
    </row>
    <row r="16" spans="1:7" ht="15.4" x14ac:dyDescent="0.45">
      <c r="A16" s="85" t="s">
        <v>19</v>
      </c>
      <c r="B16" s="103">
        <v>312169</v>
      </c>
      <c r="C16" s="103">
        <v>423100.64</v>
      </c>
      <c r="D16" s="103">
        <v>-110931.64</v>
      </c>
      <c r="E16" s="103">
        <v>160225</v>
      </c>
      <c r="F16" s="103">
        <v>49293.36</v>
      </c>
      <c r="G16" s="115">
        <f t="shared" ref="G16:G22" si="0">B16/$B$134</f>
        <v>2.4150627272524964E-3</v>
      </c>
    </row>
    <row r="17" spans="1:7" ht="15.4" x14ac:dyDescent="0.45">
      <c r="A17" s="85" t="s">
        <v>20</v>
      </c>
      <c r="B17" s="103">
        <v>644802</v>
      </c>
      <c r="C17" s="103">
        <v>295119.81</v>
      </c>
      <c r="D17" s="103">
        <v>349682.19</v>
      </c>
      <c r="E17" s="103">
        <v>26803.73</v>
      </c>
      <c r="F17" s="103">
        <v>376485.92</v>
      </c>
      <c r="G17" s="115">
        <f t="shared" si="0"/>
        <v>4.9884430441775587E-3</v>
      </c>
    </row>
    <row r="18" spans="1:7" ht="15.4" x14ac:dyDescent="0.45">
      <c r="A18" s="85" t="s">
        <v>21</v>
      </c>
      <c r="B18" s="103">
        <v>1554543</v>
      </c>
      <c r="C18" s="103">
        <v>791358.15</v>
      </c>
      <c r="D18" s="103">
        <v>763184.85</v>
      </c>
      <c r="E18" s="103">
        <v>47125.440000000002</v>
      </c>
      <c r="F18" s="103">
        <v>583924.77</v>
      </c>
      <c r="G18" s="115">
        <f t="shared" si="0"/>
        <v>1.202655887423568E-2</v>
      </c>
    </row>
    <row r="19" spans="1:7" ht="15.4" x14ac:dyDescent="0.45">
      <c r="A19" s="85" t="s">
        <v>134</v>
      </c>
      <c r="B19" s="103">
        <v>790021</v>
      </c>
      <c r="C19" s="103">
        <v>573643</v>
      </c>
      <c r="D19" s="103">
        <v>216378</v>
      </c>
      <c r="E19" s="103">
        <v>150129</v>
      </c>
      <c r="F19" s="103">
        <v>267152</v>
      </c>
      <c r="G19" s="115">
        <f t="shared" si="0"/>
        <v>6.111914606660958E-3</v>
      </c>
    </row>
    <row r="20" spans="1:7" ht="15.4" x14ac:dyDescent="0.45">
      <c r="A20" s="85" t="s">
        <v>22</v>
      </c>
      <c r="B20" s="103">
        <v>118206</v>
      </c>
      <c r="C20" s="103">
        <v>60134.61</v>
      </c>
      <c r="D20" s="103">
        <v>58071.39</v>
      </c>
      <c r="E20" s="103">
        <v>0</v>
      </c>
      <c r="F20" s="103">
        <v>58071.39</v>
      </c>
      <c r="G20" s="115">
        <f t="shared" si="0"/>
        <v>9.1448832119015214E-4</v>
      </c>
    </row>
    <row r="21" spans="1:7" ht="15.4" x14ac:dyDescent="0.45">
      <c r="A21" s="85" t="s">
        <v>135</v>
      </c>
      <c r="B21" s="103">
        <v>103145</v>
      </c>
      <c r="C21" s="103">
        <v>65205.98</v>
      </c>
      <c r="D21" s="103">
        <v>37939.019999999997</v>
      </c>
      <c r="E21" s="103">
        <v>152</v>
      </c>
      <c r="F21" s="103">
        <v>38091.019999999997</v>
      </c>
      <c r="G21" s="115">
        <f t="shared" si="0"/>
        <v>7.9797047433428296E-4</v>
      </c>
    </row>
    <row r="22" spans="1:7" ht="15.4" x14ac:dyDescent="0.45">
      <c r="A22" s="85" t="s">
        <v>23</v>
      </c>
      <c r="B22" s="103">
        <v>501860</v>
      </c>
      <c r="C22" s="103">
        <v>293814.34000000003</v>
      </c>
      <c r="D22" s="103">
        <v>208045.66</v>
      </c>
      <c r="E22" s="103">
        <v>89047.9</v>
      </c>
      <c r="F22" s="103">
        <v>297093.56</v>
      </c>
      <c r="G22" s="115">
        <f t="shared" si="0"/>
        <v>3.8825872533753765E-3</v>
      </c>
    </row>
    <row r="23" spans="1:7" ht="15.4" x14ac:dyDescent="0.45">
      <c r="A23" s="85" t="s">
        <v>24</v>
      </c>
      <c r="B23" s="103"/>
      <c r="C23" s="103"/>
      <c r="D23" s="103"/>
      <c r="E23" s="103"/>
      <c r="F23" s="103"/>
      <c r="G23" s="115"/>
    </row>
    <row r="24" spans="1:7" ht="15.4" x14ac:dyDescent="0.45">
      <c r="A24" s="85" t="s">
        <v>136</v>
      </c>
      <c r="B24" s="103">
        <v>53308</v>
      </c>
      <c r="C24" s="103">
        <v>92560</v>
      </c>
      <c r="D24" s="103">
        <v>-39252</v>
      </c>
      <c r="E24" s="103">
        <v>124883</v>
      </c>
      <c r="F24" s="103">
        <v>85631</v>
      </c>
      <c r="G24" s="115">
        <f t="shared" ref="G24:G42" si="1">B24/$B$134</f>
        <v>4.1241175089254888E-4</v>
      </c>
    </row>
    <row r="25" spans="1:7" ht="15.4" x14ac:dyDescent="0.45">
      <c r="A25" s="85" t="s">
        <v>174</v>
      </c>
      <c r="B25" s="103">
        <v>1074272</v>
      </c>
      <c r="C25" s="103">
        <v>1625864.15</v>
      </c>
      <c r="D25" s="103">
        <v>-551592.15</v>
      </c>
      <c r="E25" s="103">
        <v>164865.72</v>
      </c>
      <c r="F25" s="103">
        <v>-386726.43</v>
      </c>
      <c r="G25" s="115">
        <f t="shared" si="1"/>
        <v>8.3109926550393991E-3</v>
      </c>
    </row>
    <row r="26" spans="1:7" ht="15.4" x14ac:dyDescent="0.45">
      <c r="A26" s="85" t="s">
        <v>25</v>
      </c>
      <c r="B26" s="103">
        <v>1054551</v>
      </c>
      <c r="C26" s="103">
        <v>1043997.12</v>
      </c>
      <c r="D26" s="103">
        <v>10553.88</v>
      </c>
      <c r="E26" s="103">
        <v>5569.67</v>
      </c>
      <c r="F26" s="103">
        <v>16123.55</v>
      </c>
      <c r="G26" s="115">
        <f t="shared" si="1"/>
        <v>8.158423206938702E-3</v>
      </c>
    </row>
    <row r="27" spans="1:7" ht="15.4" x14ac:dyDescent="0.45">
      <c r="A27" s="85" t="s">
        <v>26</v>
      </c>
      <c r="B27" s="103">
        <v>162735</v>
      </c>
      <c r="C27" s="103">
        <v>182290</v>
      </c>
      <c r="D27" s="103">
        <v>-19555</v>
      </c>
      <c r="E27" s="103">
        <v>22040</v>
      </c>
      <c r="F27" s="103">
        <v>2485</v>
      </c>
      <c r="G27" s="115">
        <f t="shared" si="1"/>
        <v>1.258982259351297E-3</v>
      </c>
    </row>
    <row r="28" spans="1:7" ht="15.4" x14ac:dyDescent="0.45">
      <c r="A28" s="85" t="s">
        <v>27</v>
      </c>
      <c r="B28" s="103">
        <v>51253</v>
      </c>
      <c r="C28" s="103">
        <v>43127.13</v>
      </c>
      <c r="D28" s="103">
        <v>8125.87</v>
      </c>
      <c r="E28" s="103">
        <v>18682.32</v>
      </c>
      <c r="F28" s="103">
        <v>26808.19</v>
      </c>
      <c r="G28" s="115">
        <f t="shared" si="1"/>
        <v>3.9651345892728683E-4</v>
      </c>
    </row>
    <row r="29" spans="1:7" ht="15.4" x14ac:dyDescent="0.45">
      <c r="A29" s="85" t="s">
        <v>118</v>
      </c>
      <c r="B29" s="103">
        <v>198054</v>
      </c>
      <c r="C29" s="103">
        <v>137835.6</v>
      </c>
      <c r="D29" s="103">
        <v>60218.400000000001</v>
      </c>
      <c r="E29" s="103">
        <v>0</v>
      </c>
      <c r="F29" s="103">
        <v>60218.400000000001</v>
      </c>
      <c r="G29" s="115">
        <f t="shared" si="1"/>
        <v>1.5322239984856471E-3</v>
      </c>
    </row>
    <row r="30" spans="1:7" ht="15.4" x14ac:dyDescent="0.45">
      <c r="A30" s="85" t="s">
        <v>28</v>
      </c>
      <c r="B30" s="103">
        <v>488916</v>
      </c>
      <c r="C30" s="103">
        <v>402415.56</v>
      </c>
      <c r="D30" s="103">
        <v>86500.44</v>
      </c>
      <c r="E30" s="103">
        <v>0</v>
      </c>
      <c r="F30" s="103">
        <v>86500.44</v>
      </c>
      <c r="G30" s="115">
        <f t="shared" si="1"/>
        <v>3.7824473549820182E-3</v>
      </c>
    </row>
    <row r="31" spans="1:7" ht="15.4" x14ac:dyDescent="0.45">
      <c r="A31" s="85" t="s">
        <v>8</v>
      </c>
      <c r="B31" s="103">
        <v>315876</v>
      </c>
      <c r="C31" s="103">
        <v>154340</v>
      </c>
      <c r="D31" s="103">
        <v>161536</v>
      </c>
      <c r="E31" s="103">
        <v>0</v>
      </c>
      <c r="F31" s="103">
        <v>161536</v>
      </c>
      <c r="G31" s="115">
        <f t="shared" si="1"/>
        <v>2.4437415439509036E-3</v>
      </c>
    </row>
    <row r="32" spans="1:7" ht="15.4" x14ac:dyDescent="0.45">
      <c r="A32" s="85" t="s">
        <v>29</v>
      </c>
      <c r="B32" s="103">
        <v>1859180</v>
      </c>
      <c r="C32" s="103">
        <v>1594197.25</v>
      </c>
      <c r="D32" s="103">
        <v>264982.75</v>
      </c>
      <c r="E32" s="103">
        <v>11250</v>
      </c>
      <c r="F32" s="103">
        <v>257696.78</v>
      </c>
      <c r="G32" s="115">
        <f t="shared" si="1"/>
        <v>1.4383351073467566E-2</v>
      </c>
    </row>
    <row r="33" spans="1:7" ht="15.4" x14ac:dyDescent="0.45">
      <c r="A33" s="85" t="s">
        <v>30</v>
      </c>
      <c r="B33" s="103">
        <v>189575</v>
      </c>
      <c r="C33" s="103">
        <v>182347</v>
      </c>
      <c r="D33" s="103">
        <v>7228</v>
      </c>
      <c r="E33" s="103">
        <v>0</v>
      </c>
      <c r="F33" s="103">
        <v>5751</v>
      </c>
      <c r="G33" s="115">
        <f t="shared" si="1"/>
        <v>1.4666271042893177E-3</v>
      </c>
    </row>
    <row r="34" spans="1:7" ht="15.4" x14ac:dyDescent="0.45">
      <c r="A34" s="85" t="s">
        <v>31</v>
      </c>
      <c r="B34" s="103">
        <v>207127</v>
      </c>
      <c r="C34" s="103">
        <v>176283.58</v>
      </c>
      <c r="D34" s="103">
        <v>30843.42</v>
      </c>
      <c r="E34" s="103">
        <v>0</v>
      </c>
      <c r="F34" s="103">
        <v>30843.42</v>
      </c>
      <c r="G34" s="115">
        <f t="shared" si="1"/>
        <v>1.6024163113814243E-3</v>
      </c>
    </row>
    <row r="35" spans="1:7" ht="15.4" x14ac:dyDescent="0.45">
      <c r="A35" s="85" t="s">
        <v>32</v>
      </c>
      <c r="B35" s="103">
        <v>194244</v>
      </c>
      <c r="C35" s="103">
        <v>177746</v>
      </c>
      <c r="D35" s="103">
        <v>16498</v>
      </c>
      <c r="E35" s="103">
        <v>7328</v>
      </c>
      <c r="F35" s="103">
        <v>23826</v>
      </c>
      <c r="G35" s="115">
        <f t="shared" si="1"/>
        <v>1.5027483330901977E-3</v>
      </c>
    </row>
    <row r="36" spans="1:7" ht="15.4" x14ac:dyDescent="0.45">
      <c r="A36" s="85" t="s">
        <v>175</v>
      </c>
      <c r="B36" s="103">
        <v>300167</v>
      </c>
      <c r="C36" s="103">
        <v>354227</v>
      </c>
      <c r="D36" s="103">
        <v>-54060</v>
      </c>
      <c r="E36" s="103">
        <v>56474</v>
      </c>
      <c r="F36" s="103">
        <v>2414</v>
      </c>
      <c r="G36" s="115">
        <f t="shared" si="1"/>
        <v>2.3222105130592729E-3</v>
      </c>
    </row>
    <row r="37" spans="1:7" ht="15.4" x14ac:dyDescent="0.45">
      <c r="A37" s="85" t="s">
        <v>33</v>
      </c>
      <c r="B37" s="103">
        <v>92499</v>
      </c>
      <c r="C37" s="103">
        <v>92172.74</v>
      </c>
      <c r="D37" s="103">
        <v>326.26</v>
      </c>
      <c r="E37" s="103">
        <v>0</v>
      </c>
      <c r="F37" s="103">
        <v>326.26</v>
      </c>
      <c r="G37" s="115">
        <f t="shared" si="1"/>
        <v>7.1560881191959705E-4</v>
      </c>
    </row>
    <row r="38" spans="1:7" ht="15.4" x14ac:dyDescent="0.45">
      <c r="A38" s="85" t="s">
        <v>34</v>
      </c>
      <c r="B38" s="103">
        <v>139082</v>
      </c>
      <c r="C38" s="103">
        <v>82980.800000000003</v>
      </c>
      <c r="D38" s="103">
        <v>56101.2</v>
      </c>
      <c r="E38" s="103">
        <v>0</v>
      </c>
      <c r="F38" s="103">
        <v>56101.2</v>
      </c>
      <c r="G38" s="115">
        <f t="shared" si="1"/>
        <v>1.0759933056508869E-3</v>
      </c>
    </row>
    <row r="39" spans="1:7" ht="15.4" x14ac:dyDescent="0.45">
      <c r="A39" s="85" t="s">
        <v>35</v>
      </c>
      <c r="B39" s="103">
        <v>82255</v>
      </c>
      <c r="C39" s="103">
        <v>243621.08</v>
      </c>
      <c r="D39" s="103">
        <v>-161366.07999999999</v>
      </c>
      <c r="E39" s="103">
        <v>62918.17</v>
      </c>
      <c r="F39" s="103">
        <v>-98447.91</v>
      </c>
      <c r="G39" s="115">
        <f t="shared" si="1"/>
        <v>6.3635718034191126E-4</v>
      </c>
    </row>
    <row r="40" spans="1:7" ht="15.4" x14ac:dyDescent="0.45">
      <c r="A40" s="85" t="s">
        <v>36</v>
      </c>
      <c r="B40" s="103">
        <v>670080</v>
      </c>
      <c r="C40" s="103">
        <v>353882</v>
      </c>
      <c r="D40" s="103">
        <v>316198</v>
      </c>
      <c r="E40" s="103">
        <v>58</v>
      </c>
      <c r="F40" s="103">
        <v>297365</v>
      </c>
      <c r="G40" s="115">
        <f t="shared" si="1"/>
        <v>5.1840036399429567E-3</v>
      </c>
    </row>
    <row r="41" spans="1:7" ht="15.4" x14ac:dyDescent="0.45">
      <c r="A41" s="85" t="s">
        <v>37</v>
      </c>
      <c r="B41" s="103">
        <v>34096</v>
      </c>
      <c r="C41" s="103">
        <v>48720</v>
      </c>
      <c r="D41" s="103">
        <v>-14624</v>
      </c>
      <c r="E41" s="103">
        <v>0</v>
      </c>
      <c r="F41" s="103">
        <v>-14624</v>
      </c>
      <c r="G41" s="115">
        <f t="shared" si="1"/>
        <v>2.6378012790636201E-4</v>
      </c>
    </row>
    <row r="42" spans="1:7" ht="15.4" x14ac:dyDescent="0.45">
      <c r="A42" s="85" t="s">
        <v>168</v>
      </c>
      <c r="B42" s="103">
        <v>57368</v>
      </c>
      <c r="C42" s="103">
        <v>70650</v>
      </c>
      <c r="D42" s="103">
        <v>-13282</v>
      </c>
      <c r="E42" s="103">
        <v>247266</v>
      </c>
      <c r="F42" s="103">
        <v>233984</v>
      </c>
      <c r="G42" s="115">
        <f t="shared" si="1"/>
        <v>4.438215150672271E-4</v>
      </c>
    </row>
    <row r="43" spans="1:7" ht="15.4" x14ac:dyDescent="0.45">
      <c r="A43" s="85" t="s">
        <v>38</v>
      </c>
      <c r="B43" s="103"/>
      <c r="C43" s="103"/>
      <c r="D43" s="103"/>
      <c r="E43" s="103"/>
      <c r="F43" s="103"/>
      <c r="G43" s="115"/>
    </row>
    <row r="44" spans="1:7" ht="15.4" x14ac:dyDescent="0.45">
      <c r="A44" s="85" t="s">
        <v>39</v>
      </c>
      <c r="B44" s="103">
        <v>8660600</v>
      </c>
      <c r="C44" s="103">
        <v>3902855</v>
      </c>
      <c r="D44" s="103">
        <v>4757745</v>
      </c>
      <c r="E44" s="103">
        <v>639126</v>
      </c>
      <c r="F44" s="103">
        <v>3596871</v>
      </c>
      <c r="G44" s="115">
        <f>B44/$B$134</f>
        <v>6.7001823549561204E-2</v>
      </c>
    </row>
    <row r="45" spans="1:7" ht="15.4" x14ac:dyDescent="0.45">
      <c r="A45" s="85" t="s">
        <v>176</v>
      </c>
      <c r="B45" s="103">
        <v>44396</v>
      </c>
      <c r="C45" s="103">
        <v>171545.89</v>
      </c>
      <c r="D45" s="103">
        <v>-127149.89</v>
      </c>
      <c r="E45" s="103">
        <v>0</v>
      </c>
      <c r="F45" s="103">
        <v>-127149.89</v>
      </c>
      <c r="G45" s="115">
        <f>B45/$B$134</f>
        <v>3.4346499761059502E-4</v>
      </c>
    </row>
    <row r="46" spans="1:7" ht="15.4" x14ac:dyDescent="0.45">
      <c r="A46" s="85" t="s">
        <v>40</v>
      </c>
      <c r="B46" s="103">
        <v>101090</v>
      </c>
      <c r="C46" s="103">
        <v>92019.6</v>
      </c>
      <c r="D46" s="103">
        <v>9070.4</v>
      </c>
      <c r="E46" s="103">
        <v>0</v>
      </c>
      <c r="F46" s="103">
        <v>9070.4</v>
      </c>
      <c r="G46" s="115">
        <f>B46/$B$134</f>
        <v>7.820721823690209E-4</v>
      </c>
    </row>
    <row r="47" spans="1:7" ht="15.4" x14ac:dyDescent="0.45">
      <c r="A47" s="85" t="s">
        <v>41</v>
      </c>
      <c r="B47" s="103"/>
      <c r="C47" s="103"/>
      <c r="D47" s="103"/>
      <c r="E47" s="103"/>
      <c r="F47" s="103"/>
      <c r="G47" s="115"/>
    </row>
    <row r="48" spans="1:7" ht="15.4" x14ac:dyDescent="0.45">
      <c r="A48" s="85" t="s">
        <v>121</v>
      </c>
      <c r="B48" s="103">
        <v>2161522</v>
      </c>
      <c r="C48" s="103">
        <v>1113385.6299999999</v>
      </c>
      <c r="D48" s="103">
        <v>1048136.37</v>
      </c>
      <c r="E48" s="103">
        <v>0</v>
      </c>
      <c r="F48" s="103">
        <v>759898.86</v>
      </c>
      <c r="G48" s="115">
        <f>B48/$B$134</f>
        <v>1.672238824590613E-2</v>
      </c>
    </row>
    <row r="49" spans="1:7" ht="15.4" x14ac:dyDescent="0.45">
      <c r="A49" s="85" t="s">
        <v>43</v>
      </c>
      <c r="B49" s="103">
        <v>1873105</v>
      </c>
      <c r="C49" s="103">
        <v>1295492</v>
      </c>
      <c r="D49" s="103">
        <v>577613</v>
      </c>
      <c r="E49" s="103">
        <v>106648.49</v>
      </c>
      <c r="F49" s="103">
        <v>513196.49</v>
      </c>
      <c r="G49" s="115">
        <f>B49/$B$134</f>
        <v>1.4491080375470618E-2</v>
      </c>
    </row>
    <row r="50" spans="1:7" ht="15.4" x14ac:dyDescent="0.45">
      <c r="A50" s="85" t="s">
        <v>44</v>
      </c>
      <c r="B50" s="103">
        <v>206494</v>
      </c>
      <c r="C50" s="103">
        <v>444249.98</v>
      </c>
      <c r="D50" s="103">
        <v>-237755.98</v>
      </c>
      <c r="E50" s="103">
        <v>0</v>
      </c>
      <c r="F50" s="103">
        <v>-418977.98</v>
      </c>
      <c r="G50" s="115">
        <f>B50/$B$134</f>
        <v>1.5975191732724167E-3</v>
      </c>
    </row>
    <row r="51" spans="1:7" ht="15.4" x14ac:dyDescent="0.45">
      <c r="A51" s="85" t="s">
        <v>137</v>
      </c>
      <c r="B51" s="103"/>
      <c r="C51" s="103"/>
      <c r="D51" s="103"/>
      <c r="E51" s="103"/>
      <c r="F51" s="103"/>
      <c r="G51" s="115"/>
    </row>
    <row r="52" spans="1:7" ht="15.4" x14ac:dyDescent="0.45">
      <c r="A52" s="85" t="s">
        <v>46</v>
      </c>
      <c r="B52" s="103">
        <v>871929</v>
      </c>
      <c r="C52" s="103">
        <v>840708.83</v>
      </c>
      <c r="D52" s="103">
        <v>31220.17</v>
      </c>
      <c r="E52" s="103">
        <v>0</v>
      </c>
      <c r="F52" s="103">
        <v>-7886.08</v>
      </c>
      <c r="G52" s="115">
        <f t="shared" ref="G52:G61" si="2">B52/$B$134</f>
        <v>6.7455872578972998E-3</v>
      </c>
    </row>
    <row r="53" spans="1:7" ht="15.4" x14ac:dyDescent="0.45">
      <c r="A53" s="85" t="s">
        <v>47</v>
      </c>
      <c r="B53" s="103">
        <v>96619</v>
      </c>
      <c r="C53" s="103">
        <v>70481</v>
      </c>
      <c r="D53" s="103">
        <v>26138</v>
      </c>
      <c r="E53" s="103">
        <v>9082.2199999999993</v>
      </c>
      <c r="F53" s="103">
        <v>26415.22</v>
      </c>
      <c r="G53" s="115">
        <f t="shared" si="2"/>
        <v>7.4748275980129019E-4</v>
      </c>
    </row>
    <row r="54" spans="1:7" ht="15.4" x14ac:dyDescent="0.45">
      <c r="A54" s="85" t="s">
        <v>48</v>
      </c>
      <c r="B54" s="103">
        <v>100420</v>
      </c>
      <c r="C54" s="103">
        <v>84578</v>
      </c>
      <c r="D54" s="103">
        <v>15842</v>
      </c>
      <c r="E54" s="103">
        <v>88362</v>
      </c>
      <c r="F54" s="103">
        <v>104204</v>
      </c>
      <c r="G54" s="115">
        <f t="shared" si="2"/>
        <v>7.7688879764068733E-4</v>
      </c>
    </row>
    <row r="55" spans="1:7" ht="15.4" x14ac:dyDescent="0.45">
      <c r="A55" s="85" t="s">
        <v>50</v>
      </c>
      <c r="B55" s="103">
        <v>853281</v>
      </c>
      <c r="C55" s="103">
        <v>342865</v>
      </c>
      <c r="D55" s="103">
        <v>510416</v>
      </c>
      <c r="E55" s="103">
        <v>17221</v>
      </c>
      <c r="F55" s="103">
        <v>396734</v>
      </c>
      <c r="G55" s="115">
        <f t="shared" si="2"/>
        <v>6.6013189617570535E-3</v>
      </c>
    </row>
    <row r="56" spans="1:7" ht="15.4" x14ac:dyDescent="0.45">
      <c r="A56" s="85" t="s">
        <v>123</v>
      </c>
      <c r="B56" s="103">
        <v>260975</v>
      </c>
      <c r="C56" s="103">
        <v>175887.45</v>
      </c>
      <c r="D56" s="103">
        <v>85087.55</v>
      </c>
      <c r="E56" s="103">
        <v>8383.56</v>
      </c>
      <c r="F56" s="103">
        <v>93471.11</v>
      </c>
      <c r="G56" s="115">
        <f t="shared" si="2"/>
        <v>2.0190057156371077E-3</v>
      </c>
    </row>
    <row r="57" spans="1:7" ht="15.4" x14ac:dyDescent="0.45">
      <c r="A57" s="85" t="s">
        <v>51</v>
      </c>
      <c r="B57" s="103">
        <v>401644</v>
      </c>
      <c r="C57" s="103">
        <v>368870</v>
      </c>
      <c r="D57" s="103">
        <v>32774</v>
      </c>
      <c r="E57" s="103">
        <v>0</v>
      </c>
      <c r="F57" s="103">
        <v>32774</v>
      </c>
      <c r="G57" s="115">
        <f t="shared" si="2"/>
        <v>3.1072766803385402E-3</v>
      </c>
    </row>
    <row r="58" spans="1:7" ht="15.4" x14ac:dyDescent="0.45">
      <c r="A58" s="85" t="s">
        <v>153</v>
      </c>
      <c r="B58" s="103">
        <v>818087</v>
      </c>
      <c r="C58" s="103">
        <v>398677.18</v>
      </c>
      <c r="D58" s="103">
        <v>419409.82</v>
      </c>
      <c r="E58" s="103">
        <v>0</v>
      </c>
      <c r="F58" s="103">
        <v>419409.82</v>
      </c>
      <c r="G58" s="115">
        <f t="shared" si="2"/>
        <v>6.3290442720123179E-3</v>
      </c>
    </row>
    <row r="59" spans="1:7" ht="15.4" x14ac:dyDescent="0.45">
      <c r="A59" s="85" t="s">
        <v>138</v>
      </c>
      <c r="B59" s="103">
        <v>341568</v>
      </c>
      <c r="C59" s="103">
        <v>347745</v>
      </c>
      <c r="D59" s="103">
        <v>-6177</v>
      </c>
      <c r="E59" s="103">
        <v>2246</v>
      </c>
      <c r="F59" s="103">
        <v>-3931</v>
      </c>
      <c r="G59" s="115">
        <f t="shared" si="2"/>
        <v>2.6425050072947051E-3</v>
      </c>
    </row>
    <row r="60" spans="1:7" ht="15.4" x14ac:dyDescent="0.45">
      <c r="A60" s="85" t="s">
        <v>52</v>
      </c>
      <c r="B60" s="103">
        <v>5365162</v>
      </c>
      <c r="C60" s="103">
        <v>1754917.3</v>
      </c>
      <c r="D60" s="103">
        <v>3610244.7</v>
      </c>
      <c r="E60" s="103">
        <v>251404</v>
      </c>
      <c r="F60" s="103">
        <v>3861648.7</v>
      </c>
      <c r="G60" s="115">
        <f t="shared" si="2"/>
        <v>4.1507013098262352E-2</v>
      </c>
    </row>
    <row r="61" spans="1:7" ht="15.4" x14ac:dyDescent="0.45">
      <c r="A61" s="85" t="s">
        <v>54</v>
      </c>
      <c r="B61" s="103">
        <v>606368</v>
      </c>
      <c r="C61" s="103">
        <v>364355</v>
      </c>
      <c r="D61" s="103">
        <v>242013</v>
      </c>
      <c r="E61" s="103">
        <v>78606</v>
      </c>
      <c r="F61" s="103">
        <v>320619</v>
      </c>
      <c r="G61" s="115">
        <f t="shared" si="2"/>
        <v>4.6911024342540155E-3</v>
      </c>
    </row>
    <row r="62" spans="1:7" ht="15.4" x14ac:dyDescent="0.45">
      <c r="A62" s="85" t="s">
        <v>55</v>
      </c>
      <c r="B62" s="103"/>
      <c r="C62" s="103"/>
      <c r="D62" s="103"/>
      <c r="E62" s="103"/>
      <c r="F62" s="103"/>
      <c r="G62" s="115"/>
    </row>
    <row r="63" spans="1:7" ht="15.4" x14ac:dyDescent="0.45">
      <c r="A63" s="85" t="s">
        <v>56</v>
      </c>
      <c r="B63" s="103">
        <v>696878</v>
      </c>
      <c r="C63" s="103">
        <v>606993</v>
      </c>
      <c r="D63" s="103">
        <v>89885</v>
      </c>
      <c r="E63" s="103">
        <v>3035</v>
      </c>
      <c r="F63" s="103">
        <v>92920</v>
      </c>
      <c r="G63" s="115">
        <f>B63/$B$134</f>
        <v>5.3913235562860675E-3</v>
      </c>
    </row>
    <row r="64" spans="1:7" ht="15.4" x14ac:dyDescent="0.45">
      <c r="A64" s="85" t="s">
        <v>57</v>
      </c>
      <c r="B64" s="103">
        <v>2898894</v>
      </c>
      <c r="C64" s="103">
        <v>1035557</v>
      </c>
      <c r="D64" s="103">
        <v>1863337</v>
      </c>
      <c r="E64" s="103">
        <v>438075</v>
      </c>
      <c r="F64" s="103">
        <v>1706085</v>
      </c>
      <c r="G64" s="115">
        <f>B64/$B$134</f>
        <v>2.2426989386056587E-2</v>
      </c>
    </row>
    <row r="65" spans="1:7" ht="15.4" x14ac:dyDescent="0.45">
      <c r="A65" s="85" t="s">
        <v>60</v>
      </c>
      <c r="B65" s="103">
        <v>891102</v>
      </c>
      <c r="C65" s="103">
        <v>1244289.0900000001</v>
      </c>
      <c r="D65" s="103">
        <v>-353187.09</v>
      </c>
      <c r="E65" s="103">
        <v>779592.13</v>
      </c>
      <c r="F65" s="103">
        <v>426405.04</v>
      </c>
      <c r="G65" s="115">
        <f>B65/$B$134</f>
        <v>6.8939171614739265E-3</v>
      </c>
    </row>
    <row r="66" spans="1:7" ht="15.4" x14ac:dyDescent="0.45">
      <c r="A66" s="85" t="s">
        <v>61</v>
      </c>
      <c r="B66" s="103">
        <v>1234148</v>
      </c>
      <c r="C66" s="103">
        <v>570317.06000000006</v>
      </c>
      <c r="D66" s="103">
        <v>663830.93999999994</v>
      </c>
      <c r="E66" s="103">
        <v>56453.59</v>
      </c>
      <c r="F66" s="103">
        <v>720284.53</v>
      </c>
      <c r="G66" s="115">
        <f>B66/$B$134</f>
        <v>9.5478565607514335E-3</v>
      </c>
    </row>
    <row r="67" spans="1:7" ht="15.4" x14ac:dyDescent="0.45">
      <c r="A67" s="85" t="s">
        <v>62</v>
      </c>
      <c r="B67" s="103">
        <v>199038</v>
      </c>
      <c r="C67" s="103">
        <v>124493</v>
      </c>
      <c r="D67" s="103">
        <v>74545</v>
      </c>
      <c r="E67" s="103">
        <v>0</v>
      </c>
      <c r="F67" s="103">
        <v>52181</v>
      </c>
      <c r="G67" s="115">
        <f>B67/$B$134</f>
        <v>1.5398366112806922E-3</v>
      </c>
    </row>
    <row r="68" spans="1:7" ht="15.4" x14ac:dyDescent="0.45">
      <c r="A68" s="85" t="s">
        <v>63</v>
      </c>
      <c r="B68" s="103"/>
      <c r="C68" s="103"/>
      <c r="D68" s="103"/>
      <c r="E68" s="103"/>
      <c r="F68" s="103"/>
      <c r="G68" s="115"/>
    </row>
    <row r="69" spans="1:7" ht="15.4" x14ac:dyDescent="0.45">
      <c r="A69" s="85" t="s">
        <v>64</v>
      </c>
      <c r="B69" s="103">
        <v>38354</v>
      </c>
      <c r="C69" s="103">
        <v>60637</v>
      </c>
      <c r="D69" s="103">
        <v>-22283</v>
      </c>
      <c r="E69" s="103">
        <v>3178.39</v>
      </c>
      <c r="F69" s="103">
        <v>-19104.61</v>
      </c>
      <c r="G69" s="115">
        <f t="shared" ref="G69:G80" si="3">B69/$B$134</f>
        <v>2.9672169831418963E-4</v>
      </c>
    </row>
    <row r="70" spans="1:7" ht="15.4" x14ac:dyDescent="0.45">
      <c r="A70" s="85" t="s">
        <v>65</v>
      </c>
      <c r="B70" s="103">
        <v>19402692</v>
      </c>
      <c r="C70" s="103">
        <v>9950308.7699999996</v>
      </c>
      <c r="D70" s="103">
        <v>9452383.2300000004</v>
      </c>
      <c r="E70" s="103">
        <v>1737691.18</v>
      </c>
      <c r="F70" s="103">
        <v>8392555.7699999996</v>
      </c>
      <c r="G70" s="115">
        <f t="shared" si="3"/>
        <v>0.15010689164382177</v>
      </c>
    </row>
    <row r="71" spans="1:7" ht="15.4" x14ac:dyDescent="0.45">
      <c r="A71" s="85" t="s">
        <v>66</v>
      </c>
      <c r="B71" s="103">
        <v>5319998</v>
      </c>
      <c r="C71" s="103">
        <v>2028625.36</v>
      </c>
      <c r="D71" s="103">
        <v>3291372.64</v>
      </c>
      <c r="E71" s="103">
        <v>1353381</v>
      </c>
      <c r="F71" s="103">
        <v>3367447.64</v>
      </c>
      <c r="G71" s="115">
        <f t="shared" si="3"/>
        <v>4.1157606549201961E-2</v>
      </c>
    </row>
    <row r="72" spans="1:7" ht="15.4" x14ac:dyDescent="0.45">
      <c r="A72" s="85" t="s">
        <v>67</v>
      </c>
      <c r="B72" s="103">
        <v>369724</v>
      </c>
      <c r="C72" s="103">
        <v>373652</v>
      </c>
      <c r="D72" s="103">
        <v>-3928</v>
      </c>
      <c r="E72" s="103">
        <v>6.94</v>
      </c>
      <c r="F72" s="103">
        <v>-2941.06</v>
      </c>
      <c r="G72" s="115">
        <f t="shared" si="3"/>
        <v>2.8603309482065869E-3</v>
      </c>
    </row>
    <row r="73" spans="1:7" ht="15.4" x14ac:dyDescent="0.45">
      <c r="A73" s="85" t="s">
        <v>139</v>
      </c>
      <c r="B73" s="103">
        <v>307418</v>
      </c>
      <c r="C73" s="103">
        <v>324655</v>
      </c>
      <c r="D73" s="103">
        <v>-17237</v>
      </c>
      <c r="E73" s="103">
        <v>178211.23</v>
      </c>
      <c r="F73" s="103">
        <v>150841.23000000001</v>
      </c>
      <c r="G73" s="115">
        <f t="shared" si="3"/>
        <v>2.3783071140520296E-3</v>
      </c>
    </row>
    <row r="74" spans="1:7" ht="15.4" x14ac:dyDescent="0.45">
      <c r="A74" s="85" t="s">
        <v>68</v>
      </c>
      <c r="B74" s="103">
        <v>85484</v>
      </c>
      <c r="C74" s="103">
        <v>123443.79</v>
      </c>
      <c r="D74" s="103">
        <v>-37959.79</v>
      </c>
      <c r="E74" s="103">
        <v>35556.07</v>
      </c>
      <c r="F74" s="103">
        <v>-2403.7199999999998</v>
      </c>
      <c r="G74" s="115">
        <f t="shared" si="3"/>
        <v>6.6133800017443255E-4</v>
      </c>
    </row>
    <row r="75" spans="1:7" ht="15.4" x14ac:dyDescent="0.45">
      <c r="A75" s="85" t="s">
        <v>69</v>
      </c>
      <c r="B75" s="103">
        <v>333283</v>
      </c>
      <c r="C75" s="103">
        <v>314044</v>
      </c>
      <c r="D75" s="103">
        <v>19239</v>
      </c>
      <c r="E75" s="103">
        <v>0</v>
      </c>
      <c r="F75" s="103">
        <v>19239</v>
      </c>
      <c r="G75" s="115">
        <f t="shared" si="3"/>
        <v>2.5784089737510576E-3</v>
      </c>
    </row>
    <row r="76" spans="1:7" ht="15.4" x14ac:dyDescent="0.45">
      <c r="A76" s="85" t="s">
        <v>141</v>
      </c>
      <c r="B76" s="103">
        <v>161133</v>
      </c>
      <c r="C76" s="103">
        <v>145173.45000000001</v>
      </c>
      <c r="D76" s="103">
        <v>15959.55</v>
      </c>
      <c r="E76" s="103">
        <v>0</v>
      </c>
      <c r="F76" s="103">
        <v>15959.55</v>
      </c>
      <c r="G76" s="115">
        <f t="shared" si="3"/>
        <v>1.2465885543739977E-3</v>
      </c>
    </row>
    <row r="77" spans="1:7" ht="15.4" x14ac:dyDescent="0.45">
      <c r="A77" s="85" t="s">
        <v>110</v>
      </c>
      <c r="B77" s="103">
        <v>823791</v>
      </c>
      <c r="C77" s="103">
        <v>521825.39</v>
      </c>
      <c r="D77" s="103">
        <v>301965.61</v>
      </c>
      <c r="E77" s="103">
        <v>10602.57</v>
      </c>
      <c r="F77" s="103">
        <v>312568.18</v>
      </c>
      <c r="G77" s="115">
        <f t="shared" si="3"/>
        <v>6.3731726697592054E-3</v>
      </c>
    </row>
    <row r="78" spans="1:7" ht="15.4" x14ac:dyDescent="0.45">
      <c r="A78" s="85" t="s">
        <v>143</v>
      </c>
      <c r="B78" s="103">
        <v>2499303</v>
      </c>
      <c r="C78" s="103">
        <v>1484736</v>
      </c>
      <c r="D78" s="103">
        <v>1014567</v>
      </c>
      <c r="E78" s="103">
        <v>125198</v>
      </c>
      <c r="F78" s="103">
        <v>904511</v>
      </c>
      <c r="G78" s="115">
        <f t="shared" si="3"/>
        <v>1.9335595524893074E-2</v>
      </c>
    </row>
    <row r="79" spans="1:7" ht="15.4" x14ac:dyDescent="0.45">
      <c r="A79" s="85" t="s">
        <v>125</v>
      </c>
      <c r="B79" s="103">
        <v>65375</v>
      </c>
      <c r="C79" s="103">
        <v>40228.78</v>
      </c>
      <c r="D79" s="103">
        <v>25146.22</v>
      </c>
      <c r="E79" s="103">
        <v>0</v>
      </c>
      <c r="F79" s="103">
        <v>-478966.78</v>
      </c>
      <c r="G79" s="115">
        <f t="shared" si="3"/>
        <v>5.0576683076837211E-4</v>
      </c>
    </row>
    <row r="80" spans="1:7" ht="15.4" x14ac:dyDescent="0.45">
      <c r="A80" s="85" t="s">
        <v>71</v>
      </c>
      <c r="B80" s="103">
        <v>364695</v>
      </c>
      <c r="C80" s="103">
        <v>204360.7</v>
      </c>
      <c r="D80" s="103">
        <v>160334.29999999999</v>
      </c>
      <c r="E80" s="103">
        <v>0</v>
      </c>
      <c r="F80" s="103">
        <v>160334.29999999999</v>
      </c>
      <c r="G80" s="115">
        <f t="shared" si="3"/>
        <v>2.8214246171636174E-3</v>
      </c>
    </row>
    <row r="81" spans="1:7" ht="15.4" x14ac:dyDescent="0.45">
      <c r="A81" s="85" t="s">
        <v>72</v>
      </c>
      <c r="B81" s="103"/>
      <c r="C81" s="103"/>
      <c r="D81" s="103"/>
      <c r="E81" s="103"/>
      <c r="F81" s="103"/>
      <c r="G81" s="115"/>
    </row>
    <row r="82" spans="1:7" ht="15.4" x14ac:dyDescent="0.45">
      <c r="A82" s="85" t="s">
        <v>73</v>
      </c>
      <c r="B82" s="103">
        <v>196223</v>
      </c>
      <c r="C82" s="103">
        <v>111633.25</v>
      </c>
      <c r="D82" s="103">
        <v>84589.75</v>
      </c>
      <c r="E82" s="103">
        <v>0</v>
      </c>
      <c r="F82" s="103">
        <v>63442.31</v>
      </c>
      <c r="G82" s="115">
        <f>B82/$B$134</f>
        <v>1.5180586590265743E-3</v>
      </c>
    </row>
    <row r="83" spans="1:7" ht="15.4" x14ac:dyDescent="0.45">
      <c r="A83" s="85" t="s">
        <v>126</v>
      </c>
      <c r="B83" s="103"/>
      <c r="C83" s="103"/>
      <c r="D83" s="103"/>
      <c r="E83" s="103"/>
      <c r="F83" s="103"/>
      <c r="G83" s="115"/>
    </row>
    <row r="84" spans="1:7" ht="15.4" x14ac:dyDescent="0.45">
      <c r="A84" s="85" t="s">
        <v>75</v>
      </c>
      <c r="B84" s="103"/>
      <c r="C84" s="103"/>
      <c r="D84" s="103"/>
      <c r="E84" s="103"/>
      <c r="F84" s="103"/>
      <c r="G84" s="115"/>
    </row>
    <row r="85" spans="1:7" ht="15.4" x14ac:dyDescent="0.45">
      <c r="A85" s="85" t="s">
        <v>76</v>
      </c>
      <c r="B85" s="103">
        <v>12446</v>
      </c>
      <c r="C85" s="103">
        <v>53733.89</v>
      </c>
      <c r="D85" s="103">
        <v>-41287.89</v>
      </c>
      <c r="E85" s="103">
        <v>0</v>
      </c>
      <c r="F85" s="103">
        <v>-41287.89</v>
      </c>
      <c r="G85" s="115">
        <f>B85/$B$134</f>
        <v>9.6287173625134379E-5</v>
      </c>
    </row>
    <row r="86" spans="1:7" ht="15.4" x14ac:dyDescent="0.45">
      <c r="A86" s="85" t="s">
        <v>77</v>
      </c>
      <c r="B86" s="103">
        <v>4626832</v>
      </c>
      <c r="C86" s="103">
        <v>3091609.14</v>
      </c>
      <c r="D86" s="103">
        <v>1535222.86</v>
      </c>
      <c r="E86" s="103">
        <v>77571.28</v>
      </c>
      <c r="F86" s="103">
        <v>1182276.67</v>
      </c>
      <c r="G86" s="115">
        <f>B86/$B$134</f>
        <v>3.5795000491589887E-2</v>
      </c>
    </row>
    <row r="87" spans="1:7" ht="15.4" x14ac:dyDescent="0.45">
      <c r="A87" s="85" t="s">
        <v>78</v>
      </c>
      <c r="B87" s="103">
        <v>211231</v>
      </c>
      <c r="C87" s="103">
        <v>184553</v>
      </c>
      <c r="D87" s="103">
        <v>26678</v>
      </c>
      <c r="E87" s="103">
        <v>57729</v>
      </c>
      <c r="F87" s="103">
        <v>63305</v>
      </c>
      <c r="G87" s="115">
        <f>B87/$B$134</f>
        <v>1.634166476941247E-3</v>
      </c>
    </row>
    <row r="88" spans="1:7" ht="15.4" x14ac:dyDescent="0.45">
      <c r="A88" s="85" t="s">
        <v>154</v>
      </c>
      <c r="B88" s="103"/>
      <c r="C88" s="103"/>
      <c r="D88" s="103"/>
      <c r="E88" s="103"/>
      <c r="F88" s="103"/>
      <c r="G88" s="115"/>
    </row>
    <row r="89" spans="1:7" ht="15.4" x14ac:dyDescent="0.45">
      <c r="A89" s="85" t="s">
        <v>111</v>
      </c>
      <c r="B89" s="103">
        <v>106483</v>
      </c>
      <c r="C89" s="103">
        <v>198871.05</v>
      </c>
      <c r="D89" s="103">
        <v>-92388.05</v>
      </c>
      <c r="E89" s="103">
        <v>20600.41</v>
      </c>
      <c r="F89" s="103">
        <v>-68934.63</v>
      </c>
      <c r="G89" s="115">
        <f>B89/$B$134</f>
        <v>8.2379456123454797E-4</v>
      </c>
    </row>
    <row r="90" spans="1:7" ht="15.4" x14ac:dyDescent="0.45">
      <c r="A90" s="85" t="s">
        <v>182</v>
      </c>
      <c r="B90" s="103">
        <v>0</v>
      </c>
      <c r="C90" s="103">
        <v>72745</v>
      </c>
      <c r="D90" s="103">
        <v>-72745</v>
      </c>
      <c r="E90" s="103">
        <v>245</v>
      </c>
      <c r="F90" s="103">
        <v>-72500</v>
      </c>
      <c r="G90" s="115"/>
    </row>
    <row r="91" spans="1:7" ht="15.4" x14ac:dyDescent="0.45">
      <c r="A91" s="85" t="s">
        <v>80</v>
      </c>
      <c r="B91" s="103">
        <v>699927</v>
      </c>
      <c r="C91" s="103">
        <v>412222</v>
      </c>
      <c r="D91" s="103">
        <v>287705</v>
      </c>
      <c r="E91" s="103">
        <v>37500</v>
      </c>
      <c r="F91" s="103">
        <v>243904</v>
      </c>
      <c r="G91" s="115">
        <f>B91/$B$134</f>
        <v>5.4149118249975439E-3</v>
      </c>
    </row>
    <row r="92" spans="1:7" ht="15.4" x14ac:dyDescent="0.45">
      <c r="A92" s="85" t="s">
        <v>81</v>
      </c>
      <c r="B92" s="103">
        <v>122455</v>
      </c>
      <c r="C92" s="103">
        <v>283696</v>
      </c>
      <c r="D92" s="103">
        <v>-161241</v>
      </c>
      <c r="E92" s="103">
        <v>110329</v>
      </c>
      <c r="F92" s="103">
        <v>-50912</v>
      </c>
      <c r="G92" s="115">
        <f>B92/$B$134</f>
        <v>9.4736026404192749E-4</v>
      </c>
    </row>
    <row r="93" spans="1:7" ht="15.4" x14ac:dyDescent="0.45">
      <c r="A93" s="85" t="s">
        <v>82</v>
      </c>
      <c r="B93" s="103"/>
      <c r="C93" s="103"/>
      <c r="D93" s="103"/>
      <c r="E93" s="103"/>
      <c r="F93" s="103"/>
      <c r="G93" s="115"/>
    </row>
    <row r="94" spans="1:7" ht="15.4" x14ac:dyDescent="0.45">
      <c r="A94" s="85" t="s">
        <v>171</v>
      </c>
      <c r="B94" s="103">
        <v>158345</v>
      </c>
      <c r="C94" s="103">
        <v>125926</v>
      </c>
      <c r="D94" s="103">
        <v>32419</v>
      </c>
      <c r="E94" s="103">
        <v>0</v>
      </c>
      <c r="F94" s="103">
        <v>22869</v>
      </c>
      <c r="G94" s="115">
        <f>B94/$B$134</f>
        <v>1.2250194847880365E-3</v>
      </c>
    </row>
    <row r="95" spans="1:7" ht="15.4" x14ac:dyDescent="0.45">
      <c r="A95" s="85" t="s">
        <v>83</v>
      </c>
      <c r="B95" s="103">
        <v>2826491</v>
      </c>
      <c r="C95" s="103">
        <v>1866720.16</v>
      </c>
      <c r="D95" s="103">
        <v>959770.84</v>
      </c>
      <c r="E95" s="103">
        <v>629304.22</v>
      </c>
      <c r="F95" s="103">
        <v>1589075.06</v>
      </c>
      <c r="G95" s="115">
        <f>B95/$B$134</f>
        <v>2.1866851170406532E-2</v>
      </c>
    </row>
    <row r="96" spans="1:7" ht="15.4" x14ac:dyDescent="0.45">
      <c r="A96" s="85" t="s">
        <v>112</v>
      </c>
      <c r="B96" s="103">
        <v>172037</v>
      </c>
      <c r="C96" s="103">
        <v>167529.89000000001</v>
      </c>
      <c r="D96" s="103">
        <v>4507.1099999999997</v>
      </c>
      <c r="E96" s="103">
        <v>5920.28</v>
      </c>
      <c r="F96" s="103">
        <v>10427.39</v>
      </c>
      <c r="G96" s="115">
        <f>B96/$B$134</f>
        <v>1.330946206728848E-3</v>
      </c>
    </row>
    <row r="97" spans="1:7" ht="15.4" x14ac:dyDescent="0.45">
      <c r="A97" s="85" t="s">
        <v>177</v>
      </c>
      <c r="B97" s="103"/>
      <c r="C97" s="103"/>
      <c r="D97" s="103"/>
      <c r="E97" s="103"/>
      <c r="F97" s="103"/>
      <c r="G97" s="115"/>
    </row>
    <row r="98" spans="1:7" ht="15.4" x14ac:dyDescent="0.45">
      <c r="A98" s="85" t="s">
        <v>84</v>
      </c>
      <c r="B98" s="103">
        <v>473723</v>
      </c>
      <c r="C98" s="103">
        <v>1209924.74</v>
      </c>
      <c r="D98" s="103">
        <v>-736201.74</v>
      </c>
      <c r="E98" s="103">
        <v>569590.47</v>
      </c>
      <c r="F98" s="103">
        <v>-166611.26999999999</v>
      </c>
      <c r="G98" s="115">
        <f t="shared" ref="G98:G110" si="4">B98/$B$134</f>
        <v>3.6649083039707159E-3</v>
      </c>
    </row>
    <row r="99" spans="1:7" ht="15.4" x14ac:dyDescent="0.45">
      <c r="A99" s="85" t="s">
        <v>85</v>
      </c>
      <c r="B99" s="103">
        <v>2054451</v>
      </c>
      <c r="C99" s="103">
        <v>797624</v>
      </c>
      <c r="D99" s="103">
        <v>1256827</v>
      </c>
      <c r="E99" s="103">
        <v>66250</v>
      </c>
      <c r="F99" s="103">
        <v>959230</v>
      </c>
      <c r="G99" s="115">
        <f t="shared" si="4"/>
        <v>1.5894044684342835E-2</v>
      </c>
    </row>
    <row r="100" spans="1:7" ht="15.4" x14ac:dyDescent="0.45">
      <c r="A100" s="85" t="s">
        <v>86</v>
      </c>
      <c r="B100" s="103">
        <v>3545405</v>
      </c>
      <c r="C100" s="103">
        <v>1925448.76</v>
      </c>
      <c r="D100" s="103">
        <v>1619956.24</v>
      </c>
      <c r="E100" s="103">
        <v>270976.84000000003</v>
      </c>
      <c r="F100" s="103">
        <v>1890933.08</v>
      </c>
      <c r="G100" s="115">
        <f t="shared" si="4"/>
        <v>2.7428653929488955E-2</v>
      </c>
    </row>
    <row r="101" spans="1:7" ht="15.4" x14ac:dyDescent="0.45">
      <c r="A101" s="85" t="s">
        <v>87</v>
      </c>
      <c r="B101" s="103">
        <v>518838</v>
      </c>
      <c r="C101" s="103">
        <v>476099.86</v>
      </c>
      <c r="D101" s="103">
        <v>42738.14</v>
      </c>
      <c r="E101" s="103">
        <v>0</v>
      </c>
      <c r="F101" s="103">
        <v>42738.14</v>
      </c>
      <c r="G101" s="115">
        <f t="shared" si="4"/>
        <v>4.0139357696703732E-3</v>
      </c>
    </row>
    <row r="102" spans="1:7" ht="15.4" x14ac:dyDescent="0.45">
      <c r="A102" s="85" t="s">
        <v>89</v>
      </c>
      <c r="B102" s="103">
        <v>232885</v>
      </c>
      <c r="C102" s="103">
        <v>36272.660000000003</v>
      </c>
      <c r="D102" s="103">
        <v>196612.34</v>
      </c>
      <c r="E102" s="103">
        <v>0</v>
      </c>
      <c r="F102" s="103">
        <v>196612.34</v>
      </c>
      <c r="G102" s="115">
        <f t="shared" si="4"/>
        <v>1.8016903768029423E-3</v>
      </c>
    </row>
    <row r="103" spans="1:7" ht="15.4" x14ac:dyDescent="0.45">
      <c r="A103" s="85" t="s">
        <v>144</v>
      </c>
      <c r="B103" s="103">
        <v>606521</v>
      </c>
      <c r="C103" s="103">
        <v>393670.62</v>
      </c>
      <c r="D103" s="103">
        <v>212850.38</v>
      </c>
      <c r="E103" s="103">
        <v>0</v>
      </c>
      <c r="F103" s="103">
        <v>212850.38</v>
      </c>
      <c r="G103" s="115">
        <f t="shared" si="4"/>
        <v>4.6922861027069041E-3</v>
      </c>
    </row>
    <row r="104" spans="1:7" ht="15.4" x14ac:dyDescent="0.45">
      <c r="A104" s="85" t="s">
        <v>90</v>
      </c>
      <c r="B104" s="103">
        <v>2675386</v>
      </c>
      <c r="C104" s="103">
        <v>1129486</v>
      </c>
      <c r="D104" s="103">
        <v>1545900</v>
      </c>
      <c r="E104" s="103">
        <v>0</v>
      </c>
      <c r="F104" s="103">
        <v>1545900</v>
      </c>
      <c r="G104" s="115">
        <f t="shared" si="4"/>
        <v>2.0697843186264966E-2</v>
      </c>
    </row>
    <row r="105" spans="1:7" ht="15.4" x14ac:dyDescent="0.45">
      <c r="A105" s="85" t="s">
        <v>181</v>
      </c>
      <c r="B105" s="103">
        <v>8317</v>
      </c>
      <c r="C105" s="103">
        <v>484375.23</v>
      </c>
      <c r="D105" s="103">
        <v>-476058.23</v>
      </c>
      <c r="E105" s="103">
        <v>0</v>
      </c>
      <c r="F105" s="103">
        <v>-476058.23</v>
      </c>
      <c r="G105" s="115">
        <f t="shared" si="4"/>
        <v>6.4343598187388922E-5</v>
      </c>
    </row>
    <row r="106" spans="1:7" ht="15.4" x14ac:dyDescent="0.45">
      <c r="A106" s="85" t="s">
        <v>172</v>
      </c>
      <c r="B106" s="103">
        <v>4749500</v>
      </c>
      <c r="C106" s="103">
        <v>3649204</v>
      </c>
      <c r="D106" s="103">
        <v>1100296</v>
      </c>
      <c r="E106" s="103">
        <v>68810</v>
      </c>
      <c r="F106" s="103">
        <v>855729</v>
      </c>
      <c r="G106" s="115">
        <f t="shared" si="4"/>
        <v>3.6744008607791714E-2</v>
      </c>
    </row>
    <row r="107" spans="1:7" ht="15.4" x14ac:dyDescent="0.45">
      <c r="A107" s="85" t="s">
        <v>92</v>
      </c>
      <c r="B107" s="103">
        <v>32501</v>
      </c>
      <c r="C107" s="103">
        <v>28799.32</v>
      </c>
      <c r="D107" s="103">
        <v>3701.68</v>
      </c>
      <c r="E107" s="103">
        <v>0</v>
      </c>
      <c r="F107" s="103">
        <v>3701.68</v>
      </c>
      <c r="G107" s="115">
        <f t="shared" si="4"/>
        <v>2.5144057769488126E-4</v>
      </c>
    </row>
    <row r="108" spans="1:7" ht="15.4" x14ac:dyDescent="0.45">
      <c r="A108" s="85" t="s">
        <v>93</v>
      </c>
      <c r="B108" s="103">
        <v>98719</v>
      </c>
      <c r="C108" s="103">
        <v>129182</v>
      </c>
      <c r="D108" s="103">
        <v>-30463</v>
      </c>
      <c r="E108" s="103">
        <v>80685</v>
      </c>
      <c r="F108" s="103">
        <v>50222</v>
      </c>
      <c r="G108" s="115">
        <f t="shared" si="4"/>
        <v>7.6372918954681346E-4</v>
      </c>
    </row>
    <row r="109" spans="1:7" ht="15.4" x14ac:dyDescent="0.45">
      <c r="A109" s="85" t="s">
        <v>113</v>
      </c>
      <c r="B109" s="103">
        <v>660467</v>
      </c>
      <c r="C109" s="103">
        <v>144405.12</v>
      </c>
      <c r="D109" s="103">
        <v>516061.88</v>
      </c>
      <c r="E109" s="103">
        <v>0</v>
      </c>
      <c r="F109" s="103">
        <v>516061.88</v>
      </c>
      <c r="G109" s="115">
        <f t="shared" si="4"/>
        <v>5.1096336736840449E-3</v>
      </c>
    </row>
    <row r="110" spans="1:7" ht="15.4" x14ac:dyDescent="0.45">
      <c r="A110" s="85" t="s">
        <v>94</v>
      </c>
      <c r="B110" s="103">
        <v>1051042</v>
      </c>
      <c r="C110" s="103">
        <v>1280409.55</v>
      </c>
      <c r="D110" s="103">
        <v>-229367.55</v>
      </c>
      <c r="E110" s="103">
        <v>81400.899999999994</v>
      </c>
      <c r="F110" s="103">
        <v>-147966.65</v>
      </c>
      <c r="G110" s="115">
        <f t="shared" si="4"/>
        <v>8.1312761964734432E-3</v>
      </c>
    </row>
    <row r="111" spans="1:7" ht="15.4" x14ac:dyDescent="0.45">
      <c r="A111" s="85" t="s">
        <v>155</v>
      </c>
      <c r="B111" s="103"/>
      <c r="C111" s="103"/>
      <c r="D111" s="103"/>
      <c r="E111" s="103"/>
      <c r="F111" s="103"/>
      <c r="G111" s="115"/>
    </row>
    <row r="112" spans="1:7" ht="15.4" x14ac:dyDescent="0.45">
      <c r="A112" s="85" t="s">
        <v>114</v>
      </c>
      <c r="B112" s="103">
        <v>1309017</v>
      </c>
      <c r="C112" s="103">
        <v>592101.11</v>
      </c>
      <c r="D112" s="103">
        <v>716915.89</v>
      </c>
      <c r="E112" s="103">
        <v>678365.26</v>
      </c>
      <c r="F112" s="103">
        <v>1046461.15</v>
      </c>
      <c r="G112" s="115">
        <f>B112/$B$134</f>
        <v>1.0127072726759804E-2</v>
      </c>
    </row>
    <row r="113" spans="1:7" ht="15.4" x14ac:dyDescent="0.45">
      <c r="A113" s="85" t="s">
        <v>173</v>
      </c>
      <c r="B113" s="103"/>
      <c r="C113" s="103"/>
      <c r="D113" s="103"/>
      <c r="E113" s="103"/>
      <c r="F113" s="103"/>
      <c r="G113" s="115"/>
    </row>
    <row r="114" spans="1:7" ht="15.4" x14ac:dyDescent="0.45">
      <c r="A114" s="85" t="s">
        <v>95</v>
      </c>
      <c r="B114" s="103">
        <v>75751</v>
      </c>
      <c r="C114" s="103">
        <v>33502.44</v>
      </c>
      <c r="D114" s="103">
        <v>42248.56</v>
      </c>
      <c r="E114" s="103">
        <v>0</v>
      </c>
      <c r="F114" s="103">
        <v>42248.56</v>
      </c>
      <c r="G114" s="115">
        <f t="shared" ref="G114:G122" si="5">B114/$B$134</f>
        <v>5.8603966650149072E-4</v>
      </c>
    </row>
    <row r="115" spans="1:7" ht="15.4" x14ac:dyDescent="0.45">
      <c r="A115" s="85" t="s">
        <v>178</v>
      </c>
      <c r="B115" s="103">
        <v>1644</v>
      </c>
      <c r="C115" s="103">
        <v>102724.67</v>
      </c>
      <c r="D115" s="103">
        <v>-101080.67</v>
      </c>
      <c r="E115" s="103">
        <v>6332.46</v>
      </c>
      <c r="F115" s="103">
        <v>-94748.21</v>
      </c>
      <c r="G115" s="115">
        <f t="shared" si="5"/>
        <v>1.2718633572209619E-5</v>
      </c>
    </row>
    <row r="116" spans="1:7" ht="15.4" x14ac:dyDescent="0.45">
      <c r="A116" s="85" t="s">
        <v>96</v>
      </c>
      <c r="B116" s="103">
        <v>131820</v>
      </c>
      <c r="C116" s="103">
        <v>144996.88</v>
      </c>
      <c r="D116" s="103">
        <v>-13176.88</v>
      </c>
      <c r="E116" s="103">
        <v>0</v>
      </c>
      <c r="F116" s="103">
        <v>-13176.88</v>
      </c>
      <c r="G116" s="115">
        <f t="shared" si="5"/>
        <v>1.0198116043118443E-3</v>
      </c>
    </row>
    <row r="117" spans="1:7" ht="15.4" x14ac:dyDescent="0.45">
      <c r="A117" s="85" t="s">
        <v>145</v>
      </c>
      <c r="B117" s="103">
        <v>72779</v>
      </c>
      <c r="C117" s="103">
        <v>285105.82</v>
      </c>
      <c r="D117" s="103">
        <v>-212326.82</v>
      </c>
      <c r="E117" s="103">
        <v>114099.58</v>
      </c>
      <c r="F117" s="103">
        <v>-98227.24</v>
      </c>
      <c r="G117" s="115">
        <f t="shared" si="5"/>
        <v>5.6304710021401689E-4</v>
      </c>
    </row>
    <row r="118" spans="1:7" ht="15.4" x14ac:dyDescent="0.45">
      <c r="A118" s="85" t="s">
        <v>97</v>
      </c>
      <c r="B118" s="103">
        <v>232915</v>
      </c>
      <c r="C118" s="103">
        <v>135695</v>
      </c>
      <c r="D118" s="103">
        <v>97220</v>
      </c>
      <c r="E118" s="103">
        <v>0</v>
      </c>
      <c r="F118" s="103">
        <v>97220</v>
      </c>
      <c r="G118" s="115">
        <f t="shared" si="5"/>
        <v>1.8019224686564497E-3</v>
      </c>
    </row>
    <row r="119" spans="1:7" ht="15.4" x14ac:dyDescent="0.45">
      <c r="A119" s="85" t="s">
        <v>98</v>
      </c>
      <c r="B119" s="103">
        <v>1860805</v>
      </c>
      <c r="C119" s="103">
        <v>877720</v>
      </c>
      <c r="D119" s="103">
        <v>983085</v>
      </c>
      <c r="E119" s="103">
        <v>61385</v>
      </c>
      <c r="F119" s="103">
        <v>775353</v>
      </c>
      <c r="G119" s="115">
        <f t="shared" si="5"/>
        <v>1.4395922715532554E-2</v>
      </c>
    </row>
    <row r="120" spans="1:7" ht="15.4" x14ac:dyDescent="0.45">
      <c r="A120" s="85" t="s">
        <v>99</v>
      </c>
      <c r="B120" s="103">
        <v>231812</v>
      </c>
      <c r="C120" s="103">
        <v>165320.91</v>
      </c>
      <c r="D120" s="103">
        <v>66491.09</v>
      </c>
      <c r="E120" s="103">
        <v>11825.8</v>
      </c>
      <c r="F120" s="103">
        <v>58737.67</v>
      </c>
      <c r="G120" s="115">
        <f t="shared" si="5"/>
        <v>1.7933892248424915E-3</v>
      </c>
    </row>
    <row r="121" spans="1:7" ht="15.4" x14ac:dyDescent="0.45">
      <c r="A121" s="85" t="s">
        <v>100</v>
      </c>
      <c r="B121" s="103">
        <v>1907057</v>
      </c>
      <c r="C121" s="103">
        <v>1332076.6299999999</v>
      </c>
      <c r="D121" s="103">
        <v>574980.37</v>
      </c>
      <c r="E121" s="103">
        <v>104420.24</v>
      </c>
      <c r="F121" s="103">
        <v>679400.61</v>
      </c>
      <c r="G121" s="115">
        <f t="shared" si="5"/>
        <v>1.4753746462480144E-2</v>
      </c>
    </row>
    <row r="122" spans="1:7" ht="15.4" x14ac:dyDescent="0.45">
      <c r="A122" s="85" t="s">
        <v>101</v>
      </c>
      <c r="B122" s="103">
        <v>21589</v>
      </c>
      <c r="C122" s="103">
        <v>20877.490000000002</v>
      </c>
      <c r="D122" s="103">
        <v>711.51</v>
      </c>
      <c r="E122" s="103">
        <v>0</v>
      </c>
      <c r="F122" s="103">
        <v>711.51</v>
      </c>
      <c r="G122" s="115">
        <f t="shared" si="5"/>
        <v>1.6702103417909578E-4</v>
      </c>
    </row>
    <row r="123" spans="1:7" ht="15.4" x14ac:dyDescent="0.45">
      <c r="A123" s="85" t="s">
        <v>102</v>
      </c>
      <c r="B123" s="103"/>
      <c r="C123" s="103"/>
      <c r="D123" s="103"/>
      <c r="E123" s="103"/>
      <c r="F123" s="103"/>
      <c r="G123" s="115"/>
    </row>
    <row r="124" spans="1:7" ht="15.4" x14ac:dyDescent="0.45">
      <c r="A124" s="85" t="s">
        <v>156</v>
      </c>
      <c r="B124" s="103">
        <v>862248</v>
      </c>
      <c r="C124" s="103">
        <v>106473.75</v>
      </c>
      <c r="D124" s="103">
        <v>755774.25</v>
      </c>
      <c r="E124" s="103">
        <v>0</v>
      </c>
      <c r="F124" s="103">
        <v>755774.25</v>
      </c>
      <c r="G124" s="115">
        <f>B124/$B$134</f>
        <v>6.6706912167704378E-3</v>
      </c>
    </row>
    <row r="125" spans="1:7" ht="15.4" x14ac:dyDescent="0.45">
      <c r="A125" s="85" t="s">
        <v>157</v>
      </c>
      <c r="B125" s="103">
        <v>2234774</v>
      </c>
      <c r="C125" s="103">
        <v>753951.94</v>
      </c>
      <c r="D125" s="103">
        <v>1480822.06</v>
      </c>
      <c r="E125" s="103">
        <v>0</v>
      </c>
      <c r="F125" s="103">
        <v>1480822.06</v>
      </c>
      <c r="G125" s="115">
        <f>B125/$B$134</f>
        <v>1.7289094661010449E-2</v>
      </c>
    </row>
    <row r="126" spans="1:7" ht="15.4" x14ac:dyDescent="0.45">
      <c r="A126" s="85" t="s">
        <v>103</v>
      </c>
      <c r="B126" s="103">
        <v>1529122</v>
      </c>
      <c r="C126" s="103">
        <v>1342675.1</v>
      </c>
      <c r="D126" s="103">
        <v>186446.9</v>
      </c>
      <c r="E126" s="103">
        <v>4371.9799999999996</v>
      </c>
      <c r="F126" s="103">
        <v>190818.88</v>
      </c>
      <c r="G126" s="115">
        <f>B126/$B$134</f>
        <v>1.1829891973968562E-2</v>
      </c>
    </row>
    <row r="127" spans="1:7" ht="15.4" x14ac:dyDescent="0.45">
      <c r="A127" s="85" t="s">
        <v>104</v>
      </c>
      <c r="B127" s="103">
        <v>2010467.5</v>
      </c>
      <c r="C127" s="103">
        <v>967394.72</v>
      </c>
      <c r="D127" s="103">
        <v>1043072.78</v>
      </c>
      <c r="E127" s="103">
        <v>29399.97</v>
      </c>
      <c r="F127" s="103">
        <v>1072472.75</v>
      </c>
      <c r="G127" s="115">
        <f>B127/$B$134</f>
        <v>1.5553770949717969E-2</v>
      </c>
    </row>
    <row r="128" spans="1:7" ht="15.4" x14ac:dyDescent="0.45">
      <c r="A128" s="85" t="s">
        <v>179</v>
      </c>
      <c r="B128" s="103"/>
      <c r="C128" s="103"/>
      <c r="D128" s="103"/>
      <c r="E128" s="103"/>
      <c r="F128" s="103"/>
      <c r="G128" s="115"/>
    </row>
    <row r="129" spans="1:7" ht="15.4" x14ac:dyDescent="0.45">
      <c r="A129" s="85" t="s">
        <v>105</v>
      </c>
      <c r="B129" s="103">
        <v>214179</v>
      </c>
      <c r="C129" s="103">
        <v>124948.2</v>
      </c>
      <c r="D129" s="103">
        <v>89230.8</v>
      </c>
      <c r="E129" s="103">
        <v>0</v>
      </c>
      <c r="F129" s="103">
        <v>89230.8</v>
      </c>
      <c r="G129" s="115">
        <f>B129/$B$134</f>
        <v>1.6569733697459148E-3</v>
      </c>
    </row>
    <row r="130" spans="1:7" ht="15.4" x14ac:dyDescent="0.45">
      <c r="A130" s="85" t="s">
        <v>106</v>
      </c>
      <c r="B130" s="103">
        <v>11361269</v>
      </c>
      <c r="C130" s="103">
        <v>3419685.67</v>
      </c>
      <c r="D130" s="103">
        <v>7941583.3300000001</v>
      </c>
      <c r="E130" s="103">
        <v>2002775</v>
      </c>
      <c r="F130" s="103">
        <v>9944358.3300000001</v>
      </c>
      <c r="G130" s="115">
        <f>B130/$B$134</f>
        <v>8.7895266013567147E-2</v>
      </c>
    </row>
    <row r="131" spans="1:7" ht="15.4" x14ac:dyDescent="0.45">
      <c r="A131" s="85" t="s">
        <v>146</v>
      </c>
      <c r="B131" s="103">
        <v>499720</v>
      </c>
      <c r="C131" s="103">
        <v>151751.98000000001</v>
      </c>
      <c r="D131" s="103">
        <v>347968.02</v>
      </c>
      <c r="E131" s="103">
        <v>54618</v>
      </c>
      <c r="F131" s="103">
        <v>281810.07</v>
      </c>
      <c r="G131" s="115">
        <f>B131/$B$134</f>
        <v>3.8660313678251768E-3</v>
      </c>
    </row>
    <row r="132" spans="1:7" ht="15.4" x14ac:dyDescent="0.45">
      <c r="A132" s="85" t="s">
        <v>107</v>
      </c>
      <c r="B132" s="103">
        <v>1528605</v>
      </c>
      <c r="C132" s="103">
        <v>994396.33</v>
      </c>
      <c r="D132" s="103">
        <v>534208.67000000004</v>
      </c>
      <c r="E132" s="103">
        <v>-71522.78</v>
      </c>
      <c r="F132" s="103">
        <v>347014.42</v>
      </c>
      <c r="G132" s="115">
        <f>B132/$B$134</f>
        <v>1.1825892257693116E-2</v>
      </c>
    </row>
    <row r="134" spans="1:7" ht="15.4" x14ac:dyDescent="0.45">
      <c r="A134" s="116" t="s">
        <v>147</v>
      </c>
      <c r="B134" s="140">
        <f t="shared" ref="B134:G134" si="6">SUM(B3:B132)</f>
        <v>129259168.5</v>
      </c>
      <c r="C134" s="140">
        <f t="shared" si="6"/>
        <v>74330555.499999985</v>
      </c>
      <c r="D134" s="140">
        <f t="shared" si="6"/>
        <v>54928613.000000022</v>
      </c>
      <c r="E134" s="140">
        <f t="shared" si="6"/>
        <v>12679266.190000005</v>
      </c>
      <c r="F134" s="140">
        <f t="shared" si="6"/>
        <v>56435652.31000001</v>
      </c>
      <c r="G134" s="142">
        <f t="shared" si="6"/>
        <v>1.0000000000000002</v>
      </c>
    </row>
  </sheetData>
  <sortState xmlns:xlrd2="http://schemas.microsoft.com/office/spreadsheetml/2017/richdata2" ref="A3:G157">
    <sortCondition ref="A3"/>
  </sortState>
  <mergeCells count="1">
    <mergeCell ref="A1:G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51C88-4D7C-476E-A617-96EBF75B9403}">
  <dimension ref="A1:BS793"/>
  <sheetViews>
    <sheetView topLeftCell="A2" workbookViewId="0">
      <pane ySplit="1" topLeftCell="A117" activePane="bottomLeft" state="frozen"/>
      <selection activeCell="A2" sqref="A2"/>
      <selection pane="bottomLeft" activeCell="B124" sqref="B124"/>
    </sheetView>
  </sheetViews>
  <sheetFormatPr defaultRowHeight="12.75" x14ac:dyDescent="0.35"/>
  <cols>
    <col min="1" max="1" width="51.265625" bestFit="1" customWidth="1"/>
    <col min="2" max="2" width="20" customWidth="1"/>
    <col min="3" max="3" width="17.86328125" customWidth="1"/>
    <col min="4" max="4" width="23" customWidth="1"/>
    <col min="5" max="5" width="17.73046875" customWidth="1"/>
    <col min="6" max="6" width="17.3984375" customWidth="1"/>
    <col min="7" max="7" width="14.1328125" customWidth="1"/>
    <col min="8" max="49" width="9.1328125" style="146"/>
    <col min="50" max="71" width="9.1328125" style="145"/>
  </cols>
  <sheetData>
    <row r="1" spans="1:7" ht="18" x14ac:dyDescent="0.55000000000000004">
      <c r="A1" s="154" t="s">
        <v>187</v>
      </c>
      <c r="B1" s="155"/>
      <c r="C1" s="155"/>
      <c r="D1" s="155"/>
      <c r="E1" s="155"/>
      <c r="F1" s="155"/>
      <c r="G1" s="156"/>
    </row>
    <row r="2" spans="1:7" ht="54" x14ac:dyDescent="0.55000000000000004">
      <c r="A2" s="151" t="s">
        <v>1</v>
      </c>
      <c r="B2" s="152" t="s">
        <v>2</v>
      </c>
      <c r="C2" s="152" t="s">
        <v>3</v>
      </c>
      <c r="D2" s="152" t="s">
        <v>4</v>
      </c>
      <c r="E2" s="152" t="s">
        <v>5</v>
      </c>
      <c r="F2" s="152" t="s">
        <v>6</v>
      </c>
      <c r="G2" s="153" t="s">
        <v>9</v>
      </c>
    </row>
    <row r="3" spans="1:7" ht="15.4" x14ac:dyDescent="0.45">
      <c r="A3" s="149" t="s">
        <v>11</v>
      </c>
      <c r="B3" s="147">
        <v>16006</v>
      </c>
      <c r="C3" s="147">
        <v>52255</v>
      </c>
      <c r="D3" s="147">
        <v>-36249</v>
      </c>
      <c r="E3" s="147">
        <v>0</v>
      </c>
      <c r="F3" s="147">
        <v>-36249</v>
      </c>
      <c r="G3" s="143">
        <f t="shared" ref="G3:G34" si="0">B3/$B$131</f>
        <v>7.0174928077585346E-5</v>
      </c>
    </row>
    <row r="4" spans="1:7" ht="15.4" x14ac:dyDescent="0.45">
      <c r="A4" s="149" t="s">
        <v>180</v>
      </c>
      <c r="B4" s="147">
        <v>6011</v>
      </c>
      <c r="C4" s="147">
        <v>283589.76000000001</v>
      </c>
      <c r="D4" s="147">
        <v>-277578.76</v>
      </c>
      <c r="E4" s="147">
        <v>201521</v>
      </c>
      <c r="F4" s="147">
        <v>-76057.759999999995</v>
      </c>
      <c r="G4" s="143">
        <f t="shared" si="0"/>
        <v>2.6353960556938992E-5</v>
      </c>
    </row>
    <row r="5" spans="1:7" ht="15.4" x14ac:dyDescent="0.45">
      <c r="A5" s="149" t="s">
        <v>165</v>
      </c>
      <c r="B5" s="147">
        <v>315661</v>
      </c>
      <c r="C5" s="147">
        <v>170411</v>
      </c>
      <c r="D5" s="147">
        <v>145250</v>
      </c>
      <c r="E5" s="147">
        <v>0</v>
      </c>
      <c r="F5" s="147">
        <v>132190</v>
      </c>
      <c r="G5" s="143">
        <f t="shared" si="0"/>
        <v>1.3839490173621558E-3</v>
      </c>
    </row>
    <row r="6" spans="1:7" ht="15.4" x14ac:dyDescent="0.45">
      <c r="A6" s="149" t="s">
        <v>117</v>
      </c>
      <c r="B6" s="147">
        <v>160919</v>
      </c>
      <c r="C6" s="147">
        <v>431635.41</v>
      </c>
      <c r="D6" s="147">
        <v>-270716.40999999997</v>
      </c>
      <c r="E6" s="147">
        <v>80.739999999999995</v>
      </c>
      <c r="F6" s="147">
        <v>-270635.67</v>
      </c>
      <c r="G6" s="143">
        <f t="shared" si="0"/>
        <v>7.0551538493795801E-4</v>
      </c>
    </row>
    <row r="7" spans="1:7" ht="15.4" x14ac:dyDescent="0.45">
      <c r="A7" s="149" t="s">
        <v>10</v>
      </c>
      <c r="B7" s="147">
        <v>5710070</v>
      </c>
      <c r="C7" s="147">
        <v>3037457</v>
      </c>
      <c r="D7" s="147">
        <v>2672613</v>
      </c>
      <c r="E7" s="147">
        <v>0</v>
      </c>
      <c r="F7" s="147">
        <v>1975508</v>
      </c>
      <c r="G7" s="143">
        <f t="shared" si="0"/>
        <v>2.5034596499311366E-2</v>
      </c>
    </row>
    <row r="8" spans="1:7" ht="15.4" x14ac:dyDescent="0.45">
      <c r="A8" s="149" t="s">
        <v>162</v>
      </c>
      <c r="B8" s="147">
        <v>494452</v>
      </c>
      <c r="C8" s="147">
        <v>118969.54</v>
      </c>
      <c r="D8" s="147">
        <v>375482.46</v>
      </c>
      <c r="E8" s="147">
        <v>0</v>
      </c>
      <c r="F8" s="147">
        <v>375482.46</v>
      </c>
      <c r="G8" s="143">
        <f t="shared" si="0"/>
        <v>2.1678204134585924E-3</v>
      </c>
    </row>
    <row r="9" spans="1:7" ht="15.4" x14ac:dyDescent="0.45">
      <c r="A9" s="149" t="s">
        <v>12</v>
      </c>
      <c r="B9" s="147">
        <v>904560</v>
      </c>
      <c r="C9" s="147">
        <v>1017667.28</v>
      </c>
      <c r="D9" s="147">
        <v>-113107.28</v>
      </c>
      <c r="E9" s="147">
        <v>82147.759999999995</v>
      </c>
      <c r="F9" s="147">
        <v>-30959.52</v>
      </c>
      <c r="G9" s="143">
        <f t="shared" si="0"/>
        <v>3.9658523642297008E-3</v>
      </c>
    </row>
    <row r="10" spans="1:7" ht="15.4" x14ac:dyDescent="0.45">
      <c r="A10" s="149" t="s">
        <v>13</v>
      </c>
      <c r="B10" s="147">
        <v>636879</v>
      </c>
      <c r="C10" s="147">
        <v>520876.5</v>
      </c>
      <c r="D10" s="147">
        <v>116002.5</v>
      </c>
      <c r="E10" s="147">
        <v>-15030.02</v>
      </c>
      <c r="F10" s="147">
        <v>75729.38</v>
      </c>
      <c r="G10" s="143">
        <f t="shared" si="0"/>
        <v>2.7922615281222338E-3</v>
      </c>
    </row>
    <row r="11" spans="1:7" ht="15.4" x14ac:dyDescent="0.45">
      <c r="A11" s="149" t="s">
        <v>14</v>
      </c>
      <c r="B11" s="147">
        <v>820276</v>
      </c>
      <c r="C11" s="147">
        <v>559094.59</v>
      </c>
      <c r="D11" s="147">
        <v>261181.41</v>
      </c>
      <c r="E11" s="147">
        <v>-67992</v>
      </c>
      <c r="F11" s="147">
        <v>144892.41</v>
      </c>
      <c r="G11" s="143">
        <f t="shared" si="0"/>
        <v>3.5963269588760085E-3</v>
      </c>
    </row>
    <row r="12" spans="1:7" ht="15.4" x14ac:dyDescent="0.45">
      <c r="A12" s="149" t="s">
        <v>16</v>
      </c>
      <c r="B12" s="147">
        <v>1596948</v>
      </c>
      <c r="C12" s="147">
        <v>1358618.64</v>
      </c>
      <c r="D12" s="147">
        <v>238329.36</v>
      </c>
      <c r="E12" s="147">
        <v>-380279.83</v>
      </c>
      <c r="F12" s="147">
        <v>-277597.76</v>
      </c>
      <c r="G12" s="143">
        <f t="shared" si="0"/>
        <v>7.0014813847084694E-3</v>
      </c>
    </row>
    <row r="13" spans="1:7" ht="15.4" x14ac:dyDescent="0.45">
      <c r="A13" s="149" t="s">
        <v>17</v>
      </c>
      <c r="B13" s="147">
        <v>940283</v>
      </c>
      <c r="C13" s="147">
        <v>376078.95</v>
      </c>
      <c r="D13" s="147">
        <v>564204.05000000005</v>
      </c>
      <c r="E13" s="147">
        <v>18047.32</v>
      </c>
      <c r="F13" s="147">
        <v>582251.37</v>
      </c>
      <c r="G13" s="143">
        <f t="shared" si="0"/>
        <v>4.1224723164798313E-3</v>
      </c>
    </row>
    <row r="14" spans="1:7" ht="15.4" x14ac:dyDescent="0.45">
      <c r="A14" s="149" t="s">
        <v>18</v>
      </c>
      <c r="B14" s="147"/>
      <c r="C14" s="147"/>
      <c r="D14" s="147"/>
      <c r="E14" s="147"/>
      <c r="F14" s="147"/>
      <c r="G14" s="143">
        <f t="shared" si="0"/>
        <v>0</v>
      </c>
    </row>
    <row r="15" spans="1:7" ht="15.4" x14ac:dyDescent="0.45">
      <c r="A15" s="149" t="s">
        <v>19</v>
      </c>
      <c r="B15" s="147">
        <v>430306</v>
      </c>
      <c r="C15" s="147">
        <v>655433.57999999996</v>
      </c>
      <c r="D15" s="147">
        <v>-225127.58</v>
      </c>
      <c r="E15" s="147">
        <v>199225</v>
      </c>
      <c r="F15" s="147">
        <v>-25902.59</v>
      </c>
      <c r="G15" s="143">
        <f t="shared" si="0"/>
        <v>1.8865858179028764E-3</v>
      </c>
    </row>
    <row r="16" spans="1:7" ht="15.4" x14ac:dyDescent="0.45">
      <c r="A16" s="149" t="s">
        <v>20</v>
      </c>
      <c r="B16" s="147">
        <v>789873</v>
      </c>
      <c r="C16" s="147">
        <v>589816.02</v>
      </c>
      <c r="D16" s="147">
        <v>200056.98</v>
      </c>
      <c r="E16" s="147">
        <v>80974.679999999993</v>
      </c>
      <c r="F16" s="147">
        <v>281031.65999999997</v>
      </c>
      <c r="G16" s="143">
        <f t="shared" si="0"/>
        <v>3.4630314235553272E-3</v>
      </c>
    </row>
    <row r="17" spans="1:7" ht="15.4" x14ac:dyDescent="0.45">
      <c r="A17" s="149" t="s">
        <v>21</v>
      </c>
      <c r="B17" s="147">
        <v>888686</v>
      </c>
      <c r="C17" s="147">
        <v>1258407.17</v>
      </c>
      <c r="D17" s="147">
        <v>-369721.17</v>
      </c>
      <c r="E17" s="147">
        <v>118727</v>
      </c>
      <c r="F17" s="147">
        <v>-251686.82</v>
      </c>
      <c r="G17" s="143">
        <f t="shared" si="0"/>
        <v>3.8962561622864554E-3</v>
      </c>
    </row>
    <row r="18" spans="1:7" ht="15.4" x14ac:dyDescent="0.45">
      <c r="A18" s="149" t="s">
        <v>134</v>
      </c>
      <c r="B18" s="147">
        <v>1028676</v>
      </c>
      <c r="C18" s="147">
        <v>832094.71999999997</v>
      </c>
      <c r="D18" s="147">
        <v>196581.28</v>
      </c>
      <c r="E18" s="147">
        <v>-35931.86</v>
      </c>
      <c r="F18" s="147">
        <v>116471.42</v>
      </c>
      <c r="G18" s="143">
        <f t="shared" si="0"/>
        <v>4.5100127649092955E-3</v>
      </c>
    </row>
    <row r="19" spans="1:7" ht="15.4" x14ac:dyDescent="0.45">
      <c r="A19" s="149" t="s">
        <v>22</v>
      </c>
      <c r="B19" s="147"/>
      <c r="C19" s="147"/>
      <c r="D19" s="147"/>
      <c r="E19" s="147"/>
      <c r="F19" s="147"/>
      <c r="G19" s="143">
        <f t="shared" si="0"/>
        <v>0</v>
      </c>
    </row>
    <row r="20" spans="1:7" ht="15.4" x14ac:dyDescent="0.45">
      <c r="A20" s="149" t="s">
        <v>135</v>
      </c>
      <c r="B20" s="147">
        <v>181726</v>
      </c>
      <c r="C20" s="147">
        <v>180146.63</v>
      </c>
      <c r="D20" s="147">
        <v>1579.37</v>
      </c>
      <c r="E20" s="147">
        <v>77736.960000000006</v>
      </c>
      <c r="F20" s="147">
        <v>79316.33</v>
      </c>
      <c r="G20" s="143">
        <f t="shared" si="0"/>
        <v>7.9673928400770177E-4</v>
      </c>
    </row>
    <row r="21" spans="1:7" ht="15.4" x14ac:dyDescent="0.45">
      <c r="A21" s="149" t="s">
        <v>23</v>
      </c>
      <c r="B21" s="147">
        <v>1013515</v>
      </c>
      <c r="C21" s="147">
        <v>564810.62</v>
      </c>
      <c r="D21" s="147">
        <v>448704.38</v>
      </c>
      <c r="E21" s="147">
        <v>160324</v>
      </c>
      <c r="F21" s="147">
        <v>609028.38</v>
      </c>
      <c r="G21" s="143">
        <f t="shared" si="0"/>
        <v>4.4435425609492636E-3</v>
      </c>
    </row>
    <row r="22" spans="1:7" ht="15.4" x14ac:dyDescent="0.45">
      <c r="A22" s="149" t="s">
        <v>24</v>
      </c>
      <c r="B22" s="147">
        <v>11883546</v>
      </c>
      <c r="C22" s="147">
        <v>21041990.16</v>
      </c>
      <c r="D22" s="147">
        <v>-9158444.1600000001</v>
      </c>
      <c r="E22" s="147">
        <v>9625131.9499999993</v>
      </c>
      <c r="F22" s="147">
        <v>261041.79</v>
      </c>
      <c r="G22" s="143">
        <f t="shared" si="0"/>
        <v>5.2100898779000183E-2</v>
      </c>
    </row>
    <row r="23" spans="1:7" ht="15.4" x14ac:dyDescent="0.45">
      <c r="A23" s="149" t="s">
        <v>136</v>
      </c>
      <c r="B23" s="147"/>
      <c r="C23" s="147"/>
      <c r="D23" s="147"/>
      <c r="E23" s="147"/>
      <c r="F23" s="147"/>
      <c r="G23" s="143">
        <f t="shared" si="0"/>
        <v>0</v>
      </c>
    </row>
    <row r="24" spans="1:7" ht="15.4" x14ac:dyDescent="0.45">
      <c r="A24" s="149" t="s">
        <v>174</v>
      </c>
      <c r="B24" s="147">
        <v>2506998</v>
      </c>
      <c r="C24" s="147">
        <v>1649251.87</v>
      </c>
      <c r="D24" s="147">
        <v>857746.13</v>
      </c>
      <c r="E24" s="147">
        <v>69040.429999999993</v>
      </c>
      <c r="F24" s="147">
        <v>926786.56000000006</v>
      </c>
      <c r="G24" s="143">
        <f t="shared" si="0"/>
        <v>1.0991403494980026E-2</v>
      </c>
    </row>
    <row r="25" spans="1:7" ht="15.4" x14ac:dyDescent="0.45">
      <c r="A25" s="149" t="s">
        <v>25</v>
      </c>
      <c r="B25" s="147">
        <v>1159666</v>
      </c>
      <c r="C25" s="147">
        <v>954345.83</v>
      </c>
      <c r="D25" s="147">
        <v>205320.17</v>
      </c>
      <c r="E25" s="147">
        <v>8246.81</v>
      </c>
      <c r="F25" s="147">
        <v>213566.98</v>
      </c>
      <c r="G25" s="143">
        <f t="shared" si="0"/>
        <v>5.0843107674635188E-3</v>
      </c>
    </row>
    <row r="26" spans="1:7" ht="15.4" x14ac:dyDescent="0.45">
      <c r="A26" s="149" t="s">
        <v>26</v>
      </c>
      <c r="B26" s="147"/>
      <c r="C26" s="147"/>
      <c r="D26" s="147"/>
      <c r="E26" s="147"/>
      <c r="F26" s="147"/>
      <c r="G26" s="143">
        <f t="shared" si="0"/>
        <v>0</v>
      </c>
    </row>
    <row r="27" spans="1:7" ht="15.4" x14ac:dyDescent="0.45">
      <c r="A27" s="149" t="s">
        <v>27</v>
      </c>
      <c r="B27" s="147">
        <v>124283</v>
      </c>
      <c r="C27" s="147">
        <v>107074.23</v>
      </c>
      <c r="D27" s="147">
        <v>17208.77</v>
      </c>
      <c r="E27" s="147">
        <v>32700.71</v>
      </c>
      <c r="F27" s="147">
        <v>49909.48</v>
      </c>
      <c r="G27" s="143">
        <f t="shared" si="0"/>
        <v>5.4489257692531172E-4</v>
      </c>
    </row>
    <row r="28" spans="1:7" ht="15.4" x14ac:dyDescent="0.45">
      <c r="A28" s="149" t="s">
        <v>118</v>
      </c>
      <c r="B28" s="147">
        <v>330569</v>
      </c>
      <c r="C28" s="147">
        <v>285073</v>
      </c>
      <c r="D28" s="147">
        <v>45496</v>
      </c>
      <c r="E28" s="147">
        <v>95120</v>
      </c>
      <c r="F28" s="147">
        <v>140616</v>
      </c>
      <c r="G28" s="143">
        <f t="shared" si="0"/>
        <v>1.4493099962313699E-3</v>
      </c>
    </row>
    <row r="29" spans="1:7" ht="15.4" x14ac:dyDescent="0.45">
      <c r="A29" s="149" t="s">
        <v>28</v>
      </c>
      <c r="B29" s="147">
        <v>477929</v>
      </c>
      <c r="C29" s="147">
        <v>384615</v>
      </c>
      <c r="D29" s="147">
        <v>93314</v>
      </c>
      <c r="E29" s="147">
        <v>0</v>
      </c>
      <c r="F29" s="147">
        <v>93314</v>
      </c>
      <c r="G29" s="143">
        <f t="shared" si="0"/>
        <v>2.0953788080215097E-3</v>
      </c>
    </row>
    <row r="30" spans="1:7" ht="15.4" x14ac:dyDescent="0.45">
      <c r="A30" s="149" t="s">
        <v>8</v>
      </c>
      <c r="B30" s="147">
        <v>0</v>
      </c>
      <c r="C30" s="147">
        <v>0</v>
      </c>
      <c r="D30" s="147">
        <v>0</v>
      </c>
      <c r="E30" s="147">
        <v>0</v>
      </c>
      <c r="F30" s="147">
        <v>0</v>
      </c>
      <c r="G30" s="143">
        <f t="shared" si="0"/>
        <v>0</v>
      </c>
    </row>
    <row r="31" spans="1:7" ht="15.4" x14ac:dyDescent="0.45">
      <c r="A31" s="149" t="s">
        <v>29</v>
      </c>
      <c r="B31" s="147">
        <v>2145917</v>
      </c>
      <c r="C31" s="147">
        <v>2375997.8199999998</v>
      </c>
      <c r="D31" s="147">
        <v>-230080.82</v>
      </c>
      <c r="E31" s="147">
        <v>11250</v>
      </c>
      <c r="F31" s="147">
        <v>-130559.22</v>
      </c>
      <c r="G31" s="143">
        <f t="shared" si="0"/>
        <v>9.4083200759382552E-3</v>
      </c>
    </row>
    <row r="32" spans="1:7" ht="15.4" x14ac:dyDescent="0.45">
      <c r="A32" s="149" t="s">
        <v>30</v>
      </c>
      <c r="B32" s="147">
        <v>414729</v>
      </c>
      <c r="C32" s="147">
        <v>387398.37</v>
      </c>
      <c r="D32" s="147">
        <v>27330.63</v>
      </c>
      <c r="E32" s="147">
        <v>0</v>
      </c>
      <c r="F32" s="147">
        <v>21157.63</v>
      </c>
      <c r="G32" s="143">
        <f t="shared" si="0"/>
        <v>1.818291749761895E-3</v>
      </c>
    </row>
    <row r="33" spans="1:7" ht="15.4" x14ac:dyDescent="0.45">
      <c r="A33" s="149" t="s">
        <v>31</v>
      </c>
      <c r="B33" s="147">
        <v>476310</v>
      </c>
      <c r="C33" s="147">
        <v>388859.77</v>
      </c>
      <c r="D33" s="147">
        <v>87450.23</v>
      </c>
      <c r="E33" s="147">
        <v>0</v>
      </c>
      <c r="F33" s="147">
        <v>87450.23</v>
      </c>
      <c r="G33" s="143">
        <f t="shared" si="0"/>
        <v>2.0882806442980555E-3</v>
      </c>
    </row>
    <row r="34" spans="1:7" ht="15.4" x14ac:dyDescent="0.45">
      <c r="A34" s="149" t="s">
        <v>32</v>
      </c>
      <c r="B34" s="147">
        <v>151670</v>
      </c>
      <c r="C34" s="147">
        <v>216448</v>
      </c>
      <c r="D34" s="147">
        <v>-64778</v>
      </c>
      <c r="E34" s="147">
        <v>6422</v>
      </c>
      <c r="F34" s="147">
        <v>-58356</v>
      </c>
      <c r="G34" s="143">
        <f t="shared" si="0"/>
        <v>6.6496509693411026E-4</v>
      </c>
    </row>
    <row r="35" spans="1:7" ht="15.4" x14ac:dyDescent="0.45">
      <c r="A35" s="149" t="s">
        <v>175</v>
      </c>
      <c r="B35" s="147">
        <v>1318048</v>
      </c>
      <c r="C35" s="147">
        <v>1308498</v>
      </c>
      <c r="D35" s="147">
        <v>9550</v>
      </c>
      <c r="E35" s="147">
        <v>50810</v>
      </c>
      <c r="F35" s="147">
        <v>60360</v>
      </c>
      <c r="G35" s="143">
        <f t="shared" ref="G35:G66" si="1">B35/$B$131</f>
        <v>5.7787032114710235E-3</v>
      </c>
    </row>
    <row r="36" spans="1:7" ht="15.4" x14ac:dyDescent="0.45">
      <c r="A36" s="149" t="s">
        <v>33</v>
      </c>
      <c r="B36" s="147">
        <v>93265</v>
      </c>
      <c r="C36" s="147">
        <v>83619.490000000005</v>
      </c>
      <c r="D36" s="147">
        <v>9645.51</v>
      </c>
      <c r="E36" s="147">
        <v>0</v>
      </c>
      <c r="F36" s="147">
        <v>2466.9299999999998</v>
      </c>
      <c r="G36" s="143">
        <f t="shared" si="1"/>
        <v>4.0890070393327481E-4</v>
      </c>
    </row>
    <row r="37" spans="1:7" ht="15.4" x14ac:dyDescent="0.45">
      <c r="A37" s="149" t="s">
        <v>34</v>
      </c>
      <c r="B37" s="147">
        <v>21282</v>
      </c>
      <c r="C37" s="147">
        <v>21001</v>
      </c>
      <c r="D37" s="147">
        <v>281</v>
      </c>
      <c r="E37" s="147">
        <v>0</v>
      </c>
      <c r="F37" s="147">
        <v>281</v>
      </c>
      <c r="G37" s="143">
        <f t="shared" si="1"/>
        <v>9.3306436295587363E-5</v>
      </c>
    </row>
    <row r="38" spans="1:7" ht="15.4" x14ac:dyDescent="0.45">
      <c r="A38" s="149" t="s">
        <v>35</v>
      </c>
      <c r="B38" s="147">
        <v>230476</v>
      </c>
      <c r="C38" s="147">
        <v>459850.7</v>
      </c>
      <c r="D38" s="147">
        <v>-229374.7</v>
      </c>
      <c r="E38" s="147">
        <v>80867.98</v>
      </c>
      <c r="F38" s="147">
        <v>-148506.72</v>
      </c>
      <c r="G38" s="143">
        <f t="shared" si="1"/>
        <v>1.0104733677127051E-3</v>
      </c>
    </row>
    <row r="39" spans="1:7" ht="15.4" x14ac:dyDescent="0.45">
      <c r="A39" s="149" t="s">
        <v>36</v>
      </c>
      <c r="B39" s="147">
        <v>797180</v>
      </c>
      <c r="C39" s="147">
        <v>726489</v>
      </c>
      <c r="D39" s="147">
        <v>70691</v>
      </c>
      <c r="E39" s="147">
        <v>89</v>
      </c>
      <c r="F39" s="147">
        <v>63319</v>
      </c>
      <c r="G39" s="143">
        <f t="shared" si="1"/>
        <v>3.4950674225221467E-3</v>
      </c>
    </row>
    <row r="40" spans="1:7" ht="15.4" x14ac:dyDescent="0.45">
      <c r="A40" s="149" t="s">
        <v>37</v>
      </c>
      <c r="B40" s="147">
        <v>116633</v>
      </c>
      <c r="C40" s="147">
        <v>105008</v>
      </c>
      <c r="D40" s="147">
        <v>11625</v>
      </c>
      <c r="E40" s="147">
        <v>0</v>
      </c>
      <c r="F40" s="147">
        <v>11625</v>
      </c>
      <c r="G40" s="143">
        <f t="shared" si="1"/>
        <v>5.1135276686698806E-4</v>
      </c>
    </row>
    <row r="41" spans="1:7" ht="15.4" x14ac:dyDescent="0.45">
      <c r="A41" s="149" t="s">
        <v>168</v>
      </c>
      <c r="B41" s="147">
        <v>22349</v>
      </c>
      <c r="C41" s="147">
        <v>69350</v>
      </c>
      <c r="D41" s="147">
        <v>-47001</v>
      </c>
      <c r="E41" s="147">
        <v>0</v>
      </c>
      <c r="F41" s="147">
        <v>-47001</v>
      </c>
      <c r="G41" s="143">
        <f t="shared" si="1"/>
        <v>9.7984472548166615E-5</v>
      </c>
    </row>
    <row r="42" spans="1:7" ht="15.4" x14ac:dyDescent="0.45">
      <c r="A42" s="149" t="s">
        <v>38</v>
      </c>
      <c r="B42" s="147">
        <v>263777</v>
      </c>
      <c r="C42" s="147">
        <v>245828</v>
      </c>
      <c r="D42" s="147">
        <v>17949</v>
      </c>
      <c r="E42" s="147">
        <v>0</v>
      </c>
      <c r="F42" s="147">
        <v>9089</v>
      </c>
      <c r="G42" s="143">
        <f t="shared" si="1"/>
        <v>1.1564745722554811E-3</v>
      </c>
    </row>
    <row r="43" spans="1:7" ht="15.4" x14ac:dyDescent="0.45">
      <c r="A43" s="149" t="s">
        <v>39</v>
      </c>
      <c r="B43" s="147">
        <v>23601450</v>
      </c>
      <c r="C43" s="147">
        <v>13180039.84</v>
      </c>
      <c r="D43" s="147">
        <v>10421410.16</v>
      </c>
      <c r="E43" s="147">
        <v>1784770</v>
      </c>
      <c r="F43" s="147">
        <v>8414268.1600000001</v>
      </c>
      <c r="G43" s="143">
        <f t="shared" si="1"/>
        <v>0.10347557517660419</v>
      </c>
    </row>
    <row r="44" spans="1:7" ht="15.4" x14ac:dyDescent="0.45">
      <c r="A44" s="149" t="s">
        <v>176</v>
      </c>
      <c r="B44" s="147">
        <v>120358</v>
      </c>
      <c r="C44" s="147">
        <v>80595.240000000005</v>
      </c>
      <c r="D44" s="147">
        <v>39762.76</v>
      </c>
      <c r="E44" s="147">
        <v>0</v>
      </c>
      <c r="F44" s="147">
        <v>30735.88</v>
      </c>
      <c r="G44" s="143">
        <f t="shared" si="1"/>
        <v>5.2768424300649855E-4</v>
      </c>
    </row>
    <row r="45" spans="1:7" ht="15.4" x14ac:dyDescent="0.45">
      <c r="A45" s="149" t="s">
        <v>40</v>
      </c>
      <c r="B45" s="147">
        <v>272781</v>
      </c>
      <c r="C45" s="147">
        <v>211068.22</v>
      </c>
      <c r="D45" s="147">
        <v>61712.78</v>
      </c>
      <c r="E45" s="147">
        <v>7714</v>
      </c>
      <c r="F45" s="147">
        <v>69426.78</v>
      </c>
      <c r="G45" s="143">
        <f t="shared" si="1"/>
        <v>1.195950709479683E-3</v>
      </c>
    </row>
    <row r="46" spans="1:7" ht="15.4" x14ac:dyDescent="0.45">
      <c r="A46" s="149" t="s">
        <v>121</v>
      </c>
      <c r="B46" s="147">
        <v>3294362</v>
      </c>
      <c r="C46" s="147">
        <v>2128371.29</v>
      </c>
      <c r="D46" s="147">
        <v>1165990.71</v>
      </c>
      <c r="E46" s="147">
        <v>0</v>
      </c>
      <c r="F46" s="147">
        <v>845339.68</v>
      </c>
      <c r="G46" s="143">
        <f t="shared" si="1"/>
        <v>1.4443434737694003E-2</v>
      </c>
    </row>
    <row r="47" spans="1:7" ht="15.4" x14ac:dyDescent="0.45">
      <c r="A47" s="149" t="s">
        <v>43</v>
      </c>
      <c r="B47" s="147">
        <v>3068395</v>
      </c>
      <c r="C47" s="147">
        <v>2458268</v>
      </c>
      <c r="D47" s="147">
        <v>610127</v>
      </c>
      <c r="E47" s="147">
        <v>163198</v>
      </c>
      <c r="F47" s="147">
        <v>579994</v>
      </c>
      <c r="G47" s="143">
        <f t="shared" si="1"/>
        <v>1.3452730128615673E-2</v>
      </c>
    </row>
    <row r="48" spans="1:7" ht="15.4" x14ac:dyDescent="0.45">
      <c r="A48" s="149" t="s">
        <v>44</v>
      </c>
      <c r="B48" s="147">
        <v>527348</v>
      </c>
      <c r="C48" s="147">
        <v>643092.63</v>
      </c>
      <c r="D48" s="147">
        <v>-115744.63</v>
      </c>
      <c r="E48" s="147">
        <v>0</v>
      </c>
      <c r="F48" s="147">
        <v>-115744.63</v>
      </c>
      <c r="G48" s="143">
        <f t="shared" si="1"/>
        <v>2.3120459809982804E-3</v>
      </c>
    </row>
    <row r="49" spans="1:7" ht="15.4" x14ac:dyDescent="0.45">
      <c r="A49" s="149" t="s">
        <v>137</v>
      </c>
      <c r="B49" s="147"/>
      <c r="C49" s="147"/>
      <c r="D49" s="147"/>
      <c r="E49" s="147"/>
      <c r="F49" s="147"/>
      <c r="G49" s="143">
        <f t="shared" si="1"/>
        <v>0</v>
      </c>
    </row>
    <row r="50" spans="1:7" ht="15.4" x14ac:dyDescent="0.45">
      <c r="A50" s="149" t="s">
        <v>46</v>
      </c>
      <c r="B50" s="147">
        <v>2348653</v>
      </c>
      <c r="C50" s="147">
        <v>2094878.11</v>
      </c>
      <c r="D50" s="147">
        <v>253774.89</v>
      </c>
      <c r="E50" s="147">
        <v>119845</v>
      </c>
      <c r="F50" s="147">
        <v>295407.39</v>
      </c>
      <c r="G50" s="143">
        <f t="shared" si="1"/>
        <v>1.0297173269661692E-2</v>
      </c>
    </row>
    <row r="51" spans="1:7" ht="15.4" x14ac:dyDescent="0.45">
      <c r="A51" s="149" t="s">
        <v>47</v>
      </c>
      <c r="B51" s="147">
        <v>29352</v>
      </c>
      <c r="C51" s="147">
        <v>94621.759999999995</v>
      </c>
      <c r="D51" s="147">
        <v>-65269.760000000002</v>
      </c>
      <c r="E51" s="147">
        <v>0</v>
      </c>
      <c r="F51" s="147">
        <v>-65269.760000000002</v>
      </c>
      <c r="G51" s="143">
        <f t="shared" si="1"/>
        <v>1.2868764769044638E-4</v>
      </c>
    </row>
    <row r="52" spans="1:7" ht="15.4" x14ac:dyDescent="0.45">
      <c r="A52" s="149" t="s">
        <v>48</v>
      </c>
      <c r="B52" s="147"/>
      <c r="C52" s="147"/>
      <c r="D52" s="147"/>
      <c r="E52" s="147"/>
      <c r="F52" s="147"/>
      <c r="G52" s="143">
        <f t="shared" si="1"/>
        <v>0</v>
      </c>
    </row>
    <row r="53" spans="1:7" ht="15.4" x14ac:dyDescent="0.45">
      <c r="A53" s="149" t="s">
        <v>50</v>
      </c>
      <c r="B53" s="147">
        <v>2215292</v>
      </c>
      <c r="C53" s="147">
        <v>771346</v>
      </c>
      <c r="D53" s="147">
        <v>1443946</v>
      </c>
      <c r="E53" s="147">
        <v>32945</v>
      </c>
      <c r="F53" s="147">
        <v>1106790</v>
      </c>
      <c r="G53" s="143">
        <f t="shared" si="1"/>
        <v>9.7124801181338368E-3</v>
      </c>
    </row>
    <row r="54" spans="1:7" ht="15.4" x14ac:dyDescent="0.45">
      <c r="A54" s="149" t="s">
        <v>123</v>
      </c>
      <c r="B54" s="147">
        <v>483716</v>
      </c>
      <c r="C54" s="147">
        <v>303892.2</v>
      </c>
      <c r="D54" s="147">
        <v>179823.8</v>
      </c>
      <c r="E54" s="147">
        <v>8384</v>
      </c>
      <c r="F54" s="147">
        <v>152618.29999999999</v>
      </c>
      <c r="G54" s="143">
        <f t="shared" si="1"/>
        <v>2.1207506878656297E-3</v>
      </c>
    </row>
    <row r="55" spans="1:7" ht="15.4" x14ac:dyDescent="0.45">
      <c r="A55" s="149" t="s">
        <v>51</v>
      </c>
      <c r="B55" s="147">
        <v>243769</v>
      </c>
      <c r="C55" s="147">
        <v>365186.46</v>
      </c>
      <c r="D55" s="147">
        <v>-121417.46</v>
      </c>
      <c r="E55" s="147">
        <v>0</v>
      </c>
      <c r="F55" s="147">
        <v>-121417.46</v>
      </c>
      <c r="G55" s="143">
        <f t="shared" si="1"/>
        <v>1.068753720014051E-3</v>
      </c>
    </row>
    <row r="56" spans="1:7" ht="15.4" x14ac:dyDescent="0.45">
      <c r="A56" s="149" t="s">
        <v>153</v>
      </c>
      <c r="B56" s="147">
        <v>1565706</v>
      </c>
      <c r="C56" s="147">
        <v>964028.19</v>
      </c>
      <c r="D56" s="147">
        <v>601677.81000000006</v>
      </c>
      <c r="E56" s="147">
        <v>85318</v>
      </c>
      <c r="F56" s="147">
        <v>686995.81</v>
      </c>
      <c r="G56" s="143">
        <f t="shared" si="1"/>
        <v>6.8645074310036136E-3</v>
      </c>
    </row>
    <row r="57" spans="1:7" ht="15.4" x14ac:dyDescent="0.45">
      <c r="A57" s="149" t="s">
        <v>138</v>
      </c>
      <c r="B57" s="147">
        <v>662828</v>
      </c>
      <c r="C57" s="147">
        <v>702371</v>
      </c>
      <c r="D57" s="147">
        <v>-39543</v>
      </c>
      <c r="E57" s="147">
        <v>-6297</v>
      </c>
      <c r="F57" s="147">
        <v>-45840</v>
      </c>
      <c r="G57" s="143">
        <f t="shared" si="1"/>
        <v>2.9060294406978468E-3</v>
      </c>
    </row>
    <row r="58" spans="1:7" ht="15.4" x14ac:dyDescent="0.45">
      <c r="A58" s="149" t="s">
        <v>52</v>
      </c>
      <c r="B58" s="147">
        <v>7498485</v>
      </c>
      <c r="C58" s="147">
        <v>4257352.04</v>
      </c>
      <c r="D58" s="147">
        <v>3241132.96</v>
      </c>
      <c r="E58" s="147">
        <v>297500</v>
      </c>
      <c r="F58" s="147">
        <v>2830906.46</v>
      </c>
      <c r="G58" s="143">
        <f t="shared" si="1"/>
        <v>3.2875524526168466E-2</v>
      </c>
    </row>
    <row r="59" spans="1:7" ht="15.4" x14ac:dyDescent="0.45">
      <c r="A59" s="149" t="s">
        <v>55</v>
      </c>
      <c r="B59" s="147">
        <v>57205</v>
      </c>
      <c r="C59" s="147">
        <v>174786.21</v>
      </c>
      <c r="D59" s="147">
        <v>-117581.21</v>
      </c>
      <c r="E59" s="147">
        <v>20000</v>
      </c>
      <c r="F59" s="147">
        <v>-97581.21</v>
      </c>
      <c r="G59" s="143">
        <f t="shared" si="1"/>
        <v>2.5080324632501997E-4</v>
      </c>
    </row>
    <row r="60" spans="1:7" ht="15.4" x14ac:dyDescent="0.45">
      <c r="A60" s="149" t="s">
        <v>56</v>
      </c>
      <c r="B60" s="147">
        <v>1128762</v>
      </c>
      <c r="C60" s="147">
        <v>1005652</v>
      </c>
      <c r="D60" s="147">
        <v>123110</v>
      </c>
      <c r="E60" s="147">
        <v>0</v>
      </c>
      <c r="F60" s="147">
        <v>123110</v>
      </c>
      <c r="G60" s="143">
        <f t="shared" si="1"/>
        <v>4.9488187034056842E-3</v>
      </c>
    </row>
    <row r="61" spans="1:7" ht="15.4" x14ac:dyDescent="0.45">
      <c r="A61" s="149" t="s">
        <v>57</v>
      </c>
      <c r="B61" s="147">
        <v>3855676</v>
      </c>
      <c r="C61" s="147">
        <v>1882757.76</v>
      </c>
      <c r="D61" s="147">
        <v>1972918.24</v>
      </c>
      <c r="E61" s="147">
        <v>-871492.1</v>
      </c>
      <c r="F61" s="147">
        <v>841594.14</v>
      </c>
      <c r="G61" s="143">
        <f t="shared" si="1"/>
        <v>1.6904397475351239E-2</v>
      </c>
    </row>
    <row r="62" spans="1:7" ht="15.4" x14ac:dyDescent="0.45">
      <c r="A62" s="149" t="s">
        <v>60</v>
      </c>
      <c r="B62" s="147">
        <v>2399339</v>
      </c>
      <c r="C62" s="147">
        <v>2670069.48</v>
      </c>
      <c r="D62" s="147">
        <v>-270730.48</v>
      </c>
      <c r="E62" s="147">
        <v>-1767500</v>
      </c>
      <c r="F62" s="147">
        <v>-2038230.48</v>
      </c>
      <c r="G62" s="143">
        <f t="shared" si="1"/>
        <v>1.0519395336670345E-2</v>
      </c>
    </row>
    <row r="63" spans="1:7" ht="15.4" x14ac:dyDescent="0.45">
      <c r="A63" s="149" t="s">
        <v>61</v>
      </c>
      <c r="B63" s="147"/>
      <c r="C63" s="147"/>
      <c r="D63" s="147"/>
      <c r="E63" s="147"/>
      <c r="F63" s="147"/>
      <c r="G63" s="143">
        <f t="shared" si="1"/>
        <v>0</v>
      </c>
    </row>
    <row r="64" spans="1:7" ht="15.4" x14ac:dyDescent="0.45">
      <c r="A64" s="149" t="s">
        <v>62</v>
      </c>
      <c r="B64" s="147">
        <v>242164</v>
      </c>
      <c r="C64" s="147">
        <v>224480</v>
      </c>
      <c r="D64" s="147">
        <v>17684</v>
      </c>
      <c r="E64" s="147">
        <v>6104</v>
      </c>
      <c r="F64" s="147">
        <v>17246</v>
      </c>
      <c r="G64" s="143">
        <f t="shared" si="1"/>
        <v>1.061716936335148E-3</v>
      </c>
    </row>
    <row r="65" spans="1:7" ht="15.4" x14ac:dyDescent="0.45">
      <c r="A65" s="149" t="s">
        <v>63</v>
      </c>
      <c r="B65" s="147">
        <v>185958</v>
      </c>
      <c r="C65" s="147">
        <v>243626</v>
      </c>
      <c r="D65" s="147">
        <v>-57668</v>
      </c>
      <c r="E65" s="147">
        <v>0</v>
      </c>
      <c r="F65" s="147">
        <v>-57668</v>
      </c>
      <c r="G65" s="143">
        <f t="shared" si="1"/>
        <v>8.1529359461774429E-4</v>
      </c>
    </row>
    <row r="66" spans="1:7" ht="15.4" x14ac:dyDescent="0.45">
      <c r="A66" s="149" t="s">
        <v>64</v>
      </c>
      <c r="B66" s="147">
        <v>55338</v>
      </c>
      <c r="C66" s="147">
        <v>114227.54</v>
      </c>
      <c r="D66" s="147">
        <v>-58889.54</v>
      </c>
      <c r="E66" s="147">
        <v>50000</v>
      </c>
      <c r="F66" s="147">
        <v>-8889.5400000000009</v>
      </c>
      <c r="G66" s="143">
        <f t="shared" si="1"/>
        <v>2.4261777895523038E-4</v>
      </c>
    </row>
    <row r="67" spans="1:7" ht="15.4" x14ac:dyDescent="0.45">
      <c r="A67" s="149" t="s">
        <v>65</v>
      </c>
      <c r="B67" s="147">
        <v>37601403</v>
      </c>
      <c r="C67" s="147">
        <v>20507888.940000001</v>
      </c>
      <c r="D67" s="147">
        <v>17093514.059999999</v>
      </c>
      <c r="E67" s="147">
        <v>-3610164.35</v>
      </c>
      <c r="F67" s="147">
        <v>10112512.300000001</v>
      </c>
      <c r="G67" s="143">
        <f t="shared" ref="G67:G98" si="2">B67/$B$131</f>
        <v>0.16485541366620654</v>
      </c>
    </row>
    <row r="68" spans="1:7" ht="15.4" x14ac:dyDescent="0.45">
      <c r="A68" s="149" t="s">
        <v>66</v>
      </c>
      <c r="B68" s="147">
        <v>10268140</v>
      </c>
      <c r="C68" s="147">
        <v>4112322</v>
      </c>
      <c r="D68" s="147">
        <v>6155818</v>
      </c>
      <c r="E68" s="147">
        <v>-1783394</v>
      </c>
      <c r="F68" s="147">
        <v>3170007</v>
      </c>
      <c r="G68" s="143">
        <f t="shared" si="2"/>
        <v>4.501849218983988E-2</v>
      </c>
    </row>
    <row r="69" spans="1:7" ht="30.75" x14ac:dyDescent="0.45">
      <c r="A69" s="149" t="s">
        <v>67</v>
      </c>
      <c r="B69" s="147">
        <v>820344</v>
      </c>
      <c r="C69" s="147">
        <v>742479</v>
      </c>
      <c r="D69" s="147">
        <v>77865</v>
      </c>
      <c r="E69" s="147">
        <v>0</v>
      </c>
      <c r="F69" s="147">
        <v>58398.77</v>
      </c>
      <c r="G69" s="143">
        <f t="shared" si="2"/>
        <v>3.5966250905209714E-3</v>
      </c>
    </row>
    <row r="70" spans="1:7" ht="15.4" x14ac:dyDescent="0.45">
      <c r="A70" s="149" t="s">
        <v>139</v>
      </c>
      <c r="B70" s="147">
        <v>688999</v>
      </c>
      <c r="C70" s="147">
        <v>672628.28</v>
      </c>
      <c r="D70" s="147">
        <v>16370.72</v>
      </c>
      <c r="E70" s="147">
        <v>262021.5</v>
      </c>
      <c r="F70" s="147">
        <v>235969.22</v>
      </c>
      <c r="G70" s="143">
        <f t="shared" si="2"/>
        <v>3.0207706654084856E-3</v>
      </c>
    </row>
    <row r="71" spans="1:7" ht="15.4" x14ac:dyDescent="0.45">
      <c r="A71" s="149" t="s">
        <v>68</v>
      </c>
      <c r="B71" s="147">
        <v>116229</v>
      </c>
      <c r="C71" s="147">
        <v>121630.03</v>
      </c>
      <c r="D71" s="147">
        <v>-5401.03</v>
      </c>
      <c r="E71" s="147">
        <v>6108.94</v>
      </c>
      <c r="F71" s="147">
        <v>-6605.67</v>
      </c>
      <c r="G71" s="143">
        <f t="shared" si="2"/>
        <v>5.0958151415279689E-4</v>
      </c>
    </row>
    <row r="72" spans="1:7" ht="15.4" x14ac:dyDescent="0.45">
      <c r="A72" s="149" t="s">
        <v>69</v>
      </c>
      <c r="B72" s="147">
        <v>1371232</v>
      </c>
      <c r="C72" s="147">
        <v>1310014.72</v>
      </c>
      <c r="D72" s="147">
        <v>61217.279999999999</v>
      </c>
      <c r="E72" s="147">
        <v>7810</v>
      </c>
      <c r="F72" s="147">
        <v>69027.28</v>
      </c>
      <c r="G72" s="143">
        <f t="shared" si="2"/>
        <v>6.0118772321431655E-3</v>
      </c>
    </row>
    <row r="73" spans="1:7" ht="15.4" x14ac:dyDescent="0.45">
      <c r="A73" s="149" t="s">
        <v>110</v>
      </c>
      <c r="B73" s="147">
        <v>17450</v>
      </c>
      <c r="C73" s="147">
        <v>359850.65</v>
      </c>
      <c r="D73" s="147">
        <v>-342400.65</v>
      </c>
      <c r="E73" s="147">
        <v>10602.57</v>
      </c>
      <c r="F73" s="147">
        <v>-331798.08</v>
      </c>
      <c r="G73" s="143">
        <f t="shared" si="2"/>
        <v>7.6505841244149957E-5</v>
      </c>
    </row>
    <row r="74" spans="1:7" ht="15.4" x14ac:dyDescent="0.45">
      <c r="A74" s="149" t="s">
        <v>143</v>
      </c>
      <c r="B74" s="147"/>
      <c r="C74" s="147"/>
      <c r="D74" s="147"/>
      <c r="E74" s="147"/>
      <c r="F74" s="147"/>
      <c r="G74" s="143">
        <f t="shared" si="2"/>
        <v>0</v>
      </c>
    </row>
    <row r="75" spans="1:7" ht="15.4" x14ac:dyDescent="0.45">
      <c r="A75" s="149" t="s">
        <v>125</v>
      </c>
      <c r="B75" s="147">
        <v>50521</v>
      </c>
      <c r="C75" s="147">
        <v>55930.87</v>
      </c>
      <c r="D75" s="147">
        <v>-5409.87</v>
      </c>
      <c r="E75" s="147">
        <v>0</v>
      </c>
      <c r="F75" s="147">
        <v>-5409.87</v>
      </c>
      <c r="G75" s="143">
        <f t="shared" si="2"/>
        <v>2.2149865934072778E-4</v>
      </c>
    </row>
    <row r="76" spans="1:7" ht="15.4" x14ac:dyDescent="0.45">
      <c r="A76" s="149" t="s">
        <v>71</v>
      </c>
      <c r="B76" s="147">
        <v>539361</v>
      </c>
      <c r="C76" s="147">
        <v>370505.33</v>
      </c>
      <c r="D76" s="147">
        <v>168855.67</v>
      </c>
      <c r="E76" s="147">
        <v>0</v>
      </c>
      <c r="F76" s="147">
        <v>168855.67</v>
      </c>
      <c r="G76" s="143">
        <f t="shared" si="2"/>
        <v>2.3647144435120899E-3</v>
      </c>
    </row>
    <row r="77" spans="1:7" ht="15.4" x14ac:dyDescent="0.45">
      <c r="A77" s="149" t="s">
        <v>72</v>
      </c>
      <c r="B77" s="147"/>
      <c r="C77" s="147"/>
      <c r="D77" s="147"/>
      <c r="E77" s="147"/>
      <c r="F77" s="147"/>
      <c r="G77" s="143">
        <f t="shared" si="2"/>
        <v>0</v>
      </c>
    </row>
    <row r="78" spans="1:7" ht="15.4" x14ac:dyDescent="0.45">
      <c r="A78" s="149" t="s">
        <v>73</v>
      </c>
      <c r="B78" s="147">
        <v>29262</v>
      </c>
      <c r="C78" s="147">
        <v>121156.14</v>
      </c>
      <c r="D78" s="147">
        <v>-91894.14</v>
      </c>
      <c r="E78" s="147">
        <v>0</v>
      </c>
      <c r="F78" s="147">
        <v>-91894.14</v>
      </c>
      <c r="G78" s="143">
        <f t="shared" si="2"/>
        <v>1.2829306168976023E-4</v>
      </c>
    </row>
    <row r="79" spans="1:7" ht="15.4" x14ac:dyDescent="0.45">
      <c r="A79" s="149" t="s">
        <v>126</v>
      </c>
      <c r="B79" s="147"/>
      <c r="C79" s="147"/>
      <c r="D79" s="147"/>
      <c r="E79" s="147"/>
      <c r="F79" s="147"/>
      <c r="G79" s="143">
        <f t="shared" si="2"/>
        <v>0</v>
      </c>
    </row>
    <row r="80" spans="1:7" ht="15.4" x14ac:dyDescent="0.45">
      <c r="A80" s="149" t="s">
        <v>184</v>
      </c>
      <c r="B80" s="147">
        <v>100523</v>
      </c>
      <c r="C80" s="147">
        <v>112332</v>
      </c>
      <c r="D80" s="147">
        <v>-11809</v>
      </c>
      <c r="E80" s="147">
        <v>107326</v>
      </c>
      <c r="F80" s="147">
        <v>95517</v>
      </c>
      <c r="G80" s="143">
        <f t="shared" si="2"/>
        <v>4.4072187274416539E-4</v>
      </c>
    </row>
    <row r="81" spans="1:7" ht="15.4" x14ac:dyDescent="0.45">
      <c r="A81" s="149" t="s">
        <v>75</v>
      </c>
      <c r="B81" s="147">
        <v>51090</v>
      </c>
      <c r="C81" s="147">
        <v>53832</v>
      </c>
      <c r="D81" s="147">
        <v>-2742</v>
      </c>
      <c r="E81" s="147">
        <v>0</v>
      </c>
      <c r="F81" s="147">
        <v>-2742</v>
      </c>
      <c r="G81" s="143">
        <f t="shared" si="2"/>
        <v>2.2399331972284363E-4</v>
      </c>
    </row>
    <row r="82" spans="1:7" ht="15.4" x14ac:dyDescent="0.45">
      <c r="A82" s="149" t="s">
        <v>76</v>
      </c>
      <c r="B82" s="147">
        <v>24927</v>
      </c>
      <c r="C82" s="147">
        <v>107467.78</v>
      </c>
      <c r="D82" s="147">
        <v>-82540.78</v>
      </c>
      <c r="E82" s="147">
        <v>0</v>
      </c>
      <c r="F82" s="147">
        <v>-82540.78</v>
      </c>
      <c r="G82" s="143">
        <f t="shared" si="2"/>
        <v>1.0928716932337685E-4</v>
      </c>
    </row>
    <row r="83" spans="1:7" ht="15.4" x14ac:dyDescent="0.45">
      <c r="A83" s="149" t="s">
        <v>77</v>
      </c>
      <c r="B83" s="147">
        <v>13180678</v>
      </c>
      <c r="C83" s="147">
        <v>7865544.2000000002</v>
      </c>
      <c r="D83" s="147">
        <v>5315133.8</v>
      </c>
      <c r="E83" s="147">
        <v>-363274.27</v>
      </c>
      <c r="F83" s="147">
        <v>3498413.45</v>
      </c>
      <c r="G83" s="143">
        <f t="shared" si="2"/>
        <v>5.7787900203911745E-2</v>
      </c>
    </row>
    <row r="84" spans="1:7" ht="15.4" x14ac:dyDescent="0.45">
      <c r="A84" s="149" t="s">
        <v>78</v>
      </c>
      <c r="B84" s="147">
        <v>267457</v>
      </c>
      <c r="C84" s="147">
        <v>369603</v>
      </c>
      <c r="D84" s="147">
        <v>-102146</v>
      </c>
      <c r="E84" s="147">
        <v>245204</v>
      </c>
      <c r="F84" s="147">
        <v>107293</v>
      </c>
      <c r="G84" s="143">
        <f t="shared" si="2"/>
        <v>1.1726087553946484E-3</v>
      </c>
    </row>
    <row r="85" spans="1:7" ht="15.4" x14ac:dyDescent="0.45">
      <c r="A85" s="149" t="s">
        <v>154</v>
      </c>
      <c r="B85" s="147">
        <v>148678</v>
      </c>
      <c r="C85" s="147">
        <v>108867.72</v>
      </c>
      <c r="D85" s="147">
        <v>39810.28</v>
      </c>
      <c r="E85" s="147">
        <v>203.51</v>
      </c>
      <c r="F85" s="147">
        <v>40013.79</v>
      </c>
      <c r="G85" s="143">
        <f t="shared" si="2"/>
        <v>6.5184730455574368E-4</v>
      </c>
    </row>
    <row r="86" spans="1:7" ht="15.4" x14ac:dyDescent="0.45">
      <c r="A86" s="149" t="s">
        <v>111</v>
      </c>
      <c r="B86" s="147">
        <v>220923</v>
      </c>
      <c r="C86" s="147">
        <v>508759.6</v>
      </c>
      <c r="D86" s="147">
        <v>-287836.59999999998</v>
      </c>
      <c r="E86" s="147">
        <v>0</v>
      </c>
      <c r="F86" s="147">
        <v>-282130.59999999998</v>
      </c>
      <c r="G86" s="143">
        <f t="shared" si="2"/>
        <v>9.685902558843175E-4</v>
      </c>
    </row>
    <row r="87" spans="1:7" ht="15.4" x14ac:dyDescent="0.45">
      <c r="A87" s="149" t="s">
        <v>182</v>
      </c>
      <c r="B87" s="147">
        <v>0</v>
      </c>
      <c r="C87" s="147">
        <v>94040</v>
      </c>
      <c r="D87" s="147">
        <v>-94040</v>
      </c>
      <c r="E87" s="147">
        <v>0</v>
      </c>
      <c r="F87" s="147">
        <v>-94040</v>
      </c>
      <c r="G87" s="143">
        <f t="shared" si="2"/>
        <v>0</v>
      </c>
    </row>
    <row r="88" spans="1:7" ht="15.4" x14ac:dyDescent="0.45">
      <c r="A88" s="149" t="s">
        <v>80</v>
      </c>
      <c r="B88" s="147">
        <v>1266017</v>
      </c>
      <c r="C88" s="147">
        <v>728692</v>
      </c>
      <c r="D88" s="147">
        <v>537325</v>
      </c>
      <c r="E88" s="147">
        <v>21161</v>
      </c>
      <c r="F88" s="147">
        <v>418865</v>
      </c>
      <c r="G88" s="143">
        <f t="shared" si="2"/>
        <v>5.5505842758965616E-3</v>
      </c>
    </row>
    <row r="89" spans="1:7" ht="15.4" x14ac:dyDescent="0.45">
      <c r="A89" s="149" t="s">
        <v>81</v>
      </c>
      <c r="B89" s="147">
        <v>52981</v>
      </c>
      <c r="C89" s="147">
        <v>242895</v>
      </c>
      <c r="D89" s="147">
        <v>-189914</v>
      </c>
      <c r="E89" s="147">
        <v>132787</v>
      </c>
      <c r="F89" s="147">
        <v>-57127</v>
      </c>
      <c r="G89" s="143">
        <f t="shared" si="2"/>
        <v>2.3228401002614951E-4</v>
      </c>
    </row>
    <row r="90" spans="1:7" ht="15.4" x14ac:dyDescent="0.45">
      <c r="A90" s="149" t="s">
        <v>82</v>
      </c>
      <c r="B90" s="147">
        <v>0</v>
      </c>
      <c r="C90" s="147">
        <v>30595</v>
      </c>
      <c r="D90" s="147">
        <v>-30595</v>
      </c>
      <c r="E90" s="147">
        <v>42327.58</v>
      </c>
      <c r="F90" s="147">
        <v>11732.58</v>
      </c>
      <c r="G90" s="143">
        <f t="shared" si="2"/>
        <v>0</v>
      </c>
    </row>
    <row r="91" spans="1:7" ht="15.4" x14ac:dyDescent="0.45">
      <c r="A91" s="149" t="s">
        <v>171</v>
      </c>
      <c r="B91" s="147">
        <v>1289183</v>
      </c>
      <c r="C91" s="147">
        <v>119409.52</v>
      </c>
      <c r="D91" s="147">
        <v>1169773.48</v>
      </c>
      <c r="E91" s="147">
        <v>0</v>
      </c>
      <c r="F91" s="147">
        <v>1164975.94</v>
      </c>
      <c r="G91" s="143">
        <f t="shared" si="2"/>
        <v>5.6521507124731793E-3</v>
      </c>
    </row>
    <row r="92" spans="1:7" ht="15.4" x14ac:dyDescent="0.45">
      <c r="A92" s="149" t="s">
        <v>83</v>
      </c>
      <c r="B92" s="147">
        <v>2687744</v>
      </c>
      <c r="C92" s="147">
        <v>2360411.61</v>
      </c>
      <c r="D92" s="147">
        <v>327332.39</v>
      </c>
      <c r="E92" s="147">
        <v>-698722.27</v>
      </c>
      <c r="F92" s="147">
        <v>-371389.88</v>
      </c>
      <c r="G92" s="143">
        <f t="shared" si="2"/>
        <v>1.1783846175869144E-2</v>
      </c>
    </row>
    <row r="93" spans="1:7" ht="15.4" x14ac:dyDescent="0.45">
      <c r="A93" s="149" t="s">
        <v>112</v>
      </c>
      <c r="B93" s="147">
        <v>89918</v>
      </c>
      <c r="C93" s="147">
        <v>140941.5</v>
      </c>
      <c r="D93" s="147">
        <v>-51023.5</v>
      </c>
      <c r="E93" s="147">
        <v>16691.259999999998</v>
      </c>
      <c r="F93" s="147">
        <v>-34332.239999999998</v>
      </c>
      <c r="G93" s="143">
        <f t="shared" si="2"/>
        <v>3.942264889966462E-4</v>
      </c>
    </row>
    <row r="94" spans="1:7" ht="15.4" x14ac:dyDescent="0.45">
      <c r="A94" s="149" t="s">
        <v>177</v>
      </c>
      <c r="B94" s="147">
        <v>1409520</v>
      </c>
      <c r="C94" s="147">
        <v>1215691.22</v>
      </c>
      <c r="D94" s="147">
        <v>193828.78</v>
      </c>
      <c r="E94" s="147">
        <v>13450</v>
      </c>
      <c r="F94" s="147">
        <v>150277.09</v>
      </c>
      <c r="G94" s="143">
        <f t="shared" si="2"/>
        <v>6.1797428854128509E-3</v>
      </c>
    </row>
    <row r="95" spans="1:7" ht="15.4" x14ac:dyDescent="0.45">
      <c r="A95" s="149" t="s">
        <v>84</v>
      </c>
      <c r="B95" s="147">
        <v>631488</v>
      </c>
      <c r="C95" s="147">
        <v>692815.48</v>
      </c>
      <c r="D95" s="147">
        <v>-61327.48</v>
      </c>
      <c r="E95" s="147">
        <v>90876</v>
      </c>
      <c r="F95" s="147">
        <v>29548.52</v>
      </c>
      <c r="G95" s="143">
        <f t="shared" si="2"/>
        <v>2.7686258266811327E-3</v>
      </c>
    </row>
    <row r="96" spans="1:7" ht="15.4" x14ac:dyDescent="0.45">
      <c r="A96" s="149" t="s">
        <v>85</v>
      </c>
      <c r="B96" s="147">
        <v>3488994</v>
      </c>
      <c r="C96" s="147">
        <v>1671162.26</v>
      </c>
      <c r="D96" s="147">
        <v>1817831.74</v>
      </c>
      <c r="E96" s="147">
        <v>682455</v>
      </c>
      <c r="F96" s="147">
        <v>1812707.74</v>
      </c>
      <c r="G96" s="143">
        <f t="shared" si="2"/>
        <v>1.52967576542001E-2</v>
      </c>
    </row>
    <row r="97" spans="1:7" ht="15.4" x14ac:dyDescent="0.45">
      <c r="A97" s="149" t="s">
        <v>86</v>
      </c>
      <c r="B97" s="147">
        <v>4425989</v>
      </c>
      <c r="C97" s="147">
        <v>2797440.69</v>
      </c>
      <c r="D97" s="147">
        <v>1628548.31</v>
      </c>
      <c r="E97" s="147">
        <v>501645.16</v>
      </c>
      <c r="F97" s="147">
        <v>2130193.4700000002</v>
      </c>
      <c r="G97" s="143">
        <f t="shared" si="2"/>
        <v>1.9404814428788195E-2</v>
      </c>
    </row>
    <row r="98" spans="1:7" ht="15.4" x14ac:dyDescent="0.45">
      <c r="A98" s="149" t="s">
        <v>185</v>
      </c>
      <c r="B98" s="147">
        <v>1255767</v>
      </c>
      <c r="C98" s="147">
        <v>665167.9</v>
      </c>
      <c r="D98" s="147">
        <v>590599.1</v>
      </c>
      <c r="E98" s="147">
        <v>0</v>
      </c>
      <c r="F98" s="147">
        <v>433926.1</v>
      </c>
      <c r="G98" s="143">
        <f t="shared" si="2"/>
        <v>5.5056453147073045E-3</v>
      </c>
    </row>
    <row r="99" spans="1:7" ht="15.4" x14ac:dyDescent="0.45">
      <c r="A99" s="149" t="s">
        <v>87</v>
      </c>
      <c r="B99" s="147">
        <v>587609</v>
      </c>
      <c r="C99" s="147">
        <v>514965.69</v>
      </c>
      <c r="D99" s="147">
        <v>72643.31</v>
      </c>
      <c r="E99" s="147">
        <v>0</v>
      </c>
      <c r="F99" s="147">
        <v>72643.31</v>
      </c>
      <c r="G99" s="143">
        <f t="shared" ref="G99:G127" si="3">B99/$B$131</f>
        <v>2.5762476141910438E-3</v>
      </c>
    </row>
    <row r="100" spans="1:7" ht="15.4" x14ac:dyDescent="0.45">
      <c r="A100" s="149" t="s">
        <v>89</v>
      </c>
      <c r="B100" s="147">
        <v>232885</v>
      </c>
      <c r="C100" s="147">
        <v>63146.29</v>
      </c>
      <c r="D100" s="147">
        <v>169738.71</v>
      </c>
      <c r="E100" s="147">
        <v>0</v>
      </c>
      <c r="F100" s="147">
        <v>169738.71</v>
      </c>
      <c r="G100" s="143">
        <f t="shared" si="3"/>
        <v>1.0210351196644047E-3</v>
      </c>
    </row>
    <row r="101" spans="1:7" ht="15.4" x14ac:dyDescent="0.45">
      <c r="A101" s="149" t="s">
        <v>144</v>
      </c>
      <c r="B101" s="147">
        <v>378381</v>
      </c>
      <c r="C101" s="147">
        <v>754944.61</v>
      </c>
      <c r="D101" s="147">
        <v>-376563.61</v>
      </c>
      <c r="E101" s="147">
        <v>35298.080000000002</v>
      </c>
      <c r="F101" s="147">
        <v>-341265.53</v>
      </c>
      <c r="G101" s="143">
        <f t="shared" si="3"/>
        <v>1.6589316169514443E-3</v>
      </c>
    </row>
    <row r="102" spans="1:7" ht="15.4" x14ac:dyDescent="0.45">
      <c r="A102" s="149" t="s">
        <v>90</v>
      </c>
      <c r="B102" s="147">
        <v>4898241</v>
      </c>
      <c r="C102" s="147">
        <v>2105235</v>
      </c>
      <c r="D102" s="147">
        <v>2793006</v>
      </c>
      <c r="E102" s="147">
        <v>0</v>
      </c>
      <c r="F102" s="147">
        <v>2793006</v>
      </c>
      <c r="G102" s="143">
        <f t="shared" si="3"/>
        <v>2.1475303628744204E-2</v>
      </c>
    </row>
    <row r="103" spans="1:7" ht="15.4" x14ac:dyDescent="0.45">
      <c r="A103" s="149" t="s">
        <v>181</v>
      </c>
      <c r="B103" s="147">
        <v>28564</v>
      </c>
      <c r="C103" s="147">
        <v>1017217.51</v>
      </c>
      <c r="D103" s="147">
        <v>-988653.51</v>
      </c>
      <c r="E103" s="147">
        <v>0</v>
      </c>
      <c r="F103" s="147">
        <v>-988653.51</v>
      </c>
      <c r="G103" s="143">
        <f t="shared" si="3"/>
        <v>1.2523282803999423E-4</v>
      </c>
    </row>
    <row r="104" spans="1:7" ht="15.4" x14ac:dyDescent="0.45">
      <c r="A104" s="149" t="s">
        <v>172</v>
      </c>
      <c r="B104" s="147">
        <v>9610370</v>
      </c>
      <c r="C104" s="147">
        <v>7448821</v>
      </c>
      <c r="D104" s="147">
        <v>2161549</v>
      </c>
      <c r="E104" s="147">
        <v>138810</v>
      </c>
      <c r="F104" s="147">
        <v>1683751</v>
      </c>
      <c r="G104" s="143">
        <f t="shared" si="3"/>
        <v>4.2134638482380596E-2</v>
      </c>
    </row>
    <row r="105" spans="1:7" ht="15.4" x14ac:dyDescent="0.45">
      <c r="A105" s="149" t="s">
        <v>92</v>
      </c>
      <c r="B105" s="147">
        <v>56405</v>
      </c>
      <c r="C105" s="147">
        <v>21635</v>
      </c>
      <c r="D105" s="147">
        <v>34770</v>
      </c>
      <c r="E105" s="147">
        <v>0</v>
      </c>
      <c r="F105" s="147">
        <v>34770</v>
      </c>
      <c r="G105" s="143">
        <f t="shared" si="3"/>
        <v>2.4729581520780965E-4</v>
      </c>
    </row>
    <row r="106" spans="1:7" ht="15.4" x14ac:dyDescent="0.45">
      <c r="A106" s="149" t="s">
        <v>93</v>
      </c>
      <c r="B106" s="147">
        <v>608714</v>
      </c>
      <c r="C106" s="147">
        <v>420017</v>
      </c>
      <c r="D106" s="147">
        <v>188697</v>
      </c>
      <c r="E106" s="147">
        <v>-633743</v>
      </c>
      <c r="F106" s="147">
        <v>-445046</v>
      </c>
      <c r="G106" s="143">
        <f t="shared" si="3"/>
        <v>2.6687780313519481E-3</v>
      </c>
    </row>
    <row r="107" spans="1:7" ht="15.4" x14ac:dyDescent="0.45">
      <c r="A107" s="149" t="s">
        <v>113</v>
      </c>
      <c r="B107" s="147">
        <v>1077606</v>
      </c>
      <c r="C107" s="147">
        <v>493696.23</v>
      </c>
      <c r="D107" s="147">
        <v>583909.77</v>
      </c>
      <c r="E107" s="147">
        <v>0</v>
      </c>
      <c r="F107" s="147">
        <v>583909.77</v>
      </c>
      <c r="G107" s="143">
        <f t="shared" si="3"/>
        <v>4.7245360206156712E-3</v>
      </c>
    </row>
    <row r="108" spans="1:7" ht="15.4" x14ac:dyDescent="0.45">
      <c r="A108" s="149" t="s">
        <v>94</v>
      </c>
      <c r="B108" s="147">
        <v>1237838</v>
      </c>
      <c r="C108" s="147">
        <v>1018543.02</v>
      </c>
      <c r="D108" s="147">
        <v>219294.98</v>
      </c>
      <c r="E108" s="147">
        <v>68857.899999999994</v>
      </c>
      <c r="F108" s="147">
        <v>288152.88</v>
      </c>
      <c r="G108" s="143">
        <f t="shared" si="3"/>
        <v>5.427039399081725E-3</v>
      </c>
    </row>
    <row r="109" spans="1:7" ht="15.4" x14ac:dyDescent="0.45">
      <c r="A109" s="149" t="s">
        <v>155</v>
      </c>
      <c r="B109" s="147"/>
      <c r="C109" s="147"/>
      <c r="D109" s="147"/>
      <c r="E109" s="147"/>
      <c r="F109" s="147"/>
      <c r="G109" s="143">
        <f t="shared" si="3"/>
        <v>0</v>
      </c>
    </row>
    <row r="110" spans="1:7" ht="15.4" x14ac:dyDescent="0.45">
      <c r="A110" s="149" t="s">
        <v>114</v>
      </c>
      <c r="B110" s="147">
        <v>3041254</v>
      </c>
      <c r="C110" s="147">
        <v>1388746.82</v>
      </c>
      <c r="D110" s="147">
        <v>1652507.18</v>
      </c>
      <c r="E110" s="147">
        <v>794853</v>
      </c>
      <c r="F110" s="147">
        <v>1835520.18</v>
      </c>
      <c r="G110" s="143">
        <f t="shared" si="3"/>
        <v>1.3333736143675418E-2</v>
      </c>
    </row>
    <row r="111" spans="1:7" ht="15.4" x14ac:dyDescent="0.45">
      <c r="A111" s="149" t="s">
        <v>95</v>
      </c>
      <c r="B111" s="147">
        <v>223830</v>
      </c>
      <c r="C111" s="147">
        <v>79432.710000000006</v>
      </c>
      <c r="D111" s="147">
        <v>144397.29</v>
      </c>
      <c r="E111" s="147">
        <v>0</v>
      </c>
      <c r="F111" s="147">
        <v>144397.29</v>
      </c>
      <c r="G111" s="143">
        <f t="shared" si="3"/>
        <v>9.813353837064805E-4</v>
      </c>
    </row>
    <row r="112" spans="1:7" ht="15.4" x14ac:dyDescent="0.45">
      <c r="A112" s="149" t="s">
        <v>178</v>
      </c>
      <c r="B112" s="147">
        <v>1882972</v>
      </c>
      <c r="C112" s="147">
        <v>1071133.8999999999</v>
      </c>
      <c r="D112" s="147">
        <v>811838.1</v>
      </c>
      <c r="E112" s="147">
        <v>6677.96</v>
      </c>
      <c r="F112" s="147">
        <v>818516.06</v>
      </c>
      <c r="G112" s="143">
        <f t="shared" si="3"/>
        <v>8.2554932320446726E-3</v>
      </c>
    </row>
    <row r="113" spans="1:7" ht="15.4" x14ac:dyDescent="0.45">
      <c r="A113" s="149" t="s">
        <v>96</v>
      </c>
      <c r="B113" s="147">
        <v>288099</v>
      </c>
      <c r="C113" s="147">
        <v>306400.42</v>
      </c>
      <c r="D113" s="147">
        <v>-18301.419999999998</v>
      </c>
      <c r="E113" s="147">
        <v>0</v>
      </c>
      <c r="F113" s="147">
        <v>-18301.419999999998</v>
      </c>
      <c r="G113" s="143">
        <f t="shared" si="3"/>
        <v>1.2631092467964675E-3</v>
      </c>
    </row>
    <row r="114" spans="1:7" ht="15.4" x14ac:dyDescent="0.45">
      <c r="A114" s="149" t="s">
        <v>145</v>
      </c>
      <c r="B114" s="147">
        <v>368617</v>
      </c>
      <c r="C114" s="147">
        <v>191796.66</v>
      </c>
      <c r="D114" s="147">
        <v>176820.34</v>
      </c>
      <c r="E114" s="147">
        <v>198493.75</v>
      </c>
      <c r="F114" s="147">
        <v>375314.09</v>
      </c>
      <c r="G114" s="143">
        <f t="shared" si="3"/>
        <v>1.6161234201658924E-3</v>
      </c>
    </row>
    <row r="115" spans="1:7" ht="15.4" x14ac:dyDescent="0.45">
      <c r="A115" s="149" t="s">
        <v>97</v>
      </c>
      <c r="B115" s="147">
        <v>321464</v>
      </c>
      <c r="C115" s="147">
        <v>308503.40000000002</v>
      </c>
      <c r="D115" s="147">
        <v>12960.6</v>
      </c>
      <c r="E115" s="147">
        <v>0</v>
      </c>
      <c r="F115" s="147">
        <v>12960.6</v>
      </c>
      <c r="G115" s="143">
        <f t="shared" si="3"/>
        <v>1.4093910458286201E-3</v>
      </c>
    </row>
    <row r="116" spans="1:7" ht="15.4" x14ac:dyDescent="0.45">
      <c r="A116" s="149" t="s">
        <v>186</v>
      </c>
      <c r="B116" s="147">
        <v>414607</v>
      </c>
      <c r="C116" s="147">
        <v>119107</v>
      </c>
      <c r="D116" s="147">
        <v>295500</v>
      </c>
      <c r="E116" s="147">
        <v>0</v>
      </c>
      <c r="F116" s="147">
        <v>295500</v>
      </c>
      <c r="G116" s="143">
        <f t="shared" si="3"/>
        <v>1.8177568665165204E-3</v>
      </c>
    </row>
    <row r="117" spans="1:7" ht="15.4" x14ac:dyDescent="0.45">
      <c r="A117" s="149" t="s">
        <v>98</v>
      </c>
      <c r="B117" s="147">
        <v>2275681</v>
      </c>
      <c r="C117" s="147">
        <v>1821489</v>
      </c>
      <c r="D117" s="147">
        <v>454192</v>
      </c>
      <c r="E117" s="147">
        <v>29029</v>
      </c>
      <c r="F117" s="147">
        <v>347803</v>
      </c>
      <c r="G117" s="143">
        <f t="shared" si="3"/>
        <v>9.9772429403053534E-3</v>
      </c>
    </row>
    <row r="118" spans="1:7" ht="15.4" x14ac:dyDescent="0.45">
      <c r="A118" s="149" t="s">
        <v>99</v>
      </c>
      <c r="B118" s="147">
        <v>567901</v>
      </c>
      <c r="C118" s="147">
        <v>348704.65</v>
      </c>
      <c r="D118" s="147">
        <v>219196.35</v>
      </c>
      <c r="E118" s="147">
        <v>27005.91</v>
      </c>
      <c r="F118" s="147">
        <v>184651.7</v>
      </c>
      <c r="G118" s="143">
        <f t="shared" si="3"/>
        <v>2.4898420486185674E-3</v>
      </c>
    </row>
    <row r="119" spans="1:7" ht="15.4" x14ac:dyDescent="0.45">
      <c r="A119" s="149" t="s">
        <v>100</v>
      </c>
      <c r="B119" s="147">
        <v>3376851.31</v>
      </c>
      <c r="C119" s="147">
        <v>2764112.56</v>
      </c>
      <c r="D119" s="147">
        <v>612738.75</v>
      </c>
      <c r="E119" s="147">
        <v>146466.47</v>
      </c>
      <c r="F119" s="147">
        <v>759205.22</v>
      </c>
      <c r="G119" s="143">
        <f t="shared" si="3"/>
        <v>1.4805091703608012E-2</v>
      </c>
    </row>
    <row r="120" spans="1:7" ht="15.4" x14ac:dyDescent="0.45">
      <c r="A120" s="149" t="s">
        <v>102</v>
      </c>
      <c r="B120" s="147"/>
      <c r="C120" s="147"/>
      <c r="D120" s="147"/>
      <c r="E120" s="147"/>
      <c r="F120" s="147"/>
      <c r="G120" s="143">
        <f t="shared" si="3"/>
        <v>0</v>
      </c>
    </row>
    <row r="121" spans="1:7" ht="15.4" x14ac:dyDescent="0.45">
      <c r="A121" s="149" t="s">
        <v>156</v>
      </c>
      <c r="B121" s="147">
        <v>129779</v>
      </c>
      <c r="C121" s="147">
        <v>111667.27</v>
      </c>
      <c r="D121" s="147">
        <v>18111.73</v>
      </c>
      <c r="E121" s="147">
        <v>0</v>
      </c>
      <c r="F121" s="147">
        <v>18111.73</v>
      </c>
      <c r="G121" s="143">
        <f t="shared" si="3"/>
        <v>5.6898862870054657E-4</v>
      </c>
    </row>
    <row r="122" spans="1:7" ht="15.4" x14ac:dyDescent="0.45">
      <c r="A122" s="149" t="s">
        <v>157</v>
      </c>
      <c r="B122" s="147">
        <v>2437296</v>
      </c>
      <c r="C122" s="147">
        <v>1498149.25</v>
      </c>
      <c r="D122" s="147">
        <v>939146.75</v>
      </c>
      <c r="E122" s="147">
        <v>0</v>
      </c>
      <c r="F122" s="147">
        <v>704360</v>
      </c>
      <c r="G122" s="143">
        <f t="shared" si="3"/>
        <v>1.0685809790315285E-2</v>
      </c>
    </row>
    <row r="123" spans="1:7" ht="15.4" x14ac:dyDescent="0.45">
      <c r="A123" s="149" t="s">
        <v>103</v>
      </c>
      <c r="B123" s="147">
        <v>1056987</v>
      </c>
      <c r="C123" s="147">
        <v>1036843.42</v>
      </c>
      <c r="D123" s="147">
        <v>20143.580000000002</v>
      </c>
      <c r="E123" s="147">
        <v>4841</v>
      </c>
      <c r="F123" s="147">
        <v>24984.58</v>
      </c>
      <c r="G123" s="143">
        <f t="shared" si="3"/>
        <v>4.6341363678584716E-3</v>
      </c>
    </row>
    <row r="124" spans="1:7" ht="15.4" x14ac:dyDescent="0.45">
      <c r="A124" s="149" t="s">
        <v>104</v>
      </c>
      <c r="B124" s="147">
        <v>1803413</v>
      </c>
      <c r="C124" s="147">
        <v>917451.66</v>
      </c>
      <c r="D124" s="147">
        <v>885961.34</v>
      </c>
      <c r="E124" s="147">
        <v>24900.21</v>
      </c>
      <c r="F124" s="147">
        <v>910861.55</v>
      </c>
      <c r="G124" s="143">
        <f t="shared" si="3"/>
        <v>7.9066835917270036E-3</v>
      </c>
    </row>
    <row r="125" spans="1:7" ht="15.4" x14ac:dyDescent="0.45">
      <c r="A125" s="149" t="s">
        <v>179</v>
      </c>
      <c r="B125" s="147"/>
      <c r="C125" s="147"/>
      <c r="D125" s="147"/>
      <c r="E125" s="147"/>
      <c r="F125" s="147"/>
      <c r="G125" s="143">
        <f t="shared" si="3"/>
        <v>0</v>
      </c>
    </row>
    <row r="126" spans="1:7" ht="15.4" x14ac:dyDescent="0.45">
      <c r="A126" s="149" t="s">
        <v>105</v>
      </c>
      <c r="B126" s="147">
        <v>276457</v>
      </c>
      <c r="C126" s="147">
        <v>281618.55</v>
      </c>
      <c r="D126" s="147">
        <v>-5161.55</v>
      </c>
      <c r="E126" s="147">
        <v>0</v>
      </c>
      <c r="F126" s="147">
        <v>-5161.55</v>
      </c>
      <c r="G126" s="143">
        <f t="shared" si="3"/>
        <v>1.2120673554632643E-3</v>
      </c>
    </row>
    <row r="127" spans="1:7" ht="15.4" x14ac:dyDescent="0.45">
      <c r="A127" s="149" t="s">
        <v>106</v>
      </c>
      <c r="B127" s="147">
        <v>15442298</v>
      </c>
      <c r="C127" s="147">
        <v>19498032.16</v>
      </c>
      <c r="D127" s="147">
        <v>-4055734.16</v>
      </c>
      <c r="E127" s="147">
        <v>500</v>
      </c>
      <c r="F127" s="147">
        <v>-4055234.16</v>
      </c>
      <c r="G127" s="143">
        <f t="shared" si="3"/>
        <v>6.7703495658043233E-2</v>
      </c>
    </row>
    <row r="128" spans="1:7" ht="15.4" x14ac:dyDescent="0.45">
      <c r="A128" s="149" t="s">
        <v>146</v>
      </c>
      <c r="B128" s="147">
        <v>458727</v>
      </c>
      <c r="C128" s="147">
        <v>136904.81</v>
      </c>
      <c r="D128" s="147">
        <v>321822.19</v>
      </c>
      <c r="E128" s="147">
        <v>30189.19</v>
      </c>
      <c r="F128" s="147">
        <v>246407.88</v>
      </c>
      <c r="G128" s="143">
        <f t="shared" ref="G128:G129" si="4">B128/$B$131</f>
        <v>2.0111916926306692E-3</v>
      </c>
    </row>
    <row r="129" spans="1:7" ht="15.75" thickBot="1" x14ac:dyDescent="0.5">
      <c r="A129" s="150" t="s">
        <v>107</v>
      </c>
      <c r="B129" s="148">
        <v>583084</v>
      </c>
      <c r="C129" s="148">
        <v>443157.86</v>
      </c>
      <c r="D129" s="148">
        <v>139926.14000000001</v>
      </c>
      <c r="E129" s="148">
        <v>-11185.34</v>
      </c>
      <c r="F129" s="148">
        <v>96555.6</v>
      </c>
      <c r="G129" s="144">
        <f t="shared" si="4"/>
        <v>2.5564087069343227E-3</v>
      </c>
    </row>
    <row r="130" spans="1:7" x14ac:dyDescent="0.35">
      <c r="A130" s="146"/>
      <c r="B130" s="146"/>
      <c r="C130" s="146"/>
      <c r="D130" s="146"/>
      <c r="E130" s="146"/>
      <c r="F130" s="146"/>
      <c r="G130" s="146"/>
    </row>
    <row r="131" spans="1:7" ht="15.4" x14ac:dyDescent="0.45">
      <c r="A131" s="116" t="s">
        <v>147</v>
      </c>
      <c r="B131" s="140">
        <f t="shared" ref="B131:G131" si="5">SUM(B3:B129)</f>
        <v>228087159.31</v>
      </c>
      <c r="C131" s="140">
        <f t="shared" si="5"/>
        <v>171830318.51000005</v>
      </c>
      <c r="D131" s="140">
        <f t="shared" si="5"/>
        <v>56256840.800000012</v>
      </c>
      <c r="E131" s="140">
        <f t="shared" si="5"/>
        <v>6895827.2900000028</v>
      </c>
      <c r="F131" s="140">
        <f t="shared" si="5"/>
        <v>47298847.110000014</v>
      </c>
      <c r="G131" s="142">
        <f t="shared" si="5"/>
        <v>1</v>
      </c>
    </row>
    <row r="132" spans="1:7" s="146" customFormat="1" x14ac:dyDescent="0.35"/>
    <row r="133" spans="1:7" s="146" customFormat="1" x14ac:dyDescent="0.35"/>
    <row r="134" spans="1:7" s="146" customFormat="1" x14ac:dyDescent="0.35"/>
    <row r="135" spans="1:7" s="146" customFormat="1" x14ac:dyDescent="0.35"/>
    <row r="136" spans="1:7" s="146" customFormat="1" x14ac:dyDescent="0.35"/>
    <row r="137" spans="1:7" s="146" customFormat="1" x14ac:dyDescent="0.35"/>
    <row r="138" spans="1:7" s="146" customFormat="1" x14ac:dyDescent="0.35"/>
    <row r="139" spans="1:7" s="146" customFormat="1" x14ac:dyDescent="0.35"/>
    <row r="140" spans="1:7" s="146" customFormat="1" x14ac:dyDescent="0.35"/>
    <row r="141" spans="1:7" s="146" customFormat="1" x14ac:dyDescent="0.35"/>
    <row r="142" spans="1:7" s="146" customFormat="1" x14ac:dyDescent="0.35"/>
    <row r="143" spans="1:7" s="146" customFormat="1" x14ac:dyDescent="0.35"/>
    <row r="144" spans="1:7" s="146" customFormat="1" x14ac:dyDescent="0.35"/>
    <row r="145" s="146" customFormat="1" x14ac:dyDescent="0.35"/>
    <row r="146" s="146" customFormat="1" x14ac:dyDescent="0.35"/>
    <row r="147" s="146" customFormat="1" x14ac:dyDescent="0.35"/>
    <row r="148" s="146" customFormat="1" x14ac:dyDescent="0.35"/>
    <row r="149" s="146" customFormat="1" x14ac:dyDescent="0.35"/>
    <row r="150" s="146" customFormat="1" x14ac:dyDescent="0.35"/>
    <row r="151" s="146" customFormat="1" x14ac:dyDescent="0.35"/>
    <row r="152" s="146" customFormat="1" x14ac:dyDescent="0.35"/>
    <row r="153" s="146" customFormat="1" x14ac:dyDescent="0.35"/>
    <row r="154" s="146" customFormat="1" x14ac:dyDescent="0.35"/>
    <row r="155" s="146" customFormat="1" x14ac:dyDescent="0.35"/>
    <row r="156" s="146" customFormat="1" x14ac:dyDescent="0.35"/>
    <row r="157" s="146" customFormat="1" x14ac:dyDescent="0.35"/>
    <row r="158" s="146" customFormat="1" x14ac:dyDescent="0.35"/>
    <row r="159" s="146" customFormat="1" x14ac:dyDescent="0.35"/>
    <row r="160" s="146" customFormat="1" x14ac:dyDescent="0.35"/>
    <row r="161" s="146" customFormat="1" x14ac:dyDescent="0.35"/>
    <row r="162" s="146" customFormat="1" x14ac:dyDescent="0.35"/>
    <row r="163" s="146" customFormat="1" x14ac:dyDescent="0.35"/>
    <row r="164" s="146" customFormat="1" x14ac:dyDescent="0.35"/>
    <row r="165" s="146" customFormat="1" x14ac:dyDescent="0.35"/>
    <row r="166" s="146" customFormat="1" x14ac:dyDescent="0.35"/>
    <row r="167" s="146" customFormat="1" x14ac:dyDescent="0.35"/>
    <row r="168" s="146" customFormat="1" x14ac:dyDescent="0.35"/>
    <row r="169" s="146" customFormat="1" x14ac:dyDescent="0.35"/>
    <row r="170" s="146" customFormat="1" x14ac:dyDescent="0.35"/>
    <row r="171" s="146" customFormat="1" x14ac:dyDescent="0.35"/>
    <row r="172" s="146" customFormat="1" x14ac:dyDescent="0.35"/>
    <row r="173" s="146" customFormat="1" x14ac:dyDescent="0.35"/>
    <row r="174" s="146" customFormat="1" x14ac:dyDescent="0.35"/>
    <row r="175" s="146" customFormat="1" x14ac:dyDescent="0.35"/>
    <row r="176" s="146" customFormat="1" x14ac:dyDescent="0.35"/>
    <row r="177" s="146" customFormat="1" x14ac:dyDescent="0.35"/>
    <row r="178" s="146" customFormat="1" x14ac:dyDescent="0.35"/>
    <row r="179" s="146" customFormat="1" x14ac:dyDescent="0.35"/>
    <row r="180" s="146" customFormat="1" x14ac:dyDescent="0.35"/>
    <row r="181" s="146" customFormat="1" x14ac:dyDescent="0.35"/>
    <row r="182" s="146" customFormat="1" x14ac:dyDescent="0.35"/>
    <row r="183" s="146" customFormat="1" x14ac:dyDescent="0.35"/>
    <row r="184" s="146" customFormat="1" x14ac:dyDescent="0.35"/>
    <row r="185" s="146" customFormat="1" x14ac:dyDescent="0.35"/>
    <row r="186" s="146" customFormat="1" x14ac:dyDescent="0.35"/>
    <row r="187" s="146" customFormat="1" x14ac:dyDescent="0.35"/>
    <row r="188" s="146" customFormat="1" x14ac:dyDescent="0.35"/>
    <row r="189" s="146" customFormat="1" x14ac:dyDescent="0.35"/>
    <row r="190" s="146" customFormat="1" x14ac:dyDescent="0.35"/>
    <row r="191" s="146" customFormat="1" x14ac:dyDescent="0.35"/>
    <row r="192" s="146" customFormat="1" x14ac:dyDescent="0.35"/>
    <row r="193" s="146" customFormat="1" x14ac:dyDescent="0.35"/>
    <row r="194" s="146" customFormat="1" x14ac:dyDescent="0.35"/>
    <row r="195" s="146" customFormat="1" x14ac:dyDescent="0.35"/>
    <row r="196" s="146" customFormat="1" x14ac:dyDescent="0.35"/>
    <row r="197" s="146" customFormat="1" x14ac:dyDescent="0.35"/>
    <row r="198" s="146" customFormat="1" x14ac:dyDescent="0.35"/>
    <row r="199" s="146" customFormat="1" x14ac:dyDescent="0.35"/>
    <row r="200" s="146" customFormat="1" x14ac:dyDescent="0.35"/>
    <row r="201" s="146" customFormat="1" x14ac:dyDescent="0.35"/>
    <row r="202" s="146" customFormat="1" x14ac:dyDescent="0.35"/>
    <row r="203" s="146" customFormat="1" x14ac:dyDescent="0.35"/>
    <row r="204" s="146" customFormat="1" x14ac:dyDescent="0.35"/>
    <row r="205" s="146" customFormat="1" x14ac:dyDescent="0.35"/>
    <row r="206" s="146" customFormat="1" x14ac:dyDescent="0.35"/>
    <row r="207" s="146" customFormat="1" x14ac:dyDescent="0.35"/>
    <row r="208" s="146" customFormat="1" x14ac:dyDescent="0.35"/>
    <row r="209" s="146" customFormat="1" x14ac:dyDescent="0.35"/>
    <row r="210" s="146" customFormat="1" x14ac:dyDescent="0.35"/>
    <row r="211" s="146" customFormat="1" x14ac:dyDescent="0.35"/>
    <row r="212" s="146" customFormat="1" x14ac:dyDescent="0.35"/>
    <row r="213" s="146" customFormat="1" x14ac:dyDescent="0.35"/>
    <row r="214" s="146" customFormat="1" x14ac:dyDescent="0.35"/>
    <row r="215" s="146" customFormat="1" x14ac:dyDescent="0.35"/>
    <row r="216" s="146" customFormat="1" x14ac:dyDescent="0.35"/>
    <row r="217" s="146" customFormat="1" x14ac:dyDescent="0.35"/>
    <row r="218" s="146" customFormat="1" x14ac:dyDescent="0.35"/>
    <row r="219" s="146" customFormat="1" x14ac:dyDescent="0.35"/>
    <row r="220" s="146" customFormat="1" x14ac:dyDescent="0.35"/>
    <row r="221" s="146" customFormat="1" x14ac:dyDescent="0.35"/>
    <row r="222" s="146" customFormat="1" x14ac:dyDescent="0.35"/>
    <row r="223" s="146" customFormat="1" x14ac:dyDescent="0.35"/>
    <row r="224" s="146" customFormat="1" x14ac:dyDescent="0.35"/>
    <row r="225" s="146" customFormat="1" x14ac:dyDescent="0.35"/>
    <row r="226" s="146" customFormat="1" x14ac:dyDescent="0.35"/>
    <row r="227" s="146" customFormat="1" x14ac:dyDescent="0.35"/>
    <row r="228" s="146" customFormat="1" x14ac:dyDescent="0.35"/>
    <row r="229" s="146" customFormat="1" x14ac:dyDescent="0.35"/>
    <row r="230" s="146" customFormat="1" x14ac:dyDescent="0.35"/>
    <row r="231" s="146" customFormat="1" x14ac:dyDescent="0.35"/>
    <row r="232" s="146" customFormat="1" x14ac:dyDescent="0.35"/>
    <row r="233" s="146" customFormat="1" x14ac:dyDescent="0.35"/>
    <row r="234" s="146" customFormat="1" x14ac:dyDescent="0.35"/>
    <row r="235" s="146" customFormat="1" x14ac:dyDescent="0.35"/>
    <row r="236" s="146" customFormat="1" x14ac:dyDescent="0.35"/>
    <row r="237" s="146" customFormat="1" x14ac:dyDescent="0.35"/>
    <row r="238" s="146" customFormat="1" x14ac:dyDescent="0.35"/>
    <row r="239" s="146" customFormat="1" x14ac:dyDescent="0.35"/>
    <row r="240" s="146" customFormat="1" x14ac:dyDescent="0.35"/>
    <row r="241" s="146" customFormat="1" x14ac:dyDescent="0.35"/>
    <row r="242" s="146" customFormat="1" x14ac:dyDescent="0.35"/>
    <row r="243" s="146" customFormat="1" x14ac:dyDescent="0.35"/>
    <row r="244" s="146" customFormat="1" x14ac:dyDescent="0.35"/>
    <row r="245" s="146" customFormat="1" x14ac:dyDescent="0.35"/>
    <row r="246" s="146" customFormat="1" x14ac:dyDescent="0.35"/>
    <row r="247" s="146" customFormat="1" x14ac:dyDescent="0.35"/>
    <row r="248" s="146" customFormat="1" x14ac:dyDescent="0.35"/>
    <row r="249" s="146" customFormat="1" x14ac:dyDescent="0.35"/>
    <row r="250" s="146" customFormat="1" x14ac:dyDescent="0.35"/>
    <row r="251" s="146" customFormat="1" x14ac:dyDescent="0.35"/>
    <row r="252" s="146" customFormat="1" x14ac:dyDescent="0.35"/>
    <row r="253" s="146" customFormat="1" x14ac:dyDescent="0.35"/>
    <row r="254" s="146" customFormat="1" x14ac:dyDescent="0.35"/>
    <row r="255" s="146" customFormat="1" x14ac:dyDescent="0.35"/>
    <row r="256" s="146" customFormat="1" x14ac:dyDescent="0.35"/>
    <row r="257" s="146" customFormat="1" x14ac:dyDescent="0.35"/>
    <row r="258" s="146" customFormat="1" x14ac:dyDescent="0.35"/>
    <row r="259" s="146" customFormat="1" x14ac:dyDescent="0.35"/>
    <row r="260" s="146" customFormat="1" x14ac:dyDescent="0.35"/>
    <row r="261" s="146" customFormat="1" x14ac:dyDescent="0.35"/>
    <row r="262" s="146" customFormat="1" x14ac:dyDescent="0.35"/>
    <row r="263" s="146" customFormat="1" x14ac:dyDescent="0.35"/>
    <row r="264" s="146" customFormat="1" x14ac:dyDescent="0.35"/>
    <row r="265" s="146" customFormat="1" x14ac:dyDescent="0.35"/>
    <row r="266" s="146" customFormat="1" x14ac:dyDescent="0.35"/>
    <row r="267" s="146" customFormat="1" x14ac:dyDescent="0.35"/>
    <row r="268" s="146" customFormat="1" x14ac:dyDescent="0.35"/>
    <row r="269" s="146" customFormat="1" x14ac:dyDescent="0.35"/>
    <row r="270" s="146" customFormat="1" x14ac:dyDescent="0.35"/>
    <row r="271" s="146" customFormat="1" x14ac:dyDescent="0.35"/>
    <row r="272" s="146" customFormat="1" x14ac:dyDescent="0.35"/>
    <row r="273" s="146" customFormat="1" x14ac:dyDescent="0.35"/>
    <row r="274" s="146" customFormat="1" x14ac:dyDescent="0.35"/>
    <row r="275" s="146" customFormat="1" x14ac:dyDescent="0.35"/>
    <row r="276" s="146" customFormat="1" x14ac:dyDescent="0.35"/>
    <row r="277" s="146" customFormat="1" x14ac:dyDescent="0.35"/>
    <row r="278" s="146" customFormat="1" x14ac:dyDescent="0.35"/>
    <row r="279" s="146" customFormat="1" x14ac:dyDescent="0.35"/>
    <row r="280" s="146" customFormat="1" x14ac:dyDescent="0.35"/>
    <row r="281" s="146" customFormat="1" x14ac:dyDescent="0.35"/>
    <row r="282" s="146" customFormat="1" x14ac:dyDescent="0.35"/>
    <row r="283" s="146" customFormat="1" x14ac:dyDescent="0.35"/>
    <row r="284" s="146" customFormat="1" x14ac:dyDescent="0.35"/>
    <row r="285" s="146" customFormat="1" x14ac:dyDescent="0.35"/>
    <row r="286" s="146" customFormat="1" x14ac:dyDescent="0.35"/>
    <row r="287" s="146" customFormat="1" x14ac:dyDescent="0.35"/>
    <row r="288" s="146" customFormat="1" x14ac:dyDescent="0.35"/>
    <row r="289" s="146" customFormat="1" x14ac:dyDescent="0.35"/>
    <row r="290" s="146" customFormat="1" x14ac:dyDescent="0.35"/>
    <row r="291" s="146" customFormat="1" x14ac:dyDescent="0.35"/>
    <row r="292" s="146" customFormat="1" x14ac:dyDescent="0.35"/>
    <row r="293" s="146" customFormat="1" x14ac:dyDescent="0.35"/>
    <row r="294" s="146" customFormat="1" x14ac:dyDescent="0.35"/>
    <row r="295" s="146" customFormat="1" x14ac:dyDescent="0.35"/>
    <row r="296" s="146" customFormat="1" x14ac:dyDescent="0.35"/>
    <row r="297" s="146" customFormat="1" x14ac:dyDescent="0.35"/>
    <row r="298" s="146" customFormat="1" x14ac:dyDescent="0.35"/>
    <row r="299" s="146" customFormat="1" x14ac:dyDescent="0.35"/>
    <row r="300" s="146" customFormat="1" x14ac:dyDescent="0.35"/>
    <row r="301" s="146" customFormat="1" x14ac:dyDescent="0.35"/>
    <row r="302" s="146" customFormat="1" x14ac:dyDescent="0.35"/>
    <row r="303" s="146" customFormat="1" x14ac:dyDescent="0.35"/>
    <row r="304" s="146" customFormat="1" x14ac:dyDescent="0.35"/>
    <row r="305" s="146" customFormat="1" x14ac:dyDescent="0.35"/>
    <row r="306" s="146" customFormat="1" x14ac:dyDescent="0.35"/>
    <row r="307" s="146" customFormat="1" x14ac:dyDescent="0.35"/>
    <row r="308" s="146" customFormat="1" x14ac:dyDescent="0.35"/>
    <row r="309" s="146" customFormat="1" x14ac:dyDescent="0.35"/>
    <row r="310" s="146" customFormat="1" x14ac:dyDescent="0.35"/>
    <row r="311" s="146" customFormat="1" x14ac:dyDescent="0.35"/>
    <row r="312" s="146" customFormat="1" x14ac:dyDescent="0.35"/>
    <row r="313" s="146" customFormat="1" x14ac:dyDescent="0.35"/>
    <row r="314" s="146" customFormat="1" x14ac:dyDescent="0.35"/>
    <row r="315" s="146" customFormat="1" x14ac:dyDescent="0.35"/>
    <row r="316" s="146" customFormat="1" x14ac:dyDescent="0.35"/>
    <row r="317" s="146" customFormat="1" x14ac:dyDescent="0.35"/>
    <row r="318" s="146" customFormat="1" x14ac:dyDescent="0.35"/>
    <row r="319" s="146" customFormat="1" x14ac:dyDescent="0.35"/>
    <row r="320" s="146" customFormat="1" x14ac:dyDescent="0.35"/>
    <row r="321" s="146" customFormat="1" x14ac:dyDescent="0.35"/>
    <row r="322" s="146" customFormat="1" x14ac:dyDescent="0.35"/>
    <row r="323" s="146" customFormat="1" x14ac:dyDescent="0.35"/>
    <row r="324" s="146" customFormat="1" x14ac:dyDescent="0.35"/>
    <row r="325" s="146" customFormat="1" x14ac:dyDescent="0.35"/>
    <row r="326" s="146" customFormat="1" x14ac:dyDescent="0.35"/>
    <row r="327" s="146" customFormat="1" x14ac:dyDescent="0.35"/>
    <row r="328" s="146" customFormat="1" x14ac:dyDescent="0.35"/>
    <row r="329" s="146" customFormat="1" x14ac:dyDescent="0.35"/>
    <row r="330" s="146" customFormat="1" x14ac:dyDescent="0.35"/>
    <row r="331" s="146" customFormat="1" x14ac:dyDescent="0.35"/>
    <row r="332" s="146" customFormat="1" x14ac:dyDescent="0.35"/>
    <row r="333" s="146" customFormat="1" x14ac:dyDescent="0.35"/>
    <row r="334" s="146" customFormat="1" x14ac:dyDescent="0.35"/>
    <row r="335" s="146" customFormat="1" x14ac:dyDescent="0.35"/>
    <row r="336" s="146" customFormat="1" x14ac:dyDescent="0.35"/>
    <row r="337" s="146" customFormat="1" x14ac:dyDescent="0.35"/>
    <row r="338" s="146" customFormat="1" x14ac:dyDescent="0.35"/>
    <row r="339" s="146" customFormat="1" x14ac:dyDescent="0.35"/>
    <row r="340" s="146" customFormat="1" x14ac:dyDescent="0.35"/>
    <row r="341" s="146" customFormat="1" x14ac:dyDescent="0.35"/>
    <row r="342" s="146" customFormat="1" x14ac:dyDescent="0.35"/>
    <row r="343" s="146" customFormat="1" x14ac:dyDescent="0.35"/>
    <row r="344" s="146" customFormat="1" x14ac:dyDescent="0.35"/>
    <row r="345" s="146" customFormat="1" x14ac:dyDescent="0.35"/>
    <row r="346" s="146" customFormat="1" x14ac:dyDescent="0.35"/>
    <row r="347" s="146" customFormat="1" x14ac:dyDescent="0.35"/>
    <row r="348" s="146" customFormat="1" x14ac:dyDescent="0.35"/>
    <row r="349" s="146" customFormat="1" x14ac:dyDescent="0.35"/>
    <row r="350" s="146" customFormat="1" x14ac:dyDescent="0.35"/>
    <row r="351" s="146" customFormat="1" x14ac:dyDescent="0.35"/>
    <row r="352" s="146" customFormat="1" x14ac:dyDescent="0.35"/>
    <row r="353" s="146" customFormat="1" x14ac:dyDescent="0.35"/>
    <row r="354" s="146" customFormat="1" x14ac:dyDescent="0.35"/>
    <row r="355" s="146" customFormat="1" x14ac:dyDescent="0.35"/>
    <row r="356" s="146" customFormat="1" x14ac:dyDescent="0.35"/>
    <row r="357" s="146" customFormat="1" x14ac:dyDescent="0.35"/>
    <row r="358" s="146" customFormat="1" x14ac:dyDescent="0.35"/>
    <row r="359" s="146" customFormat="1" x14ac:dyDescent="0.35"/>
    <row r="360" s="146" customFormat="1" x14ac:dyDescent="0.35"/>
    <row r="361" s="146" customFormat="1" x14ac:dyDescent="0.35"/>
    <row r="362" s="146" customFormat="1" x14ac:dyDescent="0.35"/>
    <row r="363" s="146" customFormat="1" x14ac:dyDescent="0.35"/>
    <row r="364" s="146" customFormat="1" x14ac:dyDescent="0.35"/>
    <row r="365" s="146" customFormat="1" x14ac:dyDescent="0.35"/>
    <row r="366" s="146" customFormat="1" x14ac:dyDescent="0.35"/>
    <row r="367" s="146" customFormat="1" x14ac:dyDescent="0.35"/>
    <row r="368" s="146" customFormat="1" x14ac:dyDescent="0.35"/>
    <row r="369" s="146" customFormat="1" x14ac:dyDescent="0.35"/>
    <row r="370" s="146" customFormat="1" x14ac:dyDescent="0.35"/>
    <row r="371" s="146" customFormat="1" x14ac:dyDescent="0.35"/>
    <row r="372" s="146" customFormat="1" x14ac:dyDescent="0.35"/>
    <row r="373" s="146" customFormat="1" x14ac:dyDescent="0.35"/>
    <row r="374" s="146" customFormat="1" x14ac:dyDescent="0.35"/>
    <row r="375" s="146" customFormat="1" x14ac:dyDescent="0.35"/>
    <row r="376" s="146" customFormat="1" x14ac:dyDescent="0.35"/>
    <row r="377" s="146" customFormat="1" x14ac:dyDescent="0.35"/>
    <row r="378" s="146" customFormat="1" x14ac:dyDescent="0.35"/>
    <row r="379" s="146" customFormat="1" x14ac:dyDescent="0.35"/>
    <row r="380" s="146" customFormat="1" x14ac:dyDescent="0.35"/>
    <row r="381" s="146" customFormat="1" x14ac:dyDescent="0.35"/>
    <row r="382" s="146" customFormat="1" x14ac:dyDescent="0.35"/>
    <row r="383" s="146" customFormat="1" x14ac:dyDescent="0.35"/>
    <row r="384" s="146" customFormat="1" x14ac:dyDescent="0.35"/>
    <row r="385" s="146" customFormat="1" x14ac:dyDescent="0.35"/>
    <row r="386" s="146" customFormat="1" x14ac:dyDescent="0.35"/>
    <row r="387" s="146" customFormat="1" x14ac:dyDescent="0.35"/>
    <row r="388" s="146" customFormat="1" x14ac:dyDescent="0.35"/>
    <row r="389" s="146" customFormat="1" x14ac:dyDescent="0.35"/>
    <row r="390" s="146" customFormat="1" x14ac:dyDescent="0.35"/>
    <row r="391" s="146" customFormat="1" x14ac:dyDescent="0.35"/>
    <row r="392" s="146" customFormat="1" x14ac:dyDescent="0.35"/>
    <row r="393" s="146" customFormat="1" x14ac:dyDescent="0.35"/>
    <row r="394" s="146" customFormat="1" x14ac:dyDescent="0.35"/>
    <row r="395" s="146" customFormat="1" x14ac:dyDescent="0.35"/>
    <row r="396" s="146" customFormat="1" x14ac:dyDescent="0.35"/>
    <row r="397" s="146" customFormat="1" x14ac:dyDescent="0.35"/>
    <row r="398" s="146" customFormat="1" x14ac:dyDescent="0.35"/>
    <row r="399" s="146" customFormat="1" x14ac:dyDescent="0.35"/>
    <row r="400" s="146" customFormat="1" x14ac:dyDescent="0.35"/>
    <row r="401" s="146" customFormat="1" x14ac:dyDescent="0.35"/>
    <row r="402" s="146" customFormat="1" x14ac:dyDescent="0.35"/>
    <row r="403" s="146" customFormat="1" x14ac:dyDescent="0.35"/>
    <row r="404" s="146" customFormat="1" x14ac:dyDescent="0.35"/>
    <row r="405" s="146" customFormat="1" x14ac:dyDescent="0.35"/>
    <row r="406" s="146" customFormat="1" x14ac:dyDescent="0.35"/>
    <row r="407" s="146" customFormat="1" x14ac:dyDescent="0.35"/>
    <row r="408" s="146" customFormat="1" x14ac:dyDescent="0.35"/>
    <row r="409" s="146" customFormat="1" x14ac:dyDescent="0.35"/>
    <row r="410" s="146" customFormat="1" x14ac:dyDescent="0.35"/>
    <row r="411" s="146" customFormat="1" x14ac:dyDescent="0.35"/>
    <row r="412" s="146" customFormat="1" x14ac:dyDescent="0.35"/>
    <row r="413" s="146" customFormat="1" x14ac:dyDescent="0.35"/>
    <row r="414" s="146" customFormat="1" x14ac:dyDescent="0.35"/>
    <row r="415" s="146" customFormat="1" x14ac:dyDescent="0.35"/>
    <row r="416" s="146" customFormat="1" x14ac:dyDescent="0.35"/>
    <row r="417" s="146" customFormat="1" x14ac:dyDescent="0.35"/>
    <row r="418" s="146" customFormat="1" x14ac:dyDescent="0.35"/>
    <row r="419" s="146" customFormat="1" x14ac:dyDescent="0.35"/>
    <row r="420" s="146" customFormat="1" x14ac:dyDescent="0.35"/>
    <row r="421" s="146" customFormat="1" x14ac:dyDescent="0.35"/>
    <row r="422" s="146" customFormat="1" x14ac:dyDescent="0.35"/>
    <row r="423" s="146" customFormat="1" x14ac:dyDescent="0.35"/>
    <row r="424" s="146" customFormat="1" x14ac:dyDescent="0.35"/>
    <row r="425" s="146" customFormat="1" x14ac:dyDescent="0.35"/>
    <row r="426" s="146" customFormat="1" x14ac:dyDescent="0.35"/>
    <row r="427" s="146" customFormat="1" x14ac:dyDescent="0.35"/>
    <row r="428" s="146" customFormat="1" x14ac:dyDescent="0.35"/>
    <row r="429" s="146" customFormat="1" x14ac:dyDescent="0.35"/>
    <row r="430" s="146" customFormat="1" x14ac:dyDescent="0.35"/>
    <row r="431" s="146" customFormat="1" x14ac:dyDescent="0.35"/>
    <row r="432" s="146" customFormat="1" x14ac:dyDescent="0.35"/>
    <row r="433" s="146" customFormat="1" x14ac:dyDescent="0.35"/>
    <row r="434" s="146" customFormat="1" x14ac:dyDescent="0.35"/>
    <row r="435" s="146" customFormat="1" x14ac:dyDescent="0.35"/>
    <row r="436" s="146" customFormat="1" x14ac:dyDescent="0.35"/>
    <row r="437" s="146" customFormat="1" x14ac:dyDescent="0.35"/>
    <row r="438" s="146" customFormat="1" x14ac:dyDescent="0.35"/>
    <row r="439" s="146" customFormat="1" x14ac:dyDescent="0.35"/>
    <row r="440" s="146" customFormat="1" x14ac:dyDescent="0.35"/>
    <row r="441" s="146" customFormat="1" x14ac:dyDescent="0.35"/>
    <row r="442" s="146" customFormat="1" x14ac:dyDescent="0.35"/>
    <row r="443" s="146" customFormat="1" x14ac:dyDescent="0.35"/>
    <row r="444" s="146" customFormat="1" x14ac:dyDescent="0.35"/>
    <row r="445" s="146" customFormat="1" x14ac:dyDescent="0.35"/>
    <row r="446" s="146" customFormat="1" x14ac:dyDescent="0.35"/>
    <row r="447" s="146" customFormat="1" x14ac:dyDescent="0.35"/>
    <row r="448" s="146" customFormat="1" x14ac:dyDescent="0.35"/>
    <row r="449" s="146" customFormat="1" x14ac:dyDescent="0.35"/>
    <row r="450" s="146" customFormat="1" x14ac:dyDescent="0.35"/>
    <row r="451" s="146" customFormat="1" x14ac:dyDescent="0.35"/>
    <row r="452" s="146" customFormat="1" x14ac:dyDescent="0.35"/>
    <row r="453" s="146" customFormat="1" x14ac:dyDescent="0.35"/>
    <row r="454" s="146" customFormat="1" x14ac:dyDescent="0.35"/>
    <row r="455" s="146" customFormat="1" x14ac:dyDescent="0.35"/>
    <row r="456" s="146" customFormat="1" x14ac:dyDescent="0.35"/>
    <row r="457" s="146" customFormat="1" x14ac:dyDescent="0.35"/>
    <row r="458" s="146" customFormat="1" x14ac:dyDescent="0.35"/>
    <row r="459" s="146" customFormat="1" x14ac:dyDescent="0.35"/>
    <row r="460" s="146" customFormat="1" x14ac:dyDescent="0.35"/>
    <row r="461" s="146" customFormat="1" x14ac:dyDescent="0.35"/>
    <row r="462" s="146" customFormat="1" x14ac:dyDescent="0.35"/>
    <row r="463" s="146" customFormat="1" x14ac:dyDescent="0.35"/>
    <row r="464" s="146" customFormat="1" x14ac:dyDescent="0.35"/>
    <row r="465" s="146" customFormat="1" x14ac:dyDescent="0.35"/>
    <row r="466" s="146" customFormat="1" x14ac:dyDescent="0.35"/>
    <row r="467" s="146" customFormat="1" x14ac:dyDescent="0.35"/>
    <row r="468" s="146" customFormat="1" x14ac:dyDescent="0.35"/>
    <row r="469" s="146" customFormat="1" x14ac:dyDescent="0.35"/>
    <row r="470" s="146" customFormat="1" x14ac:dyDescent="0.35"/>
    <row r="471" s="146" customFormat="1" x14ac:dyDescent="0.35"/>
    <row r="472" s="146" customFormat="1" x14ac:dyDescent="0.35"/>
    <row r="473" s="146" customFormat="1" x14ac:dyDescent="0.35"/>
    <row r="474" s="146" customFormat="1" x14ac:dyDescent="0.35"/>
    <row r="475" s="146" customFormat="1" x14ac:dyDescent="0.35"/>
    <row r="476" s="146" customFormat="1" x14ac:dyDescent="0.35"/>
    <row r="477" s="146" customFormat="1" x14ac:dyDescent="0.35"/>
    <row r="478" s="146" customFormat="1" x14ac:dyDescent="0.35"/>
    <row r="479" s="146" customFormat="1" x14ac:dyDescent="0.35"/>
    <row r="480" s="146" customFormat="1" x14ac:dyDescent="0.35"/>
    <row r="481" s="146" customFormat="1" x14ac:dyDescent="0.35"/>
    <row r="482" s="146" customFormat="1" x14ac:dyDescent="0.35"/>
    <row r="483" s="146" customFormat="1" x14ac:dyDescent="0.35"/>
    <row r="484" s="146" customFormat="1" x14ac:dyDescent="0.35"/>
    <row r="485" s="146" customFormat="1" x14ac:dyDescent="0.35"/>
    <row r="486" s="146" customFormat="1" x14ac:dyDescent="0.35"/>
    <row r="487" s="146" customFormat="1" x14ac:dyDescent="0.35"/>
    <row r="488" s="146" customFormat="1" x14ac:dyDescent="0.35"/>
    <row r="489" s="146" customFormat="1" x14ac:dyDescent="0.35"/>
    <row r="490" s="146" customFormat="1" x14ac:dyDescent="0.35"/>
    <row r="491" s="146" customFormat="1" x14ac:dyDescent="0.35"/>
    <row r="492" s="146" customFormat="1" x14ac:dyDescent="0.35"/>
    <row r="493" s="146" customFormat="1" x14ac:dyDescent="0.35"/>
    <row r="494" s="146" customFormat="1" x14ac:dyDescent="0.35"/>
    <row r="495" s="146" customFormat="1" x14ac:dyDescent="0.35"/>
    <row r="496" s="146" customFormat="1" x14ac:dyDescent="0.35"/>
    <row r="497" s="146" customFormat="1" x14ac:dyDescent="0.35"/>
    <row r="498" s="146" customFormat="1" x14ac:dyDescent="0.35"/>
    <row r="499" s="146" customFormat="1" x14ac:dyDescent="0.35"/>
    <row r="500" s="146" customFormat="1" x14ac:dyDescent="0.35"/>
    <row r="501" s="146" customFormat="1" x14ac:dyDescent="0.35"/>
    <row r="502" s="146" customFormat="1" x14ac:dyDescent="0.35"/>
    <row r="503" s="146" customFormat="1" x14ac:dyDescent="0.35"/>
    <row r="504" s="146" customFormat="1" x14ac:dyDescent="0.35"/>
    <row r="505" s="146" customFormat="1" x14ac:dyDescent="0.35"/>
    <row r="506" s="146" customFormat="1" x14ac:dyDescent="0.35"/>
    <row r="507" s="146" customFormat="1" x14ac:dyDescent="0.35"/>
    <row r="508" s="146" customFormat="1" x14ac:dyDescent="0.35"/>
    <row r="509" s="146" customFormat="1" x14ac:dyDescent="0.35"/>
    <row r="510" s="146" customFormat="1" x14ac:dyDescent="0.35"/>
    <row r="511" s="146" customFormat="1" x14ac:dyDescent="0.35"/>
    <row r="512" s="146" customFormat="1" x14ac:dyDescent="0.35"/>
    <row r="513" s="146" customFormat="1" x14ac:dyDescent="0.35"/>
    <row r="514" s="146" customFormat="1" x14ac:dyDescent="0.35"/>
    <row r="515" s="146" customFormat="1" x14ac:dyDescent="0.35"/>
    <row r="516" s="146" customFormat="1" x14ac:dyDescent="0.35"/>
    <row r="517" s="146" customFormat="1" x14ac:dyDescent="0.35"/>
    <row r="518" s="146" customFormat="1" x14ac:dyDescent="0.35"/>
    <row r="519" s="146" customFormat="1" x14ac:dyDescent="0.35"/>
    <row r="520" s="146" customFormat="1" x14ac:dyDescent="0.35"/>
    <row r="521" s="146" customFormat="1" x14ac:dyDescent="0.35"/>
    <row r="522" s="146" customFormat="1" x14ac:dyDescent="0.35"/>
    <row r="523" s="146" customFormat="1" x14ac:dyDescent="0.35"/>
    <row r="524" s="146" customFormat="1" x14ac:dyDescent="0.35"/>
    <row r="525" s="146" customFormat="1" x14ac:dyDescent="0.35"/>
    <row r="526" s="146" customFormat="1" x14ac:dyDescent="0.35"/>
    <row r="527" s="146" customFormat="1" x14ac:dyDescent="0.35"/>
    <row r="528" s="146" customFormat="1" x14ac:dyDescent="0.35"/>
    <row r="529" s="146" customFormat="1" x14ac:dyDescent="0.35"/>
    <row r="530" s="146" customFormat="1" x14ac:dyDescent="0.35"/>
    <row r="531" s="146" customFormat="1" x14ac:dyDescent="0.35"/>
    <row r="532" s="146" customFormat="1" x14ac:dyDescent="0.35"/>
    <row r="533" s="146" customFormat="1" x14ac:dyDescent="0.35"/>
    <row r="534" s="146" customFormat="1" x14ac:dyDescent="0.35"/>
    <row r="535" s="146" customFormat="1" x14ac:dyDescent="0.35"/>
    <row r="536" s="146" customFormat="1" x14ac:dyDescent="0.35"/>
    <row r="537" s="146" customFormat="1" x14ac:dyDescent="0.35"/>
    <row r="538" s="146" customFormat="1" x14ac:dyDescent="0.35"/>
    <row r="539" s="146" customFormat="1" x14ac:dyDescent="0.35"/>
    <row r="540" s="146" customFormat="1" x14ac:dyDescent="0.35"/>
    <row r="541" s="146" customFormat="1" x14ac:dyDescent="0.35"/>
    <row r="542" s="146" customFormat="1" x14ac:dyDescent="0.35"/>
    <row r="543" s="146" customFormat="1" x14ac:dyDescent="0.35"/>
    <row r="544" s="146" customFormat="1" x14ac:dyDescent="0.35"/>
    <row r="545" s="146" customFormat="1" x14ac:dyDescent="0.35"/>
    <row r="546" s="146" customFormat="1" x14ac:dyDescent="0.35"/>
    <row r="547" s="146" customFormat="1" x14ac:dyDescent="0.35"/>
    <row r="548" s="146" customFormat="1" x14ac:dyDescent="0.35"/>
    <row r="549" s="146" customFormat="1" x14ac:dyDescent="0.35"/>
    <row r="550" s="146" customFormat="1" x14ac:dyDescent="0.35"/>
    <row r="551" s="146" customFormat="1" x14ac:dyDescent="0.35"/>
    <row r="552" s="146" customFormat="1" x14ac:dyDescent="0.35"/>
    <row r="553" s="146" customFormat="1" x14ac:dyDescent="0.35"/>
    <row r="554" s="146" customFormat="1" x14ac:dyDescent="0.35"/>
    <row r="555" s="146" customFormat="1" x14ac:dyDescent="0.35"/>
    <row r="556" s="146" customFormat="1" x14ac:dyDescent="0.35"/>
    <row r="557" s="146" customFormat="1" x14ac:dyDescent="0.35"/>
    <row r="558" s="146" customFormat="1" x14ac:dyDescent="0.35"/>
    <row r="559" s="146" customFormat="1" x14ac:dyDescent="0.35"/>
    <row r="560" s="146" customFormat="1" x14ac:dyDescent="0.35"/>
    <row r="561" s="146" customFormat="1" x14ac:dyDescent="0.35"/>
    <row r="562" s="146" customFormat="1" x14ac:dyDescent="0.35"/>
    <row r="563" s="146" customFormat="1" x14ac:dyDescent="0.35"/>
    <row r="564" s="146" customFormat="1" x14ac:dyDescent="0.35"/>
    <row r="565" s="146" customFormat="1" x14ac:dyDescent="0.35"/>
    <row r="566" s="146" customFormat="1" x14ac:dyDescent="0.35"/>
    <row r="567" s="146" customFormat="1" x14ac:dyDescent="0.35"/>
    <row r="568" s="146" customFormat="1" x14ac:dyDescent="0.35"/>
    <row r="569" s="146" customFormat="1" x14ac:dyDescent="0.35"/>
    <row r="570" s="146" customFormat="1" x14ac:dyDescent="0.35"/>
    <row r="571" s="146" customFormat="1" x14ac:dyDescent="0.35"/>
    <row r="572" s="146" customFormat="1" x14ac:dyDescent="0.35"/>
    <row r="573" s="146" customFormat="1" x14ac:dyDescent="0.35"/>
    <row r="574" s="146" customFormat="1" x14ac:dyDescent="0.35"/>
    <row r="575" s="146" customFormat="1" x14ac:dyDescent="0.35"/>
    <row r="576" s="146" customFormat="1" x14ac:dyDescent="0.35"/>
    <row r="577" s="146" customFormat="1" x14ac:dyDescent="0.35"/>
    <row r="578" s="146" customFormat="1" x14ac:dyDescent="0.35"/>
    <row r="579" s="146" customFormat="1" x14ac:dyDescent="0.35"/>
    <row r="580" s="146" customFormat="1" x14ac:dyDescent="0.35"/>
    <row r="581" s="146" customFormat="1" x14ac:dyDescent="0.35"/>
    <row r="582" s="146" customFormat="1" x14ac:dyDescent="0.35"/>
    <row r="583" s="146" customFormat="1" x14ac:dyDescent="0.35"/>
    <row r="584" s="146" customFormat="1" x14ac:dyDescent="0.35"/>
    <row r="585" s="146" customFormat="1" x14ac:dyDescent="0.35"/>
    <row r="586" s="146" customFormat="1" x14ac:dyDescent="0.35"/>
    <row r="587" s="146" customFormat="1" x14ac:dyDescent="0.35"/>
    <row r="588" s="146" customFormat="1" x14ac:dyDescent="0.35"/>
    <row r="589" s="146" customFormat="1" x14ac:dyDescent="0.35"/>
    <row r="590" s="146" customFormat="1" x14ac:dyDescent="0.35"/>
    <row r="591" s="146" customFormat="1" x14ac:dyDescent="0.35"/>
    <row r="592" s="146" customFormat="1" x14ac:dyDescent="0.35"/>
    <row r="593" s="146" customFormat="1" x14ac:dyDescent="0.35"/>
    <row r="594" s="146" customFormat="1" x14ac:dyDescent="0.35"/>
    <row r="595" s="146" customFormat="1" x14ac:dyDescent="0.35"/>
    <row r="596" s="146" customFormat="1" x14ac:dyDescent="0.35"/>
    <row r="597" s="146" customFormat="1" x14ac:dyDescent="0.35"/>
    <row r="598" s="146" customFormat="1" x14ac:dyDescent="0.35"/>
    <row r="599" s="146" customFormat="1" x14ac:dyDescent="0.35"/>
    <row r="600" s="146" customFormat="1" x14ac:dyDescent="0.35"/>
    <row r="601" s="146" customFormat="1" x14ac:dyDescent="0.35"/>
    <row r="602" s="146" customFormat="1" x14ac:dyDescent="0.35"/>
    <row r="603" s="146" customFormat="1" x14ac:dyDescent="0.35"/>
    <row r="604" s="146" customFormat="1" x14ac:dyDescent="0.35"/>
    <row r="605" s="146" customFormat="1" x14ac:dyDescent="0.35"/>
    <row r="606" s="146" customFormat="1" x14ac:dyDescent="0.35"/>
    <row r="607" s="146" customFormat="1" x14ac:dyDescent="0.35"/>
    <row r="608" s="146" customFormat="1" x14ac:dyDescent="0.35"/>
    <row r="609" s="146" customFormat="1" x14ac:dyDescent="0.35"/>
    <row r="610" s="146" customFormat="1" x14ac:dyDescent="0.35"/>
    <row r="611" s="146" customFormat="1" x14ac:dyDescent="0.35"/>
    <row r="612" s="146" customFormat="1" x14ac:dyDescent="0.35"/>
    <row r="613" s="146" customFormat="1" x14ac:dyDescent="0.35"/>
    <row r="614" s="146" customFormat="1" x14ac:dyDescent="0.35"/>
    <row r="615" s="146" customFormat="1" x14ac:dyDescent="0.35"/>
    <row r="616" s="146" customFormat="1" x14ac:dyDescent="0.35"/>
    <row r="617" s="146" customFormat="1" x14ac:dyDescent="0.35"/>
    <row r="618" s="146" customFormat="1" x14ac:dyDescent="0.35"/>
    <row r="619" s="146" customFormat="1" x14ac:dyDescent="0.35"/>
    <row r="620" s="146" customFormat="1" x14ac:dyDescent="0.35"/>
    <row r="621" s="146" customFormat="1" x14ac:dyDescent="0.35"/>
    <row r="622" s="146" customFormat="1" x14ac:dyDescent="0.35"/>
    <row r="623" s="146" customFormat="1" x14ac:dyDescent="0.35"/>
    <row r="624" s="146" customFormat="1" x14ac:dyDescent="0.35"/>
    <row r="625" s="146" customFormat="1" x14ac:dyDescent="0.35"/>
    <row r="626" s="146" customFormat="1" x14ac:dyDescent="0.35"/>
    <row r="627" s="146" customFormat="1" x14ac:dyDescent="0.35"/>
    <row r="628" s="146" customFormat="1" x14ac:dyDescent="0.35"/>
    <row r="629" s="146" customFormat="1" x14ac:dyDescent="0.35"/>
    <row r="630" s="146" customFormat="1" x14ac:dyDescent="0.35"/>
    <row r="631" s="146" customFormat="1" x14ac:dyDescent="0.35"/>
    <row r="632" s="146" customFormat="1" x14ac:dyDescent="0.35"/>
    <row r="633" s="146" customFormat="1" x14ac:dyDescent="0.35"/>
    <row r="634" s="146" customFormat="1" x14ac:dyDescent="0.35"/>
    <row r="635" s="146" customFormat="1" x14ac:dyDescent="0.35"/>
    <row r="636" s="146" customFormat="1" x14ac:dyDescent="0.35"/>
    <row r="637" s="146" customFormat="1" x14ac:dyDescent="0.35"/>
    <row r="638" s="146" customFormat="1" x14ac:dyDescent="0.35"/>
    <row r="639" s="146" customFormat="1" x14ac:dyDescent="0.35"/>
    <row r="640" s="146" customFormat="1" x14ac:dyDescent="0.35"/>
    <row r="641" s="146" customFormat="1" x14ac:dyDescent="0.35"/>
    <row r="642" s="146" customFormat="1" x14ac:dyDescent="0.35"/>
    <row r="643" s="146" customFormat="1" x14ac:dyDescent="0.35"/>
    <row r="644" s="146" customFormat="1" x14ac:dyDescent="0.35"/>
    <row r="645" s="146" customFormat="1" x14ac:dyDescent="0.35"/>
    <row r="646" s="146" customFormat="1" x14ac:dyDescent="0.35"/>
    <row r="647" s="146" customFormat="1" x14ac:dyDescent="0.35"/>
    <row r="648" s="146" customFormat="1" x14ac:dyDescent="0.35"/>
    <row r="649" s="146" customFormat="1" x14ac:dyDescent="0.35"/>
    <row r="650" s="146" customFormat="1" x14ac:dyDescent="0.35"/>
    <row r="651" s="146" customFormat="1" x14ac:dyDescent="0.35"/>
    <row r="652" s="146" customFormat="1" x14ac:dyDescent="0.35"/>
    <row r="653" s="146" customFormat="1" x14ac:dyDescent="0.35"/>
    <row r="654" s="146" customFormat="1" x14ac:dyDescent="0.35"/>
    <row r="655" s="146" customFormat="1" x14ac:dyDescent="0.35"/>
    <row r="656" s="146" customFormat="1" x14ac:dyDescent="0.35"/>
    <row r="657" s="146" customFormat="1" x14ac:dyDescent="0.35"/>
    <row r="658" s="146" customFormat="1" x14ac:dyDescent="0.35"/>
    <row r="659" s="146" customFormat="1" x14ac:dyDescent="0.35"/>
    <row r="660" s="146" customFormat="1" x14ac:dyDescent="0.35"/>
    <row r="661" s="146" customFormat="1" x14ac:dyDescent="0.35"/>
    <row r="662" s="146" customFormat="1" x14ac:dyDescent="0.35"/>
    <row r="663" s="146" customFormat="1" x14ac:dyDescent="0.35"/>
    <row r="664" s="146" customFormat="1" x14ac:dyDescent="0.35"/>
    <row r="665" s="146" customFormat="1" x14ac:dyDescent="0.35"/>
    <row r="666" s="146" customFormat="1" x14ac:dyDescent="0.35"/>
    <row r="667" s="146" customFormat="1" x14ac:dyDescent="0.35"/>
    <row r="668" s="146" customFormat="1" x14ac:dyDescent="0.35"/>
    <row r="669" s="146" customFormat="1" x14ac:dyDescent="0.35"/>
    <row r="670" s="146" customFormat="1" x14ac:dyDescent="0.35"/>
    <row r="671" s="146" customFormat="1" x14ac:dyDescent="0.35"/>
    <row r="672" s="146" customFormat="1" x14ac:dyDescent="0.35"/>
    <row r="673" s="146" customFormat="1" x14ac:dyDescent="0.35"/>
    <row r="674" s="146" customFormat="1" x14ac:dyDescent="0.35"/>
    <row r="675" s="146" customFormat="1" x14ac:dyDescent="0.35"/>
    <row r="676" s="146" customFormat="1" x14ac:dyDescent="0.35"/>
    <row r="677" s="146" customFormat="1" x14ac:dyDescent="0.35"/>
    <row r="678" s="146" customFormat="1" x14ac:dyDescent="0.35"/>
    <row r="679" s="146" customFormat="1" x14ac:dyDescent="0.35"/>
    <row r="680" s="146" customFormat="1" x14ac:dyDescent="0.35"/>
    <row r="681" s="146" customFormat="1" x14ac:dyDescent="0.35"/>
    <row r="682" s="146" customFormat="1" x14ac:dyDescent="0.35"/>
    <row r="683" s="146" customFormat="1" x14ac:dyDescent="0.35"/>
    <row r="684" s="146" customFormat="1" x14ac:dyDescent="0.35"/>
    <row r="685" s="146" customFormat="1" x14ac:dyDescent="0.35"/>
    <row r="686" s="146" customFormat="1" x14ac:dyDescent="0.35"/>
    <row r="687" s="146" customFormat="1" x14ac:dyDescent="0.35"/>
    <row r="688" s="146" customFormat="1" x14ac:dyDescent="0.35"/>
    <row r="689" s="146" customFormat="1" x14ac:dyDescent="0.35"/>
    <row r="690" s="146" customFormat="1" x14ac:dyDescent="0.35"/>
    <row r="691" s="146" customFormat="1" x14ac:dyDescent="0.35"/>
    <row r="692" s="146" customFormat="1" x14ac:dyDescent="0.35"/>
    <row r="693" s="146" customFormat="1" x14ac:dyDescent="0.35"/>
    <row r="694" s="146" customFormat="1" x14ac:dyDescent="0.35"/>
    <row r="695" s="146" customFormat="1" x14ac:dyDescent="0.35"/>
    <row r="696" s="146" customFormat="1" x14ac:dyDescent="0.35"/>
    <row r="697" s="146" customFormat="1" x14ac:dyDescent="0.35"/>
    <row r="698" s="146" customFormat="1" x14ac:dyDescent="0.35"/>
    <row r="699" s="146" customFormat="1" x14ac:dyDescent="0.35"/>
    <row r="700" s="146" customFormat="1" x14ac:dyDescent="0.35"/>
    <row r="701" s="146" customFormat="1" x14ac:dyDescent="0.35"/>
    <row r="702" s="146" customFormat="1" x14ac:dyDescent="0.35"/>
    <row r="703" s="146" customFormat="1" x14ac:dyDescent="0.35"/>
    <row r="704" s="146" customFormat="1" x14ac:dyDescent="0.35"/>
    <row r="705" s="146" customFormat="1" x14ac:dyDescent="0.35"/>
    <row r="706" s="146" customFormat="1" x14ac:dyDescent="0.35"/>
    <row r="707" s="146" customFormat="1" x14ac:dyDescent="0.35"/>
    <row r="708" s="146" customFormat="1" x14ac:dyDescent="0.35"/>
    <row r="709" s="146" customFormat="1" x14ac:dyDescent="0.35"/>
    <row r="710" s="146" customFormat="1" x14ac:dyDescent="0.35"/>
    <row r="711" s="146" customFormat="1" x14ac:dyDescent="0.35"/>
    <row r="712" s="146" customFormat="1" x14ac:dyDescent="0.35"/>
    <row r="713" s="146" customFormat="1" x14ac:dyDescent="0.35"/>
    <row r="714" s="146" customFormat="1" x14ac:dyDescent="0.35"/>
    <row r="715" s="146" customFormat="1" x14ac:dyDescent="0.35"/>
    <row r="716" s="146" customFormat="1" x14ac:dyDescent="0.35"/>
    <row r="717" s="146" customFormat="1" x14ac:dyDescent="0.35"/>
    <row r="718" s="146" customFormat="1" x14ac:dyDescent="0.35"/>
    <row r="719" s="146" customFormat="1" x14ac:dyDescent="0.35"/>
    <row r="720" s="146" customFormat="1" x14ac:dyDescent="0.35"/>
    <row r="721" s="146" customFormat="1" x14ac:dyDescent="0.35"/>
    <row r="722" s="146" customFormat="1" x14ac:dyDescent="0.35"/>
    <row r="723" s="146" customFormat="1" x14ac:dyDescent="0.35"/>
    <row r="724" s="146" customFormat="1" x14ac:dyDescent="0.35"/>
    <row r="725" s="146" customFormat="1" x14ac:dyDescent="0.35"/>
    <row r="726" s="146" customFormat="1" x14ac:dyDescent="0.35"/>
    <row r="727" s="146" customFormat="1" x14ac:dyDescent="0.35"/>
    <row r="728" s="146" customFormat="1" x14ac:dyDescent="0.35"/>
    <row r="729" s="146" customFormat="1" x14ac:dyDescent="0.35"/>
    <row r="730" s="146" customFormat="1" x14ac:dyDescent="0.35"/>
    <row r="731" s="146" customFormat="1" x14ac:dyDescent="0.35"/>
    <row r="732" s="146" customFormat="1" x14ac:dyDescent="0.35"/>
    <row r="733" s="146" customFormat="1" x14ac:dyDescent="0.35"/>
    <row r="734" s="146" customFormat="1" x14ac:dyDescent="0.35"/>
    <row r="735" s="146" customFormat="1" x14ac:dyDescent="0.35"/>
    <row r="736" s="146" customFormat="1" x14ac:dyDescent="0.35"/>
    <row r="737" s="146" customFormat="1" x14ac:dyDescent="0.35"/>
    <row r="738" s="146" customFormat="1" x14ac:dyDescent="0.35"/>
    <row r="739" s="146" customFormat="1" x14ac:dyDescent="0.35"/>
    <row r="740" s="146" customFormat="1" x14ac:dyDescent="0.35"/>
    <row r="741" s="146" customFormat="1" x14ac:dyDescent="0.35"/>
    <row r="742" s="146" customFormat="1" x14ac:dyDescent="0.35"/>
    <row r="743" s="146" customFormat="1" x14ac:dyDescent="0.35"/>
    <row r="744" s="146" customFormat="1" x14ac:dyDescent="0.35"/>
    <row r="745" s="146" customFormat="1" x14ac:dyDescent="0.35"/>
    <row r="746" s="146" customFormat="1" x14ac:dyDescent="0.35"/>
    <row r="747" s="146" customFormat="1" x14ac:dyDescent="0.35"/>
    <row r="748" s="146" customFormat="1" x14ac:dyDescent="0.35"/>
    <row r="749" s="146" customFormat="1" x14ac:dyDescent="0.35"/>
    <row r="750" s="146" customFormat="1" x14ac:dyDescent="0.35"/>
    <row r="751" s="146" customFormat="1" x14ac:dyDescent="0.35"/>
    <row r="752" s="146" customFormat="1" x14ac:dyDescent="0.35"/>
    <row r="753" s="146" customFormat="1" x14ac:dyDescent="0.35"/>
    <row r="754" s="146" customFormat="1" x14ac:dyDescent="0.35"/>
    <row r="755" s="146" customFormat="1" x14ac:dyDescent="0.35"/>
    <row r="756" s="146" customFormat="1" x14ac:dyDescent="0.35"/>
    <row r="757" s="146" customFormat="1" x14ac:dyDescent="0.35"/>
    <row r="758" s="146" customFormat="1" x14ac:dyDescent="0.35"/>
    <row r="759" s="146" customFormat="1" x14ac:dyDescent="0.35"/>
    <row r="760" s="146" customFormat="1" x14ac:dyDescent="0.35"/>
    <row r="761" s="146" customFormat="1" x14ac:dyDescent="0.35"/>
    <row r="762" s="146" customFormat="1" x14ac:dyDescent="0.35"/>
    <row r="763" s="146" customFormat="1" x14ac:dyDescent="0.35"/>
    <row r="764" s="146" customFormat="1" x14ac:dyDescent="0.35"/>
    <row r="765" s="146" customFormat="1" x14ac:dyDescent="0.35"/>
    <row r="766" s="146" customFormat="1" x14ac:dyDescent="0.35"/>
    <row r="767" s="146" customFormat="1" x14ac:dyDescent="0.35"/>
    <row r="768" s="146" customFormat="1" x14ac:dyDescent="0.35"/>
    <row r="769" s="146" customFormat="1" x14ac:dyDescent="0.35"/>
    <row r="770" s="146" customFormat="1" x14ac:dyDescent="0.35"/>
    <row r="771" s="146" customFormat="1" x14ac:dyDescent="0.35"/>
    <row r="772" s="146" customFormat="1" x14ac:dyDescent="0.35"/>
    <row r="773" s="146" customFormat="1" x14ac:dyDescent="0.35"/>
    <row r="774" s="146" customFormat="1" x14ac:dyDescent="0.35"/>
    <row r="775" s="146" customFormat="1" x14ac:dyDescent="0.35"/>
    <row r="776" s="146" customFormat="1" x14ac:dyDescent="0.35"/>
    <row r="777" s="146" customFormat="1" x14ac:dyDescent="0.35"/>
    <row r="778" s="146" customFormat="1" x14ac:dyDescent="0.35"/>
    <row r="779" s="146" customFormat="1" x14ac:dyDescent="0.35"/>
    <row r="780" s="146" customFormat="1" x14ac:dyDescent="0.35"/>
    <row r="781" s="146" customFormat="1" x14ac:dyDescent="0.35"/>
    <row r="782" s="146" customFormat="1" x14ac:dyDescent="0.35"/>
    <row r="783" s="146" customFormat="1" x14ac:dyDescent="0.35"/>
    <row r="784" s="146" customFormat="1" x14ac:dyDescent="0.35"/>
    <row r="785" s="146" customFormat="1" x14ac:dyDescent="0.35"/>
    <row r="786" s="146" customFormat="1" x14ac:dyDescent="0.35"/>
    <row r="787" s="146" customFormat="1" x14ac:dyDescent="0.35"/>
    <row r="788" s="146" customFormat="1" x14ac:dyDescent="0.35"/>
    <row r="789" s="146" customFormat="1" x14ac:dyDescent="0.35"/>
    <row r="790" s="146" customFormat="1" x14ac:dyDescent="0.35"/>
    <row r="791" s="146" customFormat="1" x14ac:dyDescent="0.35"/>
    <row r="792" s="146" customFormat="1" x14ac:dyDescent="0.35"/>
    <row r="793" s="146" customFormat="1" x14ac:dyDescent="0.35"/>
  </sheetData>
  <mergeCells count="1">
    <mergeCell ref="A1:G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91673-CAA1-4A15-B858-A0D025748027}">
  <dimension ref="A1:BS797"/>
  <sheetViews>
    <sheetView topLeftCell="A92" workbookViewId="0">
      <selection activeCell="A135" sqref="A135"/>
    </sheetView>
  </sheetViews>
  <sheetFormatPr defaultRowHeight="12.75" x14ac:dyDescent="0.35"/>
  <cols>
    <col min="1" max="1" width="63" customWidth="1"/>
    <col min="2" max="2" width="20" customWidth="1"/>
    <col min="3" max="3" width="17.86328125" customWidth="1"/>
    <col min="4" max="4" width="23" customWidth="1"/>
    <col min="5" max="5" width="17.73046875" customWidth="1"/>
    <col min="6" max="6" width="17.3984375" customWidth="1"/>
    <col min="7" max="7" width="14.1328125" customWidth="1"/>
    <col min="8" max="49" width="9.1328125" style="146"/>
    <col min="50" max="71" width="9.1328125" style="145"/>
  </cols>
  <sheetData>
    <row r="1" spans="1:7" ht="18" x14ac:dyDescent="0.55000000000000004">
      <c r="A1" s="154" t="s">
        <v>188</v>
      </c>
      <c r="B1" s="155"/>
      <c r="C1" s="155"/>
      <c r="D1" s="155"/>
      <c r="E1" s="155"/>
      <c r="F1" s="155"/>
      <c r="G1" s="156"/>
    </row>
    <row r="2" spans="1:7" ht="54" x14ac:dyDescent="0.55000000000000004">
      <c r="A2" s="151" t="s">
        <v>1</v>
      </c>
      <c r="B2" s="152" t="s">
        <v>2</v>
      </c>
      <c r="C2" s="152" t="s">
        <v>3</v>
      </c>
      <c r="D2" s="152" t="s">
        <v>4</v>
      </c>
      <c r="E2" s="152" t="s">
        <v>5</v>
      </c>
      <c r="F2" s="152" t="s">
        <v>6</v>
      </c>
      <c r="G2" s="153" t="s">
        <v>9</v>
      </c>
    </row>
    <row r="3" spans="1:7" ht="15.4" x14ac:dyDescent="0.45">
      <c r="A3" s="149" t="s">
        <v>180</v>
      </c>
      <c r="B3" s="147">
        <v>85338</v>
      </c>
      <c r="C3" s="147">
        <v>549175.97</v>
      </c>
      <c r="D3" s="147">
        <v>-463837.97</v>
      </c>
      <c r="E3" s="147">
        <v>0</v>
      </c>
      <c r="F3" s="147">
        <v>-463837.97</v>
      </c>
      <c r="G3" s="143">
        <f t="shared" ref="G3:G20" si="0">IFERROR(B3/$B$135, "")</f>
        <v>2.8869050461424343E-4</v>
      </c>
    </row>
    <row r="4" spans="1:7" ht="15.4" x14ac:dyDescent="0.45">
      <c r="A4" s="149" t="s">
        <v>165</v>
      </c>
      <c r="B4" s="147">
        <v>388882</v>
      </c>
      <c r="C4" s="147">
        <v>228011</v>
      </c>
      <c r="D4" s="147">
        <v>160871</v>
      </c>
      <c r="E4" s="147">
        <v>0</v>
      </c>
      <c r="F4" s="147">
        <v>160871</v>
      </c>
      <c r="G4" s="143">
        <f t="shared" si="0"/>
        <v>1.3155515809533411E-3</v>
      </c>
    </row>
    <row r="5" spans="1:7" ht="15.4" x14ac:dyDescent="0.45">
      <c r="A5" s="149" t="s">
        <v>117</v>
      </c>
      <c r="B5" s="147">
        <v>260184</v>
      </c>
      <c r="C5" s="147">
        <v>211568</v>
      </c>
      <c r="D5" s="147">
        <v>48616</v>
      </c>
      <c r="E5" s="147">
        <v>0</v>
      </c>
      <c r="F5" s="147">
        <v>48616</v>
      </c>
      <c r="G5" s="143">
        <f t="shared" si="0"/>
        <v>8.8017823539984904E-4</v>
      </c>
    </row>
    <row r="6" spans="1:7" ht="15.4" x14ac:dyDescent="0.45">
      <c r="A6" s="149" t="s">
        <v>10</v>
      </c>
      <c r="B6" s="147">
        <v>7473231</v>
      </c>
      <c r="C6" s="147">
        <v>4611117</v>
      </c>
      <c r="D6" s="147">
        <v>2862114</v>
      </c>
      <c r="E6" s="147">
        <v>0</v>
      </c>
      <c r="F6" s="147">
        <v>2091367</v>
      </c>
      <c r="G6" s="143">
        <f t="shared" si="0"/>
        <v>2.5281244328304003E-2</v>
      </c>
    </row>
    <row r="7" spans="1:7" ht="15.4" x14ac:dyDescent="0.45">
      <c r="A7" s="149" t="s">
        <v>162</v>
      </c>
      <c r="B7" s="147">
        <v>569849</v>
      </c>
      <c r="C7" s="147">
        <v>205722.3</v>
      </c>
      <c r="D7" s="147">
        <v>364126.7</v>
      </c>
      <c r="E7" s="147">
        <v>0</v>
      </c>
      <c r="F7" s="147">
        <v>364126.7</v>
      </c>
      <c r="G7" s="143">
        <f t="shared" si="0"/>
        <v>1.9277460845569618E-3</v>
      </c>
    </row>
    <row r="8" spans="1:7" ht="15.4" x14ac:dyDescent="0.45">
      <c r="A8" s="149" t="s">
        <v>12</v>
      </c>
      <c r="B8" s="147">
        <v>1552626</v>
      </c>
      <c r="C8" s="147">
        <v>1479588.31</v>
      </c>
      <c r="D8" s="147">
        <v>73037.69</v>
      </c>
      <c r="E8" s="147">
        <v>219172.24</v>
      </c>
      <c r="F8" s="147">
        <v>292209.93</v>
      </c>
      <c r="G8" s="143">
        <f t="shared" si="0"/>
        <v>5.2523891281398014E-3</v>
      </c>
    </row>
    <row r="9" spans="1:7" ht="15.4" x14ac:dyDescent="0.45">
      <c r="A9" s="149" t="s">
        <v>13</v>
      </c>
      <c r="B9" s="147">
        <v>853811</v>
      </c>
      <c r="C9" s="147">
        <v>848818.67</v>
      </c>
      <c r="D9" s="147">
        <v>4992.33</v>
      </c>
      <c r="E9" s="147">
        <v>21135.52</v>
      </c>
      <c r="F9" s="147">
        <v>19595.95</v>
      </c>
      <c r="G9" s="143">
        <f t="shared" si="0"/>
        <v>2.8883630789940215E-3</v>
      </c>
    </row>
    <row r="10" spans="1:7" ht="15.4" x14ac:dyDescent="0.45">
      <c r="A10" s="149" t="s">
        <v>14</v>
      </c>
      <c r="B10" s="147">
        <v>1435140</v>
      </c>
      <c r="C10" s="147">
        <v>1016314.31</v>
      </c>
      <c r="D10" s="147">
        <v>418825.69</v>
      </c>
      <c r="E10" s="147">
        <v>-6580.96</v>
      </c>
      <c r="F10" s="147">
        <v>309183.73</v>
      </c>
      <c r="G10" s="143">
        <f t="shared" si="0"/>
        <v>4.8549449341686625E-3</v>
      </c>
    </row>
    <row r="11" spans="1:7" ht="15.4" x14ac:dyDescent="0.45">
      <c r="A11" s="149" t="s">
        <v>16</v>
      </c>
      <c r="B11" s="147"/>
      <c r="C11" s="147"/>
      <c r="D11" s="147"/>
      <c r="E11" s="147"/>
      <c r="F11" s="147"/>
      <c r="G11" s="143">
        <f t="shared" si="0"/>
        <v>0</v>
      </c>
    </row>
    <row r="12" spans="1:7" ht="15.4" x14ac:dyDescent="0.45">
      <c r="A12" s="149" t="s">
        <v>17</v>
      </c>
      <c r="B12" s="147"/>
      <c r="C12" s="147"/>
      <c r="D12" s="147"/>
      <c r="E12" s="147"/>
      <c r="F12" s="147"/>
      <c r="G12" s="143">
        <f t="shared" si="0"/>
        <v>0</v>
      </c>
    </row>
    <row r="13" spans="1:7" ht="15.4" x14ac:dyDescent="0.45">
      <c r="A13" s="149" t="s">
        <v>18</v>
      </c>
      <c r="B13" s="147"/>
      <c r="C13" s="147"/>
      <c r="D13" s="147"/>
      <c r="E13" s="147"/>
      <c r="F13" s="147"/>
      <c r="G13" s="143">
        <f t="shared" si="0"/>
        <v>0</v>
      </c>
    </row>
    <row r="14" spans="1:7" ht="15.4" x14ac:dyDescent="0.45">
      <c r="A14" s="149" t="s">
        <v>19</v>
      </c>
      <c r="B14" s="147">
        <v>632134</v>
      </c>
      <c r="C14" s="147">
        <v>965203.23</v>
      </c>
      <c r="D14" s="147">
        <v>-333069.23</v>
      </c>
      <c r="E14" s="147">
        <v>208225</v>
      </c>
      <c r="F14" s="147">
        <v>-124844.23</v>
      </c>
      <c r="G14" s="143">
        <f t="shared" si="0"/>
        <v>2.1384504375989615E-3</v>
      </c>
    </row>
    <row r="15" spans="1:7" ht="15.4" x14ac:dyDescent="0.45">
      <c r="A15" s="149" t="s">
        <v>20</v>
      </c>
      <c r="B15" s="147">
        <v>1230452</v>
      </c>
      <c r="C15" s="147">
        <v>862402.28</v>
      </c>
      <c r="D15" s="147">
        <v>368049.72</v>
      </c>
      <c r="E15" s="147">
        <v>102914.75</v>
      </c>
      <c r="F15" s="147">
        <v>470853.87</v>
      </c>
      <c r="G15" s="143">
        <f t="shared" si="0"/>
        <v>4.1625044972181807E-3</v>
      </c>
    </row>
    <row r="16" spans="1:7" ht="15.4" x14ac:dyDescent="0.45">
      <c r="A16" s="149" t="s">
        <v>21</v>
      </c>
      <c r="B16" s="147">
        <v>1082488</v>
      </c>
      <c r="C16" s="147">
        <v>750729.24</v>
      </c>
      <c r="D16" s="147">
        <v>331758.76</v>
      </c>
      <c r="E16" s="147">
        <v>17222.400000000001</v>
      </c>
      <c r="F16" s="147">
        <v>352819.85</v>
      </c>
      <c r="G16" s="143">
        <f t="shared" si="0"/>
        <v>3.6619560683266912E-3</v>
      </c>
    </row>
    <row r="17" spans="1:7" ht="15.4" x14ac:dyDescent="0.45">
      <c r="A17" s="149" t="s">
        <v>134</v>
      </c>
      <c r="B17" s="147">
        <v>1400595</v>
      </c>
      <c r="C17" s="147">
        <v>1171530.23</v>
      </c>
      <c r="D17" s="147">
        <v>229064.77</v>
      </c>
      <c r="E17" s="147">
        <v>-391884.02</v>
      </c>
      <c r="F17" s="147">
        <v>-173163.25</v>
      </c>
      <c r="G17" s="143">
        <f t="shared" si="0"/>
        <v>4.7380824170965606E-3</v>
      </c>
    </row>
    <row r="18" spans="1:7" ht="15.4" x14ac:dyDescent="0.45">
      <c r="A18" s="149" t="s">
        <v>22</v>
      </c>
      <c r="B18" s="147">
        <v>348287</v>
      </c>
      <c r="C18" s="147">
        <v>197082.13</v>
      </c>
      <c r="D18" s="147">
        <v>151204.87</v>
      </c>
      <c r="E18" s="147">
        <v>32999</v>
      </c>
      <c r="F18" s="147">
        <v>184203.87</v>
      </c>
      <c r="G18" s="143">
        <f t="shared" si="0"/>
        <v>1.1782224774494481E-3</v>
      </c>
    </row>
    <row r="19" spans="1:7" ht="15.4" x14ac:dyDescent="0.45">
      <c r="A19" s="149" t="s">
        <v>135</v>
      </c>
      <c r="B19" s="147">
        <v>112596</v>
      </c>
      <c r="C19" s="147">
        <v>81161.5</v>
      </c>
      <c r="D19" s="147">
        <v>31434.5</v>
      </c>
      <c r="E19" s="147">
        <v>0</v>
      </c>
      <c r="F19" s="147">
        <v>31434.5</v>
      </c>
      <c r="G19" s="143">
        <f t="shared" si="0"/>
        <v>3.8090177948329416E-4</v>
      </c>
    </row>
    <row r="20" spans="1:7" ht="15.4" x14ac:dyDescent="0.45">
      <c r="A20" s="149" t="s">
        <v>23</v>
      </c>
      <c r="B20" s="147">
        <v>1122712</v>
      </c>
      <c r="C20" s="147">
        <v>918381.81</v>
      </c>
      <c r="D20" s="147">
        <v>204330.19</v>
      </c>
      <c r="E20" s="147">
        <v>227855.93</v>
      </c>
      <c r="F20" s="147">
        <v>432186.12</v>
      </c>
      <c r="G20" s="143">
        <f t="shared" si="0"/>
        <v>3.7980301133898908E-3</v>
      </c>
    </row>
    <row r="21" spans="1:7" ht="15.4" x14ac:dyDescent="0.45">
      <c r="A21" s="149" t="s">
        <v>192</v>
      </c>
      <c r="B21" s="147">
        <v>49490</v>
      </c>
      <c r="C21" s="147">
        <v>99021.07</v>
      </c>
      <c r="D21" s="147">
        <v>-49531.07</v>
      </c>
      <c r="E21" s="147">
        <v>0</v>
      </c>
      <c r="F21" s="147">
        <v>-49531.07</v>
      </c>
      <c r="G21" s="143"/>
    </row>
    <row r="22" spans="1:7" ht="15.4" x14ac:dyDescent="0.45">
      <c r="A22" s="149" t="s">
        <v>24</v>
      </c>
      <c r="B22" s="147">
        <v>16339927</v>
      </c>
      <c r="C22" s="147">
        <v>16707076.98</v>
      </c>
      <c r="D22" s="147">
        <v>-367149.98</v>
      </c>
      <c r="E22" s="147">
        <v>2456319.52</v>
      </c>
      <c r="F22" s="147">
        <v>1480188.14</v>
      </c>
      <c r="G22" s="143">
        <f t="shared" ref="G22:G48" si="1">IFERROR(B22/$B$135, "")</f>
        <v>5.5276450947876692E-2</v>
      </c>
    </row>
    <row r="23" spans="1:7" ht="15.4" x14ac:dyDescent="0.45">
      <c r="A23" s="149" t="s">
        <v>136</v>
      </c>
      <c r="B23" s="147"/>
      <c r="C23" s="147"/>
      <c r="D23" s="147"/>
      <c r="E23" s="147"/>
      <c r="F23" s="147"/>
      <c r="G23" s="143">
        <f t="shared" si="1"/>
        <v>0</v>
      </c>
    </row>
    <row r="24" spans="1:7" ht="15.4" x14ac:dyDescent="0.45">
      <c r="A24" s="149" t="s">
        <v>174</v>
      </c>
      <c r="B24" s="147">
        <v>1674956</v>
      </c>
      <c r="C24" s="147">
        <v>1305881.8899999999</v>
      </c>
      <c r="D24" s="147">
        <v>369074.11</v>
      </c>
      <c r="E24" s="147">
        <v>253559.37</v>
      </c>
      <c r="F24" s="147">
        <v>622633.48</v>
      </c>
      <c r="G24" s="143">
        <f t="shared" si="1"/>
        <v>5.6662201228837653E-3</v>
      </c>
    </row>
    <row r="25" spans="1:7" ht="15.4" x14ac:dyDescent="0.45">
      <c r="A25" s="149" t="s">
        <v>25</v>
      </c>
      <c r="B25" s="147"/>
      <c r="C25" s="147"/>
      <c r="D25" s="147"/>
      <c r="E25" s="147"/>
      <c r="F25" s="147"/>
      <c r="G25" s="143">
        <f t="shared" si="1"/>
        <v>0</v>
      </c>
    </row>
    <row r="26" spans="1:7" ht="15.4" x14ac:dyDescent="0.45">
      <c r="A26" s="149" t="s">
        <v>26</v>
      </c>
      <c r="B26" s="147"/>
      <c r="C26" s="147"/>
      <c r="D26" s="147"/>
      <c r="E26" s="147"/>
      <c r="F26" s="147"/>
      <c r="G26" s="143">
        <f t="shared" si="1"/>
        <v>0</v>
      </c>
    </row>
    <row r="27" spans="1:7" ht="15.4" x14ac:dyDescent="0.45">
      <c r="A27" s="149" t="s">
        <v>27</v>
      </c>
      <c r="B27" s="147"/>
      <c r="C27" s="147"/>
      <c r="D27" s="147"/>
      <c r="E27" s="147"/>
      <c r="F27" s="147"/>
      <c r="G27" s="143">
        <f t="shared" si="1"/>
        <v>0</v>
      </c>
    </row>
    <row r="28" spans="1:7" ht="15.4" x14ac:dyDescent="0.45">
      <c r="A28" s="149" t="s">
        <v>118</v>
      </c>
      <c r="B28" s="147">
        <v>357847</v>
      </c>
      <c r="C28" s="147">
        <v>379602</v>
      </c>
      <c r="D28" s="147">
        <v>-21755</v>
      </c>
      <c r="E28" s="147">
        <v>95120</v>
      </c>
      <c r="F28" s="147">
        <v>73365</v>
      </c>
      <c r="G28" s="143">
        <f t="shared" si="1"/>
        <v>1.2105630669185261E-3</v>
      </c>
    </row>
    <row r="29" spans="1:7" ht="15.4" x14ac:dyDescent="0.45">
      <c r="A29" s="149" t="s">
        <v>28</v>
      </c>
      <c r="B29" s="147">
        <v>174019</v>
      </c>
      <c r="C29" s="147">
        <v>290312.62</v>
      </c>
      <c r="D29" s="147">
        <v>-116293.62</v>
      </c>
      <c r="E29" s="147">
        <v>0</v>
      </c>
      <c r="F29" s="147">
        <v>-116293.62</v>
      </c>
      <c r="G29" s="143">
        <f t="shared" si="1"/>
        <v>5.8869006682211946E-4</v>
      </c>
    </row>
    <row r="30" spans="1:7" ht="15.4" x14ac:dyDescent="0.45">
      <c r="A30" s="149" t="s">
        <v>8</v>
      </c>
      <c r="B30" s="147">
        <v>258267</v>
      </c>
      <c r="C30" s="147">
        <v>258267</v>
      </c>
      <c r="D30" s="147">
        <v>0</v>
      </c>
      <c r="E30" s="147">
        <v>0</v>
      </c>
      <c r="F30" s="147">
        <v>0</v>
      </c>
      <c r="G30" s="143">
        <f t="shared" si="1"/>
        <v>8.736932029717923E-4</v>
      </c>
    </row>
    <row r="31" spans="1:7" ht="15.4" x14ac:dyDescent="0.45">
      <c r="A31" s="149" t="s">
        <v>29</v>
      </c>
      <c r="B31" s="147"/>
      <c r="C31" s="147"/>
      <c r="D31" s="147"/>
      <c r="E31" s="147"/>
      <c r="F31" s="147"/>
      <c r="G31" s="143">
        <f t="shared" si="1"/>
        <v>0</v>
      </c>
    </row>
    <row r="32" spans="1:7" ht="15.4" x14ac:dyDescent="0.45">
      <c r="A32" s="149" t="s">
        <v>30</v>
      </c>
      <c r="B32" s="147">
        <v>679895</v>
      </c>
      <c r="C32" s="147">
        <v>655546</v>
      </c>
      <c r="D32" s="147">
        <v>24349</v>
      </c>
      <c r="E32" s="147">
        <v>0</v>
      </c>
      <c r="F32" s="147">
        <v>19251.46</v>
      </c>
      <c r="G32" s="143">
        <f t="shared" si="1"/>
        <v>2.3000214515772697E-3</v>
      </c>
    </row>
    <row r="33" spans="1:7" ht="15.4" x14ac:dyDescent="0.45">
      <c r="A33" s="149" t="s">
        <v>31</v>
      </c>
      <c r="B33" s="147">
        <v>717073</v>
      </c>
      <c r="C33" s="147">
        <v>608630.75</v>
      </c>
      <c r="D33" s="147">
        <v>108442.25</v>
      </c>
      <c r="E33" s="147">
        <v>0</v>
      </c>
      <c r="F33" s="147">
        <v>108442.25</v>
      </c>
      <c r="G33" s="143">
        <f t="shared" si="1"/>
        <v>2.4257911623807612E-3</v>
      </c>
    </row>
    <row r="34" spans="1:7" ht="15.4" x14ac:dyDescent="0.45">
      <c r="A34" s="149" t="s">
        <v>32</v>
      </c>
      <c r="B34" s="147">
        <v>42251</v>
      </c>
      <c r="C34" s="147">
        <v>171159</v>
      </c>
      <c r="D34" s="147">
        <v>-128908</v>
      </c>
      <c r="E34" s="147">
        <v>4129</v>
      </c>
      <c r="F34" s="147">
        <v>-124779</v>
      </c>
      <c r="G34" s="143">
        <f t="shared" si="1"/>
        <v>1.4293119724456162E-4</v>
      </c>
    </row>
    <row r="35" spans="1:7" ht="15.4" x14ac:dyDescent="0.45">
      <c r="A35" s="149" t="s">
        <v>175</v>
      </c>
      <c r="B35" s="147">
        <v>334324</v>
      </c>
      <c r="C35" s="147">
        <v>144620.76</v>
      </c>
      <c r="D35" s="147">
        <v>189703.24</v>
      </c>
      <c r="E35" s="147">
        <v>49178</v>
      </c>
      <c r="F35" s="147">
        <v>238881.24</v>
      </c>
      <c r="G35" s="143">
        <f t="shared" si="1"/>
        <v>1.130986949127614E-3</v>
      </c>
    </row>
    <row r="36" spans="1:7" ht="15.4" x14ac:dyDescent="0.45">
      <c r="A36" s="149" t="s">
        <v>33</v>
      </c>
      <c r="B36" s="147"/>
      <c r="C36" s="147"/>
      <c r="D36" s="147"/>
      <c r="E36" s="147"/>
      <c r="F36" s="147"/>
      <c r="G36" s="143">
        <f t="shared" si="1"/>
        <v>0</v>
      </c>
    </row>
    <row r="37" spans="1:7" ht="15.4" x14ac:dyDescent="0.45">
      <c r="A37" s="149" t="s">
        <v>34</v>
      </c>
      <c r="B37" s="147">
        <v>203044</v>
      </c>
      <c r="C37" s="147">
        <v>135982</v>
      </c>
      <c r="D37" s="147">
        <v>67062</v>
      </c>
      <c r="E37" s="147">
        <v>0</v>
      </c>
      <c r="F37" s="147">
        <v>67062</v>
      </c>
      <c r="G37" s="143">
        <f t="shared" si="1"/>
        <v>6.8687893809199236E-4</v>
      </c>
    </row>
    <row r="38" spans="1:7" ht="15.4" x14ac:dyDescent="0.45">
      <c r="A38" s="149" t="s">
        <v>35</v>
      </c>
      <c r="B38" s="147">
        <v>357140</v>
      </c>
      <c r="C38" s="147">
        <v>569246.29</v>
      </c>
      <c r="D38" s="147">
        <v>-212106.29</v>
      </c>
      <c r="E38" s="147">
        <v>81076.289999999994</v>
      </c>
      <c r="F38" s="147">
        <v>-131030</v>
      </c>
      <c r="G38" s="143">
        <f t="shared" si="1"/>
        <v>1.2081713517768276E-3</v>
      </c>
    </row>
    <row r="39" spans="1:7" ht="15.4" x14ac:dyDescent="0.45">
      <c r="A39" s="149" t="s">
        <v>36</v>
      </c>
      <c r="B39" s="147">
        <v>1247643</v>
      </c>
      <c r="C39" s="147">
        <v>1239003</v>
      </c>
      <c r="D39" s="147">
        <v>8640</v>
      </c>
      <c r="E39" s="147">
        <v>89</v>
      </c>
      <c r="F39" s="147">
        <v>6547</v>
      </c>
      <c r="G39" s="143">
        <f t="shared" si="1"/>
        <v>4.220660048846101E-3</v>
      </c>
    </row>
    <row r="40" spans="1:7" ht="15.4" x14ac:dyDescent="0.45">
      <c r="A40" s="149" t="s">
        <v>37</v>
      </c>
      <c r="B40" s="147">
        <v>140426</v>
      </c>
      <c r="C40" s="147">
        <v>154447</v>
      </c>
      <c r="D40" s="147">
        <v>-14021</v>
      </c>
      <c r="E40" s="147">
        <v>0</v>
      </c>
      <c r="F40" s="147">
        <v>-14021</v>
      </c>
      <c r="G40" s="143">
        <f t="shared" si="1"/>
        <v>4.7504807706953234E-4</v>
      </c>
    </row>
    <row r="41" spans="1:7" ht="15.4" x14ac:dyDescent="0.45">
      <c r="A41" s="149" t="s">
        <v>168</v>
      </c>
      <c r="B41" s="147">
        <v>8286</v>
      </c>
      <c r="C41" s="147">
        <v>29000</v>
      </c>
      <c r="D41" s="147">
        <v>-20714</v>
      </c>
      <c r="E41" s="147">
        <v>0</v>
      </c>
      <c r="F41" s="147">
        <v>-20714</v>
      </c>
      <c r="G41" s="143">
        <f t="shared" si="1"/>
        <v>2.8030766144432975E-5</v>
      </c>
    </row>
    <row r="42" spans="1:7" ht="15.4" x14ac:dyDescent="0.45">
      <c r="A42" s="149" t="s">
        <v>38</v>
      </c>
      <c r="B42" s="147">
        <v>292262</v>
      </c>
      <c r="C42" s="147">
        <v>260364</v>
      </c>
      <c r="D42" s="147">
        <v>31898</v>
      </c>
      <c r="E42" s="147">
        <v>0</v>
      </c>
      <c r="F42" s="147">
        <v>23923</v>
      </c>
      <c r="G42" s="143">
        <f t="shared" si="1"/>
        <v>9.8869512127736786E-4</v>
      </c>
    </row>
    <row r="43" spans="1:7" ht="15.4" x14ac:dyDescent="0.45">
      <c r="A43" s="149" t="s">
        <v>39</v>
      </c>
      <c r="B43" s="147">
        <v>36517763</v>
      </c>
      <c r="C43" s="147">
        <v>22967177.800000001</v>
      </c>
      <c r="D43" s="147">
        <v>13550585.199999999</v>
      </c>
      <c r="E43" s="147">
        <v>2817933</v>
      </c>
      <c r="F43" s="147">
        <v>11178938.199999999</v>
      </c>
      <c r="G43" s="143">
        <f t="shared" si="1"/>
        <v>0.12353619053473656</v>
      </c>
    </row>
    <row r="44" spans="1:7" ht="15.4" x14ac:dyDescent="0.45">
      <c r="A44" s="149" t="s">
        <v>176</v>
      </c>
      <c r="B44" s="147">
        <v>186652</v>
      </c>
      <c r="C44" s="147">
        <v>89825</v>
      </c>
      <c r="D44" s="147">
        <v>96827</v>
      </c>
      <c r="E44" s="147">
        <v>0</v>
      </c>
      <c r="F44" s="147">
        <v>76493.33</v>
      </c>
      <c r="G44" s="143">
        <f t="shared" si="1"/>
        <v>6.3142632903580786E-4</v>
      </c>
    </row>
    <row r="45" spans="1:7" ht="15.4" x14ac:dyDescent="0.45">
      <c r="A45" s="149" t="s">
        <v>40</v>
      </c>
      <c r="B45" s="147"/>
      <c r="C45" s="147"/>
      <c r="D45" s="147"/>
      <c r="E45" s="147"/>
      <c r="F45" s="147"/>
      <c r="G45" s="143">
        <f t="shared" si="1"/>
        <v>0</v>
      </c>
    </row>
    <row r="46" spans="1:7" ht="15.4" x14ac:dyDescent="0.45">
      <c r="A46" s="149" t="s">
        <v>121</v>
      </c>
      <c r="B46" s="147">
        <v>4845756</v>
      </c>
      <c r="C46" s="147">
        <v>3228135.89</v>
      </c>
      <c r="D46" s="147">
        <v>1617620.11</v>
      </c>
      <c r="E46" s="147">
        <v>153356.07999999999</v>
      </c>
      <c r="F46" s="147">
        <v>1283958.19</v>
      </c>
      <c r="G46" s="143">
        <f t="shared" si="1"/>
        <v>1.6392741157251142E-2</v>
      </c>
    </row>
    <row r="47" spans="1:7" ht="15.4" x14ac:dyDescent="0.45">
      <c r="A47" s="149" t="s">
        <v>43</v>
      </c>
      <c r="B47" s="147">
        <v>3652327</v>
      </c>
      <c r="C47" s="147">
        <v>3583127.5</v>
      </c>
      <c r="D47" s="147">
        <v>69199.5</v>
      </c>
      <c r="E47" s="147">
        <v>64418.14</v>
      </c>
      <c r="F47" s="147">
        <v>100213.64</v>
      </c>
      <c r="G47" s="143">
        <f t="shared" si="1"/>
        <v>1.2355482020274977E-2</v>
      </c>
    </row>
    <row r="48" spans="1:7" ht="15.4" x14ac:dyDescent="0.45">
      <c r="A48" s="149" t="s">
        <v>44</v>
      </c>
      <c r="B48" s="147"/>
      <c r="C48" s="147"/>
      <c r="D48" s="147"/>
      <c r="E48" s="147"/>
      <c r="F48" s="147"/>
      <c r="G48" s="143">
        <f t="shared" si="1"/>
        <v>0</v>
      </c>
    </row>
    <row r="49" spans="1:7" ht="15.4" x14ac:dyDescent="0.45">
      <c r="A49" s="149" t="s">
        <v>137</v>
      </c>
      <c r="B49" s="147"/>
      <c r="C49" s="147"/>
      <c r="D49" s="147"/>
      <c r="E49" s="147"/>
      <c r="F49" s="147"/>
      <c r="G49" s="143">
        <f t="shared" ref="G49" si="2">IFERROR(B49/$B$135, "")</f>
        <v>0</v>
      </c>
    </row>
    <row r="50" spans="1:7" ht="15.4" x14ac:dyDescent="0.45">
      <c r="A50" s="149" t="s">
        <v>46</v>
      </c>
      <c r="B50" s="147">
        <v>3024149</v>
      </c>
      <c r="C50" s="147">
        <v>2758713.34</v>
      </c>
      <c r="D50" s="147">
        <v>265435.65999999997</v>
      </c>
      <c r="E50" s="147">
        <v>0</v>
      </c>
      <c r="F50" s="147">
        <v>148116.16</v>
      </c>
      <c r="G50" s="143">
        <f t="shared" ref="G50:G81" si="3">IFERROR(B50/$B$135, "")</f>
        <v>1.0230414362167612E-2</v>
      </c>
    </row>
    <row r="51" spans="1:7" ht="15.4" x14ac:dyDescent="0.45">
      <c r="A51" s="149" t="s">
        <v>47</v>
      </c>
      <c r="B51" s="147">
        <v>57737</v>
      </c>
      <c r="C51" s="147">
        <v>69059.899999999994</v>
      </c>
      <c r="D51" s="147">
        <v>-11322.9</v>
      </c>
      <c r="E51" s="147">
        <v>0</v>
      </c>
      <c r="F51" s="147">
        <v>-11322.9</v>
      </c>
      <c r="G51" s="143">
        <f t="shared" si="3"/>
        <v>1.9531889269624989E-4</v>
      </c>
    </row>
    <row r="52" spans="1:7" ht="15.4" x14ac:dyDescent="0.45">
      <c r="A52" s="149" t="s">
        <v>48</v>
      </c>
      <c r="B52" s="147">
        <v>193319</v>
      </c>
      <c r="C52" s="147">
        <v>369312</v>
      </c>
      <c r="D52" s="147">
        <v>-175993</v>
      </c>
      <c r="E52" s="147">
        <v>125810</v>
      </c>
      <c r="F52" s="147">
        <v>-50183</v>
      </c>
      <c r="G52" s="143">
        <f t="shared" si="3"/>
        <v>6.5398016899295653E-4</v>
      </c>
    </row>
    <row r="53" spans="1:7" ht="15.4" x14ac:dyDescent="0.45">
      <c r="A53" s="149" t="s">
        <v>50</v>
      </c>
      <c r="B53" s="147">
        <v>2247438</v>
      </c>
      <c r="C53" s="147">
        <v>1066556</v>
      </c>
      <c r="D53" s="147">
        <v>1180882</v>
      </c>
      <c r="E53" s="147">
        <v>89937</v>
      </c>
      <c r="F53" s="147">
        <v>952946</v>
      </c>
      <c r="G53" s="143">
        <f t="shared" si="3"/>
        <v>7.6028734011721159E-3</v>
      </c>
    </row>
    <row r="54" spans="1:7" ht="15.4" x14ac:dyDescent="0.45">
      <c r="A54" s="149" t="s">
        <v>123</v>
      </c>
      <c r="B54" s="147">
        <v>693860</v>
      </c>
      <c r="C54" s="147">
        <v>442730.83</v>
      </c>
      <c r="D54" s="147">
        <v>251129.17</v>
      </c>
      <c r="E54" s="147">
        <v>14122.85</v>
      </c>
      <c r="F54" s="147">
        <v>213104.31</v>
      </c>
      <c r="G54" s="143">
        <f t="shared" si="3"/>
        <v>2.3472637457128006E-3</v>
      </c>
    </row>
    <row r="55" spans="1:7" ht="15.4" x14ac:dyDescent="0.45">
      <c r="A55" s="149" t="s">
        <v>51</v>
      </c>
      <c r="B55" s="147">
        <v>210882</v>
      </c>
      <c r="C55" s="147">
        <v>191694.87</v>
      </c>
      <c r="D55" s="147">
        <v>19187.13</v>
      </c>
      <c r="E55" s="147">
        <v>0</v>
      </c>
      <c r="F55" s="147">
        <v>19187.13</v>
      </c>
      <c r="G55" s="143">
        <f t="shared" si="3"/>
        <v>7.1339416196841839E-4</v>
      </c>
    </row>
    <row r="56" spans="1:7" ht="15.4" x14ac:dyDescent="0.45">
      <c r="A56" s="149" t="s">
        <v>153</v>
      </c>
      <c r="B56" s="147">
        <v>1888649</v>
      </c>
      <c r="C56" s="147">
        <v>1337520.53</v>
      </c>
      <c r="D56" s="147">
        <v>551128.47</v>
      </c>
      <c r="E56" s="147">
        <v>0</v>
      </c>
      <c r="F56" s="147">
        <v>551128.47</v>
      </c>
      <c r="G56" s="143">
        <f t="shared" si="3"/>
        <v>6.3891236360025579E-3</v>
      </c>
    </row>
    <row r="57" spans="1:7" ht="15.4" x14ac:dyDescent="0.45">
      <c r="A57" s="149" t="s">
        <v>138</v>
      </c>
      <c r="B57" s="147">
        <v>967121</v>
      </c>
      <c r="C57" s="147">
        <v>1035880</v>
      </c>
      <c r="D57" s="147">
        <v>-68759</v>
      </c>
      <c r="E57" s="147">
        <v>-4802</v>
      </c>
      <c r="F57" s="147">
        <v>-73561</v>
      </c>
      <c r="G57" s="143">
        <f t="shared" si="3"/>
        <v>3.271680253966952E-3</v>
      </c>
    </row>
    <row r="58" spans="1:7" ht="15.4" x14ac:dyDescent="0.45">
      <c r="A58" s="149" t="s">
        <v>52</v>
      </c>
      <c r="B58" s="147">
        <v>8925599</v>
      </c>
      <c r="C58" s="147">
        <v>6152050</v>
      </c>
      <c r="D58" s="147">
        <v>2773549</v>
      </c>
      <c r="E58" s="147">
        <v>570715.61</v>
      </c>
      <c r="F58" s="147">
        <v>2587866.61</v>
      </c>
      <c r="G58" s="143">
        <f t="shared" si="3"/>
        <v>3.0194469981653971E-2</v>
      </c>
    </row>
    <row r="59" spans="1:7" ht="15.4" x14ac:dyDescent="0.45">
      <c r="A59" s="149" t="s">
        <v>54</v>
      </c>
      <c r="B59" s="147">
        <v>803322</v>
      </c>
      <c r="C59" s="147">
        <v>807868</v>
      </c>
      <c r="D59" s="147">
        <v>-4546</v>
      </c>
      <c r="E59" s="147">
        <v>158941</v>
      </c>
      <c r="F59" s="147">
        <v>154395</v>
      </c>
      <c r="G59" s="143">
        <f t="shared" si="3"/>
        <v>2.7175634951337418E-3</v>
      </c>
    </row>
    <row r="60" spans="1:7" ht="15.4" x14ac:dyDescent="0.45">
      <c r="A60" s="149" t="s">
        <v>55</v>
      </c>
      <c r="B60" s="147"/>
      <c r="C60" s="147"/>
      <c r="D60" s="147"/>
      <c r="E60" s="147"/>
      <c r="F60" s="147"/>
      <c r="G60" s="143">
        <f t="shared" si="3"/>
        <v>0</v>
      </c>
    </row>
    <row r="61" spans="1:7" ht="15.4" x14ac:dyDescent="0.45">
      <c r="A61" s="149" t="s">
        <v>56</v>
      </c>
      <c r="B61" s="147">
        <v>1303101</v>
      </c>
      <c r="C61" s="147">
        <v>1213916</v>
      </c>
      <c r="D61" s="147">
        <v>89185</v>
      </c>
      <c r="E61" s="147">
        <v>18956</v>
      </c>
      <c r="F61" s="147">
        <v>103141</v>
      </c>
      <c r="G61" s="143">
        <f t="shared" si="3"/>
        <v>4.4082692968352346E-3</v>
      </c>
    </row>
    <row r="62" spans="1:7" ht="15.4" x14ac:dyDescent="0.45">
      <c r="A62" s="149" t="s">
        <v>57</v>
      </c>
      <c r="B62" s="147"/>
      <c r="C62" s="147"/>
      <c r="D62" s="147"/>
      <c r="E62" s="147"/>
      <c r="F62" s="147"/>
      <c r="G62" s="143">
        <f t="shared" si="3"/>
        <v>0</v>
      </c>
    </row>
    <row r="63" spans="1:7" ht="15.4" x14ac:dyDescent="0.45">
      <c r="A63" s="149" t="s">
        <v>60</v>
      </c>
      <c r="B63" s="147">
        <v>2958554</v>
      </c>
      <c r="C63" s="147">
        <v>3707876.47</v>
      </c>
      <c r="D63" s="147">
        <v>-749322.47</v>
      </c>
      <c r="E63" s="147">
        <v>-165792.57</v>
      </c>
      <c r="F63" s="147">
        <v>-915115.04</v>
      </c>
      <c r="G63" s="143">
        <f t="shared" si="3"/>
        <v>1.0008512587457972E-2</v>
      </c>
    </row>
    <row r="64" spans="1:7" ht="15.4" x14ac:dyDescent="0.45">
      <c r="A64" s="149" t="s">
        <v>61</v>
      </c>
      <c r="B64" s="147"/>
      <c r="C64" s="147"/>
      <c r="D64" s="147"/>
      <c r="E64" s="147"/>
      <c r="F64" s="147"/>
      <c r="G64" s="143">
        <f t="shared" si="3"/>
        <v>0</v>
      </c>
    </row>
    <row r="65" spans="1:7" ht="15.4" x14ac:dyDescent="0.45">
      <c r="A65" s="149" t="s">
        <v>62</v>
      </c>
      <c r="B65" s="147">
        <v>379468</v>
      </c>
      <c r="C65" s="147">
        <v>318525</v>
      </c>
      <c r="D65" s="147">
        <v>60943</v>
      </c>
      <c r="E65" s="147">
        <v>12896</v>
      </c>
      <c r="F65" s="147">
        <v>53533</v>
      </c>
      <c r="G65" s="143">
        <f t="shared" si="3"/>
        <v>1.2837048958841048E-3</v>
      </c>
    </row>
    <row r="66" spans="1:7" ht="15.4" x14ac:dyDescent="0.45">
      <c r="A66" s="149" t="s">
        <v>63</v>
      </c>
      <c r="B66" s="147">
        <v>107648</v>
      </c>
      <c r="C66" s="147">
        <v>219775</v>
      </c>
      <c r="D66" s="147">
        <v>-112127</v>
      </c>
      <c r="E66" s="147">
        <v>0</v>
      </c>
      <c r="F66" s="147">
        <v>-112127</v>
      </c>
      <c r="G66" s="143">
        <f t="shared" si="3"/>
        <v>3.6416315639825256E-4</v>
      </c>
    </row>
    <row r="67" spans="1:7" ht="15.4" x14ac:dyDescent="0.45">
      <c r="A67" s="149" t="s">
        <v>64</v>
      </c>
      <c r="B67" s="147">
        <v>420948</v>
      </c>
      <c r="C67" s="147">
        <v>164821.82</v>
      </c>
      <c r="D67" s="147">
        <v>256126.18</v>
      </c>
      <c r="E67" s="147">
        <v>228943.76</v>
      </c>
      <c r="F67" s="147">
        <v>485069.94</v>
      </c>
      <c r="G67" s="143">
        <f t="shared" si="3"/>
        <v>1.424027871948681E-3</v>
      </c>
    </row>
    <row r="68" spans="1:7" ht="15.4" x14ac:dyDescent="0.45">
      <c r="A68" s="149" t="s">
        <v>65</v>
      </c>
      <c r="B68" s="147">
        <v>49969595</v>
      </c>
      <c r="C68" s="147">
        <v>32527787.100000001</v>
      </c>
      <c r="D68" s="147">
        <v>17441807.899999999</v>
      </c>
      <c r="E68" s="147">
        <v>5528293.8700000001</v>
      </c>
      <c r="F68" s="147">
        <v>17227576.23</v>
      </c>
      <c r="G68" s="143">
        <f t="shared" si="3"/>
        <v>0.16904248512877471</v>
      </c>
    </row>
    <row r="69" spans="1:7" ht="15.4" x14ac:dyDescent="0.45">
      <c r="A69" s="149" t="s">
        <v>66</v>
      </c>
      <c r="B69" s="147">
        <v>16363735</v>
      </c>
      <c r="C69" s="147">
        <v>6829104.5700000003</v>
      </c>
      <c r="D69" s="147">
        <v>9534630.4299999997</v>
      </c>
      <c r="E69" s="147">
        <v>4115099</v>
      </c>
      <c r="F69" s="147">
        <v>9896054.4299999997</v>
      </c>
      <c r="G69" s="143">
        <f t="shared" si="3"/>
        <v>5.5356991194119347E-2</v>
      </c>
    </row>
    <row r="70" spans="1:7" ht="15.4" x14ac:dyDescent="0.45">
      <c r="A70" s="149" t="s">
        <v>67</v>
      </c>
      <c r="B70" s="147"/>
      <c r="C70" s="147"/>
      <c r="D70" s="147"/>
      <c r="E70" s="147"/>
      <c r="F70" s="147"/>
      <c r="G70" s="143">
        <f t="shared" si="3"/>
        <v>0</v>
      </c>
    </row>
    <row r="71" spans="1:7" ht="15.4" x14ac:dyDescent="0.45">
      <c r="A71" s="149" t="s">
        <v>139</v>
      </c>
      <c r="B71" s="147">
        <v>846701</v>
      </c>
      <c r="C71" s="147">
        <v>853251</v>
      </c>
      <c r="D71" s="147">
        <v>-6550</v>
      </c>
      <c r="E71" s="147">
        <v>303470</v>
      </c>
      <c r="F71" s="147">
        <v>242132</v>
      </c>
      <c r="G71" s="143">
        <f t="shared" si="3"/>
        <v>2.8643106113031068E-3</v>
      </c>
    </row>
    <row r="72" spans="1:7" ht="15.4" x14ac:dyDescent="0.45">
      <c r="A72" s="149" t="s">
        <v>68</v>
      </c>
      <c r="B72" s="147">
        <v>68080</v>
      </c>
      <c r="C72" s="147">
        <v>123978.35</v>
      </c>
      <c r="D72" s="147">
        <v>-55898.35</v>
      </c>
      <c r="E72" s="147">
        <v>13971.77</v>
      </c>
      <c r="F72" s="147">
        <v>-41926.58</v>
      </c>
      <c r="G72" s="143">
        <f t="shared" si="3"/>
        <v>2.3030829822749178E-4</v>
      </c>
    </row>
    <row r="73" spans="1:7" ht="15.4" x14ac:dyDescent="0.45">
      <c r="A73" s="149" t="s">
        <v>69</v>
      </c>
      <c r="B73" s="147"/>
      <c r="C73" s="147"/>
      <c r="D73" s="147"/>
      <c r="E73" s="147"/>
      <c r="F73" s="147"/>
      <c r="G73" s="143">
        <f t="shared" si="3"/>
        <v>0</v>
      </c>
    </row>
    <row r="74" spans="1:7" ht="15.4" x14ac:dyDescent="0.45">
      <c r="A74" s="149" t="s">
        <v>141</v>
      </c>
      <c r="B74" s="147">
        <v>110946</v>
      </c>
      <c r="C74" s="147">
        <v>136006.38</v>
      </c>
      <c r="D74" s="147">
        <v>-25060.38</v>
      </c>
      <c r="E74" s="147">
        <v>0</v>
      </c>
      <c r="F74" s="147">
        <v>-25060.38</v>
      </c>
      <c r="G74" s="143">
        <f t="shared" si="3"/>
        <v>3.7531998318371482E-4</v>
      </c>
    </row>
    <row r="75" spans="1:7" ht="15.4" x14ac:dyDescent="0.45">
      <c r="A75" s="149" t="s">
        <v>110</v>
      </c>
      <c r="B75" s="147">
        <v>0</v>
      </c>
      <c r="C75" s="147">
        <v>328498.37</v>
      </c>
      <c r="D75" s="147">
        <v>-328498.37</v>
      </c>
      <c r="E75" s="147">
        <v>15644.24</v>
      </c>
      <c r="F75" s="147">
        <v>-312854.13</v>
      </c>
      <c r="G75" s="143">
        <f t="shared" si="3"/>
        <v>0</v>
      </c>
    </row>
    <row r="76" spans="1:7" ht="15.4" x14ac:dyDescent="0.45">
      <c r="A76" s="149" t="s">
        <v>143</v>
      </c>
      <c r="B76" s="147">
        <v>3694119</v>
      </c>
      <c r="C76" s="147">
        <v>3903719</v>
      </c>
      <c r="D76" s="147">
        <v>-209600</v>
      </c>
      <c r="E76" s="147">
        <v>278962</v>
      </c>
      <c r="F76" s="147">
        <v>48677</v>
      </c>
      <c r="G76" s="143">
        <f t="shared" si="3"/>
        <v>1.2496860463276201E-2</v>
      </c>
    </row>
    <row r="77" spans="1:7" ht="15.4" x14ac:dyDescent="0.45">
      <c r="A77" s="149" t="s">
        <v>125</v>
      </c>
      <c r="B77" s="147">
        <v>51783</v>
      </c>
      <c r="C77" s="147">
        <v>43114.03</v>
      </c>
      <c r="D77" s="147">
        <v>8668.9699999999993</v>
      </c>
      <c r="E77" s="147">
        <v>0</v>
      </c>
      <c r="F77" s="147">
        <v>8668.9699999999993</v>
      </c>
      <c r="G77" s="143">
        <f t="shared" si="3"/>
        <v>1.7517706532188906E-4</v>
      </c>
    </row>
    <row r="78" spans="1:7" ht="15.4" x14ac:dyDescent="0.45">
      <c r="A78" s="149" t="s">
        <v>71</v>
      </c>
      <c r="B78" s="147"/>
      <c r="C78" s="147"/>
      <c r="D78" s="147"/>
      <c r="E78" s="147"/>
      <c r="F78" s="147"/>
      <c r="G78" s="143">
        <f t="shared" si="3"/>
        <v>0</v>
      </c>
    </row>
    <row r="79" spans="1:7" ht="15.4" x14ac:dyDescent="0.45">
      <c r="A79" s="149" t="s">
        <v>72</v>
      </c>
      <c r="B79" s="147"/>
      <c r="C79" s="147"/>
      <c r="D79" s="147"/>
      <c r="E79" s="147"/>
      <c r="F79" s="147"/>
      <c r="G79" s="143">
        <f t="shared" si="3"/>
        <v>0</v>
      </c>
    </row>
    <row r="80" spans="1:7" ht="15.4" x14ac:dyDescent="0.45">
      <c r="A80" s="149" t="s">
        <v>73</v>
      </c>
      <c r="B80" s="147">
        <v>183593</v>
      </c>
      <c r="C80" s="147">
        <v>131936.60999999999</v>
      </c>
      <c r="D80" s="147">
        <v>51656.39</v>
      </c>
      <c r="E80" s="147">
        <v>0</v>
      </c>
      <c r="F80" s="147">
        <v>38742.29</v>
      </c>
      <c r="G80" s="143">
        <f t="shared" si="3"/>
        <v>6.2107801698707251E-4</v>
      </c>
    </row>
    <row r="81" spans="1:7" ht="15.4" x14ac:dyDescent="0.45">
      <c r="A81" s="149" t="s">
        <v>126</v>
      </c>
      <c r="B81" s="147">
        <v>197328</v>
      </c>
      <c r="C81" s="147">
        <v>217299</v>
      </c>
      <c r="D81" s="147">
        <v>-19971</v>
      </c>
      <c r="E81" s="147">
        <v>0</v>
      </c>
      <c r="F81" s="147">
        <v>-37571</v>
      </c>
      <c r="G81" s="143">
        <f t="shared" si="3"/>
        <v>6.6754224254751031E-4</v>
      </c>
    </row>
    <row r="82" spans="1:7" ht="15.4" x14ac:dyDescent="0.45">
      <c r="A82" s="149" t="s">
        <v>189</v>
      </c>
      <c r="B82" s="147"/>
      <c r="C82" s="147"/>
      <c r="D82" s="147"/>
      <c r="E82" s="147"/>
      <c r="F82" s="147"/>
      <c r="G82" s="143">
        <f t="shared" ref="G82:G113" si="4">IFERROR(B82/$B$135, "")</f>
        <v>0</v>
      </c>
    </row>
    <row r="83" spans="1:7" ht="15.4" x14ac:dyDescent="0.45">
      <c r="A83" s="149" t="s">
        <v>184</v>
      </c>
      <c r="B83" s="147">
        <v>141121</v>
      </c>
      <c r="C83" s="147">
        <v>159611</v>
      </c>
      <c r="D83" s="147">
        <v>-18490</v>
      </c>
      <c r="E83" s="147">
        <v>0</v>
      </c>
      <c r="F83" s="147">
        <v>-18490</v>
      </c>
      <c r="G83" s="143">
        <f t="shared" si="4"/>
        <v>4.7739919732905212E-4</v>
      </c>
    </row>
    <row r="84" spans="1:7" ht="15.4" x14ac:dyDescent="0.45">
      <c r="A84" s="149" t="s">
        <v>75</v>
      </c>
      <c r="B84" s="147"/>
      <c r="C84" s="147"/>
      <c r="D84" s="147"/>
      <c r="E84" s="147"/>
      <c r="F84" s="147"/>
      <c r="G84" s="143">
        <f t="shared" si="4"/>
        <v>0</v>
      </c>
    </row>
    <row r="85" spans="1:7" ht="15.4" x14ac:dyDescent="0.45">
      <c r="A85" s="149" t="s">
        <v>76</v>
      </c>
      <c r="B85" s="147"/>
      <c r="C85" s="147"/>
      <c r="D85" s="147"/>
      <c r="E85" s="147"/>
      <c r="F85" s="147"/>
      <c r="G85" s="143">
        <f t="shared" si="4"/>
        <v>0</v>
      </c>
    </row>
    <row r="86" spans="1:7" ht="15.4" x14ac:dyDescent="0.45">
      <c r="A86" s="149" t="s">
        <v>77</v>
      </c>
      <c r="B86" s="147">
        <v>15549157</v>
      </c>
      <c r="C86" s="147">
        <v>10971530.34</v>
      </c>
      <c r="D86" s="147">
        <v>4577626.66</v>
      </c>
      <c r="E86" s="147">
        <v>-130364.67</v>
      </c>
      <c r="F86" s="147">
        <v>3456935.57</v>
      </c>
      <c r="G86" s="143">
        <f t="shared" si="4"/>
        <v>5.2601349699501934E-2</v>
      </c>
    </row>
    <row r="87" spans="1:7" ht="15.4" x14ac:dyDescent="0.45">
      <c r="A87" s="149" t="s">
        <v>78</v>
      </c>
      <c r="B87" s="147">
        <v>350868</v>
      </c>
      <c r="C87" s="147">
        <v>608124</v>
      </c>
      <c r="D87" s="147">
        <v>-257256</v>
      </c>
      <c r="E87" s="147">
        <v>567817</v>
      </c>
      <c r="F87" s="147">
        <v>232921</v>
      </c>
      <c r="G87" s="143">
        <f t="shared" si="4"/>
        <v>1.1869537600247295E-3</v>
      </c>
    </row>
    <row r="88" spans="1:7" ht="15.4" x14ac:dyDescent="0.45">
      <c r="A88" s="149" t="s">
        <v>154</v>
      </c>
      <c r="B88" s="147">
        <v>251282</v>
      </c>
      <c r="C88" s="147">
        <v>165091.85999999999</v>
      </c>
      <c r="D88" s="147">
        <v>86190.14</v>
      </c>
      <c r="E88" s="147">
        <v>203.51</v>
      </c>
      <c r="F88" s="147">
        <v>86393.65</v>
      </c>
      <c r="G88" s="143">
        <f t="shared" si="4"/>
        <v>8.500635986369064E-4</v>
      </c>
    </row>
    <row r="89" spans="1:7" ht="15.4" x14ac:dyDescent="0.45">
      <c r="A89" s="149" t="s">
        <v>111</v>
      </c>
      <c r="B89" s="147">
        <v>400729</v>
      </c>
      <c r="C89" s="147">
        <v>613368.68000000005</v>
      </c>
      <c r="D89" s="147">
        <v>-212639.68</v>
      </c>
      <c r="E89" s="147">
        <v>0</v>
      </c>
      <c r="F89" s="147">
        <v>-204080.68</v>
      </c>
      <c r="G89" s="143">
        <f t="shared" si="4"/>
        <v>1.3556288783843208E-3</v>
      </c>
    </row>
    <row r="90" spans="1:7" ht="15.4" x14ac:dyDescent="0.45">
      <c r="A90" s="149" t="s">
        <v>182</v>
      </c>
      <c r="B90" s="147">
        <v>1475</v>
      </c>
      <c r="C90" s="147">
        <v>25250</v>
      </c>
      <c r="D90" s="147">
        <v>-23775</v>
      </c>
      <c r="E90" s="147">
        <v>24000</v>
      </c>
      <c r="F90" s="147">
        <v>225</v>
      </c>
      <c r="G90" s="143">
        <f t="shared" si="4"/>
        <v>4.9897876011391068E-6</v>
      </c>
    </row>
    <row r="91" spans="1:7" ht="15.4" x14ac:dyDescent="0.45">
      <c r="A91" s="149" t="s">
        <v>80</v>
      </c>
      <c r="B91" s="147">
        <v>2048598</v>
      </c>
      <c r="C91" s="147">
        <v>1599623.13</v>
      </c>
      <c r="D91" s="147">
        <v>448974.87</v>
      </c>
      <c r="E91" s="147">
        <v>56449</v>
      </c>
      <c r="F91" s="147">
        <v>379067.87</v>
      </c>
      <c r="G91" s="143">
        <f t="shared" si="4"/>
        <v>6.9302162034700823E-3</v>
      </c>
    </row>
    <row r="92" spans="1:7" ht="15.4" x14ac:dyDescent="0.45">
      <c r="A92" s="149" t="s">
        <v>81</v>
      </c>
      <c r="B92" s="147">
        <v>133248</v>
      </c>
      <c r="C92" s="147">
        <v>100786</v>
      </c>
      <c r="D92" s="147">
        <v>32462</v>
      </c>
      <c r="E92" s="147">
        <v>6316</v>
      </c>
      <c r="F92" s="147">
        <v>29084</v>
      </c>
      <c r="G92" s="143">
        <f t="shared" si="4"/>
        <v>4.5076557171293811E-4</v>
      </c>
    </row>
    <row r="93" spans="1:7" ht="15.4" x14ac:dyDescent="0.45">
      <c r="A93" s="149" t="s">
        <v>82</v>
      </c>
      <c r="B93" s="147"/>
      <c r="C93" s="147"/>
      <c r="D93" s="147"/>
      <c r="E93" s="147"/>
      <c r="F93" s="147"/>
      <c r="G93" s="143">
        <f t="shared" si="4"/>
        <v>0</v>
      </c>
    </row>
    <row r="94" spans="1:7" ht="15.4" x14ac:dyDescent="0.45">
      <c r="A94" s="149" t="s">
        <v>171</v>
      </c>
      <c r="B94" s="147">
        <v>507249</v>
      </c>
      <c r="C94" s="147">
        <v>239993.91</v>
      </c>
      <c r="D94" s="147">
        <v>267255.09000000003</v>
      </c>
      <c r="E94" s="147">
        <v>0</v>
      </c>
      <c r="F94" s="147">
        <v>267255.09000000003</v>
      </c>
      <c r="G94" s="143">
        <f t="shared" si="4"/>
        <v>1.7159761158577699E-3</v>
      </c>
    </row>
    <row r="95" spans="1:7" ht="15.4" x14ac:dyDescent="0.45">
      <c r="A95" s="149" t="s">
        <v>190</v>
      </c>
      <c r="B95" s="147">
        <v>405309</v>
      </c>
      <c r="C95" s="147">
        <v>147022</v>
      </c>
      <c r="D95" s="147">
        <v>258287</v>
      </c>
      <c r="E95" s="147">
        <v>0</v>
      </c>
      <c r="F95" s="147">
        <v>253489</v>
      </c>
      <c r="G95" s="143">
        <f t="shared" si="4"/>
        <v>1.3711225917492137E-3</v>
      </c>
    </row>
    <row r="96" spans="1:7" ht="15.4" x14ac:dyDescent="0.45">
      <c r="A96" s="149" t="s">
        <v>83</v>
      </c>
      <c r="B96" s="147">
        <v>5297498</v>
      </c>
      <c r="C96" s="147">
        <v>4082817</v>
      </c>
      <c r="D96" s="147">
        <v>1214681</v>
      </c>
      <c r="E96" s="147">
        <v>1427678</v>
      </c>
      <c r="F96" s="147">
        <v>2642359</v>
      </c>
      <c r="G96" s="143">
        <f t="shared" si="4"/>
        <v>1.7920942262684213E-2</v>
      </c>
    </row>
    <row r="97" spans="1:7" ht="15.4" x14ac:dyDescent="0.45">
      <c r="A97" s="149" t="s">
        <v>112</v>
      </c>
      <c r="B97" s="147">
        <v>171234</v>
      </c>
      <c r="C97" s="147">
        <v>211278.75</v>
      </c>
      <c r="D97" s="147">
        <v>-40044.75</v>
      </c>
      <c r="E97" s="147">
        <v>12635.47</v>
      </c>
      <c r="F97" s="147">
        <v>-27409.279999999999</v>
      </c>
      <c r="G97" s="143">
        <f t="shared" si="4"/>
        <v>5.792686712497992E-4</v>
      </c>
    </row>
    <row r="98" spans="1:7" ht="15.4" x14ac:dyDescent="0.45">
      <c r="A98" s="149" t="s">
        <v>177</v>
      </c>
      <c r="B98" s="147"/>
      <c r="C98" s="147"/>
      <c r="D98" s="147"/>
      <c r="E98" s="147"/>
      <c r="F98" s="147"/>
      <c r="G98" s="143">
        <f t="shared" si="4"/>
        <v>0</v>
      </c>
    </row>
    <row r="99" spans="1:7" ht="15.4" x14ac:dyDescent="0.45">
      <c r="A99" s="149" t="s">
        <v>84</v>
      </c>
      <c r="B99" s="147">
        <v>390292</v>
      </c>
      <c r="C99" s="147">
        <v>445651.86</v>
      </c>
      <c r="D99" s="147">
        <v>-55359.86</v>
      </c>
      <c r="E99" s="147">
        <v>56305</v>
      </c>
      <c r="F99" s="147">
        <v>708.86</v>
      </c>
      <c r="G99" s="143">
        <f t="shared" si="4"/>
        <v>1.3203214796093452E-3</v>
      </c>
    </row>
    <row r="100" spans="1:7" ht="15.4" x14ac:dyDescent="0.45">
      <c r="A100" s="149" t="s">
        <v>85</v>
      </c>
      <c r="B100" s="147"/>
      <c r="C100" s="147"/>
      <c r="D100" s="147"/>
      <c r="E100" s="147"/>
      <c r="F100" s="147"/>
      <c r="G100" s="143">
        <f t="shared" si="4"/>
        <v>0</v>
      </c>
    </row>
    <row r="101" spans="1:7" ht="15.4" x14ac:dyDescent="0.45">
      <c r="A101" s="149" t="s">
        <v>86</v>
      </c>
      <c r="B101" s="147">
        <v>5709064</v>
      </c>
      <c r="C101" s="147">
        <v>4360617.6399999997</v>
      </c>
      <c r="D101" s="147">
        <v>1348446.36</v>
      </c>
      <c r="E101" s="147">
        <v>672183</v>
      </c>
      <c r="F101" s="147">
        <v>2020629.36</v>
      </c>
      <c r="G101" s="143">
        <f t="shared" si="4"/>
        <v>1.9313231702582801E-2</v>
      </c>
    </row>
    <row r="102" spans="1:7" ht="15.4" x14ac:dyDescent="0.45">
      <c r="A102" s="149" t="s">
        <v>185</v>
      </c>
      <c r="B102" s="147">
        <v>4970472</v>
      </c>
      <c r="C102" s="147">
        <v>4452951.07</v>
      </c>
      <c r="D102" s="147">
        <v>517520.93</v>
      </c>
      <c r="E102" s="147">
        <v>0</v>
      </c>
      <c r="F102" s="147">
        <v>367520.93</v>
      </c>
      <c r="G102" s="143">
        <f t="shared" si="4"/>
        <v>1.681464376773498E-2</v>
      </c>
    </row>
    <row r="103" spans="1:7" ht="15.4" x14ac:dyDescent="0.45">
      <c r="A103" s="149" t="s">
        <v>87</v>
      </c>
      <c r="B103" s="147">
        <v>128872</v>
      </c>
      <c r="C103" s="147">
        <v>126389.28</v>
      </c>
      <c r="D103" s="147">
        <v>2482.7199999999998</v>
      </c>
      <c r="E103" s="147">
        <v>0</v>
      </c>
      <c r="F103" s="147">
        <v>2482.7199999999998</v>
      </c>
      <c r="G103" s="143">
        <f t="shared" si="4"/>
        <v>4.3596197134508402E-4</v>
      </c>
    </row>
    <row r="104" spans="1:7" ht="15.4" x14ac:dyDescent="0.45">
      <c r="A104" s="149" t="s">
        <v>89</v>
      </c>
      <c r="B104" s="147">
        <v>243020</v>
      </c>
      <c r="C104" s="147">
        <v>82775.08</v>
      </c>
      <c r="D104" s="147">
        <v>160244.92000000001</v>
      </c>
      <c r="E104" s="147">
        <v>0</v>
      </c>
      <c r="F104" s="147">
        <v>160244.92000000001</v>
      </c>
      <c r="G104" s="143">
        <f t="shared" si="4"/>
        <v>8.2211402225683102E-4</v>
      </c>
    </row>
    <row r="105" spans="1:7" ht="15.4" x14ac:dyDescent="0.45">
      <c r="A105" s="149" t="s">
        <v>144</v>
      </c>
      <c r="B105" s="147"/>
      <c r="C105" s="147"/>
      <c r="D105" s="147"/>
      <c r="E105" s="147"/>
      <c r="F105" s="147"/>
      <c r="G105" s="143">
        <f t="shared" si="4"/>
        <v>0</v>
      </c>
    </row>
    <row r="106" spans="1:7" ht="15.4" x14ac:dyDescent="0.45">
      <c r="A106" s="149" t="s">
        <v>90</v>
      </c>
      <c r="B106" s="147">
        <v>6309517</v>
      </c>
      <c r="C106" s="147">
        <v>3215522</v>
      </c>
      <c r="D106" s="147">
        <v>3093995</v>
      </c>
      <c r="E106" s="147">
        <v>0</v>
      </c>
      <c r="F106" s="147">
        <v>3093995</v>
      </c>
      <c r="G106" s="143">
        <f t="shared" si="4"/>
        <v>2.134450826832299E-2</v>
      </c>
    </row>
    <row r="107" spans="1:7" ht="15.4" x14ac:dyDescent="0.45">
      <c r="A107" s="149" t="s">
        <v>181</v>
      </c>
      <c r="B107" s="147">
        <v>116981</v>
      </c>
      <c r="C107" s="147">
        <v>1511442.58</v>
      </c>
      <c r="D107" s="147">
        <v>-1394461.58</v>
      </c>
      <c r="E107" s="147">
        <v>0</v>
      </c>
      <c r="F107" s="147">
        <v>-1394461.58</v>
      </c>
      <c r="G107" s="143">
        <f t="shared" si="4"/>
        <v>3.9573582601278224E-4</v>
      </c>
    </row>
    <row r="108" spans="1:7" ht="15.4" x14ac:dyDescent="0.45">
      <c r="A108" s="149" t="s">
        <v>172</v>
      </c>
      <c r="B108" s="147">
        <v>13798929</v>
      </c>
      <c r="C108" s="147">
        <v>10850157</v>
      </c>
      <c r="D108" s="147">
        <v>2948772</v>
      </c>
      <c r="E108" s="147">
        <v>138810</v>
      </c>
      <c r="F108" s="147">
        <v>2259960</v>
      </c>
      <c r="G108" s="143">
        <f t="shared" si="4"/>
        <v>4.6680491412338203E-2</v>
      </c>
    </row>
    <row r="109" spans="1:7" ht="15.4" x14ac:dyDescent="0.45">
      <c r="A109" s="149" t="s">
        <v>92</v>
      </c>
      <c r="B109" s="147">
        <v>49490</v>
      </c>
      <c r="C109" s="147">
        <v>99021.07</v>
      </c>
      <c r="D109" s="147">
        <v>-49531.07</v>
      </c>
      <c r="E109" s="147">
        <v>0</v>
      </c>
      <c r="F109" s="147">
        <v>-49531.07</v>
      </c>
      <c r="G109" s="143">
        <f t="shared" si="4"/>
        <v>1.6742005991889788E-4</v>
      </c>
    </row>
    <row r="110" spans="1:7" ht="15.4" x14ac:dyDescent="0.45">
      <c r="A110" s="149" t="s">
        <v>93</v>
      </c>
      <c r="B110" s="147">
        <v>648164</v>
      </c>
      <c r="C110" s="147">
        <v>474321</v>
      </c>
      <c r="D110" s="147">
        <v>173843</v>
      </c>
      <c r="E110" s="147">
        <v>-253064</v>
      </c>
      <c r="F110" s="147">
        <v>-79221</v>
      </c>
      <c r="G110" s="143">
        <f t="shared" si="4"/>
        <v>2.1926784343760867E-3</v>
      </c>
    </row>
    <row r="111" spans="1:7" ht="15.4" x14ac:dyDescent="0.45">
      <c r="A111" s="149" t="s">
        <v>113</v>
      </c>
      <c r="B111" s="147">
        <v>1400404</v>
      </c>
      <c r="C111" s="147">
        <v>732258.9</v>
      </c>
      <c r="D111" s="147">
        <v>668145.1</v>
      </c>
      <c r="E111" s="147">
        <v>0</v>
      </c>
      <c r="F111" s="147">
        <v>501108.82</v>
      </c>
      <c r="G111" s="143">
        <f t="shared" si="4"/>
        <v>4.7374362818885492E-3</v>
      </c>
    </row>
    <row r="112" spans="1:7" ht="15.4" x14ac:dyDescent="0.45">
      <c r="A112" s="149" t="s">
        <v>94</v>
      </c>
      <c r="B112" s="147"/>
      <c r="C112" s="147"/>
      <c r="D112" s="147"/>
      <c r="E112" s="147"/>
      <c r="F112" s="147"/>
      <c r="G112" s="143">
        <f t="shared" si="4"/>
        <v>0</v>
      </c>
    </row>
    <row r="113" spans="1:7" ht="15.4" x14ac:dyDescent="0.45">
      <c r="A113" s="149" t="s">
        <v>155</v>
      </c>
      <c r="B113" s="147"/>
      <c r="C113" s="147"/>
      <c r="D113" s="147"/>
      <c r="E113" s="147"/>
      <c r="F113" s="147"/>
      <c r="G113" s="143">
        <f t="shared" si="4"/>
        <v>0</v>
      </c>
    </row>
    <row r="114" spans="1:7" ht="15.4" x14ac:dyDescent="0.45">
      <c r="A114" s="149" t="s">
        <v>114</v>
      </c>
      <c r="B114" s="147">
        <v>3133987</v>
      </c>
      <c r="C114" s="147">
        <v>2184708</v>
      </c>
      <c r="D114" s="147">
        <v>949279</v>
      </c>
      <c r="E114" s="147">
        <v>931016</v>
      </c>
      <c r="F114" s="147">
        <v>1410221</v>
      </c>
      <c r="G114" s="143">
        <f t="shared" ref="G114:G133" si="5">IFERROR(B114/$B$135, "")</f>
        <v>1.0601986084563489E-2</v>
      </c>
    </row>
    <row r="115" spans="1:7" ht="15.4" x14ac:dyDescent="0.45">
      <c r="A115" s="149" t="s">
        <v>95</v>
      </c>
      <c r="B115" s="147"/>
      <c r="C115" s="147"/>
      <c r="D115" s="147"/>
      <c r="E115" s="147"/>
      <c r="F115" s="147"/>
      <c r="G115" s="143">
        <f t="shared" si="5"/>
        <v>0</v>
      </c>
    </row>
    <row r="116" spans="1:7" ht="15.4" x14ac:dyDescent="0.45">
      <c r="A116" s="149" t="s">
        <v>178</v>
      </c>
      <c r="B116" s="147">
        <v>676225</v>
      </c>
      <c r="C116" s="147">
        <v>312765</v>
      </c>
      <c r="D116" s="147">
        <v>363460</v>
      </c>
      <c r="E116" s="147">
        <v>1287.28</v>
      </c>
      <c r="F116" s="147">
        <v>364747.28</v>
      </c>
      <c r="G116" s="143">
        <f t="shared" si="5"/>
        <v>2.287606183444266E-3</v>
      </c>
    </row>
    <row r="117" spans="1:7" ht="15.4" x14ac:dyDescent="0.45">
      <c r="A117" s="149" t="s">
        <v>96</v>
      </c>
      <c r="B117" s="147"/>
      <c r="C117" s="147"/>
      <c r="D117" s="147"/>
      <c r="E117" s="147"/>
      <c r="F117" s="147"/>
      <c r="G117" s="143">
        <f t="shared" si="5"/>
        <v>0</v>
      </c>
    </row>
    <row r="118" spans="1:7" ht="15.4" x14ac:dyDescent="0.45">
      <c r="A118" s="149" t="s">
        <v>145</v>
      </c>
      <c r="B118" s="147">
        <v>172792</v>
      </c>
      <c r="C118" s="147">
        <v>128795.15</v>
      </c>
      <c r="D118" s="147">
        <v>43996.85</v>
      </c>
      <c r="E118" s="147">
        <v>0</v>
      </c>
      <c r="F118" s="147">
        <v>43996.85</v>
      </c>
      <c r="G118" s="143">
        <f t="shared" si="5"/>
        <v>5.8453924011934132E-4</v>
      </c>
    </row>
    <row r="119" spans="1:7" ht="15.4" x14ac:dyDescent="0.45">
      <c r="A119" s="149" t="s">
        <v>191</v>
      </c>
      <c r="B119" s="147"/>
      <c r="C119" s="147"/>
      <c r="D119" s="147"/>
      <c r="E119" s="147"/>
      <c r="F119" s="147"/>
      <c r="G119" s="143">
        <f t="shared" si="5"/>
        <v>0</v>
      </c>
    </row>
    <row r="120" spans="1:7" ht="15.4" x14ac:dyDescent="0.45">
      <c r="A120" s="149" t="s">
        <v>97</v>
      </c>
      <c r="B120" s="147">
        <v>330348</v>
      </c>
      <c r="C120" s="147">
        <v>110616</v>
      </c>
      <c r="D120" s="147">
        <v>219732</v>
      </c>
      <c r="E120" s="147">
        <v>0</v>
      </c>
      <c r="F120" s="147">
        <v>219732</v>
      </c>
      <c r="G120" s="143">
        <f t="shared" si="5"/>
        <v>1.117536511499052E-3</v>
      </c>
    </row>
    <row r="121" spans="1:7" ht="15.4" x14ac:dyDescent="0.45">
      <c r="A121" s="149" t="s">
        <v>186</v>
      </c>
      <c r="B121" s="147">
        <v>677494</v>
      </c>
      <c r="C121" s="147">
        <v>334476</v>
      </c>
      <c r="D121" s="147">
        <v>343018</v>
      </c>
      <c r="E121" s="147">
        <v>0</v>
      </c>
      <c r="F121" s="147">
        <v>343018</v>
      </c>
      <c r="G121" s="143">
        <f t="shared" si="5"/>
        <v>2.2918990922346696E-3</v>
      </c>
    </row>
    <row r="122" spans="1:7" ht="15.4" x14ac:dyDescent="0.45">
      <c r="A122" s="149" t="s">
        <v>98</v>
      </c>
      <c r="B122" s="147">
        <v>2618288</v>
      </c>
      <c r="C122" s="147">
        <v>2371427</v>
      </c>
      <c r="D122" s="147">
        <v>246861</v>
      </c>
      <c r="E122" s="147">
        <v>20364</v>
      </c>
      <c r="F122" s="147">
        <v>179931</v>
      </c>
      <c r="G122" s="143">
        <f t="shared" si="5"/>
        <v>8.8574244058381765E-3</v>
      </c>
    </row>
    <row r="123" spans="1:7" ht="15.4" x14ac:dyDescent="0.45">
      <c r="A123" s="149" t="s">
        <v>99</v>
      </c>
      <c r="B123" s="147">
        <v>879021</v>
      </c>
      <c r="C123" s="147">
        <v>570946.24</v>
      </c>
      <c r="D123" s="147">
        <v>308074.76</v>
      </c>
      <c r="E123" s="147">
        <v>45140.43</v>
      </c>
      <c r="F123" s="147">
        <v>264911.39</v>
      </c>
      <c r="G123" s="143">
        <f t="shared" si="5"/>
        <v>2.9736461606378974E-3</v>
      </c>
    </row>
    <row r="124" spans="1:7" ht="15.4" x14ac:dyDescent="0.45">
      <c r="A124" s="149" t="s">
        <v>100</v>
      </c>
      <c r="B124" s="147">
        <v>5234750</v>
      </c>
      <c r="C124" s="147">
        <v>4385848.6399999997</v>
      </c>
      <c r="D124" s="147">
        <v>848901.36</v>
      </c>
      <c r="E124" s="147">
        <v>146466.47</v>
      </c>
      <c r="F124" s="147">
        <v>995367.83</v>
      </c>
      <c r="G124" s="143">
        <f t="shared" si="5"/>
        <v>1.7708671623771485E-2</v>
      </c>
    </row>
    <row r="125" spans="1:7" ht="15.4" x14ac:dyDescent="0.45">
      <c r="A125" s="149" t="s">
        <v>102</v>
      </c>
      <c r="B125" s="147"/>
      <c r="C125" s="147"/>
      <c r="D125" s="147"/>
      <c r="E125" s="147"/>
      <c r="F125" s="147"/>
      <c r="G125" s="143">
        <f t="shared" si="5"/>
        <v>0</v>
      </c>
    </row>
    <row r="126" spans="1:7" ht="15.4" x14ac:dyDescent="0.45">
      <c r="A126" s="149" t="s">
        <v>156</v>
      </c>
      <c r="B126" s="147">
        <v>115896</v>
      </c>
      <c r="C126" s="147">
        <v>113274.97</v>
      </c>
      <c r="D126" s="147">
        <v>2621.0300000000002</v>
      </c>
      <c r="E126" s="147">
        <v>0</v>
      </c>
      <c r="F126" s="147">
        <v>2621.0300000000002</v>
      </c>
      <c r="G126" s="143">
        <f t="shared" si="5"/>
        <v>3.9206537208245283E-4</v>
      </c>
    </row>
    <row r="127" spans="1:7" ht="15.4" x14ac:dyDescent="0.45">
      <c r="A127" s="149" t="s">
        <v>157</v>
      </c>
      <c r="B127" s="147">
        <v>2605226</v>
      </c>
      <c r="C127" s="147">
        <v>1971338.83</v>
      </c>
      <c r="D127" s="147">
        <v>633887.17000000004</v>
      </c>
      <c r="E127" s="147">
        <v>0</v>
      </c>
      <c r="F127" s="147">
        <v>-125334.63</v>
      </c>
      <c r="G127" s="143">
        <f t="shared" si="5"/>
        <v>8.813236876586597E-3</v>
      </c>
    </row>
    <row r="128" spans="1:7" ht="15.4" x14ac:dyDescent="0.45">
      <c r="A128" s="149" t="s">
        <v>103</v>
      </c>
      <c r="B128" s="147">
        <v>2483498</v>
      </c>
      <c r="C128" s="147">
        <v>1158636.48</v>
      </c>
      <c r="D128" s="147">
        <v>1324861.52</v>
      </c>
      <c r="E128" s="147">
        <v>8</v>
      </c>
      <c r="F128" s="147">
        <v>1324869.52</v>
      </c>
      <c r="G128" s="143">
        <f t="shared" si="5"/>
        <v>8.4014423917652663E-3</v>
      </c>
    </row>
    <row r="129" spans="1:7" ht="15.4" x14ac:dyDescent="0.45">
      <c r="A129" s="149" t="s">
        <v>104</v>
      </c>
      <c r="B129" s="147">
        <v>3308710.71</v>
      </c>
      <c r="C129" s="147">
        <v>1426093.88</v>
      </c>
      <c r="D129" s="147">
        <v>1882616.83</v>
      </c>
      <c r="E129" s="147">
        <v>1497.63</v>
      </c>
      <c r="F129" s="147">
        <v>1884114.46</v>
      </c>
      <c r="G129" s="143">
        <f t="shared" si="5"/>
        <v>1.1193060119670624E-2</v>
      </c>
    </row>
    <row r="130" spans="1:7" ht="15.4" x14ac:dyDescent="0.45">
      <c r="A130" s="149" t="s">
        <v>105</v>
      </c>
      <c r="B130" s="147"/>
      <c r="C130" s="147"/>
      <c r="D130" s="147"/>
      <c r="E130" s="147"/>
      <c r="F130" s="147"/>
      <c r="G130" s="143">
        <f t="shared" si="5"/>
        <v>0</v>
      </c>
    </row>
    <row r="131" spans="1:7" ht="15.4" x14ac:dyDescent="0.45">
      <c r="A131" s="149" t="s">
        <v>106</v>
      </c>
      <c r="B131" s="147">
        <v>31916147</v>
      </c>
      <c r="C131" s="147">
        <v>17208526</v>
      </c>
      <c r="D131" s="147">
        <v>14707621</v>
      </c>
      <c r="E131" s="147">
        <v>500</v>
      </c>
      <c r="F131" s="147">
        <v>11031090</v>
      </c>
      <c r="G131" s="143">
        <f t="shared" si="5"/>
        <v>0.10796935225541227</v>
      </c>
    </row>
    <row r="132" spans="1:7" ht="15.4" x14ac:dyDescent="0.45">
      <c r="A132" s="149" t="s">
        <v>146</v>
      </c>
      <c r="B132" s="147">
        <v>28036</v>
      </c>
      <c r="C132" s="147">
        <v>160883.99</v>
      </c>
      <c r="D132" s="147">
        <v>-132847.99</v>
      </c>
      <c r="E132" s="147">
        <v>24449.37</v>
      </c>
      <c r="F132" s="147">
        <v>-108398.62</v>
      </c>
      <c r="G132" s="143">
        <f t="shared" si="5"/>
        <v>9.4843176396973552E-5</v>
      </c>
    </row>
    <row r="133" spans="1:7" ht="15.4" x14ac:dyDescent="0.45">
      <c r="A133" s="149" t="s">
        <v>107</v>
      </c>
      <c r="B133" s="147">
        <v>105025</v>
      </c>
      <c r="C133" s="147">
        <v>304773.55</v>
      </c>
      <c r="D133" s="147">
        <v>-199748.55</v>
      </c>
      <c r="E133" s="147">
        <v>112.3</v>
      </c>
      <c r="F133" s="147">
        <v>-199636.25</v>
      </c>
      <c r="G133" s="143">
        <f t="shared" si="5"/>
        <v>3.5528979173534553E-4</v>
      </c>
    </row>
    <row r="134" spans="1:7" x14ac:dyDescent="0.35">
      <c r="A134" s="146"/>
      <c r="B134" s="146"/>
      <c r="C134" s="146"/>
      <c r="D134" s="146"/>
      <c r="E134" s="146"/>
      <c r="F134" s="146"/>
      <c r="G134" s="146"/>
    </row>
    <row r="135" spans="1:7" ht="15.4" x14ac:dyDescent="0.45">
      <c r="A135" s="116" t="s">
        <v>147</v>
      </c>
      <c r="B135" s="140">
        <f t="shared" ref="B135:G135" si="6">SUM(B3:B133)</f>
        <v>295603764.71000004</v>
      </c>
      <c r="C135" s="140">
        <f t="shared" si="6"/>
        <v>209942940.58000004</v>
      </c>
      <c r="D135" s="140">
        <f t="shared" si="6"/>
        <v>85660824.13000001</v>
      </c>
      <c r="E135" s="140">
        <f t="shared" si="6"/>
        <v>21461216.579999998</v>
      </c>
      <c r="F135" s="140">
        <f t="shared" si="6"/>
        <v>81582206.859999985</v>
      </c>
      <c r="G135" s="142">
        <f t="shared" si="6"/>
        <v>0.99983257994008112</v>
      </c>
    </row>
    <row r="136" spans="1:7" s="146" customFormat="1" x14ac:dyDescent="0.35"/>
    <row r="137" spans="1:7" s="146" customFormat="1" x14ac:dyDescent="0.35"/>
    <row r="138" spans="1:7" s="146" customFormat="1" x14ac:dyDescent="0.35"/>
    <row r="139" spans="1:7" s="146" customFormat="1" x14ac:dyDescent="0.35"/>
    <row r="140" spans="1:7" s="146" customFormat="1" x14ac:dyDescent="0.35"/>
    <row r="141" spans="1:7" s="146" customFormat="1" x14ac:dyDescent="0.35"/>
    <row r="142" spans="1:7" s="146" customFormat="1" x14ac:dyDescent="0.35"/>
    <row r="143" spans="1:7" s="146" customFormat="1" x14ac:dyDescent="0.35"/>
    <row r="144" spans="1:7" s="146" customFormat="1" x14ac:dyDescent="0.35"/>
    <row r="145" s="146" customFormat="1" x14ac:dyDescent="0.35"/>
    <row r="146" s="146" customFormat="1" x14ac:dyDescent="0.35"/>
    <row r="147" s="146" customFormat="1" x14ac:dyDescent="0.35"/>
    <row r="148" s="146" customFormat="1" x14ac:dyDescent="0.35"/>
    <row r="149" s="146" customFormat="1" x14ac:dyDescent="0.35"/>
    <row r="150" s="146" customFormat="1" x14ac:dyDescent="0.35"/>
    <row r="151" s="146" customFormat="1" x14ac:dyDescent="0.35"/>
    <row r="152" s="146" customFormat="1" x14ac:dyDescent="0.35"/>
    <row r="153" s="146" customFormat="1" x14ac:dyDescent="0.35"/>
    <row r="154" s="146" customFormat="1" x14ac:dyDescent="0.35"/>
    <row r="155" s="146" customFormat="1" x14ac:dyDescent="0.35"/>
    <row r="156" s="146" customFormat="1" x14ac:dyDescent="0.35"/>
    <row r="157" s="146" customFormat="1" x14ac:dyDescent="0.35"/>
    <row r="158" s="146" customFormat="1" x14ac:dyDescent="0.35"/>
    <row r="159" s="146" customFormat="1" x14ac:dyDescent="0.35"/>
    <row r="160" s="146" customFormat="1" x14ac:dyDescent="0.35"/>
    <row r="161" s="146" customFormat="1" x14ac:dyDescent="0.35"/>
    <row r="162" s="146" customFormat="1" x14ac:dyDescent="0.35"/>
    <row r="163" s="146" customFormat="1" x14ac:dyDescent="0.35"/>
    <row r="164" s="146" customFormat="1" x14ac:dyDescent="0.35"/>
    <row r="165" s="146" customFormat="1" x14ac:dyDescent="0.35"/>
    <row r="166" s="146" customFormat="1" x14ac:dyDescent="0.35"/>
    <row r="167" s="146" customFormat="1" x14ac:dyDescent="0.35"/>
    <row r="168" s="146" customFormat="1" x14ac:dyDescent="0.35"/>
    <row r="169" s="146" customFormat="1" x14ac:dyDescent="0.35"/>
    <row r="170" s="146" customFormat="1" x14ac:dyDescent="0.35"/>
    <row r="171" s="146" customFormat="1" x14ac:dyDescent="0.35"/>
    <row r="172" s="146" customFormat="1" x14ac:dyDescent="0.35"/>
    <row r="173" s="146" customFormat="1" x14ac:dyDescent="0.35"/>
    <row r="174" s="146" customFormat="1" x14ac:dyDescent="0.35"/>
    <row r="175" s="146" customFormat="1" x14ac:dyDescent="0.35"/>
    <row r="176" s="146" customFormat="1" x14ac:dyDescent="0.35"/>
    <row r="177" s="146" customFormat="1" x14ac:dyDescent="0.35"/>
    <row r="178" s="146" customFormat="1" x14ac:dyDescent="0.35"/>
    <row r="179" s="146" customFormat="1" x14ac:dyDescent="0.35"/>
    <row r="180" s="146" customFormat="1" x14ac:dyDescent="0.35"/>
    <row r="181" s="146" customFormat="1" x14ac:dyDescent="0.35"/>
    <row r="182" s="146" customFormat="1" x14ac:dyDescent="0.35"/>
    <row r="183" s="146" customFormat="1" x14ac:dyDescent="0.35"/>
    <row r="184" s="146" customFormat="1" x14ac:dyDescent="0.35"/>
    <row r="185" s="146" customFormat="1" x14ac:dyDescent="0.35"/>
    <row r="186" s="146" customFormat="1" x14ac:dyDescent="0.35"/>
    <row r="187" s="146" customFormat="1" x14ac:dyDescent="0.35"/>
    <row r="188" s="146" customFormat="1" x14ac:dyDescent="0.35"/>
    <row r="189" s="146" customFormat="1" x14ac:dyDescent="0.35"/>
    <row r="190" s="146" customFormat="1" x14ac:dyDescent="0.35"/>
    <row r="191" s="146" customFormat="1" x14ac:dyDescent="0.35"/>
    <row r="192" s="146" customFormat="1" x14ac:dyDescent="0.35"/>
    <row r="193" s="146" customFormat="1" x14ac:dyDescent="0.35"/>
    <row r="194" s="146" customFormat="1" x14ac:dyDescent="0.35"/>
    <row r="195" s="146" customFormat="1" x14ac:dyDescent="0.35"/>
    <row r="196" s="146" customFormat="1" x14ac:dyDescent="0.35"/>
    <row r="197" s="146" customFormat="1" x14ac:dyDescent="0.35"/>
    <row r="198" s="146" customFormat="1" x14ac:dyDescent="0.35"/>
    <row r="199" s="146" customFormat="1" x14ac:dyDescent="0.35"/>
    <row r="200" s="146" customFormat="1" x14ac:dyDescent="0.35"/>
    <row r="201" s="146" customFormat="1" x14ac:dyDescent="0.35"/>
    <row r="202" s="146" customFormat="1" x14ac:dyDescent="0.35"/>
    <row r="203" s="146" customFormat="1" x14ac:dyDescent="0.35"/>
    <row r="204" s="146" customFormat="1" x14ac:dyDescent="0.35"/>
    <row r="205" s="146" customFormat="1" x14ac:dyDescent="0.35"/>
    <row r="206" s="146" customFormat="1" x14ac:dyDescent="0.35"/>
    <row r="207" s="146" customFormat="1" x14ac:dyDescent="0.35"/>
    <row r="208" s="146" customFormat="1" x14ac:dyDescent="0.35"/>
    <row r="209" s="146" customFormat="1" x14ac:dyDescent="0.35"/>
    <row r="210" s="146" customFormat="1" x14ac:dyDescent="0.35"/>
    <row r="211" s="146" customFormat="1" x14ac:dyDescent="0.35"/>
    <row r="212" s="146" customFormat="1" x14ac:dyDescent="0.35"/>
    <row r="213" s="146" customFormat="1" x14ac:dyDescent="0.35"/>
    <row r="214" s="146" customFormat="1" x14ac:dyDescent="0.35"/>
    <row r="215" s="146" customFormat="1" x14ac:dyDescent="0.35"/>
    <row r="216" s="146" customFormat="1" x14ac:dyDescent="0.35"/>
    <row r="217" s="146" customFormat="1" x14ac:dyDescent="0.35"/>
    <row r="218" s="146" customFormat="1" x14ac:dyDescent="0.35"/>
    <row r="219" s="146" customFormat="1" x14ac:dyDescent="0.35"/>
    <row r="220" s="146" customFormat="1" x14ac:dyDescent="0.35"/>
    <row r="221" s="146" customFormat="1" x14ac:dyDescent="0.35"/>
    <row r="222" s="146" customFormat="1" x14ac:dyDescent="0.35"/>
    <row r="223" s="146" customFormat="1" x14ac:dyDescent="0.35"/>
    <row r="224" s="146" customFormat="1" x14ac:dyDescent="0.35"/>
    <row r="225" s="146" customFormat="1" x14ac:dyDescent="0.35"/>
    <row r="226" s="146" customFormat="1" x14ac:dyDescent="0.35"/>
    <row r="227" s="146" customFormat="1" x14ac:dyDescent="0.35"/>
    <row r="228" s="146" customFormat="1" x14ac:dyDescent="0.35"/>
    <row r="229" s="146" customFormat="1" x14ac:dyDescent="0.35"/>
    <row r="230" s="146" customFormat="1" x14ac:dyDescent="0.35"/>
    <row r="231" s="146" customFormat="1" x14ac:dyDescent="0.35"/>
    <row r="232" s="146" customFormat="1" x14ac:dyDescent="0.35"/>
    <row r="233" s="146" customFormat="1" x14ac:dyDescent="0.35"/>
    <row r="234" s="146" customFormat="1" x14ac:dyDescent="0.35"/>
    <row r="235" s="146" customFormat="1" x14ac:dyDescent="0.35"/>
    <row r="236" s="146" customFormat="1" x14ac:dyDescent="0.35"/>
    <row r="237" s="146" customFormat="1" x14ac:dyDescent="0.35"/>
    <row r="238" s="146" customFormat="1" x14ac:dyDescent="0.35"/>
    <row r="239" s="146" customFormat="1" x14ac:dyDescent="0.35"/>
    <row r="240" s="146" customFormat="1" x14ac:dyDescent="0.35"/>
    <row r="241" s="146" customFormat="1" x14ac:dyDescent="0.35"/>
    <row r="242" s="146" customFormat="1" x14ac:dyDescent="0.35"/>
    <row r="243" s="146" customFormat="1" x14ac:dyDescent="0.35"/>
    <row r="244" s="146" customFormat="1" x14ac:dyDescent="0.35"/>
    <row r="245" s="146" customFormat="1" x14ac:dyDescent="0.35"/>
    <row r="246" s="146" customFormat="1" x14ac:dyDescent="0.35"/>
    <row r="247" s="146" customFormat="1" x14ac:dyDescent="0.35"/>
    <row r="248" s="146" customFormat="1" x14ac:dyDescent="0.35"/>
    <row r="249" s="146" customFormat="1" x14ac:dyDescent="0.35"/>
    <row r="250" s="146" customFormat="1" x14ac:dyDescent="0.35"/>
    <row r="251" s="146" customFormat="1" x14ac:dyDescent="0.35"/>
    <row r="252" s="146" customFormat="1" x14ac:dyDescent="0.35"/>
    <row r="253" s="146" customFormat="1" x14ac:dyDescent="0.35"/>
    <row r="254" s="146" customFormat="1" x14ac:dyDescent="0.35"/>
    <row r="255" s="146" customFormat="1" x14ac:dyDescent="0.35"/>
    <row r="256" s="146" customFormat="1" x14ac:dyDescent="0.35"/>
    <row r="257" s="146" customFormat="1" x14ac:dyDescent="0.35"/>
    <row r="258" s="146" customFormat="1" x14ac:dyDescent="0.35"/>
    <row r="259" s="146" customFormat="1" x14ac:dyDescent="0.35"/>
    <row r="260" s="146" customFormat="1" x14ac:dyDescent="0.35"/>
    <row r="261" s="146" customFormat="1" x14ac:dyDescent="0.35"/>
    <row r="262" s="146" customFormat="1" x14ac:dyDescent="0.35"/>
    <row r="263" s="146" customFormat="1" x14ac:dyDescent="0.35"/>
    <row r="264" s="146" customFormat="1" x14ac:dyDescent="0.35"/>
    <row r="265" s="146" customFormat="1" x14ac:dyDescent="0.35"/>
    <row r="266" s="146" customFormat="1" x14ac:dyDescent="0.35"/>
    <row r="267" s="146" customFormat="1" x14ac:dyDescent="0.35"/>
    <row r="268" s="146" customFormat="1" x14ac:dyDescent="0.35"/>
    <row r="269" s="146" customFormat="1" x14ac:dyDescent="0.35"/>
    <row r="270" s="146" customFormat="1" x14ac:dyDescent="0.35"/>
    <row r="271" s="146" customFormat="1" x14ac:dyDescent="0.35"/>
    <row r="272" s="146" customFormat="1" x14ac:dyDescent="0.35"/>
    <row r="273" s="146" customFormat="1" x14ac:dyDescent="0.35"/>
    <row r="274" s="146" customFormat="1" x14ac:dyDescent="0.35"/>
    <row r="275" s="146" customFormat="1" x14ac:dyDescent="0.35"/>
    <row r="276" s="146" customFormat="1" x14ac:dyDescent="0.35"/>
    <row r="277" s="146" customFormat="1" x14ac:dyDescent="0.35"/>
    <row r="278" s="146" customFormat="1" x14ac:dyDescent="0.35"/>
    <row r="279" s="146" customFormat="1" x14ac:dyDescent="0.35"/>
    <row r="280" s="146" customFormat="1" x14ac:dyDescent="0.35"/>
    <row r="281" s="146" customFormat="1" x14ac:dyDescent="0.35"/>
    <row r="282" s="146" customFormat="1" x14ac:dyDescent="0.35"/>
    <row r="283" s="146" customFormat="1" x14ac:dyDescent="0.35"/>
    <row r="284" s="146" customFormat="1" x14ac:dyDescent="0.35"/>
    <row r="285" s="146" customFormat="1" x14ac:dyDescent="0.35"/>
    <row r="286" s="146" customFormat="1" x14ac:dyDescent="0.35"/>
    <row r="287" s="146" customFormat="1" x14ac:dyDescent="0.35"/>
    <row r="288" s="146" customFormat="1" x14ac:dyDescent="0.35"/>
    <row r="289" s="146" customFormat="1" x14ac:dyDescent="0.35"/>
    <row r="290" s="146" customFormat="1" x14ac:dyDescent="0.35"/>
    <row r="291" s="146" customFormat="1" x14ac:dyDescent="0.35"/>
    <row r="292" s="146" customFormat="1" x14ac:dyDescent="0.35"/>
    <row r="293" s="146" customFormat="1" x14ac:dyDescent="0.35"/>
    <row r="294" s="146" customFormat="1" x14ac:dyDescent="0.35"/>
    <row r="295" s="146" customFormat="1" x14ac:dyDescent="0.35"/>
    <row r="296" s="146" customFormat="1" x14ac:dyDescent="0.35"/>
    <row r="297" s="146" customFormat="1" x14ac:dyDescent="0.35"/>
    <row r="298" s="146" customFormat="1" x14ac:dyDescent="0.35"/>
    <row r="299" s="146" customFormat="1" x14ac:dyDescent="0.35"/>
    <row r="300" s="146" customFormat="1" x14ac:dyDescent="0.35"/>
    <row r="301" s="146" customFormat="1" x14ac:dyDescent="0.35"/>
    <row r="302" s="146" customFormat="1" x14ac:dyDescent="0.35"/>
    <row r="303" s="146" customFormat="1" x14ac:dyDescent="0.35"/>
    <row r="304" s="146" customFormat="1" x14ac:dyDescent="0.35"/>
    <row r="305" s="146" customFormat="1" x14ac:dyDescent="0.35"/>
    <row r="306" s="146" customFormat="1" x14ac:dyDescent="0.35"/>
    <row r="307" s="146" customFormat="1" x14ac:dyDescent="0.35"/>
    <row r="308" s="146" customFormat="1" x14ac:dyDescent="0.35"/>
    <row r="309" s="146" customFormat="1" x14ac:dyDescent="0.35"/>
    <row r="310" s="146" customFormat="1" x14ac:dyDescent="0.35"/>
    <row r="311" s="146" customFormat="1" x14ac:dyDescent="0.35"/>
    <row r="312" s="146" customFormat="1" x14ac:dyDescent="0.35"/>
    <row r="313" s="146" customFormat="1" x14ac:dyDescent="0.35"/>
    <row r="314" s="146" customFormat="1" x14ac:dyDescent="0.35"/>
    <row r="315" s="146" customFormat="1" x14ac:dyDescent="0.35"/>
    <row r="316" s="146" customFormat="1" x14ac:dyDescent="0.35"/>
    <row r="317" s="146" customFormat="1" x14ac:dyDescent="0.35"/>
    <row r="318" s="146" customFormat="1" x14ac:dyDescent="0.35"/>
    <row r="319" s="146" customFormat="1" x14ac:dyDescent="0.35"/>
    <row r="320" s="146" customFormat="1" x14ac:dyDescent="0.35"/>
    <row r="321" s="146" customFormat="1" x14ac:dyDescent="0.35"/>
    <row r="322" s="146" customFormat="1" x14ac:dyDescent="0.35"/>
    <row r="323" s="146" customFormat="1" x14ac:dyDescent="0.35"/>
    <row r="324" s="146" customFormat="1" x14ac:dyDescent="0.35"/>
    <row r="325" s="146" customFormat="1" x14ac:dyDescent="0.35"/>
    <row r="326" s="146" customFormat="1" x14ac:dyDescent="0.35"/>
    <row r="327" s="146" customFormat="1" x14ac:dyDescent="0.35"/>
    <row r="328" s="146" customFormat="1" x14ac:dyDescent="0.35"/>
    <row r="329" s="146" customFormat="1" x14ac:dyDescent="0.35"/>
    <row r="330" s="146" customFormat="1" x14ac:dyDescent="0.35"/>
    <row r="331" s="146" customFormat="1" x14ac:dyDescent="0.35"/>
    <row r="332" s="146" customFormat="1" x14ac:dyDescent="0.35"/>
    <row r="333" s="146" customFormat="1" x14ac:dyDescent="0.35"/>
    <row r="334" s="146" customFormat="1" x14ac:dyDescent="0.35"/>
    <row r="335" s="146" customFormat="1" x14ac:dyDescent="0.35"/>
    <row r="336" s="146" customFormat="1" x14ac:dyDescent="0.35"/>
    <row r="337" s="146" customFormat="1" x14ac:dyDescent="0.35"/>
    <row r="338" s="146" customFormat="1" x14ac:dyDescent="0.35"/>
    <row r="339" s="146" customFormat="1" x14ac:dyDescent="0.35"/>
    <row r="340" s="146" customFormat="1" x14ac:dyDescent="0.35"/>
    <row r="341" s="146" customFormat="1" x14ac:dyDescent="0.35"/>
    <row r="342" s="146" customFormat="1" x14ac:dyDescent="0.35"/>
    <row r="343" s="146" customFormat="1" x14ac:dyDescent="0.35"/>
    <row r="344" s="146" customFormat="1" x14ac:dyDescent="0.35"/>
    <row r="345" s="146" customFormat="1" x14ac:dyDescent="0.35"/>
    <row r="346" s="146" customFormat="1" x14ac:dyDescent="0.35"/>
    <row r="347" s="146" customFormat="1" x14ac:dyDescent="0.35"/>
    <row r="348" s="146" customFormat="1" x14ac:dyDescent="0.35"/>
    <row r="349" s="146" customFormat="1" x14ac:dyDescent="0.35"/>
    <row r="350" s="146" customFormat="1" x14ac:dyDescent="0.35"/>
    <row r="351" s="146" customFormat="1" x14ac:dyDescent="0.35"/>
    <row r="352" s="146" customFormat="1" x14ac:dyDescent="0.35"/>
    <row r="353" s="146" customFormat="1" x14ac:dyDescent="0.35"/>
    <row r="354" s="146" customFormat="1" x14ac:dyDescent="0.35"/>
    <row r="355" s="146" customFormat="1" x14ac:dyDescent="0.35"/>
    <row r="356" s="146" customFormat="1" x14ac:dyDescent="0.35"/>
    <row r="357" s="146" customFormat="1" x14ac:dyDescent="0.35"/>
    <row r="358" s="146" customFormat="1" x14ac:dyDescent="0.35"/>
    <row r="359" s="146" customFormat="1" x14ac:dyDescent="0.35"/>
    <row r="360" s="146" customFormat="1" x14ac:dyDescent="0.35"/>
    <row r="361" s="146" customFormat="1" x14ac:dyDescent="0.35"/>
    <row r="362" s="146" customFormat="1" x14ac:dyDescent="0.35"/>
    <row r="363" s="146" customFormat="1" x14ac:dyDescent="0.35"/>
    <row r="364" s="146" customFormat="1" x14ac:dyDescent="0.35"/>
    <row r="365" s="146" customFormat="1" x14ac:dyDescent="0.35"/>
    <row r="366" s="146" customFormat="1" x14ac:dyDescent="0.35"/>
    <row r="367" s="146" customFormat="1" x14ac:dyDescent="0.35"/>
    <row r="368" s="146" customFormat="1" x14ac:dyDescent="0.35"/>
    <row r="369" s="146" customFormat="1" x14ac:dyDescent="0.35"/>
    <row r="370" s="146" customFormat="1" x14ac:dyDescent="0.35"/>
    <row r="371" s="146" customFormat="1" x14ac:dyDescent="0.35"/>
    <row r="372" s="146" customFormat="1" x14ac:dyDescent="0.35"/>
    <row r="373" s="146" customFormat="1" x14ac:dyDescent="0.35"/>
    <row r="374" s="146" customFormat="1" x14ac:dyDescent="0.35"/>
    <row r="375" s="146" customFormat="1" x14ac:dyDescent="0.35"/>
    <row r="376" s="146" customFormat="1" x14ac:dyDescent="0.35"/>
    <row r="377" s="146" customFormat="1" x14ac:dyDescent="0.35"/>
    <row r="378" s="146" customFormat="1" x14ac:dyDescent="0.35"/>
    <row r="379" s="146" customFormat="1" x14ac:dyDescent="0.35"/>
    <row r="380" s="146" customFormat="1" x14ac:dyDescent="0.35"/>
    <row r="381" s="146" customFormat="1" x14ac:dyDescent="0.35"/>
    <row r="382" s="146" customFormat="1" x14ac:dyDescent="0.35"/>
    <row r="383" s="146" customFormat="1" x14ac:dyDescent="0.35"/>
    <row r="384" s="146" customFormat="1" x14ac:dyDescent="0.35"/>
    <row r="385" s="146" customFormat="1" x14ac:dyDescent="0.35"/>
    <row r="386" s="146" customFormat="1" x14ac:dyDescent="0.35"/>
    <row r="387" s="146" customFormat="1" x14ac:dyDescent="0.35"/>
    <row r="388" s="146" customFormat="1" x14ac:dyDescent="0.35"/>
    <row r="389" s="146" customFormat="1" x14ac:dyDescent="0.35"/>
    <row r="390" s="146" customFormat="1" x14ac:dyDescent="0.35"/>
    <row r="391" s="146" customFormat="1" x14ac:dyDescent="0.35"/>
    <row r="392" s="146" customFormat="1" x14ac:dyDescent="0.35"/>
    <row r="393" s="146" customFormat="1" x14ac:dyDescent="0.35"/>
    <row r="394" s="146" customFormat="1" x14ac:dyDescent="0.35"/>
    <row r="395" s="146" customFormat="1" x14ac:dyDescent="0.35"/>
    <row r="396" s="146" customFormat="1" x14ac:dyDescent="0.35"/>
    <row r="397" s="146" customFormat="1" x14ac:dyDescent="0.35"/>
    <row r="398" s="146" customFormat="1" x14ac:dyDescent="0.35"/>
    <row r="399" s="146" customFormat="1" x14ac:dyDescent="0.35"/>
    <row r="400" s="146" customFormat="1" x14ac:dyDescent="0.35"/>
    <row r="401" s="146" customFormat="1" x14ac:dyDescent="0.35"/>
    <row r="402" s="146" customFormat="1" x14ac:dyDescent="0.35"/>
    <row r="403" s="146" customFormat="1" x14ac:dyDescent="0.35"/>
    <row r="404" s="146" customFormat="1" x14ac:dyDescent="0.35"/>
    <row r="405" s="146" customFormat="1" x14ac:dyDescent="0.35"/>
    <row r="406" s="146" customFormat="1" x14ac:dyDescent="0.35"/>
    <row r="407" s="146" customFormat="1" x14ac:dyDescent="0.35"/>
    <row r="408" s="146" customFormat="1" x14ac:dyDescent="0.35"/>
    <row r="409" s="146" customFormat="1" x14ac:dyDescent="0.35"/>
    <row r="410" s="146" customFormat="1" x14ac:dyDescent="0.35"/>
    <row r="411" s="146" customFormat="1" x14ac:dyDescent="0.35"/>
    <row r="412" s="146" customFormat="1" x14ac:dyDescent="0.35"/>
    <row r="413" s="146" customFormat="1" x14ac:dyDescent="0.35"/>
    <row r="414" s="146" customFormat="1" x14ac:dyDescent="0.35"/>
    <row r="415" s="146" customFormat="1" x14ac:dyDescent="0.35"/>
    <row r="416" s="146" customFormat="1" x14ac:dyDescent="0.35"/>
    <row r="417" s="146" customFormat="1" x14ac:dyDescent="0.35"/>
    <row r="418" s="146" customFormat="1" x14ac:dyDescent="0.35"/>
    <row r="419" s="146" customFormat="1" x14ac:dyDescent="0.35"/>
    <row r="420" s="146" customFormat="1" x14ac:dyDescent="0.35"/>
    <row r="421" s="146" customFormat="1" x14ac:dyDescent="0.35"/>
    <row r="422" s="146" customFormat="1" x14ac:dyDescent="0.35"/>
    <row r="423" s="146" customFormat="1" x14ac:dyDescent="0.35"/>
    <row r="424" s="146" customFormat="1" x14ac:dyDescent="0.35"/>
    <row r="425" s="146" customFormat="1" x14ac:dyDescent="0.35"/>
    <row r="426" s="146" customFormat="1" x14ac:dyDescent="0.35"/>
    <row r="427" s="146" customFormat="1" x14ac:dyDescent="0.35"/>
    <row r="428" s="146" customFormat="1" x14ac:dyDescent="0.35"/>
    <row r="429" s="146" customFormat="1" x14ac:dyDescent="0.35"/>
    <row r="430" s="146" customFormat="1" x14ac:dyDescent="0.35"/>
    <row r="431" s="146" customFormat="1" x14ac:dyDescent="0.35"/>
    <row r="432" s="146" customFormat="1" x14ac:dyDescent="0.35"/>
    <row r="433" s="146" customFormat="1" x14ac:dyDescent="0.35"/>
    <row r="434" s="146" customFormat="1" x14ac:dyDescent="0.35"/>
    <row r="435" s="146" customFormat="1" x14ac:dyDescent="0.35"/>
    <row r="436" s="146" customFormat="1" x14ac:dyDescent="0.35"/>
    <row r="437" s="146" customFormat="1" x14ac:dyDescent="0.35"/>
    <row r="438" s="146" customFormat="1" x14ac:dyDescent="0.35"/>
    <row r="439" s="146" customFormat="1" x14ac:dyDescent="0.35"/>
    <row r="440" s="146" customFormat="1" x14ac:dyDescent="0.35"/>
    <row r="441" s="146" customFormat="1" x14ac:dyDescent="0.35"/>
    <row r="442" s="146" customFormat="1" x14ac:dyDescent="0.35"/>
    <row r="443" s="146" customFormat="1" x14ac:dyDescent="0.35"/>
    <row r="444" s="146" customFormat="1" x14ac:dyDescent="0.35"/>
    <row r="445" s="146" customFormat="1" x14ac:dyDescent="0.35"/>
    <row r="446" s="146" customFormat="1" x14ac:dyDescent="0.35"/>
    <row r="447" s="146" customFormat="1" x14ac:dyDescent="0.35"/>
    <row r="448" s="146" customFormat="1" x14ac:dyDescent="0.35"/>
    <row r="449" s="146" customFormat="1" x14ac:dyDescent="0.35"/>
    <row r="450" s="146" customFormat="1" x14ac:dyDescent="0.35"/>
    <row r="451" s="146" customFormat="1" x14ac:dyDescent="0.35"/>
    <row r="452" s="146" customFormat="1" x14ac:dyDescent="0.35"/>
    <row r="453" s="146" customFormat="1" x14ac:dyDescent="0.35"/>
    <row r="454" s="146" customFormat="1" x14ac:dyDescent="0.35"/>
    <row r="455" s="146" customFormat="1" x14ac:dyDescent="0.35"/>
    <row r="456" s="146" customFormat="1" x14ac:dyDescent="0.35"/>
    <row r="457" s="146" customFormat="1" x14ac:dyDescent="0.35"/>
    <row r="458" s="146" customFormat="1" x14ac:dyDescent="0.35"/>
    <row r="459" s="146" customFormat="1" x14ac:dyDescent="0.35"/>
    <row r="460" s="146" customFormat="1" x14ac:dyDescent="0.35"/>
    <row r="461" s="146" customFormat="1" x14ac:dyDescent="0.35"/>
    <row r="462" s="146" customFormat="1" x14ac:dyDescent="0.35"/>
    <row r="463" s="146" customFormat="1" x14ac:dyDescent="0.35"/>
    <row r="464" s="146" customFormat="1" x14ac:dyDescent="0.35"/>
    <row r="465" s="146" customFormat="1" x14ac:dyDescent="0.35"/>
    <row r="466" s="146" customFormat="1" x14ac:dyDescent="0.35"/>
    <row r="467" s="146" customFormat="1" x14ac:dyDescent="0.35"/>
    <row r="468" s="146" customFormat="1" x14ac:dyDescent="0.35"/>
    <row r="469" s="146" customFormat="1" x14ac:dyDescent="0.35"/>
    <row r="470" s="146" customFormat="1" x14ac:dyDescent="0.35"/>
    <row r="471" s="146" customFormat="1" x14ac:dyDescent="0.35"/>
    <row r="472" s="146" customFormat="1" x14ac:dyDescent="0.35"/>
    <row r="473" s="146" customFormat="1" x14ac:dyDescent="0.35"/>
    <row r="474" s="146" customFormat="1" x14ac:dyDescent="0.35"/>
    <row r="475" s="146" customFormat="1" x14ac:dyDescent="0.35"/>
    <row r="476" s="146" customFormat="1" x14ac:dyDescent="0.35"/>
    <row r="477" s="146" customFormat="1" x14ac:dyDescent="0.35"/>
    <row r="478" s="146" customFormat="1" x14ac:dyDescent="0.35"/>
    <row r="479" s="146" customFormat="1" x14ac:dyDescent="0.35"/>
    <row r="480" s="146" customFormat="1" x14ac:dyDescent="0.35"/>
    <row r="481" s="146" customFormat="1" x14ac:dyDescent="0.35"/>
    <row r="482" s="146" customFormat="1" x14ac:dyDescent="0.35"/>
    <row r="483" s="146" customFormat="1" x14ac:dyDescent="0.35"/>
    <row r="484" s="146" customFormat="1" x14ac:dyDescent="0.35"/>
    <row r="485" s="146" customFormat="1" x14ac:dyDescent="0.35"/>
    <row r="486" s="146" customFormat="1" x14ac:dyDescent="0.35"/>
    <row r="487" s="146" customFormat="1" x14ac:dyDescent="0.35"/>
    <row r="488" s="146" customFormat="1" x14ac:dyDescent="0.35"/>
    <row r="489" s="146" customFormat="1" x14ac:dyDescent="0.35"/>
    <row r="490" s="146" customFormat="1" x14ac:dyDescent="0.35"/>
    <row r="491" s="146" customFormat="1" x14ac:dyDescent="0.35"/>
    <row r="492" s="146" customFormat="1" x14ac:dyDescent="0.35"/>
    <row r="493" s="146" customFormat="1" x14ac:dyDescent="0.35"/>
    <row r="494" s="146" customFormat="1" x14ac:dyDescent="0.35"/>
    <row r="495" s="146" customFormat="1" x14ac:dyDescent="0.35"/>
    <row r="496" s="146" customFormat="1" x14ac:dyDescent="0.35"/>
    <row r="497" s="146" customFormat="1" x14ac:dyDescent="0.35"/>
    <row r="498" s="146" customFormat="1" x14ac:dyDescent="0.35"/>
    <row r="499" s="146" customFormat="1" x14ac:dyDescent="0.35"/>
    <row r="500" s="146" customFormat="1" x14ac:dyDescent="0.35"/>
    <row r="501" s="146" customFormat="1" x14ac:dyDescent="0.35"/>
    <row r="502" s="146" customFormat="1" x14ac:dyDescent="0.35"/>
    <row r="503" s="146" customFormat="1" x14ac:dyDescent="0.35"/>
    <row r="504" s="146" customFormat="1" x14ac:dyDescent="0.35"/>
    <row r="505" s="146" customFormat="1" x14ac:dyDescent="0.35"/>
    <row r="506" s="146" customFormat="1" x14ac:dyDescent="0.35"/>
    <row r="507" s="146" customFormat="1" x14ac:dyDescent="0.35"/>
    <row r="508" s="146" customFormat="1" x14ac:dyDescent="0.35"/>
    <row r="509" s="146" customFormat="1" x14ac:dyDescent="0.35"/>
    <row r="510" s="146" customFormat="1" x14ac:dyDescent="0.35"/>
    <row r="511" s="146" customFormat="1" x14ac:dyDescent="0.35"/>
    <row r="512" s="146" customFormat="1" x14ac:dyDescent="0.35"/>
    <row r="513" s="146" customFormat="1" x14ac:dyDescent="0.35"/>
    <row r="514" s="146" customFormat="1" x14ac:dyDescent="0.35"/>
    <row r="515" s="146" customFormat="1" x14ac:dyDescent="0.35"/>
    <row r="516" s="146" customFormat="1" x14ac:dyDescent="0.35"/>
    <row r="517" s="146" customFormat="1" x14ac:dyDescent="0.35"/>
    <row r="518" s="146" customFormat="1" x14ac:dyDescent="0.35"/>
    <row r="519" s="146" customFormat="1" x14ac:dyDescent="0.35"/>
    <row r="520" s="146" customFormat="1" x14ac:dyDescent="0.35"/>
    <row r="521" s="146" customFormat="1" x14ac:dyDescent="0.35"/>
    <row r="522" s="146" customFormat="1" x14ac:dyDescent="0.35"/>
    <row r="523" s="146" customFormat="1" x14ac:dyDescent="0.35"/>
    <row r="524" s="146" customFormat="1" x14ac:dyDescent="0.35"/>
    <row r="525" s="146" customFormat="1" x14ac:dyDescent="0.35"/>
    <row r="526" s="146" customFormat="1" x14ac:dyDescent="0.35"/>
    <row r="527" s="146" customFormat="1" x14ac:dyDescent="0.35"/>
    <row r="528" s="146" customFormat="1" x14ac:dyDescent="0.35"/>
    <row r="529" s="146" customFormat="1" x14ac:dyDescent="0.35"/>
    <row r="530" s="146" customFormat="1" x14ac:dyDescent="0.35"/>
    <row r="531" s="146" customFormat="1" x14ac:dyDescent="0.35"/>
    <row r="532" s="146" customFormat="1" x14ac:dyDescent="0.35"/>
    <row r="533" s="146" customFormat="1" x14ac:dyDescent="0.35"/>
    <row r="534" s="146" customFormat="1" x14ac:dyDescent="0.35"/>
    <row r="535" s="146" customFormat="1" x14ac:dyDescent="0.35"/>
    <row r="536" s="146" customFormat="1" x14ac:dyDescent="0.35"/>
    <row r="537" s="146" customFormat="1" x14ac:dyDescent="0.35"/>
    <row r="538" s="146" customFormat="1" x14ac:dyDescent="0.35"/>
    <row r="539" s="146" customFormat="1" x14ac:dyDescent="0.35"/>
    <row r="540" s="146" customFormat="1" x14ac:dyDescent="0.35"/>
    <row r="541" s="146" customFormat="1" x14ac:dyDescent="0.35"/>
    <row r="542" s="146" customFormat="1" x14ac:dyDescent="0.35"/>
    <row r="543" s="146" customFormat="1" x14ac:dyDescent="0.35"/>
    <row r="544" s="146" customFormat="1" x14ac:dyDescent="0.35"/>
    <row r="545" s="146" customFormat="1" x14ac:dyDescent="0.35"/>
    <row r="546" s="146" customFormat="1" x14ac:dyDescent="0.35"/>
    <row r="547" s="146" customFormat="1" x14ac:dyDescent="0.35"/>
    <row r="548" s="146" customFormat="1" x14ac:dyDescent="0.35"/>
    <row r="549" s="146" customFormat="1" x14ac:dyDescent="0.35"/>
    <row r="550" s="146" customFormat="1" x14ac:dyDescent="0.35"/>
    <row r="551" s="146" customFormat="1" x14ac:dyDescent="0.35"/>
    <row r="552" s="146" customFormat="1" x14ac:dyDescent="0.35"/>
    <row r="553" s="146" customFormat="1" x14ac:dyDescent="0.35"/>
    <row r="554" s="146" customFormat="1" x14ac:dyDescent="0.35"/>
    <row r="555" s="146" customFormat="1" x14ac:dyDescent="0.35"/>
    <row r="556" s="146" customFormat="1" x14ac:dyDescent="0.35"/>
    <row r="557" s="146" customFormat="1" x14ac:dyDescent="0.35"/>
    <row r="558" s="146" customFormat="1" x14ac:dyDescent="0.35"/>
    <row r="559" s="146" customFormat="1" x14ac:dyDescent="0.35"/>
    <row r="560" s="146" customFormat="1" x14ac:dyDescent="0.35"/>
    <row r="561" s="146" customFormat="1" x14ac:dyDescent="0.35"/>
    <row r="562" s="146" customFormat="1" x14ac:dyDescent="0.35"/>
    <row r="563" s="146" customFormat="1" x14ac:dyDescent="0.35"/>
    <row r="564" s="146" customFormat="1" x14ac:dyDescent="0.35"/>
    <row r="565" s="146" customFormat="1" x14ac:dyDescent="0.35"/>
    <row r="566" s="146" customFormat="1" x14ac:dyDescent="0.35"/>
    <row r="567" s="146" customFormat="1" x14ac:dyDescent="0.35"/>
    <row r="568" s="146" customFormat="1" x14ac:dyDescent="0.35"/>
    <row r="569" s="146" customFormat="1" x14ac:dyDescent="0.35"/>
    <row r="570" s="146" customFormat="1" x14ac:dyDescent="0.35"/>
    <row r="571" s="146" customFormat="1" x14ac:dyDescent="0.35"/>
    <row r="572" s="146" customFormat="1" x14ac:dyDescent="0.35"/>
    <row r="573" s="146" customFormat="1" x14ac:dyDescent="0.35"/>
    <row r="574" s="146" customFormat="1" x14ac:dyDescent="0.35"/>
    <row r="575" s="146" customFormat="1" x14ac:dyDescent="0.35"/>
    <row r="576" s="146" customFormat="1" x14ac:dyDescent="0.35"/>
    <row r="577" s="146" customFormat="1" x14ac:dyDescent="0.35"/>
    <row r="578" s="146" customFormat="1" x14ac:dyDescent="0.35"/>
    <row r="579" s="146" customFormat="1" x14ac:dyDescent="0.35"/>
    <row r="580" s="146" customFormat="1" x14ac:dyDescent="0.35"/>
    <row r="581" s="146" customFormat="1" x14ac:dyDescent="0.35"/>
    <row r="582" s="146" customFormat="1" x14ac:dyDescent="0.35"/>
    <row r="583" s="146" customFormat="1" x14ac:dyDescent="0.35"/>
    <row r="584" s="146" customFormat="1" x14ac:dyDescent="0.35"/>
    <row r="585" s="146" customFormat="1" x14ac:dyDescent="0.35"/>
    <row r="586" s="146" customFormat="1" x14ac:dyDescent="0.35"/>
    <row r="587" s="146" customFormat="1" x14ac:dyDescent="0.35"/>
    <row r="588" s="146" customFormat="1" x14ac:dyDescent="0.35"/>
    <row r="589" s="146" customFormat="1" x14ac:dyDescent="0.35"/>
    <row r="590" s="146" customFormat="1" x14ac:dyDescent="0.35"/>
    <row r="591" s="146" customFormat="1" x14ac:dyDescent="0.35"/>
    <row r="592" s="146" customFormat="1" x14ac:dyDescent="0.35"/>
    <row r="593" s="146" customFormat="1" x14ac:dyDescent="0.35"/>
    <row r="594" s="146" customFormat="1" x14ac:dyDescent="0.35"/>
    <row r="595" s="146" customFormat="1" x14ac:dyDescent="0.35"/>
    <row r="596" s="146" customFormat="1" x14ac:dyDescent="0.35"/>
    <row r="597" s="146" customFormat="1" x14ac:dyDescent="0.35"/>
    <row r="598" s="146" customFormat="1" x14ac:dyDescent="0.35"/>
    <row r="599" s="146" customFormat="1" x14ac:dyDescent="0.35"/>
    <row r="600" s="146" customFormat="1" x14ac:dyDescent="0.35"/>
    <row r="601" s="146" customFormat="1" x14ac:dyDescent="0.35"/>
    <row r="602" s="146" customFormat="1" x14ac:dyDescent="0.35"/>
    <row r="603" s="146" customFormat="1" x14ac:dyDescent="0.35"/>
    <row r="604" s="146" customFormat="1" x14ac:dyDescent="0.35"/>
    <row r="605" s="146" customFormat="1" x14ac:dyDescent="0.35"/>
    <row r="606" s="146" customFormat="1" x14ac:dyDescent="0.35"/>
    <row r="607" s="146" customFormat="1" x14ac:dyDescent="0.35"/>
    <row r="608" s="146" customFormat="1" x14ac:dyDescent="0.35"/>
    <row r="609" s="146" customFormat="1" x14ac:dyDescent="0.35"/>
    <row r="610" s="146" customFormat="1" x14ac:dyDescent="0.35"/>
    <row r="611" s="146" customFormat="1" x14ac:dyDescent="0.35"/>
    <row r="612" s="146" customFormat="1" x14ac:dyDescent="0.35"/>
    <row r="613" s="146" customFormat="1" x14ac:dyDescent="0.35"/>
    <row r="614" s="146" customFormat="1" x14ac:dyDescent="0.35"/>
    <row r="615" s="146" customFormat="1" x14ac:dyDescent="0.35"/>
    <row r="616" s="146" customFormat="1" x14ac:dyDescent="0.35"/>
    <row r="617" s="146" customFormat="1" x14ac:dyDescent="0.35"/>
    <row r="618" s="146" customFormat="1" x14ac:dyDescent="0.35"/>
    <row r="619" s="146" customFormat="1" x14ac:dyDescent="0.35"/>
    <row r="620" s="146" customFormat="1" x14ac:dyDescent="0.35"/>
    <row r="621" s="146" customFormat="1" x14ac:dyDescent="0.35"/>
    <row r="622" s="146" customFormat="1" x14ac:dyDescent="0.35"/>
    <row r="623" s="146" customFormat="1" x14ac:dyDescent="0.35"/>
    <row r="624" s="146" customFormat="1" x14ac:dyDescent="0.35"/>
    <row r="625" s="146" customFormat="1" x14ac:dyDescent="0.35"/>
    <row r="626" s="146" customFormat="1" x14ac:dyDescent="0.35"/>
    <row r="627" s="146" customFormat="1" x14ac:dyDescent="0.35"/>
    <row r="628" s="146" customFormat="1" x14ac:dyDescent="0.35"/>
    <row r="629" s="146" customFormat="1" x14ac:dyDescent="0.35"/>
    <row r="630" s="146" customFormat="1" x14ac:dyDescent="0.35"/>
    <row r="631" s="146" customFormat="1" x14ac:dyDescent="0.35"/>
    <row r="632" s="146" customFormat="1" x14ac:dyDescent="0.35"/>
    <row r="633" s="146" customFormat="1" x14ac:dyDescent="0.35"/>
    <row r="634" s="146" customFormat="1" x14ac:dyDescent="0.35"/>
    <row r="635" s="146" customFormat="1" x14ac:dyDescent="0.35"/>
    <row r="636" s="146" customFormat="1" x14ac:dyDescent="0.35"/>
    <row r="637" s="146" customFormat="1" x14ac:dyDescent="0.35"/>
    <row r="638" s="146" customFormat="1" x14ac:dyDescent="0.35"/>
    <row r="639" s="146" customFormat="1" x14ac:dyDescent="0.35"/>
    <row r="640" s="146" customFormat="1" x14ac:dyDescent="0.35"/>
    <row r="641" s="146" customFormat="1" x14ac:dyDescent="0.35"/>
    <row r="642" s="146" customFormat="1" x14ac:dyDescent="0.35"/>
    <row r="643" s="146" customFormat="1" x14ac:dyDescent="0.35"/>
    <row r="644" s="146" customFormat="1" x14ac:dyDescent="0.35"/>
    <row r="645" s="146" customFormat="1" x14ac:dyDescent="0.35"/>
    <row r="646" s="146" customFormat="1" x14ac:dyDescent="0.35"/>
    <row r="647" s="146" customFormat="1" x14ac:dyDescent="0.35"/>
    <row r="648" s="146" customFormat="1" x14ac:dyDescent="0.35"/>
    <row r="649" s="146" customFormat="1" x14ac:dyDescent="0.35"/>
    <row r="650" s="146" customFormat="1" x14ac:dyDescent="0.35"/>
    <row r="651" s="146" customFormat="1" x14ac:dyDescent="0.35"/>
    <row r="652" s="146" customFormat="1" x14ac:dyDescent="0.35"/>
    <row r="653" s="146" customFormat="1" x14ac:dyDescent="0.35"/>
    <row r="654" s="146" customFormat="1" x14ac:dyDescent="0.35"/>
    <row r="655" s="146" customFormat="1" x14ac:dyDescent="0.35"/>
    <row r="656" s="146" customFormat="1" x14ac:dyDescent="0.35"/>
    <row r="657" s="146" customFormat="1" x14ac:dyDescent="0.35"/>
    <row r="658" s="146" customFormat="1" x14ac:dyDescent="0.35"/>
    <row r="659" s="146" customFormat="1" x14ac:dyDescent="0.35"/>
    <row r="660" s="146" customFormat="1" x14ac:dyDescent="0.35"/>
    <row r="661" s="146" customFormat="1" x14ac:dyDescent="0.35"/>
    <row r="662" s="146" customFormat="1" x14ac:dyDescent="0.35"/>
    <row r="663" s="146" customFormat="1" x14ac:dyDescent="0.35"/>
    <row r="664" s="146" customFormat="1" x14ac:dyDescent="0.35"/>
    <row r="665" s="146" customFormat="1" x14ac:dyDescent="0.35"/>
    <row r="666" s="146" customFormat="1" x14ac:dyDescent="0.35"/>
    <row r="667" s="146" customFormat="1" x14ac:dyDescent="0.35"/>
    <row r="668" s="146" customFormat="1" x14ac:dyDescent="0.35"/>
    <row r="669" s="146" customFormat="1" x14ac:dyDescent="0.35"/>
    <row r="670" s="146" customFormat="1" x14ac:dyDescent="0.35"/>
    <row r="671" s="146" customFormat="1" x14ac:dyDescent="0.35"/>
    <row r="672" s="146" customFormat="1" x14ac:dyDescent="0.35"/>
    <row r="673" s="146" customFormat="1" x14ac:dyDescent="0.35"/>
    <row r="674" s="146" customFormat="1" x14ac:dyDescent="0.35"/>
    <row r="675" s="146" customFormat="1" x14ac:dyDescent="0.35"/>
    <row r="676" s="146" customFormat="1" x14ac:dyDescent="0.35"/>
    <row r="677" s="146" customFormat="1" x14ac:dyDescent="0.35"/>
    <row r="678" s="146" customFormat="1" x14ac:dyDescent="0.35"/>
    <row r="679" s="146" customFormat="1" x14ac:dyDescent="0.35"/>
    <row r="680" s="146" customFormat="1" x14ac:dyDescent="0.35"/>
    <row r="681" s="146" customFormat="1" x14ac:dyDescent="0.35"/>
    <row r="682" s="146" customFormat="1" x14ac:dyDescent="0.35"/>
    <row r="683" s="146" customFormat="1" x14ac:dyDescent="0.35"/>
    <row r="684" s="146" customFormat="1" x14ac:dyDescent="0.35"/>
    <row r="685" s="146" customFormat="1" x14ac:dyDescent="0.35"/>
    <row r="686" s="146" customFormat="1" x14ac:dyDescent="0.35"/>
    <row r="687" s="146" customFormat="1" x14ac:dyDescent="0.35"/>
    <row r="688" s="146" customFormat="1" x14ac:dyDescent="0.35"/>
    <row r="689" s="146" customFormat="1" x14ac:dyDescent="0.35"/>
    <row r="690" s="146" customFormat="1" x14ac:dyDescent="0.35"/>
    <row r="691" s="146" customFormat="1" x14ac:dyDescent="0.35"/>
    <row r="692" s="146" customFormat="1" x14ac:dyDescent="0.35"/>
    <row r="693" s="146" customFormat="1" x14ac:dyDescent="0.35"/>
    <row r="694" s="146" customFormat="1" x14ac:dyDescent="0.35"/>
    <row r="695" s="146" customFormat="1" x14ac:dyDescent="0.35"/>
    <row r="696" s="146" customFormat="1" x14ac:dyDescent="0.35"/>
    <row r="697" s="146" customFormat="1" x14ac:dyDescent="0.35"/>
    <row r="698" s="146" customFormat="1" x14ac:dyDescent="0.35"/>
    <row r="699" s="146" customFormat="1" x14ac:dyDescent="0.35"/>
    <row r="700" s="146" customFormat="1" x14ac:dyDescent="0.35"/>
    <row r="701" s="146" customFormat="1" x14ac:dyDescent="0.35"/>
    <row r="702" s="146" customFormat="1" x14ac:dyDescent="0.35"/>
    <row r="703" s="146" customFormat="1" x14ac:dyDescent="0.35"/>
    <row r="704" s="146" customFormat="1" x14ac:dyDescent="0.35"/>
    <row r="705" s="146" customFormat="1" x14ac:dyDescent="0.35"/>
    <row r="706" s="146" customFormat="1" x14ac:dyDescent="0.35"/>
    <row r="707" s="146" customFormat="1" x14ac:dyDescent="0.35"/>
    <row r="708" s="146" customFormat="1" x14ac:dyDescent="0.35"/>
    <row r="709" s="146" customFormat="1" x14ac:dyDescent="0.35"/>
    <row r="710" s="146" customFormat="1" x14ac:dyDescent="0.35"/>
    <row r="711" s="146" customFormat="1" x14ac:dyDescent="0.35"/>
    <row r="712" s="146" customFormat="1" x14ac:dyDescent="0.35"/>
    <row r="713" s="146" customFormat="1" x14ac:dyDescent="0.35"/>
    <row r="714" s="146" customFormat="1" x14ac:dyDescent="0.35"/>
    <row r="715" s="146" customFormat="1" x14ac:dyDescent="0.35"/>
    <row r="716" s="146" customFormat="1" x14ac:dyDescent="0.35"/>
    <row r="717" s="146" customFormat="1" x14ac:dyDescent="0.35"/>
    <row r="718" s="146" customFormat="1" x14ac:dyDescent="0.35"/>
    <row r="719" s="146" customFormat="1" x14ac:dyDescent="0.35"/>
    <row r="720" s="146" customFormat="1" x14ac:dyDescent="0.35"/>
    <row r="721" s="146" customFormat="1" x14ac:dyDescent="0.35"/>
    <row r="722" s="146" customFormat="1" x14ac:dyDescent="0.35"/>
    <row r="723" s="146" customFormat="1" x14ac:dyDescent="0.35"/>
    <row r="724" s="146" customFormat="1" x14ac:dyDescent="0.35"/>
    <row r="725" s="146" customFormat="1" x14ac:dyDescent="0.35"/>
    <row r="726" s="146" customFormat="1" x14ac:dyDescent="0.35"/>
    <row r="727" s="146" customFormat="1" x14ac:dyDescent="0.35"/>
    <row r="728" s="146" customFormat="1" x14ac:dyDescent="0.35"/>
    <row r="729" s="146" customFormat="1" x14ac:dyDescent="0.35"/>
    <row r="730" s="146" customFormat="1" x14ac:dyDescent="0.35"/>
    <row r="731" s="146" customFormat="1" x14ac:dyDescent="0.35"/>
    <row r="732" s="146" customFormat="1" x14ac:dyDescent="0.35"/>
    <row r="733" s="146" customFormat="1" x14ac:dyDescent="0.35"/>
    <row r="734" s="146" customFormat="1" x14ac:dyDescent="0.35"/>
    <row r="735" s="146" customFormat="1" x14ac:dyDescent="0.35"/>
    <row r="736" s="146" customFormat="1" x14ac:dyDescent="0.35"/>
    <row r="737" s="146" customFormat="1" x14ac:dyDescent="0.35"/>
    <row r="738" s="146" customFormat="1" x14ac:dyDescent="0.35"/>
    <row r="739" s="146" customFormat="1" x14ac:dyDescent="0.35"/>
    <row r="740" s="146" customFormat="1" x14ac:dyDescent="0.35"/>
    <row r="741" s="146" customFormat="1" x14ac:dyDescent="0.35"/>
    <row r="742" s="146" customFormat="1" x14ac:dyDescent="0.35"/>
    <row r="743" s="146" customFormat="1" x14ac:dyDescent="0.35"/>
    <row r="744" s="146" customFormat="1" x14ac:dyDescent="0.35"/>
    <row r="745" s="146" customFormat="1" x14ac:dyDescent="0.35"/>
    <row r="746" s="146" customFormat="1" x14ac:dyDescent="0.35"/>
    <row r="747" s="146" customFormat="1" x14ac:dyDescent="0.35"/>
    <row r="748" s="146" customFormat="1" x14ac:dyDescent="0.35"/>
    <row r="749" s="146" customFormat="1" x14ac:dyDescent="0.35"/>
    <row r="750" s="146" customFormat="1" x14ac:dyDescent="0.35"/>
    <row r="751" s="146" customFormat="1" x14ac:dyDescent="0.35"/>
    <row r="752" s="146" customFormat="1" x14ac:dyDescent="0.35"/>
    <row r="753" s="146" customFormat="1" x14ac:dyDescent="0.35"/>
    <row r="754" s="146" customFormat="1" x14ac:dyDescent="0.35"/>
    <row r="755" s="146" customFormat="1" x14ac:dyDescent="0.35"/>
    <row r="756" s="146" customFormat="1" x14ac:dyDescent="0.35"/>
    <row r="757" s="146" customFormat="1" x14ac:dyDescent="0.35"/>
    <row r="758" s="146" customFormat="1" x14ac:dyDescent="0.35"/>
    <row r="759" s="146" customFormat="1" x14ac:dyDescent="0.35"/>
    <row r="760" s="146" customFormat="1" x14ac:dyDescent="0.35"/>
    <row r="761" s="146" customFormat="1" x14ac:dyDescent="0.35"/>
    <row r="762" s="146" customFormat="1" x14ac:dyDescent="0.35"/>
    <row r="763" s="146" customFormat="1" x14ac:dyDescent="0.35"/>
    <row r="764" s="146" customFormat="1" x14ac:dyDescent="0.35"/>
    <row r="765" s="146" customFormat="1" x14ac:dyDescent="0.35"/>
    <row r="766" s="146" customFormat="1" x14ac:dyDescent="0.35"/>
    <row r="767" s="146" customFormat="1" x14ac:dyDescent="0.35"/>
    <row r="768" s="146" customFormat="1" x14ac:dyDescent="0.35"/>
    <row r="769" s="146" customFormat="1" x14ac:dyDescent="0.35"/>
    <row r="770" s="146" customFormat="1" x14ac:dyDescent="0.35"/>
    <row r="771" s="146" customFormat="1" x14ac:dyDescent="0.35"/>
    <row r="772" s="146" customFormat="1" x14ac:dyDescent="0.35"/>
    <row r="773" s="146" customFormat="1" x14ac:dyDescent="0.35"/>
    <row r="774" s="146" customFormat="1" x14ac:dyDescent="0.35"/>
    <row r="775" s="146" customFormat="1" x14ac:dyDescent="0.35"/>
    <row r="776" s="146" customFormat="1" x14ac:dyDescent="0.35"/>
    <row r="777" s="146" customFormat="1" x14ac:dyDescent="0.35"/>
    <row r="778" s="146" customFormat="1" x14ac:dyDescent="0.35"/>
    <row r="779" s="146" customFormat="1" x14ac:dyDescent="0.35"/>
    <row r="780" s="146" customFormat="1" x14ac:dyDescent="0.35"/>
    <row r="781" s="146" customFormat="1" x14ac:dyDescent="0.35"/>
    <row r="782" s="146" customFormat="1" x14ac:dyDescent="0.35"/>
    <row r="783" s="146" customFormat="1" x14ac:dyDescent="0.35"/>
    <row r="784" s="146" customFormat="1" x14ac:dyDescent="0.35"/>
    <row r="785" s="146" customFormat="1" x14ac:dyDescent="0.35"/>
    <row r="786" s="146" customFormat="1" x14ac:dyDescent="0.35"/>
    <row r="787" s="146" customFormat="1" x14ac:dyDescent="0.35"/>
    <row r="788" s="146" customFormat="1" x14ac:dyDescent="0.35"/>
    <row r="789" s="146" customFormat="1" x14ac:dyDescent="0.35"/>
    <row r="790" s="146" customFormat="1" x14ac:dyDescent="0.35"/>
    <row r="791" s="146" customFormat="1" x14ac:dyDescent="0.35"/>
    <row r="792" s="146" customFormat="1" x14ac:dyDescent="0.35"/>
    <row r="793" s="146" customFormat="1" x14ac:dyDescent="0.35"/>
    <row r="794" s="146" customFormat="1" x14ac:dyDescent="0.35"/>
    <row r="795" s="146" customFormat="1" x14ac:dyDescent="0.35"/>
    <row r="796" s="146" customFormat="1" x14ac:dyDescent="0.35"/>
    <row r="797" s="146" customFormat="1" x14ac:dyDescent="0.35"/>
  </sheetData>
  <mergeCells count="1">
    <mergeCell ref="A1:G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64D9E-53DF-4777-93D8-E2288888A934}">
  <dimension ref="A1:BS799"/>
  <sheetViews>
    <sheetView tabSelected="1" workbookViewId="0">
      <selection sqref="A1:G1"/>
    </sheetView>
  </sheetViews>
  <sheetFormatPr defaultRowHeight="12.75" x14ac:dyDescent="0.35"/>
  <cols>
    <col min="1" max="1" width="63" customWidth="1"/>
    <col min="2" max="2" width="20" customWidth="1"/>
    <col min="3" max="3" width="17.86328125" customWidth="1"/>
    <col min="4" max="4" width="23" customWidth="1"/>
    <col min="5" max="5" width="17.73046875" customWidth="1"/>
    <col min="6" max="6" width="17.3984375" customWidth="1"/>
    <col min="7" max="7" width="14.1328125" customWidth="1"/>
    <col min="8" max="49" width="9.06640625" style="146"/>
    <col min="50" max="71" width="9.06640625" style="145"/>
  </cols>
  <sheetData>
    <row r="1" spans="1:7" ht="17.649999999999999" x14ac:dyDescent="0.45">
      <c r="A1" s="154" t="s">
        <v>193</v>
      </c>
      <c r="B1" s="155"/>
      <c r="C1" s="155"/>
      <c r="D1" s="155"/>
      <c r="E1" s="155"/>
      <c r="F1" s="155"/>
      <c r="G1" s="156"/>
    </row>
    <row r="2" spans="1:7" ht="54" x14ac:dyDescent="0.55000000000000004">
      <c r="A2" s="151" t="s">
        <v>1</v>
      </c>
      <c r="B2" s="152" t="s">
        <v>2</v>
      </c>
      <c r="C2" s="152" t="s">
        <v>3</v>
      </c>
      <c r="D2" s="152" t="s">
        <v>4</v>
      </c>
      <c r="E2" s="152" t="s">
        <v>5</v>
      </c>
      <c r="F2" s="152" t="s">
        <v>6</v>
      </c>
      <c r="G2" s="153" t="s">
        <v>9</v>
      </c>
    </row>
    <row r="3" spans="1:7" ht="15.4" x14ac:dyDescent="0.45">
      <c r="A3" s="149" t="s">
        <v>180</v>
      </c>
      <c r="B3" s="147">
        <v>194166</v>
      </c>
      <c r="C3" s="147">
        <v>884000.87</v>
      </c>
      <c r="D3" s="147">
        <v>-689834.87</v>
      </c>
      <c r="E3" s="147">
        <v>439807.5</v>
      </c>
      <c r="F3" s="147">
        <v>-250027.37</v>
      </c>
      <c r="G3" s="143">
        <f>IFERROR(B3/$B$137, "")</f>
        <v>5.4594626993555075E-4</v>
      </c>
    </row>
    <row r="4" spans="1:7" ht="15.4" x14ac:dyDescent="0.45">
      <c r="A4" s="149" t="s">
        <v>165</v>
      </c>
      <c r="B4" s="147">
        <v>442522</v>
      </c>
      <c r="C4" s="147">
        <v>318211</v>
      </c>
      <c r="D4" s="147">
        <v>124311</v>
      </c>
      <c r="E4" s="147">
        <v>0</v>
      </c>
      <c r="F4" s="147">
        <v>101492</v>
      </c>
      <c r="G4" s="143">
        <f>IFERROR(B4/$B$137, "")</f>
        <v>1.2442612777953904E-3</v>
      </c>
    </row>
    <row r="5" spans="1:7" ht="15.4" x14ac:dyDescent="0.45">
      <c r="A5" s="149" t="s">
        <v>117</v>
      </c>
      <c r="B5" s="147">
        <v>53006</v>
      </c>
      <c r="C5" s="147">
        <v>305214.09000000003</v>
      </c>
      <c r="D5" s="147">
        <v>-252208.09</v>
      </c>
      <c r="E5" s="147">
        <v>0</v>
      </c>
      <c r="F5" s="147">
        <v>-252208.09</v>
      </c>
      <c r="G5" s="143">
        <f>IFERROR(B5/$B$137, "")</f>
        <v>1.4903962580577342E-4</v>
      </c>
    </row>
    <row r="6" spans="1:7" ht="15.4" x14ac:dyDescent="0.45">
      <c r="A6" s="149" t="s">
        <v>10</v>
      </c>
      <c r="B6" s="147">
        <v>8301923</v>
      </c>
      <c r="C6" s="147">
        <v>6942601</v>
      </c>
      <c r="D6" s="147">
        <v>1359322</v>
      </c>
      <c r="E6" s="147">
        <v>150060</v>
      </c>
      <c r="F6" s="147">
        <v>58407</v>
      </c>
      <c r="G6" s="143">
        <f>IFERROR(B6/$B$137, "")</f>
        <v>2.3342932826252574E-2</v>
      </c>
    </row>
    <row r="7" spans="1:7" ht="15.4" x14ac:dyDescent="0.45">
      <c r="A7" s="149" t="s">
        <v>11</v>
      </c>
      <c r="B7" s="147">
        <v>109553</v>
      </c>
      <c r="C7" s="147">
        <v>135032</v>
      </c>
      <c r="D7" s="147">
        <v>-25479</v>
      </c>
      <c r="E7" s="147">
        <v>0</v>
      </c>
      <c r="F7" s="147">
        <v>-25479</v>
      </c>
      <c r="G7" s="143">
        <f>IFERROR(B7/$B$137, "")</f>
        <v>3.0803565871599247E-4</v>
      </c>
    </row>
    <row r="8" spans="1:7" ht="15.4" x14ac:dyDescent="0.45">
      <c r="A8" s="149" t="s">
        <v>162</v>
      </c>
      <c r="B8" s="147">
        <v>3954775</v>
      </c>
      <c r="C8" s="147">
        <v>3518185.6</v>
      </c>
      <c r="D8" s="147">
        <v>436589.4</v>
      </c>
      <c r="E8" s="147">
        <v>0</v>
      </c>
      <c r="F8" s="147">
        <v>436589.4</v>
      </c>
      <c r="G8" s="143">
        <f>IFERROR(B8/$B$137, "")</f>
        <v>1.1119839002113489E-2</v>
      </c>
    </row>
    <row r="9" spans="1:7" ht="15.4" x14ac:dyDescent="0.45">
      <c r="A9" s="149" t="s">
        <v>12</v>
      </c>
      <c r="B9" s="147">
        <v>1936401</v>
      </c>
      <c r="C9" s="147">
        <v>2094202.39</v>
      </c>
      <c r="D9" s="147">
        <v>-157801.39000000001</v>
      </c>
      <c r="E9" s="147">
        <v>403245.74</v>
      </c>
      <c r="F9" s="147">
        <v>245444.35</v>
      </c>
      <c r="G9" s="143">
        <f>IFERROR(B9/$B$137, "")</f>
        <v>5.4446757055790938E-3</v>
      </c>
    </row>
    <row r="10" spans="1:7" ht="15.4" x14ac:dyDescent="0.45">
      <c r="A10" s="149" t="s">
        <v>13</v>
      </c>
      <c r="B10" s="147">
        <v>1055022</v>
      </c>
      <c r="C10" s="147">
        <v>1088304.6000000001</v>
      </c>
      <c r="D10" s="147">
        <v>-33282.6</v>
      </c>
      <c r="E10" s="147">
        <v>5225.6000000000004</v>
      </c>
      <c r="F10" s="147">
        <v>-27659.59</v>
      </c>
      <c r="G10" s="143">
        <f>IFERROR(B10/$B$137, "")</f>
        <v>2.9664582141051706E-3</v>
      </c>
    </row>
    <row r="11" spans="1:7" ht="15.4" x14ac:dyDescent="0.45">
      <c r="A11" s="149" t="s">
        <v>14</v>
      </c>
      <c r="B11" s="147">
        <v>1621150</v>
      </c>
      <c r="C11" s="147">
        <v>1447763</v>
      </c>
      <c r="D11" s="147">
        <v>173387</v>
      </c>
      <c r="E11" s="147">
        <v>-57177</v>
      </c>
      <c r="F11" s="147">
        <v>82800</v>
      </c>
      <c r="G11" s="143">
        <f>IFERROR(B11/$B$137, "")</f>
        <v>4.558268674773225E-3</v>
      </c>
    </row>
    <row r="12" spans="1:7" ht="15.4" x14ac:dyDescent="0.45">
      <c r="A12" s="149" t="s">
        <v>16</v>
      </c>
      <c r="B12" s="147">
        <v>2738232</v>
      </c>
      <c r="C12" s="147">
        <v>3383999.53</v>
      </c>
      <c r="D12" s="147">
        <v>-645767.53</v>
      </c>
      <c r="E12" s="147">
        <v>33725.19</v>
      </c>
      <c r="F12" s="147">
        <v>-612042.34</v>
      </c>
      <c r="G12" s="143">
        <f>IFERROR(B12/$B$137, "")</f>
        <v>7.6992241000904535E-3</v>
      </c>
    </row>
    <row r="13" spans="1:7" ht="15.4" x14ac:dyDescent="0.45">
      <c r="A13" s="149" t="s">
        <v>17</v>
      </c>
      <c r="B13" s="147">
        <v>1298169</v>
      </c>
      <c r="C13" s="147">
        <v>502196.64</v>
      </c>
      <c r="D13" s="147">
        <v>795972.36</v>
      </c>
      <c r="E13" s="147">
        <v>11209.48</v>
      </c>
      <c r="F13" s="147">
        <v>807181.84</v>
      </c>
      <c r="G13" s="143">
        <f>IFERROR(B13/$B$137, "")</f>
        <v>3.6501268156936021E-3</v>
      </c>
    </row>
    <row r="14" spans="1:7" ht="15.4" x14ac:dyDescent="0.45">
      <c r="A14" s="149" t="s">
        <v>18</v>
      </c>
      <c r="B14" s="147"/>
      <c r="C14" s="147"/>
      <c r="D14" s="147"/>
      <c r="E14" s="147"/>
      <c r="F14" s="147"/>
      <c r="G14" s="143">
        <f>IFERROR(B14/$B$137, "")</f>
        <v>0</v>
      </c>
    </row>
    <row r="15" spans="1:7" ht="15.4" x14ac:dyDescent="0.45">
      <c r="A15" s="149" t="s">
        <v>19</v>
      </c>
      <c r="B15" s="147">
        <v>819380</v>
      </c>
      <c r="C15" s="147">
        <v>1262126.68</v>
      </c>
      <c r="D15" s="147">
        <v>-442746.68</v>
      </c>
      <c r="E15" s="147">
        <v>305059.18</v>
      </c>
      <c r="F15" s="147">
        <v>-137687.5</v>
      </c>
      <c r="G15" s="143">
        <f>IFERROR(B15/$B$137, "")</f>
        <v>2.3038917970179722E-3</v>
      </c>
    </row>
    <row r="16" spans="1:7" ht="15.4" x14ac:dyDescent="0.45">
      <c r="A16" s="149" t="s">
        <v>20</v>
      </c>
      <c r="B16" s="147">
        <v>1559792</v>
      </c>
      <c r="C16" s="147">
        <v>1517637.84</v>
      </c>
      <c r="D16" s="147">
        <v>42154.16</v>
      </c>
      <c r="E16" s="147">
        <v>127741.05</v>
      </c>
      <c r="F16" s="147">
        <v>169895.21</v>
      </c>
      <c r="G16" s="143">
        <f>IFERROR(B16/$B$137, "")</f>
        <v>4.3857453121314369E-3</v>
      </c>
    </row>
    <row r="17" spans="1:7" ht="15.4" x14ac:dyDescent="0.45">
      <c r="A17" s="149" t="s">
        <v>21</v>
      </c>
      <c r="B17" s="147">
        <v>919592</v>
      </c>
      <c r="C17" s="147">
        <v>958234.35</v>
      </c>
      <c r="D17" s="147">
        <v>-38642.35</v>
      </c>
      <c r="E17" s="147">
        <v>50</v>
      </c>
      <c r="F17" s="147">
        <v>-35637.99</v>
      </c>
      <c r="G17" s="143">
        <f>IFERROR(B17/$B$137, "")</f>
        <v>2.5856628980489528E-3</v>
      </c>
    </row>
    <row r="18" spans="1:7" ht="15.4" x14ac:dyDescent="0.45">
      <c r="A18" s="149" t="s">
        <v>134</v>
      </c>
      <c r="B18" s="147">
        <v>1847841</v>
      </c>
      <c r="C18" s="147">
        <v>1563593.34</v>
      </c>
      <c r="D18" s="147">
        <v>284247.65999999997</v>
      </c>
      <c r="E18" s="147">
        <v>-665753.32999999996</v>
      </c>
      <c r="F18" s="147">
        <v>-389846.66</v>
      </c>
      <c r="G18" s="143">
        <f>IFERROR(B18/$B$137, "")</f>
        <v>5.1956671167144508E-3</v>
      </c>
    </row>
    <row r="19" spans="1:7" ht="15.4" x14ac:dyDescent="0.45">
      <c r="A19" s="149" t="s">
        <v>22</v>
      </c>
      <c r="B19" s="147">
        <v>392929</v>
      </c>
      <c r="C19" s="147">
        <v>308237.51</v>
      </c>
      <c r="D19" s="147">
        <v>84691.49</v>
      </c>
      <c r="E19" s="147">
        <v>67444.61</v>
      </c>
      <c r="F19" s="147">
        <v>152136.1</v>
      </c>
      <c r="G19" s="143">
        <f>IFERROR(B19/$B$137, "")</f>
        <v>1.1048181550812502E-3</v>
      </c>
    </row>
    <row r="20" spans="1:7" ht="15.4" x14ac:dyDescent="0.45">
      <c r="A20" s="149" t="s">
        <v>135</v>
      </c>
      <c r="B20" s="147">
        <v>315006</v>
      </c>
      <c r="C20" s="147">
        <v>411541.12</v>
      </c>
      <c r="D20" s="147">
        <v>-96535.12</v>
      </c>
      <c r="E20" s="147">
        <v>119839.03</v>
      </c>
      <c r="F20" s="147">
        <v>23303.91</v>
      </c>
      <c r="G20" s="143">
        <f>IFERROR(B20/$B$137, "")</f>
        <v>8.8571815203134484E-4</v>
      </c>
    </row>
    <row r="21" spans="1:7" ht="15.4" x14ac:dyDescent="0.45">
      <c r="A21" s="149" t="s">
        <v>23</v>
      </c>
      <c r="B21" s="147">
        <v>1187835</v>
      </c>
      <c r="C21" s="147">
        <v>1129826.43</v>
      </c>
      <c r="D21" s="147">
        <v>58008.57</v>
      </c>
      <c r="E21" s="147">
        <v>276053.51</v>
      </c>
      <c r="F21" s="147">
        <v>334062.08000000002</v>
      </c>
      <c r="G21" s="143">
        <f>IFERROR(B21/$B$137, "")</f>
        <v>3.3398951801494334E-3</v>
      </c>
    </row>
    <row r="22" spans="1:7" ht="15.4" x14ac:dyDescent="0.45">
      <c r="A22" s="149" t="s">
        <v>192</v>
      </c>
      <c r="B22" s="147">
        <v>260485</v>
      </c>
      <c r="C22" s="147">
        <v>198379.12</v>
      </c>
      <c r="D22" s="147">
        <v>62105.88</v>
      </c>
      <c r="E22" s="147">
        <v>0</v>
      </c>
      <c r="F22" s="147">
        <v>62105.88</v>
      </c>
      <c r="G22" s="143">
        <f>IFERROR(B22/$B$137, "")</f>
        <v>7.3241872482392352E-4</v>
      </c>
    </row>
    <row r="23" spans="1:7" ht="15.4" x14ac:dyDescent="0.45">
      <c r="A23" s="149" t="s">
        <v>24</v>
      </c>
      <c r="B23" s="147">
        <v>20813484</v>
      </c>
      <c r="C23" s="147">
        <v>27969107.140000001</v>
      </c>
      <c r="D23" s="147">
        <v>-7155623.1399999997</v>
      </c>
      <c r="E23" s="147">
        <v>9463376.4299999997</v>
      </c>
      <c r="F23" s="147">
        <v>102910.29</v>
      </c>
      <c r="G23" s="143">
        <f>IFERROR(B23/$B$137, "")</f>
        <v>5.852231572037981E-2</v>
      </c>
    </row>
    <row r="24" spans="1:7" ht="15.4" x14ac:dyDescent="0.45">
      <c r="A24" s="149" t="s">
        <v>136</v>
      </c>
      <c r="B24" s="147"/>
      <c r="C24" s="147"/>
      <c r="D24" s="147"/>
      <c r="E24" s="147"/>
      <c r="F24" s="147"/>
      <c r="G24" s="143">
        <f>IFERROR(B24/$B$137, "")</f>
        <v>0</v>
      </c>
    </row>
    <row r="25" spans="1:7" ht="15.4" x14ac:dyDescent="0.45">
      <c r="A25" s="149" t="s">
        <v>174</v>
      </c>
      <c r="B25" s="147">
        <v>1215426</v>
      </c>
      <c r="C25" s="147">
        <v>770770.28</v>
      </c>
      <c r="D25" s="147">
        <v>444655.72</v>
      </c>
      <c r="E25" s="147">
        <v>171483</v>
      </c>
      <c r="F25" s="147">
        <v>616138.72</v>
      </c>
      <c r="G25" s="143">
        <f>IFERROR(B25/$B$137, "")</f>
        <v>3.4174741771612264E-3</v>
      </c>
    </row>
    <row r="26" spans="1:7" ht="15.4" x14ac:dyDescent="0.45">
      <c r="A26" s="149" t="s">
        <v>25</v>
      </c>
      <c r="B26" s="147">
        <v>839154</v>
      </c>
      <c r="C26" s="147">
        <v>603422.68999999994</v>
      </c>
      <c r="D26" s="147">
        <v>235731.31</v>
      </c>
      <c r="E26" s="147">
        <v>8234.09</v>
      </c>
      <c r="F26" s="147">
        <v>243965.4</v>
      </c>
      <c r="G26" s="143">
        <f>IFERROR(B26/$B$137, "")</f>
        <v>2.3594913434973018E-3</v>
      </c>
    </row>
    <row r="27" spans="1:7" ht="15.4" x14ac:dyDescent="0.45">
      <c r="A27" s="149" t="s">
        <v>26</v>
      </c>
      <c r="B27" s="147">
        <v>130575</v>
      </c>
      <c r="C27" s="147">
        <v>77743.56</v>
      </c>
      <c r="D27" s="147">
        <v>52831.44</v>
      </c>
      <c r="E27" s="147">
        <v>0</v>
      </c>
      <c r="F27" s="147">
        <v>52831.44</v>
      </c>
      <c r="G27" s="143">
        <f>IFERROR(B27/$B$137, "")</f>
        <v>3.6714426932024419E-4</v>
      </c>
    </row>
    <row r="28" spans="1:7" ht="15.4" x14ac:dyDescent="0.45">
      <c r="A28" s="149" t="s">
        <v>27</v>
      </c>
      <c r="B28" s="147">
        <v>180577</v>
      </c>
      <c r="C28" s="147">
        <v>204021.98</v>
      </c>
      <c r="D28" s="147">
        <v>-23444.98</v>
      </c>
      <c r="E28" s="147">
        <v>45052.36</v>
      </c>
      <c r="F28" s="147">
        <v>21607.38</v>
      </c>
      <c r="G28" s="143">
        <f>IFERROR(B28/$B$137, "")</f>
        <v>5.0773739782532441E-4</v>
      </c>
    </row>
    <row r="29" spans="1:7" ht="15.4" x14ac:dyDescent="0.45">
      <c r="A29" s="149" t="s">
        <v>118</v>
      </c>
      <c r="B29" s="147">
        <v>484615</v>
      </c>
      <c r="C29" s="147">
        <v>648121</v>
      </c>
      <c r="D29" s="147">
        <v>-163506</v>
      </c>
      <c r="E29" s="147">
        <v>95120</v>
      </c>
      <c r="F29" s="147">
        <v>-68386</v>
      </c>
      <c r="G29" s="143">
        <f>IFERROR(B29/$B$137, "")</f>
        <v>1.3626162747587987E-3</v>
      </c>
    </row>
    <row r="30" spans="1:7" ht="15.4" x14ac:dyDescent="0.45">
      <c r="A30" s="149" t="s">
        <v>28</v>
      </c>
      <c r="B30" s="147">
        <v>1191612</v>
      </c>
      <c r="C30" s="147">
        <v>909714.94</v>
      </c>
      <c r="D30" s="147">
        <v>281897.06</v>
      </c>
      <c r="E30" s="147">
        <v>0</v>
      </c>
      <c r="F30" s="147">
        <v>281897.06</v>
      </c>
      <c r="G30" s="143">
        <f>IFERROR(B30/$B$137, "")</f>
        <v>3.3505151602775019E-3</v>
      </c>
    </row>
    <row r="31" spans="1:7" ht="15.4" x14ac:dyDescent="0.45">
      <c r="A31" s="149" t="s">
        <v>8</v>
      </c>
      <c r="B31" s="147">
        <v>326607</v>
      </c>
      <c r="C31" s="147">
        <v>204575</v>
      </c>
      <c r="D31" s="147">
        <v>122032</v>
      </c>
      <c r="E31" s="147">
        <v>0</v>
      </c>
      <c r="F31" s="147">
        <v>122032</v>
      </c>
      <c r="G31" s="143">
        <f>IFERROR(B31/$B$137, "")</f>
        <v>9.1833726494257707E-4</v>
      </c>
    </row>
    <row r="32" spans="1:7" ht="15.4" x14ac:dyDescent="0.45">
      <c r="A32" s="149" t="s">
        <v>29</v>
      </c>
      <c r="B32" s="147"/>
      <c r="C32" s="147"/>
      <c r="D32" s="147"/>
      <c r="E32" s="147"/>
      <c r="F32" s="147"/>
      <c r="G32" s="143">
        <f>IFERROR(B32/$B$137, "")</f>
        <v>0</v>
      </c>
    </row>
    <row r="33" spans="1:7" ht="15.4" x14ac:dyDescent="0.45">
      <c r="A33" s="149" t="s">
        <v>30</v>
      </c>
      <c r="B33" s="147"/>
      <c r="C33" s="147"/>
      <c r="D33" s="147"/>
      <c r="E33" s="147"/>
      <c r="F33" s="147"/>
      <c r="G33" s="143">
        <f>IFERROR(B33/$B$137, "")</f>
        <v>0</v>
      </c>
    </row>
    <row r="34" spans="1:7" ht="15.4" x14ac:dyDescent="0.45">
      <c r="A34" s="149" t="s">
        <v>31</v>
      </c>
      <c r="B34" s="147">
        <v>916480</v>
      </c>
      <c r="C34" s="147">
        <v>761407.54</v>
      </c>
      <c r="D34" s="147">
        <v>155072.46</v>
      </c>
      <c r="E34" s="147">
        <v>0</v>
      </c>
      <c r="F34" s="147">
        <v>155072.46</v>
      </c>
      <c r="G34" s="143">
        <f>IFERROR(B34/$B$137, "")</f>
        <v>2.5769127317374491E-3</v>
      </c>
    </row>
    <row r="35" spans="1:7" ht="15.4" x14ac:dyDescent="0.45">
      <c r="A35" s="149" t="s">
        <v>32</v>
      </c>
      <c r="B35" s="147">
        <v>46566</v>
      </c>
      <c r="C35" s="147">
        <v>165180</v>
      </c>
      <c r="D35" s="147">
        <v>-118614</v>
      </c>
      <c r="E35" s="147">
        <v>26914.66</v>
      </c>
      <c r="F35" s="147">
        <v>-91699.34</v>
      </c>
      <c r="G35" s="143">
        <f>IFERROR(B35/$B$137, "")</f>
        <v>1.3093195516114488E-4</v>
      </c>
    </row>
    <row r="36" spans="1:7" ht="15.4" x14ac:dyDescent="0.45">
      <c r="A36" s="149" t="s">
        <v>175</v>
      </c>
      <c r="B36" s="147">
        <v>709628</v>
      </c>
      <c r="C36" s="147">
        <v>418951</v>
      </c>
      <c r="D36" s="147">
        <v>290677</v>
      </c>
      <c r="E36" s="147">
        <v>48714</v>
      </c>
      <c r="F36" s="147">
        <v>339391</v>
      </c>
      <c r="G36" s="143">
        <f>IFERROR(B36/$B$137, "")</f>
        <v>1.9952966000320602E-3</v>
      </c>
    </row>
    <row r="37" spans="1:7" ht="15.4" x14ac:dyDescent="0.45">
      <c r="A37" s="149" t="s">
        <v>33</v>
      </c>
      <c r="B37" s="147">
        <v>78960</v>
      </c>
      <c r="C37" s="147">
        <v>79382.92</v>
      </c>
      <c r="D37" s="147">
        <v>-422.91</v>
      </c>
      <c r="E37" s="147">
        <v>0</v>
      </c>
      <c r="F37" s="147">
        <v>-422.91</v>
      </c>
      <c r="G37" s="143">
        <f>IFERROR(B37/$B$137, "")</f>
        <v>2.2201578790370655E-4</v>
      </c>
    </row>
    <row r="38" spans="1:7" ht="15.4" x14ac:dyDescent="0.45">
      <c r="A38" s="149" t="s">
        <v>34</v>
      </c>
      <c r="B38" s="147">
        <v>66124</v>
      </c>
      <c r="C38" s="147">
        <v>70764.44</v>
      </c>
      <c r="D38" s="147">
        <v>-4640.4399999999996</v>
      </c>
      <c r="E38" s="147">
        <v>0</v>
      </c>
      <c r="F38" s="147">
        <v>-4640.4399999999996</v>
      </c>
      <c r="G38" s="143">
        <f>IFERROR(B38/$B$137, "")</f>
        <v>1.8592416361885375E-4</v>
      </c>
    </row>
    <row r="39" spans="1:7" ht="15.4" x14ac:dyDescent="0.45">
      <c r="A39" s="149" t="s">
        <v>35</v>
      </c>
      <c r="B39" s="147">
        <v>411699</v>
      </c>
      <c r="C39" s="147">
        <v>612855</v>
      </c>
      <c r="D39" s="147">
        <v>-201156</v>
      </c>
      <c r="E39" s="147">
        <v>81058.2</v>
      </c>
      <c r="F39" s="147">
        <v>-120097.8</v>
      </c>
      <c r="G39" s="143">
        <f>IFERROR(B39/$B$137, "")</f>
        <v>1.1575947044600821E-3</v>
      </c>
    </row>
    <row r="40" spans="1:7" ht="15.4" x14ac:dyDescent="0.45">
      <c r="A40" s="149" t="s">
        <v>36</v>
      </c>
      <c r="B40" s="147"/>
      <c r="C40" s="147"/>
      <c r="D40" s="147"/>
      <c r="E40" s="147"/>
      <c r="F40" s="147"/>
      <c r="G40" s="143">
        <f>IFERROR(B40/$B$137, "")</f>
        <v>0</v>
      </c>
    </row>
    <row r="41" spans="1:7" ht="15.4" x14ac:dyDescent="0.45">
      <c r="A41" s="149" t="s">
        <v>37</v>
      </c>
      <c r="B41" s="147">
        <v>170115</v>
      </c>
      <c r="C41" s="147">
        <v>202809</v>
      </c>
      <c r="D41" s="147">
        <v>-32694</v>
      </c>
      <c r="E41" s="147">
        <v>0</v>
      </c>
      <c r="F41" s="147">
        <v>-32694</v>
      </c>
      <c r="G41" s="143">
        <f>IFERROR(B41/$B$137, "")</f>
        <v>4.7832086827810335E-4</v>
      </c>
    </row>
    <row r="42" spans="1:7" ht="15.4" x14ac:dyDescent="0.45">
      <c r="A42" s="149" t="s">
        <v>168</v>
      </c>
      <c r="B42" s="147">
        <v>3998</v>
      </c>
      <c r="C42" s="147">
        <v>59400</v>
      </c>
      <c r="D42" s="147">
        <v>-55402</v>
      </c>
      <c r="E42" s="147">
        <v>231760</v>
      </c>
      <c r="F42" s="147">
        <v>176358</v>
      </c>
      <c r="G42" s="143">
        <f>IFERROR(B42/$B$137, "")</f>
        <v>1.1241376900190207E-5</v>
      </c>
    </row>
    <row r="43" spans="1:7" ht="15.4" x14ac:dyDescent="0.45">
      <c r="A43" s="149" t="s">
        <v>38</v>
      </c>
      <c r="B43" s="147">
        <v>316034</v>
      </c>
      <c r="C43" s="147">
        <v>311292.11</v>
      </c>
      <c r="D43" s="147">
        <v>4741.8900000000003</v>
      </c>
      <c r="E43" s="147">
        <v>0</v>
      </c>
      <c r="F43" s="147">
        <v>3556.39</v>
      </c>
      <c r="G43" s="143">
        <f>IFERROR(B43/$B$137, "")</f>
        <v>8.8860863113424517E-4</v>
      </c>
    </row>
    <row r="44" spans="1:7" ht="15.4" x14ac:dyDescent="0.45">
      <c r="A44" s="149" t="s">
        <v>39</v>
      </c>
      <c r="B44" s="147">
        <v>39766816</v>
      </c>
      <c r="C44" s="147">
        <v>32037933</v>
      </c>
      <c r="D44" s="147">
        <v>7728883</v>
      </c>
      <c r="E44" s="147">
        <v>4558740</v>
      </c>
      <c r="F44" s="147">
        <v>8303668</v>
      </c>
      <c r="G44" s="143">
        <f>IFERROR(B44/$B$137, "")</f>
        <v>0.11181434886856287</v>
      </c>
    </row>
    <row r="45" spans="1:7" ht="15.4" x14ac:dyDescent="0.45">
      <c r="A45" s="149" t="s">
        <v>176</v>
      </c>
      <c r="B45" s="147">
        <v>104575</v>
      </c>
      <c r="C45" s="147">
        <v>81235</v>
      </c>
      <c r="D45" s="147">
        <v>23340</v>
      </c>
      <c r="E45" s="147">
        <v>0</v>
      </c>
      <c r="F45" s="147">
        <v>3006.33</v>
      </c>
      <c r="G45" s="143">
        <f>IFERROR(B45/$B$137, "")</f>
        <v>2.9403876671770657E-4</v>
      </c>
    </row>
    <row r="46" spans="1:7" ht="15.4" x14ac:dyDescent="0.45">
      <c r="A46" s="149" t="s">
        <v>40</v>
      </c>
      <c r="B46" s="147"/>
      <c r="C46" s="147"/>
      <c r="D46" s="147"/>
      <c r="E46" s="147"/>
      <c r="F46" s="147"/>
      <c r="G46" s="143">
        <f>IFERROR(B46/$B$137, "")</f>
        <v>0</v>
      </c>
    </row>
    <row r="47" spans="1:7" ht="15.4" x14ac:dyDescent="0.45">
      <c r="A47" s="149" t="s">
        <v>121</v>
      </c>
      <c r="B47" s="147">
        <v>5800987</v>
      </c>
      <c r="C47" s="147">
        <v>4586851.2699999996</v>
      </c>
      <c r="D47" s="147">
        <v>1214135.73</v>
      </c>
      <c r="E47" s="147">
        <v>153356.07999999999</v>
      </c>
      <c r="F47" s="147">
        <v>991431.81</v>
      </c>
      <c r="G47" s="143">
        <f>IFERROR(B47/$B$137, "")</f>
        <v>1.6310925777914879E-2</v>
      </c>
    </row>
    <row r="48" spans="1:7" ht="15.4" x14ac:dyDescent="0.45">
      <c r="A48" s="149" t="s">
        <v>43</v>
      </c>
      <c r="B48" s="147">
        <v>5584035</v>
      </c>
      <c r="C48" s="147">
        <v>5054297.8099999996</v>
      </c>
      <c r="D48" s="147">
        <v>529737.18999999994</v>
      </c>
      <c r="E48" s="147">
        <v>92146.41</v>
      </c>
      <c r="F48" s="147">
        <v>466412.7</v>
      </c>
      <c r="G48" s="143">
        <f>IFERROR(B48/$B$137, "")</f>
        <v>1.5700910970198507E-2</v>
      </c>
    </row>
    <row r="49" spans="1:7" ht="15.4" x14ac:dyDescent="0.45">
      <c r="A49" s="149" t="s">
        <v>44</v>
      </c>
      <c r="B49" s="147"/>
      <c r="C49" s="147"/>
      <c r="D49" s="147"/>
      <c r="E49" s="147"/>
      <c r="F49" s="147"/>
      <c r="G49" s="143">
        <f>IFERROR(B49/$B$137, "")</f>
        <v>0</v>
      </c>
    </row>
    <row r="50" spans="1:7" ht="15.4" x14ac:dyDescent="0.45">
      <c r="A50" s="149" t="s">
        <v>137</v>
      </c>
      <c r="B50" s="147"/>
      <c r="C50" s="147"/>
      <c r="D50" s="147"/>
      <c r="E50" s="147"/>
      <c r="F50" s="147"/>
      <c r="G50" s="143">
        <f>IFERROR(B50/$B$137, "")</f>
        <v>0</v>
      </c>
    </row>
    <row r="51" spans="1:7" ht="15.4" x14ac:dyDescent="0.45">
      <c r="A51" s="149" t="s">
        <v>46</v>
      </c>
      <c r="B51" s="147">
        <v>3811836</v>
      </c>
      <c r="C51" s="147">
        <v>3592677.03</v>
      </c>
      <c r="D51" s="147">
        <v>219158.97</v>
      </c>
      <c r="E51" s="147">
        <v>132717.21</v>
      </c>
      <c r="F51" s="147">
        <v>195451.18</v>
      </c>
      <c r="G51" s="143">
        <f>IFERROR(B51/$B$137, "")</f>
        <v>1.0717930254555637E-2</v>
      </c>
    </row>
    <row r="52" spans="1:7" ht="15.4" x14ac:dyDescent="0.45">
      <c r="A52" s="149" t="s">
        <v>47</v>
      </c>
      <c r="B52" s="147">
        <v>49312</v>
      </c>
      <c r="C52" s="147">
        <v>77060.17</v>
      </c>
      <c r="D52" s="147">
        <v>-27748.17</v>
      </c>
      <c r="E52" s="147">
        <v>17000</v>
      </c>
      <c r="F52" s="147">
        <v>-10748.17</v>
      </c>
      <c r="G52" s="143">
        <f>IFERROR(B52/$B$137, "")</f>
        <v>1.3865302093601288E-4</v>
      </c>
    </row>
    <row r="53" spans="1:7" ht="15.4" x14ac:dyDescent="0.45">
      <c r="A53" s="149" t="s">
        <v>48</v>
      </c>
      <c r="B53" s="147">
        <v>938470</v>
      </c>
      <c r="C53" s="147">
        <v>854617</v>
      </c>
      <c r="D53" s="147">
        <v>83853</v>
      </c>
      <c r="E53" s="147">
        <v>65199</v>
      </c>
      <c r="F53" s="147">
        <v>149052</v>
      </c>
      <c r="G53" s="143">
        <f>IFERROR(B53/$B$137, "")</f>
        <v>2.6387431164385951E-3</v>
      </c>
    </row>
    <row r="54" spans="1:7" ht="15.4" x14ac:dyDescent="0.45">
      <c r="A54" s="149" t="s">
        <v>50</v>
      </c>
      <c r="B54" s="147">
        <v>2439333</v>
      </c>
      <c r="C54" s="147">
        <v>1539037</v>
      </c>
      <c r="D54" s="147">
        <v>900296</v>
      </c>
      <c r="E54" s="147">
        <v>79501</v>
      </c>
      <c r="F54" s="147">
        <v>730656</v>
      </c>
      <c r="G54" s="143">
        <f>IFERROR(B54/$B$137, "")</f>
        <v>6.8587948069213801E-3</v>
      </c>
    </row>
    <row r="55" spans="1:7" ht="15.4" x14ac:dyDescent="0.45">
      <c r="A55" s="149" t="s">
        <v>123</v>
      </c>
      <c r="B55" s="147">
        <v>739499</v>
      </c>
      <c r="C55" s="147">
        <v>571317.31000000006</v>
      </c>
      <c r="D55" s="147">
        <v>168181.69</v>
      </c>
      <c r="E55" s="147">
        <v>14122.85</v>
      </c>
      <c r="F55" s="147">
        <v>125203.68</v>
      </c>
      <c r="G55" s="143">
        <f>IFERROR(B55/$B$137, "")</f>
        <v>2.0792863872720756E-3</v>
      </c>
    </row>
    <row r="56" spans="1:7" ht="15.4" x14ac:dyDescent="0.45">
      <c r="A56" s="149" t="s">
        <v>51</v>
      </c>
      <c r="B56" s="147">
        <v>398846</v>
      </c>
      <c r="C56" s="147">
        <v>272799.17</v>
      </c>
      <c r="D56" s="147">
        <v>126046.83</v>
      </c>
      <c r="E56" s="147">
        <v>0</v>
      </c>
      <c r="F56" s="147">
        <v>126046.83</v>
      </c>
      <c r="G56" s="143">
        <f>IFERROR(B56/$B$137, "")</f>
        <v>1.1214552804235276E-3</v>
      </c>
    </row>
    <row r="57" spans="1:7" ht="15.4" x14ac:dyDescent="0.45">
      <c r="A57" s="149" t="s">
        <v>153</v>
      </c>
      <c r="B57" s="147">
        <v>2507032</v>
      </c>
      <c r="C57" s="147">
        <v>1966994.17</v>
      </c>
      <c r="D57" s="147">
        <v>540037.82999999996</v>
      </c>
      <c r="E57" s="147">
        <v>0</v>
      </c>
      <c r="F57" s="147">
        <v>540037.82999999996</v>
      </c>
      <c r="G57" s="143">
        <f>IFERROR(B57/$B$137, "")</f>
        <v>7.0491474769478878E-3</v>
      </c>
    </row>
    <row r="58" spans="1:7" ht="15.4" x14ac:dyDescent="0.45">
      <c r="A58" s="149" t="s">
        <v>138</v>
      </c>
      <c r="B58" s="147">
        <v>1245252</v>
      </c>
      <c r="C58" s="147">
        <v>1382270</v>
      </c>
      <c r="D58" s="147">
        <v>-137018</v>
      </c>
      <c r="E58" s="147">
        <v>-4802</v>
      </c>
      <c r="F58" s="147">
        <v>-141820</v>
      </c>
      <c r="G58" s="143">
        <f>IFERROR(B58/$B$137, "")</f>
        <v>3.5013374356467372E-3</v>
      </c>
    </row>
    <row r="59" spans="1:7" ht="15.4" x14ac:dyDescent="0.45">
      <c r="A59" s="149" t="s">
        <v>52</v>
      </c>
      <c r="B59" s="147">
        <v>12011706</v>
      </c>
      <c r="C59" s="147">
        <v>9457561.5399999991</v>
      </c>
      <c r="D59" s="147">
        <v>2554144.46</v>
      </c>
      <c r="E59" s="147">
        <v>788047.2</v>
      </c>
      <c r="F59" s="147">
        <v>3342191.66</v>
      </c>
      <c r="G59" s="143">
        <f>IFERROR(B59/$B$137, "")</f>
        <v>3.3773915547842953E-2</v>
      </c>
    </row>
    <row r="60" spans="1:7" ht="15.4" x14ac:dyDescent="0.45">
      <c r="A60" s="149" t="s">
        <v>54</v>
      </c>
      <c r="B60" s="147">
        <v>269580</v>
      </c>
      <c r="C60" s="147">
        <v>259980</v>
      </c>
      <c r="D60" s="147">
        <v>9600</v>
      </c>
      <c r="E60" s="147">
        <v>-24493</v>
      </c>
      <c r="F60" s="147">
        <v>-14893</v>
      </c>
      <c r="G60" s="143">
        <f>IFERROR(B60/$B$137, "")</f>
        <v>7.5799159198431114E-4</v>
      </c>
    </row>
    <row r="61" spans="1:7" ht="15.4" x14ac:dyDescent="0.45">
      <c r="A61" s="149" t="s">
        <v>55</v>
      </c>
      <c r="B61" s="147"/>
      <c r="C61" s="147"/>
      <c r="D61" s="147"/>
      <c r="E61" s="147"/>
      <c r="F61" s="147"/>
      <c r="G61" s="143">
        <f>IFERROR(B61/$B$137, "")</f>
        <v>0</v>
      </c>
    </row>
    <row r="62" spans="1:7" ht="15.4" x14ac:dyDescent="0.45">
      <c r="A62" s="149" t="s">
        <v>56</v>
      </c>
      <c r="B62" s="147">
        <v>1852050</v>
      </c>
      <c r="C62" s="147">
        <v>1714501</v>
      </c>
      <c r="D62" s="147">
        <v>137549</v>
      </c>
      <c r="E62" s="147">
        <v>19088</v>
      </c>
      <c r="F62" s="147">
        <v>151637</v>
      </c>
      <c r="G62" s="143">
        <f>IFERROR(B62/$B$137, "")</f>
        <v>5.2075017728857613E-3</v>
      </c>
    </row>
    <row r="63" spans="1:7" ht="15.4" x14ac:dyDescent="0.45">
      <c r="A63" s="149" t="s">
        <v>57</v>
      </c>
      <c r="B63" s="147">
        <v>6512254</v>
      </c>
      <c r="C63" s="147">
        <v>4905644.3499999996</v>
      </c>
      <c r="D63" s="147">
        <v>1606609.65</v>
      </c>
      <c r="E63" s="147">
        <v>288255</v>
      </c>
      <c r="F63" s="147">
        <v>1508499.65</v>
      </c>
      <c r="G63" s="143">
        <f>IFERROR(B63/$B$137, "")</f>
        <v>1.8310830836361001E-2</v>
      </c>
    </row>
    <row r="64" spans="1:7" ht="15.4" x14ac:dyDescent="0.45">
      <c r="A64" s="149" t="s">
        <v>60</v>
      </c>
      <c r="B64" s="147">
        <v>3869616</v>
      </c>
      <c r="C64" s="147">
        <v>4995419.3</v>
      </c>
      <c r="D64" s="147">
        <v>-1125803.3</v>
      </c>
      <c r="E64" s="147">
        <v>-707881.66</v>
      </c>
      <c r="F64" s="147">
        <v>-1833684.96</v>
      </c>
      <c r="G64" s="143">
        <f>IFERROR(B64/$B$137, "")</f>
        <v>1.0880393175339276E-2</v>
      </c>
    </row>
    <row r="65" spans="1:7" ht="15.4" x14ac:dyDescent="0.45">
      <c r="A65" s="149" t="s">
        <v>61</v>
      </c>
      <c r="B65" s="147"/>
      <c r="C65" s="147"/>
      <c r="D65" s="147"/>
      <c r="E65" s="147"/>
      <c r="F65" s="147"/>
      <c r="G65" s="143">
        <f>IFERROR(B65/$B$137, "")</f>
        <v>0</v>
      </c>
    </row>
    <row r="66" spans="1:7" ht="15.4" x14ac:dyDescent="0.45">
      <c r="A66" s="149" t="s">
        <v>62</v>
      </c>
      <c r="B66" s="147">
        <v>399304</v>
      </c>
      <c r="C66" s="147">
        <v>413422</v>
      </c>
      <c r="D66" s="147">
        <v>-14118</v>
      </c>
      <c r="E66" s="147">
        <v>23445</v>
      </c>
      <c r="F66" s="147">
        <v>6762</v>
      </c>
      <c r="G66" s="143">
        <f>IFERROR(B66/$B$137, "")</f>
        <v>1.1227430619693724E-3</v>
      </c>
    </row>
    <row r="67" spans="1:7" ht="15.4" x14ac:dyDescent="0.45">
      <c r="A67" s="149" t="s">
        <v>63</v>
      </c>
      <c r="B67" s="147">
        <v>298504</v>
      </c>
      <c r="C67" s="147">
        <v>272356</v>
      </c>
      <c r="D67" s="147">
        <v>26148</v>
      </c>
      <c r="E67" s="147">
        <v>0</v>
      </c>
      <c r="F67" s="147">
        <v>26148</v>
      </c>
      <c r="G67" s="143">
        <f>IFERROR(B67/$B$137, "")</f>
        <v>8.3931865187953422E-4</v>
      </c>
    </row>
    <row r="68" spans="1:7" ht="15.4" x14ac:dyDescent="0.45">
      <c r="A68" s="149" t="s">
        <v>64</v>
      </c>
      <c r="B68" s="147">
        <v>329139</v>
      </c>
      <c r="C68" s="147">
        <v>288599</v>
      </c>
      <c r="D68" s="147">
        <v>40540</v>
      </c>
      <c r="E68" s="147">
        <v>313092</v>
      </c>
      <c r="F68" s="147">
        <v>268862</v>
      </c>
      <c r="G68" s="143">
        <f>IFERROR(B68/$B$137, "")</f>
        <v>9.2545661619602418E-4</v>
      </c>
    </row>
    <row r="69" spans="1:7" ht="15.4" x14ac:dyDescent="0.45">
      <c r="A69" s="149" t="s">
        <v>65</v>
      </c>
      <c r="B69" s="147"/>
      <c r="C69" s="147"/>
      <c r="D69" s="147"/>
      <c r="E69" s="147"/>
      <c r="F69" s="147"/>
      <c r="G69" s="143">
        <f>IFERROR(B69/$B$137, "")</f>
        <v>0</v>
      </c>
    </row>
    <row r="70" spans="1:7" ht="15.4" x14ac:dyDescent="0.45">
      <c r="A70" s="149" t="s">
        <v>66</v>
      </c>
      <c r="B70" s="147">
        <v>19221380</v>
      </c>
      <c r="C70" s="147">
        <v>9230372.1400000006</v>
      </c>
      <c r="D70" s="147">
        <v>9991007.8599999994</v>
      </c>
      <c r="E70" s="147">
        <v>-3010403</v>
      </c>
      <c r="F70" s="147">
        <v>5054066.8600000003</v>
      </c>
      <c r="G70" s="143">
        <f>IFERROR(B70/$B$137, "")</f>
        <v>5.4045717139014016E-2</v>
      </c>
    </row>
    <row r="71" spans="1:7" ht="15.4" x14ac:dyDescent="0.45">
      <c r="A71" s="149" t="s">
        <v>67</v>
      </c>
      <c r="B71" s="147">
        <v>2001176</v>
      </c>
      <c r="C71" s="147">
        <v>1653246</v>
      </c>
      <c r="D71" s="147">
        <v>347930</v>
      </c>
      <c r="E71" s="147">
        <v>20.54</v>
      </c>
      <c r="F71" s="147">
        <v>260962.86</v>
      </c>
      <c r="G71" s="143">
        <f>IFERROR(B71/$B$137, "")</f>
        <v>5.6268068183129164E-3</v>
      </c>
    </row>
    <row r="72" spans="1:7" ht="15.4" x14ac:dyDescent="0.45">
      <c r="A72" s="149" t="s">
        <v>139</v>
      </c>
      <c r="B72" s="147">
        <v>1203518</v>
      </c>
      <c r="C72" s="147">
        <v>1200543.6399999999</v>
      </c>
      <c r="D72" s="147">
        <v>2974.36</v>
      </c>
      <c r="E72" s="147">
        <v>329561.14</v>
      </c>
      <c r="F72" s="147">
        <v>261525.5</v>
      </c>
      <c r="G72" s="143">
        <f>IFERROR(B72/$B$137, "")</f>
        <v>3.383991856969264E-3</v>
      </c>
    </row>
    <row r="73" spans="1:7" ht="15.4" x14ac:dyDescent="0.45">
      <c r="A73" s="149" t="s">
        <v>68</v>
      </c>
      <c r="B73" s="147">
        <v>246173</v>
      </c>
      <c r="C73" s="147">
        <v>167678.14000000001</v>
      </c>
      <c r="D73" s="147">
        <v>78494.86</v>
      </c>
      <c r="E73" s="147">
        <v>32416.28</v>
      </c>
      <c r="F73" s="147">
        <v>59685.760000000002</v>
      </c>
      <c r="G73" s="143">
        <f>IFERROR(B73/$B$137, "")</f>
        <v>6.9217695739132667E-4</v>
      </c>
    </row>
    <row r="74" spans="1:7" ht="15.4" x14ac:dyDescent="0.45">
      <c r="A74" s="149" t="s">
        <v>69</v>
      </c>
      <c r="B74" s="147">
        <v>1242644</v>
      </c>
      <c r="C74" s="147">
        <v>1097357.3999999999</v>
      </c>
      <c r="D74" s="147">
        <v>145286.6</v>
      </c>
      <c r="E74" s="147">
        <v>38814</v>
      </c>
      <c r="F74" s="147">
        <v>184100.6</v>
      </c>
      <c r="G74" s="143">
        <f>IFERROR(B74/$B$137, "")</f>
        <v>3.4940043913856828E-3</v>
      </c>
    </row>
    <row r="75" spans="1:7" ht="15.4" x14ac:dyDescent="0.45">
      <c r="A75" s="149" t="s">
        <v>141</v>
      </c>
      <c r="B75" s="147">
        <v>390320</v>
      </c>
      <c r="C75" s="147">
        <v>150522.07</v>
      </c>
      <c r="D75" s="147">
        <v>239797.93</v>
      </c>
      <c r="E75" s="147">
        <v>0</v>
      </c>
      <c r="F75" s="147">
        <v>239797.93</v>
      </c>
      <c r="G75" s="143">
        <f>IFERROR(B75/$B$137, "")</f>
        <v>1.0974822990700954E-3</v>
      </c>
    </row>
    <row r="76" spans="1:7" ht="15.4" x14ac:dyDescent="0.45">
      <c r="A76" s="149" t="s">
        <v>110</v>
      </c>
      <c r="B76" s="147">
        <v>657308</v>
      </c>
      <c r="C76" s="147">
        <v>419457.66</v>
      </c>
      <c r="D76" s="147">
        <v>237850.34</v>
      </c>
      <c r="E76" s="147">
        <v>0</v>
      </c>
      <c r="F76" s="147">
        <v>237850.34</v>
      </c>
      <c r="G76" s="143">
        <f>IFERROR(B76/$B$137, "")</f>
        <v>1.8481858347949537E-3</v>
      </c>
    </row>
    <row r="77" spans="1:7" ht="15.4" x14ac:dyDescent="0.45">
      <c r="A77" s="149" t="s">
        <v>143</v>
      </c>
      <c r="B77" s="147"/>
      <c r="C77" s="147"/>
      <c r="D77" s="147"/>
      <c r="E77" s="147"/>
      <c r="F77" s="147"/>
      <c r="G77" s="143">
        <f>IFERROR(B77/$B$137, "")</f>
        <v>0</v>
      </c>
    </row>
    <row r="78" spans="1:7" ht="15.4" x14ac:dyDescent="0.45">
      <c r="A78" s="149" t="s">
        <v>125</v>
      </c>
      <c r="B78" s="147">
        <v>22960</v>
      </c>
      <c r="C78" s="147">
        <v>39508.980000000003</v>
      </c>
      <c r="D78" s="147">
        <v>-16548.98</v>
      </c>
      <c r="E78" s="147">
        <v>0</v>
      </c>
      <c r="F78" s="147">
        <v>-16548.98</v>
      </c>
      <c r="G78" s="143">
        <f>IFERROR(B78/$B$137, "")</f>
        <v>6.4557782298240915E-5</v>
      </c>
    </row>
    <row r="79" spans="1:7" ht="15.4" x14ac:dyDescent="0.45">
      <c r="A79" s="149" t="s">
        <v>71</v>
      </c>
      <c r="B79" s="147">
        <v>1343400</v>
      </c>
      <c r="C79" s="147">
        <v>981365.49</v>
      </c>
      <c r="D79" s="147">
        <v>362034.51</v>
      </c>
      <c r="E79" s="147">
        <v>23737.05</v>
      </c>
      <c r="F79" s="147">
        <v>384560.56</v>
      </c>
      <c r="G79" s="143">
        <f>IFERROR(B79/$B$137, "")</f>
        <v>3.7773050844711166E-3</v>
      </c>
    </row>
    <row r="80" spans="1:7" ht="15.4" x14ac:dyDescent="0.45">
      <c r="A80" s="149" t="s">
        <v>72</v>
      </c>
      <c r="B80" s="147"/>
      <c r="C80" s="147"/>
      <c r="D80" s="147"/>
      <c r="E80" s="147"/>
      <c r="F80" s="147"/>
      <c r="G80" s="143">
        <f>IFERROR(B80/$B$137, "")</f>
        <v>0</v>
      </c>
    </row>
    <row r="81" spans="1:7" ht="15.4" x14ac:dyDescent="0.45">
      <c r="A81" s="149" t="s">
        <v>73</v>
      </c>
      <c r="B81" s="147">
        <v>389259</v>
      </c>
      <c r="C81" s="147">
        <v>143244.66</v>
      </c>
      <c r="D81" s="147">
        <v>246014.34</v>
      </c>
      <c r="E81" s="147">
        <v>0.04</v>
      </c>
      <c r="F81" s="147">
        <v>184510.78</v>
      </c>
      <c r="G81" s="143">
        <f>IFERROR(B81/$B$137, "")</f>
        <v>1.094499032213892E-3</v>
      </c>
    </row>
    <row r="82" spans="1:7" ht="15.4" x14ac:dyDescent="0.45">
      <c r="A82" s="149" t="s">
        <v>126</v>
      </c>
      <c r="B82" s="147">
        <v>205252</v>
      </c>
      <c r="C82" s="147">
        <v>217482</v>
      </c>
      <c r="D82" s="147">
        <v>-12230</v>
      </c>
      <c r="E82" s="147">
        <v>0</v>
      </c>
      <c r="F82" s="147">
        <v>-27272</v>
      </c>
      <c r="G82" s="143">
        <f>IFERROR(B82/$B$137, "")</f>
        <v>5.7711733154523271E-4</v>
      </c>
    </row>
    <row r="83" spans="1:7" ht="15.4" x14ac:dyDescent="0.45">
      <c r="A83" s="149" t="s">
        <v>189</v>
      </c>
      <c r="B83" s="147"/>
      <c r="C83" s="147"/>
      <c r="D83" s="147"/>
      <c r="E83" s="147"/>
      <c r="F83" s="147"/>
      <c r="G83" s="143">
        <f>IFERROR(B83/$B$137, "")</f>
        <v>0</v>
      </c>
    </row>
    <row r="84" spans="1:7" ht="15.4" x14ac:dyDescent="0.45">
      <c r="A84" s="149" t="s">
        <v>184</v>
      </c>
      <c r="B84" s="147">
        <v>168599</v>
      </c>
      <c r="C84" s="147">
        <v>198787</v>
      </c>
      <c r="D84" s="147">
        <v>-30188</v>
      </c>
      <c r="E84" s="147">
        <v>14976</v>
      </c>
      <c r="F84" s="147">
        <v>-15212</v>
      </c>
      <c r="G84" s="143">
        <f>IFERROR(B84/$B$137, "")</f>
        <v>4.7405825512635539E-4</v>
      </c>
    </row>
    <row r="85" spans="1:7" ht="15.4" x14ac:dyDescent="0.45">
      <c r="A85" s="149" t="s">
        <v>75</v>
      </c>
      <c r="B85" s="147"/>
      <c r="C85" s="147"/>
      <c r="D85" s="147"/>
      <c r="E85" s="147"/>
      <c r="F85" s="147"/>
      <c r="G85" s="143">
        <f>IFERROR(B85/$B$137, "")</f>
        <v>0</v>
      </c>
    </row>
    <row r="86" spans="1:7" ht="15.4" x14ac:dyDescent="0.45">
      <c r="A86" s="149" t="s">
        <v>76</v>
      </c>
      <c r="B86" s="147">
        <v>57352</v>
      </c>
      <c r="C86" s="147">
        <v>348748.58</v>
      </c>
      <c r="D86" s="147">
        <v>-291396.58</v>
      </c>
      <c r="E86" s="147">
        <v>0</v>
      </c>
      <c r="F86" s="147">
        <v>-291396.58</v>
      </c>
      <c r="G86" s="143">
        <f>IFERROR(B86/$B$137, "")</f>
        <v>1.612594917407976E-4</v>
      </c>
    </row>
    <row r="87" spans="1:7" ht="15.4" x14ac:dyDescent="0.45">
      <c r="A87" s="149" t="s">
        <v>77</v>
      </c>
      <c r="B87" s="147">
        <v>21798855</v>
      </c>
      <c r="C87" s="147">
        <v>15271289.15</v>
      </c>
      <c r="D87" s="147">
        <v>6527565.8499999996</v>
      </c>
      <c r="E87" s="147">
        <v>384559.05</v>
      </c>
      <c r="F87" s="147">
        <v>5246226.3899999997</v>
      </c>
      <c r="G87" s="143">
        <f>IFERROR(B87/$B$137, "")</f>
        <v>6.1292932728263083E-2</v>
      </c>
    </row>
    <row r="88" spans="1:7" ht="15.4" x14ac:dyDescent="0.45">
      <c r="A88" s="149" t="s">
        <v>78</v>
      </c>
      <c r="B88" s="147">
        <v>429194</v>
      </c>
      <c r="C88" s="147">
        <v>860466</v>
      </c>
      <c r="D88" s="147">
        <v>-431272</v>
      </c>
      <c r="E88" s="147">
        <v>701514</v>
      </c>
      <c r="F88" s="147">
        <v>187681</v>
      </c>
      <c r="G88" s="143">
        <f>IFERROR(B88/$B$137, "")</f>
        <v>1.2067862724612897E-3</v>
      </c>
    </row>
    <row r="89" spans="1:7" ht="15.4" x14ac:dyDescent="0.45">
      <c r="A89" s="149" t="s">
        <v>154</v>
      </c>
      <c r="B89" s="147"/>
      <c r="C89" s="147"/>
      <c r="D89" s="147"/>
      <c r="E89" s="147"/>
      <c r="F89" s="147"/>
      <c r="G89" s="143">
        <f>IFERROR(B89/$B$137, "")</f>
        <v>0</v>
      </c>
    </row>
    <row r="90" spans="1:7" ht="15.4" x14ac:dyDescent="0.45">
      <c r="A90" s="149" t="s">
        <v>111</v>
      </c>
      <c r="B90" s="147">
        <v>925168</v>
      </c>
      <c r="C90" s="147">
        <v>1042361.84</v>
      </c>
      <c r="D90" s="147">
        <v>-117193.84</v>
      </c>
      <c r="E90" s="147">
        <v>0</v>
      </c>
      <c r="F90" s="147">
        <v>-131613.84</v>
      </c>
      <c r="G90" s="143">
        <f>IFERROR(B90/$B$137, "")</f>
        <v>2.6013412166070969E-3</v>
      </c>
    </row>
    <row r="91" spans="1:7" ht="15.4" x14ac:dyDescent="0.45">
      <c r="A91" s="149" t="s">
        <v>182</v>
      </c>
      <c r="B91" s="147">
        <v>0</v>
      </c>
      <c r="C91" s="147">
        <v>24000</v>
      </c>
      <c r="D91" s="147">
        <v>-24000</v>
      </c>
      <c r="E91" s="147">
        <v>41133</v>
      </c>
      <c r="F91" s="147">
        <v>17133</v>
      </c>
      <c r="G91" s="143">
        <f>IFERROR(B91/$B$137, "")</f>
        <v>0</v>
      </c>
    </row>
    <row r="92" spans="1:7" ht="15.4" x14ac:dyDescent="0.45">
      <c r="A92" s="149" t="s">
        <v>80</v>
      </c>
      <c r="B92" s="147">
        <v>2825378</v>
      </c>
      <c r="C92" s="147">
        <v>2125727</v>
      </c>
      <c r="D92" s="147">
        <v>699651</v>
      </c>
      <c r="E92" s="147">
        <v>75887</v>
      </c>
      <c r="F92" s="147">
        <v>581653</v>
      </c>
      <c r="G92" s="143">
        <f>IFERROR(B92/$B$137, "")</f>
        <v>7.9442568743135593E-3</v>
      </c>
    </row>
    <row r="93" spans="1:7" ht="15.4" x14ac:dyDescent="0.45">
      <c r="A93" s="149" t="s">
        <v>81</v>
      </c>
      <c r="B93" s="147">
        <v>159650</v>
      </c>
      <c r="C93" s="147">
        <v>144752</v>
      </c>
      <c r="D93" s="147">
        <v>14898</v>
      </c>
      <c r="E93" s="147">
        <v>43880</v>
      </c>
      <c r="F93" s="147">
        <v>44084</v>
      </c>
      <c r="G93" s="143">
        <f>IFERROR(B93/$B$137, "")</f>
        <v>4.4889590348058195E-4</v>
      </c>
    </row>
    <row r="94" spans="1:7" ht="15.4" x14ac:dyDescent="0.45">
      <c r="A94" s="149" t="s">
        <v>82</v>
      </c>
      <c r="B94" s="147"/>
      <c r="C94" s="147"/>
      <c r="D94" s="147"/>
      <c r="E94" s="147"/>
      <c r="F94" s="147"/>
      <c r="G94" s="143">
        <f>IFERROR(B94/$B$137, "")</f>
        <v>0</v>
      </c>
    </row>
    <row r="95" spans="1:7" ht="15.4" x14ac:dyDescent="0.45">
      <c r="A95" s="149" t="s">
        <v>171</v>
      </c>
      <c r="B95" s="147">
        <v>1207845</v>
      </c>
      <c r="C95" s="147">
        <v>840716.52</v>
      </c>
      <c r="D95" s="147">
        <v>367128.48</v>
      </c>
      <c r="E95" s="147">
        <v>0</v>
      </c>
      <c r="F95" s="147">
        <v>367128.48</v>
      </c>
      <c r="G95" s="143">
        <f>IFERROR(B95/$B$137, "")</f>
        <v>3.3961582996523865E-3</v>
      </c>
    </row>
    <row r="96" spans="1:7" ht="15.4" x14ac:dyDescent="0.45">
      <c r="A96" s="149" t="s">
        <v>190</v>
      </c>
      <c r="B96" s="147">
        <v>446800</v>
      </c>
      <c r="C96" s="147">
        <v>156628.82999999999</v>
      </c>
      <c r="D96" s="147">
        <v>290171.17</v>
      </c>
      <c r="E96" s="147">
        <v>0</v>
      </c>
      <c r="F96" s="147">
        <v>290171.17</v>
      </c>
      <c r="G96" s="143">
        <f>IFERROR(B96/$B$137, "")</f>
        <v>1.256289944723608E-3</v>
      </c>
    </row>
    <row r="97" spans="1:7" ht="15.4" x14ac:dyDescent="0.45">
      <c r="A97" s="149" t="s">
        <v>83</v>
      </c>
      <c r="B97" s="147">
        <v>5825126</v>
      </c>
      <c r="C97" s="147">
        <v>4592007.4000000004</v>
      </c>
      <c r="D97" s="147">
        <v>1233118.6000000001</v>
      </c>
      <c r="E97" s="147">
        <v>-404753.89</v>
      </c>
      <c r="F97" s="147">
        <v>261288.71</v>
      </c>
      <c r="G97" s="143">
        <f>IFERROR(B97/$B$137, "")</f>
        <v>1.6378798613581137E-2</v>
      </c>
    </row>
    <row r="98" spans="1:7" ht="15.4" x14ac:dyDescent="0.45">
      <c r="A98" s="149" t="s">
        <v>112</v>
      </c>
      <c r="B98" s="147">
        <v>130395</v>
      </c>
      <c r="C98" s="147">
        <v>207356.74</v>
      </c>
      <c r="D98" s="147">
        <v>-76961.740000000005</v>
      </c>
      <c r="E98" s="147">
        <v>10589.75</v>
      </c>
      <c r="F98" s="147">
        <v>-66371.990000000005</v>
      </c>
      <c r="G98" s="143">
        <f>IFERROR(B98/$B$137, "")</f>
        <v>3.6663815430222662E-4</v>
      </c>
    </row>
    <row r="99" spans="1:7" ht="15.4" x14ac:dyDescent="0.45">
      <c r="A99" s="149" t="s">
        <v>177</v>
      </c>
      <c r="B99" s="147">
        <v>4574060</v>
      </c>
      <c r="C99" s="147">
        <v>3764723.13</v>
      </c>
      <c r="D99" s="147">
        <v>809336.87</v>
      </c>
      <c r="E99" s="147">
        <v>81950</v>
      </c>
      <c r="F99" s="147">
        <v>646182.98</v>
      </c>
      <c r="G99" s="143">
        <f>IFERROR(B99/$B$137, "")</f>
        <v>1.2861113662852431E-2</v>
      </c>
    </row>
    <row r="100" spans="1:7" ht="15.4" x14ac:dyDescent="0.45">
      <c r="A100" s="149" t="s">
        <v>84</v>
      </c>
      <c r="B100" s="147">
        <v>2020835</v>
      </c>
      <c r="C100" s="147">
        <v>1560303.81</v>
      </c>
      <c r="D100" s="147">
        <v>460531.19</v>
      </c>
      <c r="E100" s="147">
        <v>46304.89</v>
      </c>
      <c r="F100" s="147">
        <v>380127.06</v>
      </c>
      <c r="G100" s="143">
        <f>IFERROR(B100/$B$137, "")</f>
        <v>5.6820830135307348E-3</v>
      </c>
    </row>
    <row r="101" spans="1:7" ht="15.4" x14ac:dyDescent="0.45">
      <c r="A101" s="149" t="s">
        <v>85</v>
      </c>
      <c r="B101" s="147"/>
      <c r="C101" s="147"/>
      <c r="D101" s="147"/>
      <c r="E101" s="147"/>
      <c r="F101" s="147"/>
      <c r="G101" s="143">
        <f>IFERROR(B101/$B$137, "")</f>
        <v>0</v>
      </c>
    </row>
    <row r="102" spans="1:7" ht="15.4" x14ac:dyDescent="0.45">
      <c r="A102" s="149" t="s">
        <v>86</v>
      </c>
      <c r="B102" s="147">
        <v>8315413</v>
      </c>
      <c r="C102" s="147">
        <v>7679778.0300000003</v>
      </c>
      <c r="D102" s="147">
        <v>635634.97</v>
      </c>
      <c r="E102" s="147">
        <v>1668051.16</v>
      </c>
      <c r="F102" s="147">
        <v>2303686.13</v>
      </c>
      <c r="G102" s="143">
        <f>IFERROR(B102/$B$137, "")</f>
        <v>2.3380863335102888E-2</v>
      </c>
    </row>
    <row r="103" spans="1:7" ht="15.4" x14ac:dyDescent="0.45">
      <c r="A103" s="149" t="s">
        <v>185</v>
      </c>
      <c r="B103" s="147">
        <v>9328707</v>
      </c>
      <c r="C103" s="147">
        <v>8727800.0700000003</v>
      </c>
      <c r="D103" s="147">
        <v>600906.93000000005</v>
      </c>
      <c r="E103" s="147">
        <v>6544.52</v>
      </c>
      <c r="F103" s="147">
        <v>455588.63</v>
      </c>
      <c r="G103" s="143">
        <f>IFERROR(B103/$B$137, "")</f>
        <v>2.6229992841031186E-2</v>
      </c>
    </row>
    <row r="104" spans="1:7" ht="15.4" x14ac:dyDescent="0.45">
      <c r="A104" s="149" t="s">
        <v>87</v>
      </c>
      <c r="B104" s="147">
        <v>422215</v>
      </c>
      <c r="C104" s="147">
        <v>258075</v>
      </c>
      <c r="D104" s="147">
        <v>164140</v>
      </c>
      <c r="E104" s="147">
        <v>0</v>
      </c>
      <c r="F104" s="147">
        <v>164140</v>
      </c>
      <c r="G104" s="143">
        <f>IFERROR(B104/$B$137, "")</f>
        <v>1.1871630685127085E-3</v>
      </c>
    </row>
    <row r="105" spans="1:7" ht="15.4" x14ac:dyDescent="0.45">
      <c r="A105" s="149" t="s">
        <v>88</v>
      </c>
      <c r="B105" s="147"/>
      <c r="C105" s="147"/>
      <c r="D105" s="147"/>
      <c r="E105" s="147"/>
      <c r="F105" s="147"/>
      <c r="G105" s="143">
        <f>IFERROR(B105/$B$137, "")</f>
        <v>0</v>
      </c>
    </row>
    <row r="106" spans="1:7" ht="15.4" x14ac:dyDescent="0.45">
      <c r="A106" s="149" t="s">
        <v>89</v>
      </c>
      <c r="B106" s="147"/>
      <c r="C106" s="147"/>
      <c r="D106" s="147"/>
      <c r="E106" s="147"/>
      <c r="F106" s="147"/>
      <c r="G106" s="143">
        <f>IFERROR(B106/$B$137, "")</f>
        <v>0</v>
      </c>
    </row>
    <row r="107" spans="1:7" ht="15.4" x14ac:dyDescent="0.45">
      <c r="A107" s="149" t="s">
        <v>144</v>
      </c>
      <c r="B107" s="147">
        <v>292039</v>
      </c>
      <c r="C107" s="147">
        <v>280775.24</v>
      </c>
      <c r="D107" s="147">
        <v>11263.76</v>
      </c>
      <c r="E107" s="147">
        <v>11822.12</v>
      </c>
      <c r="F107" s="147">
        <v>23085.88</v>
      </c>
      <c r="G107" s="143">
        <f>IFERROR(B107/$B$137, "")</f>
        <v>8.2114068748240319E-4</v>
      </c>
    </row>
    <row r="108" spans="1:7" ht="15.4" x14ac:dyDescent="0.45">
      <c r="A108" s="149" t="s">
        <v>90</v>
      </c>
      <c r="B108" s="147">
        <v>10586317</v>
      </c>
      <c r="C108" s="147">
        <v>4446088</v>
      </c>
      <c r="D108" s="147">
        <v>6140229</v>
      </c>
      <c r="E108" s="147">
        <v>0</v>
      </c>
      <c r="F108" s="147">
        <v>6140229</v>
      </c>
      <c r="G108" s="143">
        <f>IFERROR(B108/$B$137, "")</f>
        <v>2.9766077884414932E-2</v>
      </c>
    </row>
    <row r="109" spans="1:7" ht="15.4" x14ac:dyDescent="0.45">
      <c r="A109" s="149" t="s">
        <v>181</v>
      </c>
      <c r="B109" s="147">
        <v>255376</v>
      </c>
      <c r="C109" s="147">
        <v>1954480.6</v>
      </c>
      <c r="D109" s="147">
        <v>-1699104.6</v>
      </c>
      <c r="E109" s="147">
        <v>25678</v>
      </c>
      <c r="F109" s="147">
        <v>-1673426.6</v>
      </c>
      <c r="G109" s="143">
        <f>IFERROR(B109/$B$137, "")</f>
        <v>7.1805349356252491E-4</v>
      </c>
    </row>
    <row r="110" spans="1:7" ht="15.4" x14ac:dyDescent="0.45">
      <c r="A110" s="149" t="s">
        <v>172</v>
      </c>
      <c r="B110" s="147">
        <v>24532388</v>
      </c>
      <c r="C110" s="147">
        <v>14856334</v>
      </c>
      <c r="D110" s="147">
        <v>9676054</v>
      </c>
      <c r="E110" s="147">
        <v>500000</v>
      </c>
      <c r="F110" s="147">
        <v>7448378</v>
      </c>
      <c r="G110" s="143">
        <f>IFERROR(B110/$B$137, "")</f>
        <v>6.8978944414633175E-2</v>
      </c>
    </row>
    <row r="111" spans="1:7" ht="15.4" x14ac:dyDescent="0.45">
      <c r="A111" s="149" t="s">
        <v>93</v>
      </c>
      <c r="B111" s="147">
        <v>780120</v>
      </c>
      <c r="C111" s="147">
        <v>553693</v>
      </c>
      <c r="D111" s="147">
        <v>226427</v>
      </c>
      <c r="E111" s="147">
        <v>-502437</v>
      </c>
      <c r="F111" s="147">
        <v>-276010</v>
      </c>
      <c r="G111" s="143">
        <f>IFERROR(B111/$B$137, "")</f>
        <v>2.1935024880881402E-3</v>
      </c>
    </row>
    <row r="112" spans="1:7" ht="15.4" x14ac:dyDescent="0.45">
      <c r="A112" s="149" t="s">
        <v>113</v>
      </c>
      <c r="B112" s="147">
        <v>1681919</v>
      </c>
      <c r="C112" s="147">
        <v>1132040.79</v>
      </c>
      <c r="D112" s="147">
        <v>549878.21</v>
      </c>
      <c r="E112" s="147">
        <v>0</v>
      </c>
      <c r="F112" s="147">
        <v>549878.21</v>
      </c>
      <c r="G112" s="143">
        <f>IFERROR(B112/$B$137, "")</f>
        <v>4.7291359166060564E-3</v>
      </c>
    </row>
    <row r="113" spans="1:7" ht="15.4" x14ac:dyDescent="0.45">
      <c r="A113" s="149" t="s">
        <v>94</v>
      </c>
      <c r="B113" s="147">
        <v>5928670</v>
      </c>
      <c r="C113" s="147">
        <v>5235346.13</v>
      </c>
      <c r="D113" s="147">
        <v>693323.87</v>
      </c>
      <c r="E113" s="147">
        <v>228126.31</v>
      </c>
      <c r="F113" s="147">
        <v>921450.18</v>
      </c>
      <c r="G113" s="143">
        <f>IFERROR(B113/$B$137, "")</f>
        <v>1.6669938465945642E-2</v>
      </c>
    </row>
    <row r="114" spans="1:7" ht="15.4" x14ac:dyDescent="0.45">
      <c r="A114" s="149" t="s">
        <v>155</v>
      </c>
      <c r="B114" s="147"/>
      <c r="C114" s="147"/>
      <c r="D114" s="147"/>
      <c r="E114" s="147"/>
      <c r="F114" s="147"/>
      <c r="G114" s="143">
        <f>IFERROR(B114/$B$137, "")</f>
        <v>0</v>
      </c>
    </row>
    <row r="115" spans="1:7" ht="15.4" x14ac:dyDescent="0.45">
      <c r="A115" s="149" t="s">
        <v>114</v>
      </c>
      <c r="B115" s="147">
        <v>3864307</v>
      </c>
      <c r="C115" s="147">
        <v>3554207</v>
      </c>
      <c r="D115" s="147">
        <v>310100</v>
      </c>
      <c r="E115" s="147">
        <v>415618</v>
      </c>
      <c r="F115" s="147">
        <v>544288</v>
      </c>
      <c r="G115" s="143">
        <f>IFERROR(B115/$B$137, "")</f>
        <v>1.0865465594057858E-2</v>
      </c>
    </row>
    <row r="116" spans="1:7" ht="15.4" x14ac:dyDescent="0.45">
      <c r="A116" s="149" t="s">
        <v>173</v>
      </c>
      <c r="B116" s="147"/>
      <c r="C116" s="147"/>
      <c r="D116" s="147"/>
      <c r="E116" s="147"/>
      <c r="F116" s="147"/>
      <c r="G116" s="143">
        <f>IFERROR(B116/$B$137, "")</f>
        <v>0</v>
      </c>
    </row>
    <row r="117" spans="1:7" ht="15.4" x14ac:dyDescent="0.45">
      <c r="A117" s="149" t="s">
        <v>95</v>
      </c>
      <c r="B117" s="147">
        <v>281607</v>
      </c>
      <c r="C117" s="147">
        <v>189157.37</v>
      </c>
      <c r="D117" s="147">
        <v>92449.63</v>
      </c>
      <c r="E117" s="147">
        <v>0</v>
      </c>
      <c r="F117" s="147">
        <v>92449.63</v>
      </c>
      <c r="G117" s="143">
        <f>IFERROR(B117/$B$137, "")</f>
        <v>7.9180851043818507E-4</v>
      </c>
    </row>
    <row r="118" spans="1:7" ht="15.4" x14ac:dyDescent="0.45">
      <c r="A118" s="149" t="s">
        <v>178</v>
      </c>
      <c r="B118" s="147">
        <v>74878</v>
      </c>
      <c r="C118" s="147">
        <v>699181.34</v>
      </c>
      <c r="D118" s="147">
        <v>-624303.34</v>
      </c>
      <c r="E118" s="147">
        <v>918.72</v>
      </c>
      <c r="F118" s="147">
        <v>-623384.62</v>
      </c>
      <c r="G118" s="143">
        <f>IFERROR(B118/$B$137, "")</f>
        <v>2.1053822399510813E-4</v>
      </c>
    </row>
    <row r="119" spans="1:7" ht="15.4" x14ac:dyDescent="0.45">
      <c r="A119" s="149" t="s">
        <v>96</v>
      </c>
      <c r="B119" s="147">
        <v>673609</v>
      </c>
      <c r="C119" s="147">
        <v>653617.29</v>
      </c>
      <c r="D119" s="147">
        <v>19991.71</v>
      </c>
      <c r="E119" s="147">
        <v>0</v>
      </c>
      <c r="F119" s="147">
        <v>19991.71</v>
      </c>
      <c r="G119" s="143">
        <f>IFERROR(B119/$B$137, "")</f>
        <v>1.8940201731766446E-3</v>
      </c>
    </row>
    <row r="120" spans="1:7" ht="15.4" x14ac:dyDescent="0.45">
      <c r="A120" s="149" t="s">
        <v>145</v>
      </c>
      <c r="B120" s="147">
        <v>84111</v>
      </c>
      <c r="C120" s="147">
        <v>137424.07999999999</v>
      </c>
      <c r="D120" s="147">
        <v>-53313.08</v>
      </c>
      <c r="E120" s="147">
        <v>238431.59</v>
      </c>
      <c r="F120" s="147">
        <v>185118.51</v>
      </c>
      <c r="G120" s="143">
        <f>IFERROR(B120/$B$137, "")</f>
        <v>2.3649911266930928E-4</v>
      </c>
    </row>
    <row r="121" spans="1:7" ht="15.4" x14ac:dyDescent="0.45">
      <c r="A121" s="149" t="s">
        <v>191</v>
      </c>
      <c r="B121" s="147">
        <v>167907</v>
      </c>
      <c r="C121" s="147">
        <v>105548.58</v>
      </c>
      <c r="D121" s="147">
        <v>62358.42</v>
      </c>
      <c r="E121" s="147">
        <v>0</v>
      </c>
      <c r="F121" s="147">
        <v>46994.42</v>
      </c>
      <c r="G121" s="143">
        <f>IFERROR(B121/$B$137, "")</f>
        <v>4.7211252405708783E-4</v>
      </c>
    </row>
    <row r="122" spans="1:7" ht="15.4" x14ac:dyDescent="0.45">
      <c r="A122" s="149" t="s">
        <v>97</v>
      </c>
      <c r="B122" s="147">
        <v>820571</v>
      </c>
      <c r="C122" s="147">
        <v>283260.65000000002</v>
      </c>
      <c r="D122" s="147">
        <v>537310.35</v>
      </c>
      <c r="E122" s="147">
        <v>54910.71</v>
      </c>
      <c r="F122" s="147">
        <v>592221.06000000006</v>
      </c>
      <c r="G122" s="143">
        <f>IFERROR(B122/$B$137, "")</f>
        <v>2.3072405913871883E-3</v>
      </c>
    </row>
    <row r="123" spans="1:7" ht="15.4" x14ac:dyDescent="0.45">
      <c r="A123" s="149" t="s">
        <v>186</v>
      </c>
      <c r="B123" s="147">
        <v>5187989</v>
      </c>
      <c r="C123" s="147">
        <v>4140330</v>
      </c>
      <c r="D123" s="147">
        <v>1047659</v>
      </c>
      <c r="E123" s="147">
        <v>0</v>
      </c>
      <c r="F123" s="147">
        <v>1047659</v>
      </c>
      <c r="G123" s="143">
        <f>IFERROR(B123/$B$137, "")</f>
        <v>1.4587328590055251E-2</v>
      </c>
    </row>
    <row r="124" spans="1:7" ht="15.4" x14ac:dyDescent="0.45">
      <c r="A124" s="149" t="s">
        <v>98</v>
      </c>
      <c r="B124" s="147">
        <v>2941451</v>
      </c>
      <c r="C124" s="147">
        <v>3029621</v>
      </c>
      <c r="D124" s="147">
        <v>-88170</v>
      </c>
      <c r="E124" s="147">
        <v>13667</v>
      </c>
      <c r="F124" s="147">
        <v>-85892</v>
      </c>
      <c r="G124" s="143">
        <f>IFERROR(B124/$B$137, "")</f>
        <v>8.2706251436821879E-3</v>
      </c>
    </row>
    <row r="125" spans="1:7" ht="15.4" x14ac:dyDescent="0.45">
      <c r="A125" s="149" t="s">
        <v>99</v>
      </c>
      <c r="B125" s="147">
        <v>1034332</v>
      </c>
      <c r="C125" s="147">
        <v>773538.26</v>
      </c>
      <c r="D125" s="147">
        <v>260793.74</v>
      </c>
      <c r="E125" s="147">
        <v>49428.21</v>
      </c>
      <c r="F125" s="147">
        <v>232666.46</v>
      </c>
      <c r="G125" s="143">
        <f>IFERROR(B125/$B$137, "")</f>
        <v>2.9082831045341515E-3</v>
      </c>
    </row>
    <row r="126" spans="1:7" ht="15.4" x14ac:dyDescent="0.45">
      <c r="A126" s="149" t="s">
        <v>100</v>
      </c>
      <c r="B126" s="147">
        <v>6758134</v>
      </c>
      <c r="C126" s="147">
        <v>5087507.8499999996</v>
      </c>
      <c r="D126" s="147">
        <v>1670626.15</v>
      </c>
      <c r="E126" s="147">
        <v>784393.53</v>
      </c>
      <c r="F126" s="147">
        <v>2455019.6800000002</v>
      </c>
      <c r="G126" s="143">
        <f>IFERROR(B126/$B$137, "")</f>
        <v>1.9002183950972997E-2</v>
      </c>
    </row>
    <row r="127" spans="1:7" ht="15.4" x14ac:dyDescent="0.45">
      <c r="A127" s="149" t="s">
        <v>102</v>
      </c>
      <c r="B127" s="147"/>
      <c r="C127" s="147"/>
      <c r="D127" s="147"/>
      <c r="E127" s="147"/>
      <c r="F127" s="147"/>
      <c r="G127" s="143">
        <f>IFERROR(B127/$B$137, "")</f>
        <v>0</v>
      </c>
    </row>
    <row r="128" spans="1:7" ht="15.4" x14ac:dyDescent="0.45">
      <c r="A128" s="149" t="s">
        <v>156</v>
      </c>
      <c r="B128" s="147">
        <v>102691</v>
      </c>
      <c r="C128" s="147">
        <v>87378.16</v>
      </c>
      <c r="D128" s="147">
        <v>15312.84</v>
      </c>
      <c r="E128" s="147"/>
      <c r="F128" s="147">
        <v>15312.84</v>
      </c>
      <c r="G128" s="143">
        <f>IFERROR(B128/$B$137, "")</f>
        <v>2.8874142952912268E-4</v>
      </c>
    </row>
    <row r="129" spans="1:7" ht="15.4" x14ac:dyDescent="0.45">
      <c r="A129" s="149" t="s">
        <v>157</v>
      </c>
      <c r="B129" s="147">
        <v>3164891</v>
      </c>
      <c r="C129" s="147">
        <v>2824120.57</v>
      </c>
      <c r="D129" s="147">
        <v>340770.43</v>
      </c>
      <c r="E129" s="147">
        <v>0</v>
      </c>
      <c r="F129" s="147">
        <v>255577.43</v>
      </c>
      <c r="G129" s="143">
        <f>IFERROR(B129/$B$137, "")</f>
        <v>8.8988825860479952E-3</v>
      </c>
    </row>
    <row r="130" spans="1:7" ht="15.4" x14ac:dyDescent="0.45">
      <c r="A130" s="149" t="s">
        <v>103</v>
      </c>
      <c r="B130" s="147">
        <v>7008268</v>
      </c>
      <c r="C130" s="147">
        <v>4967676.04</v>
      </c>
      <c r="D130" s="147">
        <v>2040591.96</v>
      </c>
      <c r="E130" s="147">
        <v>11.75</v>
      </c>
      <c r="F130" s="147">
        <v>1782167.09</v>
      </c>
      <c r="G130" s="143">
        <f>IFERROR(B130/$B$137, "")</f>
        <v>1.9705498250510812E-2</v>
      </c>
    </row>
    <row r="131" spans="1:7" ht="15.4" x14ac:dyDescent="0.45">
      <c r="A131" s="149" t="s">
        <v>104</v>
      </c>
      <c r="B131" s="147">
        <v>8222135</v>
      </c>
      <c r="C131" s="147">
        <v>5543539.9000000004</v>
      </c>
      <c r="D131" s="147">
        <v>2678595.1</v>
      </c>
      <c r="E131" s="147">
        <v>6789.5</v>
      </c>
      <c r="F131" s="147">
        <v>2390720.6</v>
      </c>
      <c r="G131" s="143">
        <f>IFERROR(B131/$B$137, "")</f>
        <v>2.3118588909265984E-2</v>
      </c>
    </row>
    <row r="132" spans="1:7" ht="15.4" x14ac:dyDescent="0.45">
      <c r="A132" s="149" t="s">
        <v>179</v>
      </c>
      <c r="B132" s="147"/>
      <c r="C132" s="147"/>
      <c r="D132" s="147"/>
      <c r="E132" s="147"/>
      <c r="F132" s="147"/>
      <c r="G132" s="143">
        <f>IFERROR(B132/$B$137, "")</f>
        <v>0</v>
      </c>
    </row>
    <row r="133" spans="1:7" ht="15.4" x14ac:dyDescent="0.45">
      <c r="A133" s="149" t="s">
        <v>105</v>
      </c>
      <c r="B133" s="147"/>
      <c r="C133" s="147"/>
      <c r="D133" s="147"/>
      <c r="E133" s="147"/>
      <c r="F133" s="147"/>
      <c r="G133" s="143">
        <f>IFERROR(B133/$B$137, "")</f>
        <v>0</v>
      </c>
    </row>
    <row r="134" spans="1:7" ht="15.4" x14ac:dyDescent="0.45">
      <c r="A134" s="149" t="s">
        <v>106</v>
      </c>
      <c r="B134" s="147">
        <v>39707276</v>
      </c>
      <c r="C134" s="147">
        <v>26272438.91</v>
      </c>
      <c r="D134" s="147">
        <v>13434837.09</v>
      </c>
      <c r="E134" s="147">
        <v>1193800.25</v>
      </c>
      <c r="F134" s="147">
        <v>10732841.34</v>
      </c>
      <c r="G134" s="143">
        <f>IFERROR(B134/$B$137, "")</f>
        <v>0.11164693726760305</v>
      </c>
    </row>
    <row r="135" spans="1:7" ht="15.4" x14ac:dyDescent="0.45">
      <c r="A135" s="149" t="s">
        <v>146</v>
      </c>
      <c r="B135" s="147">
        <v>17185</v>
      </c>
      <c r="C135" s="147">
        <v>200117.04</v>
      </c>
      <c r="D135" s="147">
        <v>-182932.04</v>
      </c>
      <c r="E135" s="147">
        <v>11234.22</v>
      </c>
      <c r="F135" s="147">
        <v>-171697.82</v>
      </c>
      <c r="G135" s="143">
        <f>IFERROR(B135/$B$137, "")</f>
        <v>4.8319925470177269E-5</v>
      </c>
    </row>
    <row r="136" spans="1:7" ht="15.4" x14ac:dyDescent="0.45">
      <c r="A136" s="149" t="s">
        <v>107</v>
      </c>
      <c r="B136" s="147">
        <v>85651</v>
      </c>
      <c r="C136" s="147">
        <v>121870.75</v>
      </c>
      <c r="D136" s="147">
        <v>-36219.75</v>
      </c>
      <c r="E136" s="147">
        <v>112</v>
      </c>
      <c r="F136" s="147">
        <v>-36107.75</v>
      </c>
      <c r="G136" s="143">
        <f>IFERROR(B136/$B$137, "")</f>
        <v>2.4082920782345958E-4</v>
      </c>
    </row>
    <row r="137" spans="1:7" ht="15.4" x14ac:dyDescent="0.45">
      <c r="A137" s="116" t="s">
        <v>147</v>
      </c>
      <c r="B137" s="140">
        <f>SUM(B3:B136)</f>
        <v>355650383</v>
      </c>
      <c r="C137" s="140">
        <f>SUM(C3:C136)</f>
        <v>286596969.66000009</v>
      </c>
      <c r="D137" s="140">
        <f>SUM(D3:D136)</f>
        <v>69053413.350000009</v>
      </c>
      <c r="E137" s="140">
        <f>SUM(E3:E136)</f>
        <v>20313062.829999998</v>
      </c>
      <c r="F137" s="140">
        <f>SUM(F3:F136)</f>
        <v>67347836.020000026</v>
      </c>
      <c r="G137" s="142">
        <f>SUM(G3:G136)</f>
        <v>1.0000000000000002</v>
      </c>
    </row>
    <row r="138" spans="1:7" s="146" customFormat="1" x14ac:dyDescent="0.35"/>
    <row r="139" spans="1:7" s="146" customFormat="1" x14ac:dyDescent="0.35"/>
    <row r="140" spans="1:7" s="146" customFormat="1" x14ac:dyDescent="0.35"/>
    <row r="141" spans="1:7" s="146" customFormat="1" x14ac:dyDescent="0.35"/>
    <row r="142" spans="1:7" s="146" customFormat="1" x14ac:dyDescent="0.35"/>
    <row r="143" spans="1:7" s="146" customFormat="1" x14ac:dyDescent="0.35"/>
    <row r="144" spans="1:7" s="146" customFormat="1" x14ac:dyDescent="0.35"/>
    <row r="145" s="146" customFormat="1" x14ac:dyDescent="0.35"/>
    <row r="146" s="146" customFormat="1" x14ac:dyDescent="0.35"/>
    <row r="147" s="146" customFormat="1" x14ac:dyDescent="0.35"/>
    <row r="148" s="146" customFormat="1" x14ac:dyDescent="0.35"/>
    <row r="149" s="146" customFormat="1" x14ac:dyDescent="0.35"/>
    <row r="150" s="146" customFormat="1" x14ac:dyDescent="0.35"/>
    <row r="151" s="146" customFormat="1" x14ac:dyDescent="0.35"/>
    <row r="152" s="146" customFormat="1" x14ac:dyDescent="0.35"/>
    <row r="153" s="146" customFormat="1" x14ac:dyDescent="0.35"/>
    <row r="154" s="146" customFormat="1" x14ac:dyDescent="0.35"/>
    <row r="155" s="146" customFormat="1" x14ac:dyDescent="0.35"/>
    <row r="156" s="146" customFormat="1" x14ac:dyDescent="0.35"/>
    <row r="157" s="146" customFormat="1" x14ac:dyDescent="0.35"/>
    <row r="158" s="146" customFormat="1" x14ac:dyDescent="0.35"/>
    <row r="159" s="146" customFormat="1" x14ac:dyDescent="0.35"/>
    <row r="160" s="146" customFormat="1" x14ac:dyDescent="0.35"/>
    <row r="161" s="146" customFormat="1" x14ac:dyDescent="0.35"/>
    <row r="162" s="146" customFormat="1" x14ac:dyDescent="0.35"/>
    <row r="163" s="146" customFormat="1" x14ac:dyDescent="0.35"/>
    <row r="164" s="146" customFormat="1" x14ac:dyDescent="0.35"/>
    <row r="165" s="146" customFormat="1" x14ac:dyDescent="0.35"/>
    <row r="166" s="146" customFormat="1" x14ac:dyDescent="0.35"/>
    <row r="167" s="146" customFormat="1" x14ac:dyDescent="0.35"/>
    <row r="168" s="146" customFormat="1" x14ac:dyDescent="0.35"/>
    <row r="169" s="146" customFormat="1" x14ac:dyDescent="0.35"/>
    <row r="170" s="146" customFormat="1" x14ac:dyDescent="0.35"/>
    <row r="171" s="146" customFormat="1" x14ac:dyDescent="0.35"/>
    <row r="172" s="146" customFormat="1" x14ac:dyDescent="0.35"/>
    <row r="173" s="146" customFormat="1" x14ac:dyDescent="0.35"/>
    <row r="174" s="146" customFormat="1" x14ac:dyDescent="0.35"/>
    <row r="175" s="146" customFormat="1" x14ac:dyDescent="0.35"/>
    <row r="176" s="146" customFormat="1" x14ac:dyDescent="0.35"/>
    <row r="177" s="146" customFormat="1" x14ac:dyDescent="0.35"/>
    <row r="178" s="146" customFormat="1" x14ac:dyDescent="0.35"/>
    <row r="179" s="146" customFormat="1" x14ac:dyDescent="0.35"/>
    <row r="180" s="146" customFormat="1" x14ac:dyDescent="0.35"/>
    <row r="181" s="146" customFormat="1" x14ac:dyDescent="0.35"/>
    <row r="182" s="146" customFormat="1" x14ac:dyDescent="0.35"/>
    <row r="183" s="146" customFormat="1" x14ac:dyDescent="0.35"/>
    <row r="184" s="146" customFormat="1" x14ac:dyDescent="0.35"/>
    <row r="185" s="146" customFormat="1" x14ac:dyDescent="0.35"/>
    <row r="186" s="146" customFormat="1" x14ac:dyDescent="0.35"/>
    <row r="187" s="146" customFormat="1" x14ac:dyDescent="0.35"/>
    <row r="188" s="146" customFormat="1" x14ac:dyDescent="0.35"/>
    <row r="189" s="146" customFormat="1" x14ac:dyDescent="0.35"/>
    <row r="190" s="146" customFormat="1" x14ac:dyDescent="0.35"/>
    <row r="191" s="146" customFormat="1" x14ac:dyDescent="0.35"/>
    <row r="192" s="146" customFormat="1" x14ac:dyDescent="0.35"/>
    <row r="193" s="146" customFormat="1" x14ac:dyDescent="0.35"/>
    <row r="194" s="146" customFormat="1" x14ac:dyDescent="0.35"/>
    <row r="195" s="146" customFormat="1" x14ac:dyDescent="0.35"/>
    <row r="196" s="146" customFormat="1" x14ac:dyDescent="0.35"/>
    <row r="197" s="146" customFormat="1" x14ac:dyDescent="0.35"/>
    <row r="198" s="146" customFormat="1" x14ac:dyDescent="0.35"/>
    <row r="199" s="146" customFormat="1" x14ac:dyDescent="0.35"/>
    <row r="200" s="146" customFormat="1" x14ac:dyDescent="0.35"/>
    <row r="201" s="146" customFormat="1" x14ac:dyDescent="0.35"/>
    <row r="202" s="146" customFormat="1" x14ac:dyDescent="0.35"/>
    <row r="203" s="146" customFormat="1" x14ac:dyDescent="0.35"/>
    <row r="204" s="146" customFormat="1" x14ac:dyDescent="0.35"/>
    <row r="205" s="146" customFormat="1" x14ac:dyDescent="0.35"/>
    <row r="206" s="146" customFormat="1" x14ac:dyDescent="0.35"/>
    <row r="207" s="146" customFormat="1" x14ac:dyDescent="0.35"/>
    <row r="208" s="146" customFormat="1" x14ac:dyDescent="0.35"/>
    <row r="209" s="146" customFormat="1" x14ac:dyDescent="0.35"/>
    <row r="210" s="146" customFormat="1" x14ac:dyDescent="0.35"/>
    <row r="211" s="146" customFormat="1" x14ac:dyDescent="0.35"/>
    <row r="212" s="146" customFormat="1" x14ac:dyDescent="0.35"/>
    <row r="213" s="146" customFormat="1" x14ac:dyDescent="0.35"/>
    <row r="214" s="146" customFormat="1" x14ac:dyDescent="0.35"/>
    <row r="215" s="146" customFormat="1" x14ac:dyDescent="0.35"/>
    <row r="216" s="146" customFormat="1" x14ac:dyDescent="0.35"/>
    <row r="217" s="146" customFormat="1" x14ac:dyDescent="0.35"/>
    <row r="218" s="146" customFormat="1" x14ac:dyDescent="0.35"/>
    <row r="219" s="146" customFormat="1" x14ac:dyDescent="0.35"/>
    <row r="220" s="146" customFormat="1" x14ac:dyDescent="0.35"/>
    <row r="221" s="146" customFormat="1" x14ac:dyDescent="0.35"/>
    <row r="222" s="146" customFormat="1" x14ac:dyDescent="0.35"/>
    <row r="223" s="146" customFormat="1" x14ac:dyDescent="0.35"/>
    <row r="224" s="146" customFormat="1" x14ac:dyDescent="0.35"/>
    <row r="225" s="146" customFormat="1" x14ac:dyDescent="0.35"/>
    <row r="226" s="146" customFormat="1" x14ac:dyDescent="0.35"/>
    <row r="227" s="146" customFormat="1" x14ac:dyDescent="0.35"/>
    <row r="228" s="146" customFormat="1" x14ac:dyDescent="0.35"/>
    <row r="229" s="146" customFormat="1" x14ac:dyDescent="0.35"/>
    <row r="230" s="146" customFormat="1" x14ac:dyDescent="0.35"/>
    <row r="231" s="146" customFormat="1" x14ac:dyDescent="0.35"/>
    <row r="232" s="146" customFormat="1" x14ac:dyDescent="0.35"/>
    <row r="233" s="146" customFormat="1" x14ac:dyDescent="0.35"/>
    <row r="234" s="146" customFormat="1" x14ac:dyDescent="0.35"/>
    <row r="235" s="146" customFormat="1" x14ac:dyDescent="0.35"/>
    <row r="236" s="146" customFormat="1" x14ac:dyDescent="0.35"/>
    <row r="237" s="146" customFormat="1" x14ac:dyDescent="0.35"/>
    <row r="238" s="146" customFormat="1" x14ac:dyDescent="0.35"/>
    <row r="239" s="146" customFormat="1" x14ac:dyDescent="0.35"/>
    <row r="240" s="146" customFormat="1" x14ac:dyDescent="0.35"/>
    <row r="241" s="146" customFormat="1" x14ac:dyDescent="0.35"/>
    <row r="242" s="146" customFormat="1" x14ac:dyDescent="0.35"/>
    <row r="243" s="146" customFormat="1" x14ac:dyDescent="0.35"/>
    <row r="244" s="146" customFormat="1" x14ac:dyDescent="0.35"/>
    <row r="245" s="146" customFormat="1" x14ac:dyDescent="0.35"/>
    <row r="246" s="146" customFormat="1" x14ac:dyDescent="0.35"/>
    <row r="247" s="146" customFormat="1" x14ac:dyDescent="0.35"/>
    <row r="248" s="146" customFormat="1" x14ac:dyDescent="0.35"/>
    <row r="249" s="146" customFormat="1" x14ac:dyDescent="0.35"/>
    <row r="250" s="146" customFormat="1" x14ac:dyDescent="0.35"/>
    <row r="251" s="146" customFormat="1" x14ac:dyDescent="0.35"/>
    <row r="252" s="146" customFormat="1" x14ac:dyDescent="0.35"/>
    <row r="253" s="146" customFormat="1" x14ac:dyDescent="0.35"/>
    <row r="254" s="146" customFormat="1" x14ac:dyDescent="0.35"/>
    <row r="255" s="146" customFormat="1" x14ac:dyDescent="0.35"/>
    <row r="256" s="146" customFormat="1" x14ac:dyDescent="0.35"/>
    <row r="257" s="146" customFormat="1" x14ac:dyDescent="0.35"/>
    <row r="258" s="146" customFormat="1" x14ac:dyDescent="0.35"/>
    <row r="259" s="146" customFormat="1" x14ac:dyDescent="0.35"/>
    <row r="260" s="146" customFormat="1" x14ac:dyDescent="0.35"/>
    <row r="261" s="146" customFormat="1" x14ac:dyDescent="0.35"/>
    <row r="262" s="146" customFormat="1" x14ac:dyDescent="0.35"/>
    <row r="263" s="146" customFormat="1" x14ac:dyDescent="0.35"/>
    <row r="264" s="146" customFormat="1" x14ac:dyDescent="0.35"/>
    <row r="265" s="146" customFormat="1" x14ac:dyDescent="0.35"/>
    <row r="266" s="146" customFormat="1" x14ac:dyDescent="0.35"/>
    <row r="267" s="146" customFormat="1" x14ac:dyDescent="0.35"/>
    <row r="268" s="146" customFormat="1" x14ac:dyDescent="0.35"/>
    <row r="269" s="146" customFormat="1" x14ac:dyDescent="0.35"/>
    <row r="270" s="146" customFormat="1" x14ac:dyDescent="0.35"/>
    <row r="271" s="146" customFormat="1" x14ac:dyDescent="0.35"/>
    <row r="272" s="146" customFormat="1" x14ac:dyDescent="0.35"/>
    <row r="273" s="146" customFormat="1" x14ac:dyDescent="0.35"/>
    <row r="274" s="146" customFormat="1" x14ac:dyDescent="0.35"/>
    <row r="275" s="146" customFormat="1" x14ac:dyDescent="0.35"/>
    <row r="276" s="146" customFormat="1" x14ac:dyDescent="0.35"/>
    <row r="277" s="146" customFormat="1" x14ac:dyDescent="0.35"/>
    <row r="278" s="146" customFormat="1" x14ac:dyDescent="0.35"/>
    <row r="279" s="146" customFormat="1" x14ac:dyDescent="0.35"/>
    <row r="280" s="146" customFormat="1" x14ac:dyDescent="0.35"/>
    <row r="281" s="146" customFormat="1" x14ac:dyDescent="0.35"/>
    <row r="282" s="146" customFormat="1" x14ac:dyDescent="0.35"/>
    <row r="283" s="146" customFormat="1" x14ac:dyDescent="0.35"/>
    <row r="284" s="146" customFormat="1" x14ac:dyDescent="0.35"/>
    <row r="285" s="146" customFormat="1" x14ac:dyDescent="0.35"/>
    <row r="286" s="146" customFormat="1" x14ac:dyDescent="0.35"/>
    <row r="287" s="146" customFormat="1" x14ac:dyDescent="0.35"/>
    <row r="288" s="146" customFormat="1" x14ac:dyDescent="0.35"/>
    <row r="289" s="146" customFormat="1" x14ac:dyDescent="0.35"/>
    <row r="290" s="146" customFormat="1" x14ac:dyDescent="0.35"/>
    <row r="291" s="146" customFormat="1" x14ac:dyDescent="0.35"/>
    <row r="292" s="146" customFormat="1" x14ac:dyDescent="0.35"/>
    <row r="293" s="146" customFormat="1" x14ac:dyDescent="0.35"/>
    <row r="294" s="146" customFormat="1" x14ac:dyDescent="0.35"/>
    <row r="295" s="146" customFormat="1" x14ac:dyDescent="0.35"/>
    <row r="296" s="146" customFormat="1" x14ac:dyDescent="0.35"/>
    <row r="297" s="146" customFormat="1" x14ac:dyDescent="0.35"/>
    <row r="298" s="146" customFormat="1" x14ac:dyDescent="0.35"/>
    <row r="299" s="146" customFormat="1" x14ac:dyDescent="0.35"/>
    <row r="300" s="146" customFormat="1" x14ac:dyDescent="0.35"/>
    <row r="301" s="146" customFormat="1" x14ac:dyDescent="0.35"/>
    <row r="302" s="146" customFormat="1" x14ac:dyDescent="0.35"/>
    <row r="303" s="146" customFormat="1" x14ac:dyDescent="0.35"/>
    <row r="304" s="146" customFormat="1" x14ac:dyDescent="0.35"/>
    <row r="305" s="146" customFormat="1" x14ac:dyDescent="0.35"/>
    <row r="306" s="146" customFormat="1" x14ac:dyDescent="0.35"/>
    <row r="307" s="146" customFormat="1" x14ac:dyDescent="0.35"/>
    <row r="308" s="146" customFormat="1" x14ac:dyDescent="0.35"/>
    <row r="309" s="146" customFormat="1" x14ac:dyDescent="0.35"/>
    <row r="310" s="146" customFormat="1" x14ac:dyDescent="0.35"/>
    <row r="311" s="146" customFormat="1" x14ac:dyDescent="0.35"/>
    <row r="312" s="146" customFormat="1" x14ac:dyDescent="0.35"/>
    <row r="313" s="146" customFormat="1" x14ac:dyDescent="0.35"/>
    <row r="314" s="146" customFormat="1" x14ac:dyDescent="0.35"/>
    <row r="315" s="146" customFormat="1" x14ac:dyDescent="0.35"/>
    <row r="316" s="146" customFormat="1" x14ac:dyDescent="0.35"/>
    <row r="317" s="146" customFormat="1" x14ac:dyDescent="0.35"/>
    <row r="318" s="146" customFormat="1" x14ac:dyDescent="0.35"/>
    <row r="319" s="146" customFormat="1" x14ac:dyDescent="0.35"/>
    <row r="320" s="146" customFormat="1" x14ac:dyDescent="0.35"/>
    <row r="321" s="146" customFormat="1" x14ac:dyDescent="0.35"/>
    <row r="322" s="146" customFormat="1" x14ac:dyDescent="0.35"/>
    <row r="323" s="146" customFormat="1" x14ac:dyDescent="0.35"/>
    <row r="324" s="146" customFormat="1" x14ac:dyDescent="0.35"/>
    <row r="325" s="146" customFormat="1" x14ac:dyDescent="0.35"/>
    <row r="326" s="146" customFormat="1" x14ac:dyDescent="0.35"/>
    <row r="327" s="146" customFormat="1" x14ac:dyDescent="0.35"/>
    <row r="328" s="146" customFormat="1" x14ac:dyDescent="0.35"/>
    <row r="329" s="146" customFormat="1" x14ac:dyDescent="0.35"/>
    <row r="330" s="146" customFormat="1" x14ac:dyDescent="0.35"/>
    <row r="331" s="146" customFormat="1" x14ac:dyDescent="0.35"/>
    <row r="332" s="146" customFormat="1" x14ac:dyDescent="0.35"/>
    <row r="333" s="146" customFormat="1" x14ac:dyDescent="0.35"/>
    <row r="334" s="146" customFormat="1" x14ac:dyDescent="0.35"/>
    <row r="335" s="146" customFormat="1" x14ac:dyDescent="0.35"/>
    <row r="336" s="146" customFormat="1" x14ac:dyDescent="0.35"/>
    <row r="337" s="146" customFormat="1" x14ac:dyDescent="0.35"/>
    <row r="338" s="146" customFormat="1" x14ac:dyDescent="0.35"/>
    <row r="339" s="146" customFormat="1" x14ac:dyDescent="0.35"/>
    <row r="340" s="146" customFormat="1" x14ac:dyDescent="0.35"/>
    <row r="341" s="146" customFormat="1" x14ac:dyDescent="0.35"/>
    <row r="342" s="146" customFormat="1" x14ac:dyDescent="0.35"/>
    <row r="343" s="146" customFormat="1" x14ac:dyDescent="0.35"/>
    <row r="344" s="146" customFormat="1" x14ac:dyDescent="0.35"/>
    <row r="345" s="146" customFormat="1" x14ac:dyDescent="0.35"/>
    <row r="346" s="146" customFormat="1" x14ac:dyDescent="0.35"/>
    <row r="347" s="146" customFormat="1" x14ac:dyDescent="0.35"/>
    <row r="348" s="146" customFormat="1" x14ac:dyDescent="0.35"/>
    <row r="349" s="146" customFormat="1" x14ac:dyDescent="0.35"/>
    <row r="350" s="146" customFormat="1" x14ac:dyDescent="0.35"/>
    <row r="351" s="146" customFormat="1" x14ac:dyDescent="0.35"/>
    <row r="352" s="146" customFormat="1" x14ac:dyDescent="0.35"/>
    <row r="353" s="146" customFormat="1" x14ac:dyDescent="0.35"/>
    <row r="354" s="146" customFormat="1" x14ac:dyDescent="0.35"/>
    <row r="355" s="146" customFormat="1" x14ac:dyDescent="0.35"/>
    <row r="356" s="146" customFormat="1" x14ac:dyDescent="0.35"/>
    <row r="357" s="146" customFormat="1" x14ac:dyDescent="0.35"/>
    <row r="358" s="146" customFormat="1" x14ac:dyDescent="0.35"/>
    <row r="359" s="146" customFormat="1" x14ac:dyDescent="0.35"/>
    <row r="360" s="146" customFormat="1" x14ac:dyDescent="0.35"/>
    <row r="361" s="146" customFormat="1" x14ac:dyDescent="0.35"/>
    <row r="362" s="146" customFormat="1" x14ac:dyDescent="0.35"/>
    <row r="363" s="146" customFormat="1" x14ac:dyDescent="0.35"/>
    <row r="364" s="146" customFormat="1" x14ac:dyDescent="0.35"/>
    <row r="365" s="146" customFormat="1" x14ac:dyDescent="0.35"/>
    <row r="366" s="146" customFormat="1" x14ac:dyDescent="0.35"/>
    <row r="367" s="146" customFormat="1" x14ac:dyDescent="0.35"/>
    <row r="368" s="146" customFormat="1" x14ac:dyDescent="0.35"/>
    <row r="369" s="146" customFormat="1" x14ac:dyDescent="0.35"/>
    <row r="370" s="146" customFormat="1" x14ac:dyDescent="0.35"/>
    <row r="371" s="146" customFormat="1" x14ac:dyDescent="0.35"/>
    <row r="372" s="146" customFormat="1" x14ac:dyDescent="0.35"/>
    <row r="373" s="146" customFormat="1" x14ac:dyDescent="0.35"/>
    <row r="374" s="146" customFormat="1" x14ac:dyDescent="0.35"/>
    <row r="375" s="146" customFormat="1" x14ac:dyDescent="0.35"/>
    <row r="376" s="146" customFormat="1" x14ac:dyDescent="0.35"/>
    <row r="377" s="146" customFormat="1" x14ac:dyDescent="0.35"/>
    <row r="378" s="146" customFormat="1" x14ac:dyDescent="0.35"/>
    <row r="379" s="146" customFormat="1" x14ac:dyDescent="0.35"/>
    <row r="380" s="146" customFormat="1" x14ac:dyDescent="0.35"/>
    <row r="381" s="146" customFormat="1" x14ac:dyDescent="0.35"/>
    <row r="382" s="146" customFormat="1" x14ac:dyDescent="0.35"/>
    <row r="383" s="146" customFormat="1" x14ac:dyDescent="0.35"/>
    <row r="384" s="146" customFormat="1" x14ac:dyDescent="0.35"/>
    <row r="385" s="146" customFormat="1" x14ac:dyDescent="0.35"/>
    <row r="386" s="146" customFormat="1" x14ac:dyDescent="0.35"/>
    <row r="387" s="146" customFormat="1" x14ac:dyDescent="0.35"/>
    <row r="388" s="146" customFormat="1" x14ac:dyDescent="0.35"/>
    <row r="389" s="146" customFormat="1" x14ac:dyDescent="0.35"/>
    <row r="390" s="146" customFormat="1" x14ac:dyDescent="0.35"/>
    <row r="391" s="146" customFormat="1" x14ac:dyDescent="0.35"/>
    <row r="392" s="146" customFormat="1" x14ac:dyDescent="0.35"/>
    <row r="393" s="146" customFormat="1" x14ac:dyDescent="0.35"/>
    <row r="394" s="146" customFormat="1" x14ac:dyDescent="0.35"/>
    <row r="395" s="146" customFormat="1" x14ac:dyDescent="0.35"/>
    <row r="396" s="146" customFormat="1" x14ac:dyDescent="0.35"/>
    <row r="397" s="146" customFormat="1" x14ac:dyDescent="0.35"/>
    <row r="398" s="146" customFormat="1" x14ac:dyDescent="0.35"/>
    <row r="399" s="146" customFormat="1" x14ac:dyDescent="0.35"/>
    <row r="400" s="146" customFormat="1" x14ac:dyDescent="0.35"/>
    <row r="401" s="146" customFormat="1" x14ac:dyDescent="0.35"/>
    <row r="402" s="146" customFormat="1" x14ac:dyDescent="0.35"/>
    <row r="403" s="146" customFormat="1" x14ac:dyDescent="0.35"/>
    <row r="404" s="146" customFormat="1" x14ac:dyDescent="0.35"/>
    <row r="405" s="146" customFormat="1" x14ac:dyDescent="0.35"/>
    <row r="406" s="146" customFormat="1" x14ac:dyDescent="0.35"/>
    <row r="407" s="146" customFormat="1" x14ac:dyDescent="0.35"/>
    <row r="408" s="146" customFormat="1" x14ac:dyDescent="0.35"/>
    <row r="409" s="146" customFormat="1" x14ac:dyDescent="0.35"/>
    <row r="410" s="146" customFormat="1" x14ac:dyDescent="0.35"/>
    <row r="411" s="146" customFormat="1" x14ac:dyDescent="0.35"/>
    <row r="412" s="146" customFormat="1" x14ac:dyDescent="0.35"/>
    <row r="413" s="146" customFormat="1" x14ac:dyDescent="0.35"/>
    <row r="414" s="146" customFormat="1" x14ac:dyDescent="0.35"/>
    <row r="415" s="146" customFormat="1" x14ac:dyDescent="0.35"/>
    <row r="416" s="146" customFormat="1" x14ac:dyDescent="0.35"/>
    <row r="417" s="146" customFormat="1" x14ac:dyDescent="0.35"/>
    <row r="418" s="146" customFormat="1" x14ac:dyDescent="0.35"/>
    <row r="419" s="146" customFormat="1" x14ac:dyDescent="0.35"/>
    <row r="420" s="146" customFormat="1" x14ac:dyDescent="0.35"/>
    <row r="421" s="146" customFormat="1" x14ac:dyDescent="0.35"/>
    <row r="422" s="146" customFormat="1" x14ac:dyDescent="0.35"/>
    <row r="423" s="146" customFormat="1" x14ac:dyDescent="0.35"/>
    <row r="424" s="146" customFormat="1" x14ac:dyDescent="0.35"/>
    <row r="425" s="146" customFormat="1" x14ac:dyDescent="0.35"/>
    <row r="426" s="146" customFormat="1" x14ac:dyDescent="0.35"/>
    <row r="427" s="146" customFormat="1" x14ac:dyDescent="0.35"/>
    <row r="428" s="146" customFormat="1" x14ac:dyDescent="0.35"/>
    <row r="429" s="146" customFormat="1" x14ac:dyDescent="0.35"/>
    <row r="430" s="146" customFormat="1" x14ac:dyDescent="0.35"/>
    <row r="431" s="146" customFormat="1" x14ac:dyDescent="0.35"/>
    <row r="432" s="146" customFormat="1" x14ac:dyDescent="0.35"/>
    <row r="433" s="146" customFormat="1" x14ac:dyDescent="0.35"/>
    <row r="434" s="146" customFormat="1" x14ac:dyDescent="0.35"/>
    <row r="435" s="146" customFormat="1" x14ac:dyDescent="0.35"/>
    <row r="436" s="146" customFormat="1" x14ac:dyDescent="0.35"/>
    <row r="437" s="146" customFormat="1" x14ac:dyDescent="0.35"/>
    <row r="438" s="146" customFormat="1" x14ac:dyDescent="0.35"/>
    <row r="439" s="146" customFormat="1" x14ac:dyDescent="0.35"/>
    <row r="440" s="146" customFormat="1" x14ac:dyDescent="0.35"/>
    <row r="441" s="146" customFormat="1" x14ac:dyDescent="0.35"/>
    <row r="442" s="146" customFormat="1" x14ac:dyDescent="0.35"/>
    <row r="443" s="146" customFormat="1" x14ac:dyDescent="0.35"/>
    <row r="444" s="146" customFormat="1" x14ac:dyDescent="0.35"/>
    <row r="445" s="146" customFormat="1" x14ac:dyDescent="0.35"/>
    <row r="446" s="146" customFormat="1" x14ac:dyDescent="0.35"/>
    <row r="447" s="146" customFormat="1" x14ac:dyDescent="0.35"/>
    <row r="448" s="146" customFormat="1" x14ac:dyDescent="0.35"/>
    <row r="449" s="146" customFormat="1" x14ac:dyDescent="0.35"/>
    <row r="450" s="146" customFormat="1" x14ac:dyDescent="0.35"/>
    <row r="451" s="146" customFormat="1" x14ac:dyDescent="0.35"/>
    <row r="452" s="146" customFormat="1" x14ac:dyDescent="0.35"/>
    <row r="453" s="146" customFormat="1" x14ac:dyDescent="0.35"/>
    <row r="454" s="146" customFormat="1" x14ac:dyDescent="0.35"/>
    <row r="455" s="146" customFormat="1" x14ac:dyDescent="0.35"/>
    <row r="456" s="146" customFormat="1" x14ac:dyDescent="0.35"/>
    <row r="457" s="146" customFormat="1" x14ac:dyDescent="0.35"/>
    <row r="458" s="146" customFormat="1" x14ac:dyDescent="0.35"/>
    <row r="459" s="146" customFormat="1" x14ac:dyDescent="0.35"/>
    <row r="460" s="146" customFormat="1" x14ac:dyDescent="0.35"/>
    <row r="461" s="146" customFormat="1" x14ac:dyDescent="0.35"/>
    <row r="462" s="146" customFormat="1" x14ac:dyDescent="0.35"/>
    <row r="463" s="146" customFormat="1" x14ac:dyDescent="0.35"/>
    <row r="464" s="146" customFormat="1" x14ac:dyDescent="0.35"/>
    <row r="465" s="146" customFormat="1" x14ac:dyDescent="0.35"/>
    <row r="466" s="146" customFormat="1" x14ac:dyDescent="0.35"/>
    <row r="467" s="146" customFormat="1" x14ac:dyDescent="0.35"/>
    <row r="468" s="146" customFormat="1" x14ac:dyDescent="0.35"/>
    <row r="469" s="146" customFormat="1" x14ac:dyDescent="0.35"/>
    <row r="470" s="146" customFormat="1" x14ac:dyDescent="0.35"/>
    <row r="471" s="146" customFormat="1" x14ac:dyDescent="0.35"/>
    <row r="472" s="146" customFormat="1" x14ac:dyDescent="0.35"/>
    <row r="473" s="146" customFormat="1" x14ac:dyDescent="0.35"/>
    <row r="474" s="146" customFormat="1" x14ac:dyDescent="0.35"/>
    <row r="475" s="146" customFormat="1" x14ac:dyDescent="0.35"/>
    <row r="476" s="146" customFormat="1" x14ac:dyDescent="0.35"/>
    <row r="477" s="146" customFormat="1" x14ac:dyDescent="0.35"/>
    <row r="478" s="146" customFormat="1" x14ac:dyDescent="0.35"/>
    <row r="479" s="146" customFormat="1" x14ac:dyDescent="0.35"/>
    <row r="480" s="146" customFormat="1" x14ac:dyDescent="0.35"/>
    <row r="481" s="146" customFormat="1" x14ac:dyDescent="0.35"/>
    <row r="482" s="146" customFormat="1" x14ac:dyDescent="0.35"/>
    <row r="483" s="146" customFormat="1" x14ac:dyDescent="0.35"/>
    <row r="484" s="146" customFormat="1" x14ac:dyDescent="0.35"/>
    <row r="485" s="146" customFormat="1" x14ac:dyDescent="0.35"/>
    <row r="486" s="146" customFormat="1" x14ac:dyDescent="0.35"/>
    <row r="487" s="146" customFormat="1" x14ac:dyDescent="0.35"/>
    <row r="488" s="146" customFormat="1" x14ac:dyDescent="0.35"/>
    <row r="489" s="146" customFormat="1" x14ac:dyDescent="0.35"/>
    <row r="490" s="146" customFormat="1" x14ac:dyDescent="0.35"/>
    <row r="491" s="146" customFormat="1" x14ac:dyDescent="0.35"/>
    <row r="492" s="146" customFormat="1" x14ac:dyDescent="0.35"/>
    <row r="493" s="146" customFormat="1" x14ac:dyDescent="0.35"/>
    <row r="494" s="146" customFormat="1" x14ac:dyDescent="0.35"/>
    <row r="495" s="146" customFormat="1" x14ac:dyDescent="0.35"/>
    <row r="496" s="146" customFormat="1" x14ac:dyDescent="0.35"/>
    <row r="497" s="146" customFormat="1" x14ac:dyDescent="0.35"/>
    <row r="498" s="146" customFormat="1" x14ac:dyDescent="0.35"/>
    <row r="499" s="146" customFormat="1" x14ac:dyDescent="0.35"/>
    <row r="500" s="146" customFormat="1" x14ac:dyDescent="0.35"/>
    <row r="501" s="146" customFormat="1" x14ac:dyDescent="0.35"/>
    <row r="502" s="146" customFormat="1" x14ac:dyDescent="0.35"/>
    <row r="503" s="146" customFormat="1" x14ac:dyDescent="0.35"/>
    <row r="504" s="146" customFormat="1" x14ac:dyDescent="0.35"/>
    <row r="505" s="146" customFormat="1" x14ac:dyDescent="0.35"/>
    <row r="506" s="146" customFormat="1" x14ac:dyDescent="0.35"/>
    <row r="507" s="146" customFormat="1" x14ac:dyDescent="0.35"/>
    <row r="508" s="146" customFormat="1" x14ac:dyDescent="0.35"/>
    <row r="509" s="146" customFormat="1" x14ac:dyDescent="0.35"/>
    <row r="510" s="146" customFormat="1" x14ac:dyDescent="0.35"/>
    <row r="511" s="146" customFormat="1" x14ac:dyDescent="0.35"/>
    <row r="512" s="146" customFormat="1" x14ac:dyDescent="0.35"/>
    <row r="513" s="146" customFormat="1" x14ac:dyDescent="0.35"/>
    <row r="514" s="146" customFormat="1" x14ac:dyDescent="0.35"/>
    <row r="515" s="146" customFormat="1" x14ac:dyDescent="0.35"/>
    <row r="516" s="146" customFormat="1" x14ac:dyDescent="0.35"/>
    <row r="517" s="146" customFormat="1" x14ac:dyDescent="0.35"/>
    <row r="518" s="146" customFormat="1" x14ac:dyDescent="0.35"/>
    <row r="519" s="146" customFormat="1" x14ac:dyDescent="0.35"/>
    <row r="520" s="146" customFormat="1" x14ac:dyDescent="0.35"/>
    <row r="521" s="146" customFormat="1" x14ac:dyDescent="0.35"/>
    <row r="522" s="146" customFormat="1" x14ac:dyDescent="0.35"/>
    <row r="523" s="146" customFormat="1" x14ac:dyDescent="0.35"/>
    <row r="524" s="146" customFormat="1" x14ac:dyDescent="0.35"/>
    <row r="525" s="146" customFormat="1" x14ac:dyDescent="0.35"/>
    <row r="526" s="146" customFormat="1" x14ac:dyDescent="0.35"/>
    <row r="527" s="146" customFormat="1" x14ac:dyDescent="0.35"/>
    <row r="528" s="146" customFormat="1" x14ac:dyDescent="0.35"/>
    <row r="529" s="146" customFormat="1" x14ac:dyDescent="0.35"/>
    <row r="530" s="146" customFormat="1" x14ac:dyDescent="0.35"/>
    <row r="531" s="146" customFormat="1" x14ac:dyDescent="0.35"/>
    <row r="532" s="146" customFormat="1" x14ac:dyDescent="0.35"/>
    <row r="533" s="146" customFormat="1" x14ac:dyDescent="0.35"/>
    <row r="534" s="146" customFormat="1" x14ac:dyDescent="0.35"/>
    <row r="535" s="146" customFormat="1" x14ac:dyDescent="0.35"/>
    <row r="536" s="146" customFormat="1" x14ac:dyDescent="0.35"/>
    <row r="537" s="146" customFormat="1" x14ac:dyDescent="0.35"/>
    <row r="538" s="146" customFormat="1" x14ac:dyDescent="0.35"/>
    <row r="539" s="146" customFormat="1" x14ac:dyDescent="0.35"/>
    <row r="540" s="146" customFormat="1" x14ac:dyDescent="0.35"/>
    <row r="541" s="146" customFormat="1" x14ac:dyDescent="0.35"/>
    <row r="542" s="146" customFormat="1" x14ac:dyDescent="0.35"/>
    <row r="543" s="146" customFormat="1" x14ac:dyDescent="0.35"/>
    <row r="544" s="146" customFormat="1" x14ac:dyDescent="0.35"/>
    <row r="545" s="146" customFormat="1" x14ac:dyDescent="0.35"/>
    <row r="546" s="146" customFormat="1" x14ac:dyDescent="0.35"/>
    <row r="547" s="146" customFormat="1" x14ac:dyDescent="0.35"/>
    <row r="548" s="146" customFormat="1" x14ac:dyDescent="0.35"/>
    <row r="549" s="146" customFormat="1" x14ac:dyDescent="0.35"/>
    <row r="550" s="146" customFormat="1" x14ac:dyDescent="0.35"/>
    <row r="551" s="146" customFormat="1" x14ac:dyDescent="0.35"/>
    <row r="552" s="146" customFormat="1" x14ac:dyDescent="0.35"/>
    <row r="553" s="146" customFormat="1" x14ac:dyDescent="0.35"/>
    <row r="554" s="146" customFormat="1" x14ac:dyDescent="0.35"/>
    <row r="555" s="146" customFormat="1" x14ac:dyDescent="0.35"/>
    <row r="556" s="146" customFormat="1" x14ac:dyDescent="0.35"/>
    <row r="557" s="146" customFormat="1" x14ac:dyDescent="0.35"/>
    <row r="558" s="146" customFormat="1" x14ac:dyDescent="0.35"/>
    <row r="559" s="146" customFormat="1" x14ac:dyDescent="0.35"/>
    <row r="560" s="146" customFormat="1" x14ac:dyDescent="0.35"/>
    <row r="561" s="146" customFormat="1" x14ac:dyDescent="0.35"/>
    <row r="562" s="146" customFormat="1" x14ac:dyDescent="0.35"/>
    <row r="563" s="146" customFormat="1" x14ac:dyDescent="0.35"/>
    <row r="564" s="146" customFormat="1" x14ac:dyDescent="0.35"/>
    <row r="565" s="146" customFormat="1" x14ac:dyDescent="0.35"/>
    <row r="566" s="146" customFormat="1" x14ac:dyDescent="0.35"/>
    <row r="567" s="146" customFormat="1" x14ac:dyDescent="0.35"/>
    <row r="568" s="146" customFormat="1" x14ac:dyDescent="0.35"/>
    <row r="569" s="146" customFormat="1" x14ac:dyDescent="0.35"/>
    <row r="570" s="146" customFormat="1" x14ac:dyDescent="0.35"/>
    <row r="571" s="146" customFormat="1" x14ac:dyDescent="0.35"/>
    <row r="572" s="146" customFormat="1" x14ac:dyDescent="0.35"/>
    <row r="573" s="146" customFormat="1" x14ac:dyDescent="0.35"/>
    <row r="574" s="146" customFormat="1" x14ac:dyDescent="0.35"/>
    <row r="575" s="146" customFormat="1" x14ac:dyDescent="0.35"/>
    <row r="576" s="146" customFormat="1" x14ac:dyDescent="0.35"/>
    <row r="577" s="146" customFormat="1" x14ac:dyDescent="0.35"/>
    <row r="578" s="146" customFormat="1" x14ac:dyDescent="0.35"/>
    <row r="579" s="146" customFormat="1" x14ac:dyDescent="0.35"/>
    <row r="580" s="146" customFormat="1" x14ac:dyDescent="0.35"/>
    <row r="581" s="146" customFormat="1" x14ac:dyDescent="0.35"/>
    <row r="582" s="146" customFormat="1" x14ac:dyDescent="0.35"/>
    <row r="583" s="146" customFormat="1" x14ac:dyDescent="0.35"/>
    <row r="584" s="146" customFormat="1" x14ac:dyDescent="0.35"/>
    <row r="585" s="146" customFormat="1" x14ac:dyDescent="0.35"/>
    <row r="586" s="146" customFormat="1" x14ac:dyDescent="0.35"/>
    <row r="587" s="146" customFormat="1" x14ac:dyDescent="0.35"/>
    <row r="588" s="146" customFormat="1" x14ac:dyDescent="0.35"/>
    <row r="589" s="146" customFormat="1" x14ac:dyDescent="0.35"/>
    <row r="590" s="146" customFormat="1" x14ac:dyDescent="0.35"/>
    <row r="591" s="146" customFormat="1" x14ac:dyDescent="0.35"/>
    <row r="592" s="146" customFormat="1" x14ac:dyDescent="0.35"/>
    <row r="593" s="146" customFormat="1" x14ac:dyDescent="0.35"/>
    <row r="594" s="146" customFormat="1" x14ac:dyDescent="0.35"/>
    <row r="595" s="146" customFormat="1" x14ac:dyDescent="0.35"/>
    <row r="596" s="146" customFormat="1" x14ac:dyDescent="0.35"/>
    <row r="597" s="146" customFormat="1" x14ac:dyDescent="0.35"/>
    <row r="598" s="146" customFormat="1" x14ac:dyDescent="0.35"/>
    <row r="599" s="146" customFormat="1" x14ac:dyDescent="0.35"/>
    <row r="600" s="146" customFormat="1" x14ac:dyDescent="0.35"/>
    <row r="601" s="146" customFormat="1" x14ac:dyDescent="0.35"/>
    <row r="602" s="146" customFormat="1" x14ac:dyDescent="0.35"/>
    <row r="603" s="146" customFormat="1" x14ac:dyDescent="0.35"/>
    <row r="604" s="146" customFormat="1" x14ac:dyDescent="0.35"/>
    <row r="605" s="146" customFormat="1" x14ac:dyDescent="0.35"/>
    <row r="606" s="146" customFormat="1" x14ac:dyDescent="0.35"/>
    <row r="607" s="146" customFormat="1" x14ac:dyDescent="0.35"/>
    <row r="608" s="146" customFormat="1" x14ac:dyDescent="0.35"/>
    <row r="609" s="146" customFormat="1" x14ac:dyDescent="0.35"/>
    <row r="610" s="146" customFormat="1" x14ac:dyDescent="0.35"/>
    <row r="611" s="146" customFormat="1" x14ac:dyDescent="0.35"/>
    <row r="612" s="146" customFormat="1" x14ac:dyDescent="0.35"/>
    <row r="613" s="146" customFormat="1" x14ac:dyDescent="0.35"/>
    <row r="614" s="146" customFormat="1" x14ac:dyDescent="0.35"/>
    <row r="615" s="146" customFormat="1" x14ac:dyDescent="0.35"/>
    <row r="616" s="146" customFormat="1" x14ac:dyDescent="0.35"/>
    <row r="617" s="146" customFormat="1" x14ac:dyDescent="0.35"/>
    <row r="618" s="146" customFormat="1" x14ac:dyDescent="0.35"/>
    <row r="619" s="146" customFormat="1" x14ac:dyDescent="0.35"/>
    <row r="620" s="146" customFormat="1" x14ac:dyDescent="0.35"/>
    <row r="621" s="146" customFormat="1" x14ac:dyDescent="0.35"/>
    <row r="622" s="146" customFormat="1" x14ac:dyDescent="0.35"/>
    <row r="623" s="146" customFormat="1" x14ac:dyDescent="0.35"/>
    <row r="624" s="146" customFormat="1" x14ac:dyDescent="0.35"/>
    <row r="625" s="146" customFormat="1" x14ac:dyDescent="0.35"/>
    <row r="626" s="146" customFormat="1" x14ac:dyDescent="0.35"/>
    <row r="627" s="146" customFormat="1" x14ac:dyDescent="0.35"/>
    <row r="628" s="146" customFormat="1" x14ac:dyDescent="0.35"/>
    <row r="629" s="146" customFormat="1" x14ac:dyDescent="0.35"/>
    <row r="630" s="146" customFormat="1" x14ac:dyDescent="0.35"/>
    <row r="631" s="146" customFormat="1" x14ac:dyDescent="0.35"/>
    <row r="632" s="146" customFormat="1" x14ac:dyDescent="0.35"/>
    <row r="633" s="146" customFormat="1" x14ac:dyDescent="0.35"/>
    <row r="634" s="146" customFormat="1" x14ac:dyDescent="0.35"/>
    <row r="635" s="146" customFormat="1" x14ac:dyDescent="0.35"/>
    <row r="636" s="146" customFormat="1" x14ac:dyDescent="0.35"/>
    <row r="637" s="146" customFormat="1" x14ac:dyDescent="0.35"/>
    <row r="638" s="146" customFormat="1" x14ac:dyDescent="0.35"/>
    <row r="639" s="146" customFormat="1" x14ac:dyDescent="0.35"/>
    <row r="640" s="146" customFormat="1" x14ac:dyDescent="0.35"/>
    <row r="641" s="146" customFormat="1" x14ac:dyDescent="0.35"/>
    <row r="642" s="146" customFormat="1" x14ac:dyDescent="0.35"/>
    <row r="643" s="146" customFormat="1" x14ac:dyDescent="0.35"/>
    <row r="644" s="146" customFormat="1" x14ac:dyDescent="0.35"/>
    <row r="645" s="146" customFormat="1" x14ac:dyDescent="0.35"/>
    <row r="646" s="146" customFormat="1" x14ac:dyDescent="0.35"/>
    <row r="647" s="146" customFormat="1" x14ac:dyDescent="0.35"/>
    <row r="648" s="146" customFormat="1" x14ac:dyDescent="0.35"/>
    <row r="649" s="146" customFormat="1" x14ac:dyDescent="0.35"/>
    <row r="650" s="146" customFormat="1" x14ac:dyDescent="0.35"/>
    <row r="651" s="146" customFormat="1" x14ac:dyDescent="0.35"/>
    <row r="652" s="146" customFormat="1" x14ac:dyDescent="0.35"/>
    <row r="653" s="146" customFormat="1" x14ac:dyDescent="0.35"/>
    <row r="654" s="146" customFormat="1" x14ac:dyDescent="0.35"/>
    <row r="655" s="146" customFormat="1" x14ac:dyDescent="0.35"/>
    <row r="656" s="146" customFormat="1" x14ac:dyDescent="0.35"/>
    <row r="657" s="146" customFormat="1" x14ac:dyDescent="0.35"/>
    <row r="658" s="146" customFormat="1" x14ac:dyDescent="0.35"/>
    <row r="659" s="146" customFormat="1" x14ac:dyDescent="0.35"/>
    <row r="660" s="146" customFormat="1" x14ac:dyDescent="0.35"/>
    <row r="661" s="146" customFormat="1" x14ac:dyDescent="0.35"/>
    <row r="662" s="146" customFormat="1" x14ac:dyDescent="0.35"/>
    <row r="663" s="146" customFormat="1" x14ac:dyDescent="0.35"/>
    <row r="664" s="146" customFormat="1" x14ac:dyDescent="0.35"/>
    <row r="665" s="146" customFormat="1" x14ac:dyDescent="0.35"/>
    <row r="666" s="146" customFormat="1" x14ac:dyDescent="0.35"/>
    <row r="667" s="146" customFormat="1" x14ac:dyDescent="0.35"/>
    <row r="668" s="146" customFormat="1" x14ac:dyDescent="0.35"/>
    <row r="669" s="146" customFormat="1" x14ac:dyDescent="0.35"/>
    <row r="670" s="146" customFormat="1" x14ac:dyDescent="0.35"/>
    <row r="671" s="146" customFormat="1" x14ac:dyDescent="0.35"/>
    <row r="672" s="146" customFormat="1" x14ac:dyDescent="0.35"/>
    <row r="673" s="146" customFormat="1" x14ac:dyDescent="0.35"/>
    <row r="674" s="146" customFormat="1" x14ac:dyDescent="0.35"/>
    <row r="675" s="146" customFormat="1" x14ac:dyDescent="0.35"/>
    <row r="676" s="146" customFormat="1" x14ac:dyDescent="0.35"/>
    <row r="677" s="146" customFormat="1" x14ac:dyDescent="0.35"/>
    <row r="678" s="146" customFormat="1" x14ac:dyDescent="0.35"/>
    <row r="679" s="146" customFormat="1" x14ac:dyDescent="0.35"/>
    <row r="680" s="146" customFormat="1" x14ac:dyDescent="0.35"/>
    <row r="681" s="146" customFormat="1" x14ac:dyDescent="0.35"/>
    <row r="682" s="146" customFormat="1" x14ac:dyDescent="0.35"/>
    <row r="683" s="146" customFormat="1" x14ac:dyDescent="0.35"/>
    <row r="684" s="146" customFormat="1" x14ac:dyDescent="0.35"/>
    <row r="685" s="146" customFormat="1" x14ac:dyDescent="0.35"/>
    <row r="686" s="146" customFormat="1" x14ac:dyDescent="0.35"/>
    <row r="687" s="146" customFormat="1" x14ac:dyDescent="0.35"/>
    <row r="688" s="146" customFormat="1" x14ac:dyDescent="0.35"/>
    <row r="689" s="146" customFormat="1" x14ac:dyDescent="0.35"/>
    <row r="690" s="146" customFormat="1" x14ac:dyDescent="0.35"/>
    <row r="691" s="146" customFormat="1" x14ac:dyDescent="0.35"/>
    <row r="692" s="146" customFormat="1" x14ac:dyDescent="0.35"/>
    <row r="693" s="146" customFormat="1" x14ac:dyDescent="0.35"/>
    <row r="694" s="146" customFormat="1" x14ac:dyDescent="0.35"/>
    <row r="695" s="146" customFormat="1" x14ac:dyDescent="0.35"/>
    <row r="696" s="146" customFormat="1" x14ac:dyDescent="0.35"/>
    <row r="697" s="146" customFormat="1" x14ac:dyDescent="0.35"/>
    <row r="698" s="146" customFormat="1" x14ac:dyDescent="0.35"/>
    <row r="699" s="146" customFormat="1" x14ac:dyDescent="0.35"/>
    <row r="700" s="146" customFormat="1" x14ac:dyDescent="0.35"/>
    <row r="701" s="146" customFormat="1" x14ac:dyDescent="0.35"/>
    <row r="702" s="146" customFormat="1" x14ac:dyDescent="0.35"/>
    <row r="703" s="146" customFormat="1" x14ac:dyDescent="0.35"/>
    <row r="704" s="146" customFormat="1" x14ac:dyDescent="0.35"/>
    <row r="705" s="146" customFormat="1" x14ac:dyDescent="0.35"/>
    <row r="706" s="146" customFormat="1" x14ac:dyDescent="0.35"/>
    <row r="707" s="146" customFormat="1" x14ac:dyDescent="0.35"/>
    <row r="708" s="146" customFormat="1" x14ac:dyDescent="0.35"/>
    <row r="709" s="146" customFormat="1" x14ac:dyDescent="0.35"/>
    <row r="710" s="146" customFormat="1" x14ac:dyDescent="0.35"/>
    <row r="711" s="146" customFormat="1" x14ac:dyDescent="0.35"/>
    <row r="712" s="146" customFormat="1" x14ac:dyDescent="0.35"/>
    <row r="713" s="146" customFormat="1" x14ac:dyDescent="0.35"/>
    <row r="714" s="146" customFormat="1" x14ac:dyDescent="0.35"/>
    <row r="715" s="146" customFormat="1" x14ac:dyDescent="0.35"/>
    <row r="716" s="146" customFormat="1" x14ac:dyDescent="0.35"/>
    <row r="717" s="146" customFormat="1" x14ac:dyDescent="0.35"/>
    <row r="718" s="146" customFormat="1" x14ac:dyDescent="0.35"/>
    <row r="719" s="146" customFormat="1" x14ac:dyDescent="0.35"/>
    <row r="720" s="146" customFormat="1" x14ac:dyDescent="0.35"/>
    <row r="721" s="146" customFormat="1" x14ac:dyDescent="0.35"/>
    <row r="722" s="146" customFormat="1" x14ac:dyDescent="0.35"/>
    <row r="723" s="146" customFormat="1" x14ac:dyDescent="0.35"/>
    <row r="724" s="146" customFormat="1" x14ac:dyDescent="0.35"/>
    <row r="725" s="146" customFormat="1" x14ac:dyDescent="0.35"/>
    <row r="726" s="146" customFormat="1" x14ac:dyDescent="0.35"/>
    <row r="727" s="146" customFormat="1" x14ac:dyDescent="0.35"/>
    <row r="728" s="146" customFormat="1" x14ac:dyDescent="0.35"/>
    <row r="729" s="146" customFormat="1" x14ac:dyDescent="0.35"/>
    <row r="730" s="146" customFormat="1" x14ac:dyDescent="0.35"/>
    <row r="731" s="146" customFormat="1" x14ac:dyDescent="0.35"/>
    <row r="732" s="146" customFormat="1" x14ac:dyDescent="0.35"/>
    <row r="733" s="146" customFormat="1" x14ac:dyDescent="0.35"/>
    <row r="734" s="146" customFormat="1" x14ac:dyDescent="0.35"/>
    <row r="735" s="146" customFormat="1" x14ac:dyDescent="0.35"/>
    <row r="736" s="146" customFormat="1" x14ac:dyDescent="0.35"/>
    <row r="737" s="146" customFormat="1" x14ac:dyDescent="0.35"/>
    <row r="738" s="146" customFormat="1" x14ac:dyDescent="0.35"/>
    <row r="739" s="146" customFormat="1" x14ac:dyDescent="0.35"/>
    <row r="740" s="146" customFormat="1" x14ac:dyDescent="0.35"/>
    <row r="741" s="146" customFormat="1" x14ac:dyDescent="0.35"/>
    <row r="742" s="146" customFormat="1" x14ac:dyDescent="0.35"/>
    <row r="743" s="146" customFormat="1" x14ac:dyDescent="0.35"/>
    <row r="744" s="146" customFormat="1" x14ac:dyDescent="0.35"/>
    <row r="745" s="146" customFormat="1" x14ac:dyDescent="0.35"/>
    <row r="746" s="146" customFormat="1" x14ac:dyDescent="0.35"/>
    <row r="747" s="146" customFormat="1" x14ac:dyDescent="0.35"/>
    <row r="748" s="146" customFormat="1" x14ac:dyDescent="0.35"/>
    <row r="749" s="146" customFormat="1" x14ac:dyDescent="0.35"/>
    <row r="750" s="146" customFormat="1" x14ac:dyDescent="0.35"/>
    <row r="751" s="146" customFormat="1" x14ac:dyDescent="0.35"/>
    <row r="752" s="146" customFormat="1" x14ac:dyDescent="0.35"/>
    <row r="753" s="146" customFormat="1" x14ac:dyDescent="0.35"/>
    <row r="754" s="146" customFormat="1" x14ac:dyDescent="0.35"/>
    <row r="755" s="146" customFormat="1" x14ac:dyDescent="0.35"/>
    <row r="756" s="146" customFormat="1" x14ac:dyDescent="0.35"/>
    <row r="757" s="146" customFormat="1" x14ac:dyDescent="0.35"/>
    <row r="758" s="146" customFormat="1" x14ac:dyDescent="0.35"/>
    <row r="759" s="146" customFormat="1" x14ac:dyDescent="0.35"/>
    <row r="760" s="146" customFormat="1" x14ac:dyDescent="0.35"/>
    <row r="761" s="146" customFormat="1" x14ac:dyDescent="0.35"/>
    <row r="762" s="146" customFormat="1" x14ac:dyDescent="0.35"/>
    <row r="763" s="146" customFormat="1" x14ac:dyDescent="0.35"/>
    <row r="764" s="146" customFormat="1" x14ac:dyDescent="0.35"/>
    <row r="765" s="146" customFormat="1" x14ac:dyDescent="0.35"/>
    <row r="766" s="146" customFormat="1" x14ac:dyDescent="0.35"/>
    <row r="767" s="146" customFormat="1" x14ac:dyDescent="0.35"/>
    <row r="768" s="146" customFormat="1" x14ac:dyDescent="0.35"/>
    <row r="769" s="146" customFormat="1" x14ac:dyDescent="0.35"/>
    <row r="770" s="146" customFormat="1" x14ac:dyDescent="0.35"/>
    <row r="771" s="146" customFormat="1" x14ac:dyDescent="0.35"/>
    <row r="772" s="146" customFormat="1" x14ac:dyDescent="0.35"/>
    <row r="773" s="146" customFormat="1" x14ac:dyDescent="0.35"/>
    <row r="774" s="146" customFormat="1" x14ac:dyDescent="0.35"/>
    <row r="775" s="146" customFormat="1" x14ac:dyDescent="0.35"/>
    <row r="776" s="146" customFormat="1" x14ac:dyDescent="0.35"/>
    <row r="777" s="146" customFormat="1" x14ac:dyDescent="0.35"/>
    <row r="778" s="146" customFormat="1" x14ac:dyDescent="0.35"/>
    <row r="779" s="146" customFormat="1" x14ac:dyDescent="0.35"/>
    <row r="780" s="146" customFormat="1" x14ac:dyDescent="0.35"/>
    <row r="781" s="146" customFormat="1" x14ac:dyDescent="0.35"/>
    <row r="782" s="146" customFormat="1" x14ac:dyDescent="0.35"/>
    <row r="783" s="146" customFormat="1" x14ac:dyDescent="0.35"/>
    <row r="784" s="146" customFormat="1" x14ac:dyDescent="0.35"/>
    <row r="785" s="146" customFormat="1" x14ac:dyDescent="0.35"/>
    <row r="786" s="146" customFormat="1" x14ac:dyDescent="0.35"/>
    <row r="787" s="146" customFormat="1" x14ac:dyDescent="0.35"/>
    <row r="788" s="146" customFormat="1" x14ac:dyDescent="0.35"/>
    <row r="789" s="146" customFormat="1" x14ac:dyDescent="0.35"/>
    <row r="790" s="146" customFormat="1" x14ac:dyDescent="0.35"/>
    <row r="791" s="146" customFormat="1" x14ac:dyDescent="0.35"/>
    <row r="792" s="146" customFormat="1" x14ac:dyDescent="0.35"/>
    <row r="793" s="146" customFormat="1" x14ac:dyDescent="0.35"/>
    <row r="794" s="146" customFormat="1" x14ac:dyDescent="0.35"/>
    <row r="795" s="146" customFormat="1" x14ac:dyDescent="0.35"/>
    <row r="796" s="146" customFormat="1" x14ac:dyDescent="0.35"/>
    <row r="797" s="146" customFormat="1" x14ac:dyDescent="0.35"/>
    <row r="798" s="146" customFormat="1" x14ac:dyDescent="0.35"/>
    <row r="799" s="146" customFormat="1" x14ac:dyDescent="0.35"/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Annual 2020</vt:lpstr>
      <vt:lpstr>Q1, 2021</vt:lpstr>
      <vt:lpstr>Q2, 2021</vt:lpstr>
      <vt:lpstr>Q3, 2021</vt:lpstr>
      <vt:lpstr>Annual 2021</vt:lpstr>
      <vt:lpstr>Q1 2022</vt:lpstr>
      <vt:lpstr>Q2 2022</vt:lpstr>
      <vt:lpstr>Q3 2022</vt:lpstr>
      <vt:lpstr>Annual 2022</vt:lpstr>
      <vt:lpstr>Q1 2023</vt:lpstr>
      <vt:lpstr>Q2 2023</vt:lpstr>
      <vt:lpstr>Q3 2023</vt:lpstr>
      <vt:lpstr>Q4 2023</vt:lpstr>
      <vt:lpstr>Q1 2024</vt:lpstr>
      <vt:lpstr>Q2 2024</vt:lpstr>
      <vt:lpstr>Q3 2024</vt:lpstr>
      <vt:lpstr>Q4 2024</vt:lpstr>
      <vt:lpstr>Q1 2025</vt:lpstr>
      <vt:lpstr>Q2 2025</vt:lpstr>
      <vt:lpstr>Q3 2025</vt:lpstr>
      <vt:lpstr>Q4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</dc:creator>
  <cp:keywords/>
  <dc:description/>
  <cp:lastModifiedBy>Cyril Tobil</cp:lastModifiedBy>
  <cp:revision/>
  <dcterms:created xsi:type="dcterms:W3CDTF">2021-07-08T08:42:10Z</dcterms:created>
  <dcterms:modified xsi:type="dcterms:W3CDTF">2026-03-18T11:53:19Z</dcterms:modified>
  <cp:category/>
  <cp:contentStatus/>
</cp:coreProperties>
</file>